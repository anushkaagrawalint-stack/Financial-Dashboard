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5f68b6d7c7ba0d41/RASA/RASA Financials/Financials for Dashboard/"/>
    </mc:Choice>
  </mc:AlternateContent>
  <xr:revisionPtr revIDLastSave="0" documentId="8_{666016B9-2269-489D-94FC-6BACE47172F7}" xr6:coauthVersionLast="47" xr6:coauthVersionMax="47" xr10:uidLastSave="{00000000-0000-0000-0000-000000000000}"/>
  <bookViews>
    <workbookView xWindow="-28920" yWindow="7080" windowWidth="29040" windowHeight="15720" xr2:uid="{00000000-000D-0000-FFFF-FFFF00000000}"/>
  </bookViews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  <definedName name="_xlnm.Print_Titles" localSheetId="0">Consolidated!$1:$5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44" i="7" l="1"/>
  <c r="W444" i="7"/>
  <c r="N444" i="7"/>
  <c r="H444" i="7"/>
  <c r="AA442" i="7"/>
  <c r="Z442" i="7"/>
  <c r="T442" i="7"/>
  <c r="U442" i="7" s="1"/>
  <c r="Q442" i="7"/>
  <c r="R442" i="7" s="1"/>
  <c r="K442" i="7"/>
  <c r="L442" i="7" s="1"/>
  <c r="E442" i="7"/>
  <c r="F442" i="7" s="1"/>
  <c r="C442" i="7"/>
  <c r="B442" i="7"/>
  <c r="N442" i="7" s="1"/>
  <c r="O442" i="7" s="1"/>
  <c r="Z441" i="7"/>
  <c r="AA441" i="7" s="1"/>
  <c r="U441" i="7"/>
  <c r="T441" i="7"/>
  <c r="Q441" i="7"/>
  <c r="W441" i="7" s="1"/>
  <c r="X441" i="7" s="1"/>
  <c r="K441" i="7"/>
  <c r="L441" i="7" s="1"/>
  <c r="E441" i="7"/>
  <c r="H441" i="7" s="1"/>
  <c r="I441" i="7" s="1"/>
  <c r="B441" i="7"/>
  <c r="C441" i="7" s="1"/>
  <c r="AC440" i="7"/>
  <c r="AD440" i="7" s="1"/>
  <c r="AA440" i="7"/>
  <c r="X440" i="7"/>
  <c r="W440" i="7"/>
  <c r="U440" i="7"/>
  <c r="R440" i="7"/>
  <c r="N440" i="7"/>
  <c r="O440" i="7" s="1"/>
  <c r="L440" i="7"/>
  <c r="I440" i="7"/>
  <c r="H440" i="7"/>
  <c r="F440" i="7"/>
  <c r="C440" i="7"/>
  <c r="AD439" i="7"/>
  <c r="AC439" i="7"/>
  <c r="AA439" i="7"/>
  <c r="W439" i="7"/>
  <c r="X439" i="7" s="1"/>
  <c r="U439" i="7"/>
  <c r="R439" i="7"/>
  <c r="N439" i="7"/>
  <c r="O439" i="7" s="1"/>
  <c r="L439" i="7"/>
  <c r="H439" i="7"/>
  <c r="I439" i="7" s="1"/>
  <c r="F439" i="7"/>
  <c r="C439" i="7"/>
  <c r="AC438" i="7"/>
  <c r="AD438" i="7" s="1"/>
  <c r="AA438" i="7"/>
  <c r="W438" i="7"/>
  <c r="X438" i="7" s="1"/>
  <c r="U438" i="7"/>
  <c r="R438" i="7"/>
  <c r="N438" i="7"/>
  <c r="O438" i="7" s="1"/>
  <c r="L438" i="7"/>
  <c r="I438" i="7"/>
  <c r="H438" i="7"/>
  <c r="F438" i="7"/>
  <c r="C438" i="7"/>
  <c r="AD437" i="7"/>
  <c r="AC437" i="7"/>
  <c r="AA437" i="7"/>
  <c r="W437" i="7"/>
  <c r="X437" i="7" s="1"/>
  <c r="U437" i="7"/>
  <c r="R437" i="7"/>
  <c r="N437" i="7"/>
  <c r="O437" i="7" s="1"/>
  <c r="L437" i="7"/>
  <c r="H437" i="7"/>
  <c r="I437" i="7" s="1"/>
  <c r="F437" i="7"/>
  <c r="C437" i="7"/>
  <c r="AC436" i="7"/>
  <c r="AD436" i="7" s="1"/>
  <c r="AA436" i="7"/>
  <c r="W436" i="7"/>
  <c r="X436" i="7" s="1"/>
  <c r="U436" i="7"/>
  <c r="R436" i="7"/>
  <c r="N436" i="7"/>
  <c r="O436" i="7" s="1"/>
  <c r="L436" i="7"/>
  <c r="I436" i="7"/>
  <c r="H436" i="7"/>
  <c r="F436" i="7"/>
  <c r="C436" i="7"/>
  <c r="AD435" i="7"/>
  <c r="AC435" i="7"/>
  <c r="AA435" i="7"/>
  <c r="W435" i="7"/>
  <c r="X435" i="7" s="1"/>
  <c r="U435" i="7"/>
  <c r="R435" i="7"/>
  <c r="N435" i="7"/>
  <c r="O435" i="7" s="1"/>
  <c r="L435" i="7"/>
  <c r="H435" i="7"/>
  <c r="I435" i="7" s="1"/>
  <c r="F435" i="7"/>
  <c r="C435" i="7"/>
  <c r="AD434" i="7"/>
  <c r="AC434" i="7"/>
  <c r="AA434" i="7"/>
  <c r="W434" i="7"/>
  <c r="X434" i="7" s="1"/>
  <c r="U434" i="7"/>
  <c r="R434" i="7"/>
  <c r="N434" i="7"/>
  <c r="O434" i="7" s="1"/>
  <c r="L434" i="7"/>
  <c r="I434" i="7"/>
  <c r="H434" i="7"/>
  <c r="F434" i="7"/>
  <c r="C434" i="7"/>
  <c r="AD433" i="7"/>
  <c r="AC433" i="7"/>
  <c r="AA433" i="7"/>
  <c r="W433" i="7"/>
  <c r="X433" i="7" s="1"/>
  <c r="U433" i="7"/>
  <c r="R433" i="7"/>
  <c r="N433" i="7"/>
  <c r="O433" i="7" s="1"/>
  <c r="L433" i="7"/>
  <c r="I433" i="7"/>
  <c r="H433" i="7"/>
  <c r="F433" i="7"/>
  <c r="C433" i="7"/>
  <c r="AC432" i="7"/>
  <c r="AD432" i="7" s="1"/>
  <c r="AA432" i="7"/>
  <c r="W432" i="7"/>
  <c r="X432" i="7" s="1"/>
  <c r="U432" i="7"/>
  <c r="R432" i="7"/>
  <c r="N432" i="7"/>
  <c r="O432" i="7" s="1"/>
  <c r="L432" i="7"/>
  <c r="I432" i="7"/>
  <c r="H432" i="7"/>
  <c r="F432" i="7"/>
  <c r="C432" i="7"/>
  <c r="Z429" i="7"/>
  <c r="AA429" i="7" s="1"/>
  <c r="T429" i="7"/>
  <c r="W429" i="7" s="1"/>
  <c r="X429" i="7" s="1"/>
  <c r="R429" i="7"/>
  <c r="Q429" i="7"/>
  <c r="AC429" i="7" s="1"/>
  <c r="AD429" i="7" s="1"/>
  <c r="L429" i="7"/>
  <c r="K429" i="7"/>
  <c r="H429" i="7"/>
  <c r="I429" i="7" s="1"/>
  <c r="F429" i="7"/>
  <c r="E429" i="7"/>
  <c r="B429" i="7"/>
  <c r="C429" i="7" s="1"/>
  <c r="Z428" i="7"/>
  <c r="AA428" i="7" s="1"/>
  <c r="T428" i="7"/>
  <c r="U428" i="7" s="1"/>
  <c r="R428" i="7"/>
  <c r="Q428" i="7"/>
  <c r="AC428" i="7" s="1"/>
  <c r="AD428" i="7" s="1"/>
  <c r="L428" i="7"/>
  <c r="K428" i="7"/>
  <c r="F428" i="7"/>
  <c r="E428" i="7"/>
  <c r="B428" i="7"/>
  <c r="H428" i="7" s="1"/>
  <c r="I428" i="7" s="1"/>
  <c r="AD427" i="7"/>
  <c r="AC427" i="7"/>
  <c r="AA427" i="7"/>
  <c r="W427" i="7"/>
  <c r="X427" i="7" s="1"/>
  <c r="U427" i="7"/>
  <c r="R427" i="7"/>
  <c r="N427" i="7"/>
  <c r="O427" i="7" s="1"/>
  <c r="L427" i="7"/>
  <c r="H427" i="7"/>
  <c r="I427" i="7" s="1"/>
  <c r="F427" i="7"/>
  <c r="C427" i="7"/>
  <c r="AC426" i="7"/>
  <c r="AD426" i="7" s="1"/>
  <c r="AA426" i="7"/>
  <c r="X426" i="7"/>
  <c r="W426" i="7"/>
  <c r="U426" i="7"/>
  <c r="R426" i="7"/>
  <c r="N426" i="7"/>
  <c r="O426" i="7" s="1"/>
  <c r="L426" i="7"/>
  <c r="I426" i="7"/>
  <c r="H426" i="7"/>
  <c r="F426" i="7"/>
  <c r="C426" i="7"/>
  <c r="AD425" i="7"/>
  <c r="AC425" i="7"/>
  <c r="AA425" i="7"/>
  <c r="W425" i="7"/>
  <c r="X425" i="7" s="1"/>
  <c r="U425" i="7"/>
  <c r="R425" i="7"/>
  <c r="N425" i="7"/>
  <c r="O425" i="7" s="1"/>
  <c r="L425" i="7"/>
  <c r="H425" i="7"/>
  <c r="I425" i="7" s="1"/>
  <c r="F425" i="7"/>
  <c r="C425" i="7"/>
  <c r="AC424" i="7"/>
  <c r="AD424" i="7" s="1"/>
  <c r="AA424" i="7"/>
  <c r="W424" i="7"/>
  <c r="X424" i="7" s="1"/>
  <c r="U424" i="7"/>
  <c r="R424" i="7"/>
  <c r="O424" i="7"/>
  <c r="N424" i="7"/>
  <c r="L424" i="7"/>
  <c r="I424" i="7"/>
  <c r="H424" i="7"/>
  <c r="F424" i="7"/>
  <c r="C424" i="7"/>
  <c r="AD423" i="7"/>
  <c r="AC423" i="7"/>
  <c r="AA423" i="7"/>
  <c r="W423" i="7"/>
  <c r="X423" i="7" s="1"/>
  <c r="U423" i="7"/>
  <c r="R423" i="7"/>
  <c r="N423" i="7"/>
  <c r="O423" i="7" s="1"/>
  <c r="L423" i="7"/>
  <c r="H423" i="7"/>
  <c r="I423" i="7" s="1"/>
  <c r="F423" i="7"/>
  <c r="C423" i="7"/>
  <c r="AC422" i="7"/>
  <c r="AD422" i="7" s="1"/>
  <c r="AA422" i="7"/>
  <c r="X422" i="7"/>
  <c r="W422" i="7"/>
  <c r="U422" i="7"/>
  <c r="R422" i="7"/>
  <c r="N422" i="7"/>
  <c r="O422" i="7" s="1"/>
  <c r="L422" i="7"/>
  <c r="I422" i="7"/>
  <c r="H422" i="7"/>
  <c r="F422" i="7"/>
  <c r="C422" i="7"/>
  <c r="AD421" i="7"/>
  <c r="AC421" i="7"/>
  <c r="AA421" i="7"/>
  <c r="W421" i="7"/>
  <c r="X421" i="7" s="1"/>
  <c r="U421" i="7"/>
  <c r="R421" i="7"/>
  <c r="N421" i="7"/>
  <c r="O421" i="7" s="1"/>
  <c r="L421" i="7"/>
  <c r="H421" i="7"/>
  <c r="I421" i="7" s="1"/>
  <c r="F421" i="7"/>
  <c r="C421" i="7"/>
  <c r="AC420" i="7"/>
  <c r="AD420" i="7" s="1"/>
  <c r="AA420" i="7"/>
  <c r="W420" i="7"/>
  <c r="X420" i="7" s="1"/>
  <c r="U420" i="7"/>
  <c r="R420" i="7"/>
  <c r="O420" i="7"/>
  <c r="N420" i="7"/>
  <c r="L420" i="7"/>
  <c r="I420" i="7"/>
  <c r="H420" i="7"/>
  <c r="F420" i="7"/>
  <c r="C420" i="7"/>
  <c r="AD419" i="7"/>
  <c r="AC419" i="7"/>
  <c r="AA419" i="7"/>
  <c r="W419" i="7"/>
  <c r="X419" i="7" s="1"/>
  <c r="U419" i="7"/>
  <c r="R419" i="7"/>
  <c r="N419" i="7"/>
  <c r="O419" i="7" s="1"/>
  <c r="L419" i="7"/>
  <c r="H419" i="7"/>
  <c r="I419" i="7" s="1"/>
  <c r="F419" i="7"/>
  <c r="C419" i="7"/>
  <c r="AC418" i="7"/>
  <c r="AD418" i="7" s="1"/>
  <c r="AA418" i="7"/>
  <c r="X418" i="7"/>
  <c r="W418" i="7"/>
  <c r="U418" i="7"/>
  <c r="R418" i="7"/>
  <c r="N418" i="7"/>
  <c r="O418" i="7" s="1"/>
  <c r="L418" i="7"/>
  <c r="I418" i="7"/>
  <c r="H418" i="7"/>
  <c r="F418" i="7"/>
  <c r="C418" i="7"/>
  <c r="AD417" i="7"/>
  <c r="AC417" i="7"/>
  <c r="AA417" i="7"/>
  <c r="W417" i="7"/>
  <c r="X417" i="7" s="1"/>
  <c r="U417" i="7"/>
  <c r="R417" i="7"/>
  <c r="N417" i="7"/>
  <c r="O417" i="7" s="1"/>
  <c r="L417" i="7"/>
  <c r="H417" i="7"/>
  <c r="I417" i="7" s="1"/>
  <c r="F417" i="7"/>
  <c r="C417" i="7"/>
  <c r="AC416" i="7"/>
  <c r="AD416" i="7" s="1"/>
  <c r="AA416" i="7"/>
  <c r="W416" i="7"/>
  <c r="X416" i="7" s="1"/>
  <c r="U416" i="7"/>
  <c r="R416" i="7"/>
  <c r="O416" i="7"/>
  <c r="N416" i="7"/>
  <c r="L416" i="7"/>
  <c r="I416" i="7"/>
  <c r="H416" i="7"/>
  <c r="F416" i="7"/>
  <c r="C416" i="7"/>
  <c r="AD415" i="7"/>
  <c r="AC415" i="7"/>
  <c r="AA415" i="7"/>
  <c r="W415" i="7"/>
  <c r="X415" i="7" s="1"/>
  <c r="U415" i="7"/>
  <c r="R415" i="7"/>
  <c r="N415" i="7"/>
  <c r="O415" i="7" s="1"/>
  <c r="L415" i="7"/>
  <c r="H415" i="7"/>
  <c r="I415" i="7" s="1"/>
  <c r="F415" i="7"/>
  <c r="C415" i="7"/>
  <c r="AC414" i="7"/>
  <c r="AD414" i="7" s="1"/>
  <c r="AA414" i="7"/>
  <c r="X414" i="7"/>
  <c r="W414" i="7"/>
  <c r="U414" i="7"/>
  <c r="R414" i="7"/>
  <c r="N414" i="7"/>
  <c r="O414" i="7" s="1"/>
  <c r="L414" i="7"/>
  <c r="I414" i="7"/>
  <c r="H414" i="7"/>
  <c r="F414" i="7"/>
  <c r="C414" i="7"/>
  <c r="AD413" i="7"/>
  <c r="AC413" i="7"/>
  <c r="AA413" i="7"/>
  <c r="W413" i="7"/>
  <c r="X413" i="7" s="1"/>
  <c r="U413" i="7"/>
  <c r="R413" i="7"/>
  <c r="N413" i="7"/>
  <c r="O413" i="7" s="1"/>
  <c r="L413" i="7"/>
  <c r="H413" i="7"/>
  <c r="I413" i="7" s="1"/>
  <c r="F413" i="7"/>
  <c r="C413" i="7"/>
  <c r="AC412" i="7"/>
  <c r="AD412" i="7" s="1"/>
  <c r="AA412" i="7"/>
  <c r="W412" i="7"/>
  <c r="X412" i="7" s="1"/>
  <c r="U412" i="7"/>
  <c r="R412" i="7"/>
  <c r="O412" i="7"/>
  <c r="N412" i="7"/>
  <c r="L412" i="7"/>
  <c r="I412" i="7"/>
  <c r="H412" i="7"/>
  <c r="F412" i="7"/>
  <c r="C412" i="7"/>
  <c r="AD411" i="7"/>
  <c r="AC411" i="7"/>
  <c r="AA411" i="7"/>
  <c r="W411" i="7"/>
  <c r="X411" i="7" s="1"/>
  <c r="U411" i="7"/>
  <c r="R411" i="7"/>
  <c r="N411" i="7"/>
  <c r="O411" i="7" s="1"/>
  <c r="L411" i="7"/>
  <c r="H411" i="7"/>
  <c r="I411" i="7" s="1"/>
  <c r="F411" i="7"/>
  <c r="C411" i="7"/>
  <c r="AC410" i="7"/>
  <c r="AD410" i="7" s="1"/>
  <c r="AA410" i="7"/>
  <c r="X410" i="7"/>
  <c r="W410" i="7"/>
  <c r="U410" i="7"/>
  <c r="R410" i="7"/>
  <c r="N410" i="7"/>
  <c r="O410" i="7" s="1"/>
  <c r="L410" i="7"/>
  <c r="I410" i="7"/>
  <c r="H410" i="7"/>
  <c r="F410" i="7"/>
  <c r="C410" i="7"/>
  <c r="AD409" i="7"/>
  <c r="AC409" i="7"/>
  <c r="AA409" i="7"/>
  <c r="W409" i="7"/>
  <c r="X409" i="7" s="1"/>
  <c r="U409" i="7"/>
  <c r="R409" i="7"/>
  <c r="N409" i="7"/>
  <c r="O409" i="7" s="1"/>
  <c r="L409" i="7"/>
  <c r="H409" i="7"/>
  <c r="I409" i="7" s="1"/>
  <c r="F409" i="7"/>
  <c r="C409" i="7"/>
  <c r="AC408" i="7"/>
  <c r="AD408" i="7" s="1"/>
  <c r="AA408" i="7"/>
  <c r="W408" i="7"/>
  <c r="X408" i="7" s="1"/>
  <c r="U408" i="7"/>
  <c r="R408" i="7"/>
  <c r="O408" i="7"/>
  <c r="N408" i="7"/>
  <c r="L408" i="7"/>
  <c r="I408" i="7"/>
  <c r="H408" i="7"/>
  <c r="F408" i="7"/>
  <c r="C408" i="7"/>
  <c r="AD407" i="7"/>
  <c r="AC407" i="7"/>
  <c r="AA407" i="7"/>
  <c r="W407" i="7"/>
  <c r="X407" i="7" s="1"/>
  <c r="U407" i="7"/>
  <c r="R407" i="7"/>
  <c r="N407" i="7"/>
  <c r="O407" i="7" s="1"/>
  <c r="L407" i="7"/>
  <c r="H407" i="7"/>
  <c r="I407" i="7" s="1"/>
  <c r="F407" i="7"/>
  <c r="C407" i="7"/>
  <c r="AA403" i="7"/>
  <c r="Z403" i="7"/>
  <c r="W403" i="7"/>
  <c r="X403" i="7" s="1"/>
  <c r="U403" i="7"/>
  <c r="T403" i="7"/>
  <c r="Q403" i="7"/>
  <c r="R403" i="7" s="1"/>
  <c r="K403" i="7"/>
  <c r="L403" i="7" s="1"/>
  <c r="I403" i="7"/>
  <c r="H403" i="7"/>
  <c r="E403" i="7"/>
  <c r="F403" i="7" s="1"/>
  <c r="C403" i="7"/>
  <c r="B403" i="7"/>
  <c r="AC402" i="7"/>
  <c r="AD402" i="7" s="1"/>
  <c r="AA402" i="7"/>
  <c r="X402" i="7"/>
  <c r="W402" i="7"/>
  <c r="U402" i="7"/>
  <c r="R402" i="7"/>
  <c r="N402" i="7"/>
  <c r="O402" i="7" s="1"/>
  <c r="L402" i="7"/>
  <c r="I402" i="7"/>
  <c r="H402" i="7"/>
  <c r="F402" i="7"/>
  <c r="C402" i="7"/>
  <c r="AD401" i="7"/>
  <c r="AC401" i="7"/>
  <c r="AA401" i="7"/>
  <c r="W401" i="7"/>
  <c r="X401" i="7" s="1"/>
  <c r="U401" i="7"/>
  <c r="R401" i="7"/>
  <c r="N401" i="7"/>
  <c r="O401" i="7" s="1"/>
  <c r="L401" i="7"/>
  <c r="I401" i="7"/>
  <c r="H401" i="7"/>
  <c r="F401" i="7"/>
  <c r="C401" i="7"/>
  <c r="AC400" i="7"/>
  <c r="AD400" i="7" s="1"/>
  <c r="AA400" i="7"/>
  <c r="W400" i="7"/>
  <c r="X400" i="7" s="1"/>
  <c r="U400" i="7"/>
  <c r="R400" i="7"/>
  <c r="O400" i="7"/>
  <c r="N400" i="7"/>
  <c r="L400" i="7"/>
  <c r="I400" i="7"/>
  <c r="H400" i="7"/>
  <c r="F400" i="7"/>
  <c r="C400" i="7"/>
  <c r="AD399" i="7"/>
  <c r="AC399" i="7"/>
  <c r="AA399" i="7"/>
  <c r="W399" i="7"/>
  <c r="X399" i="7" s="1"/>
  <c r="U399" i="7"/>
  <c r="R399" i="7"/>
  <c r="N399" i="7"/>
  <c r="O399" i="7" s="1"/>
  <c r="L399" i="7"/>
  <c r="H399" i="7"/>
  <c r="I399" i="7" s="1"/>
  <c r="F399" i="7"/>
  <c r="C399" i="7"/>
  <c r="AC398" i="7"/>
  <c r="AD398" i="7" s="1"/>
  <c r="AA398" i="7"/>
  <c r="X398" i="7"/>
  <c r="W398" i="7"/>
  <c r="U398" i="7"/>
  <c r="R398" i="7"/>
  <c r="N398" i="7"/>
  <c r="O398" i="7" s="1"/>
  <c r="L398" i="7"/>
  <c r="I398" i="7"/>
  <c r="H398" i="7"/>
  <c r="F398" i="7"/>
  <c r="C398" i="7"/>
  <c r="AD397" i="7"/>
  <c r="AC397" i="7"/>
  <c r="AA397" i="7"/>
  <c r="W397" i="7"/>
  <c r="X397" i="7" s="1"/>
  <c r="U397" i="7"/>
  <c r="R397" i="7"/>
  <c r="N397" i="7"/>
  <c r="O397" i="7" s="1"/>
  <c r="L397" i="7"/>
  <c r="H397" i="7"/>
  <c r="I397" i="7" s="1"/>
  <c r="F397" i="7"/>
  <c r="C397" i="7"/>
  <c r="AA396" i="7"/>
  <c r="Z396" i="7"/>
  <c r="X396" i="7"/>
  <c r="W396" i="7"/>
  <c r="U396" i="7"/>
  <c r="T396" i="7"/>
  <c r="Q396" i="7"/>
  <c r="R396" i="7" s="1"/>
  <c r="K396" i="7"/>
  <c r="L396" i="7" s="1"/>
  <c r="I396" i="7"/>
  <c r="H396" i="7"/>
  <c r="E396" i="7"/>
  <c r="F396" i="7" s="1"/>
  <c r="C396" i="7"/>
  <c r="B396" i="7"/>
  <c r="AD395" i="7"/>
  <c r="AC395" i="7"/>
  <c r="AA395" i="7"/>
  <c r="X395" i="7"/>
  <c r="W395" i="7"/>
  <c r="U395" i="7"/>
  <c r="R395" i="7"/>
  <c r="N395" i="7"/>
  <c r="O395" i="7" s="1"/>
  <c r="L395" i="7"/>
  <c r="I395" i="7"/>
  <c r="H395" i="7"/>
  <c r="F395" i="7"/>
  <c r="C395" i="7"/>
  <c r="AD394" i="7"/>
  <c r="AC394" i="7"/>
  <c r="AA394" i="7"/>
  <c r="X394" i="7"/>
  <c r="W394" i="7"/>
  <c r="U394" i="7"/>
  <c r="R394" i="7"/>
  <c r="N394" i="7"/>
  <c r="O394" i="7" s="1"/>
  <c r="L394" i="7"/>
  <c r="I394" i="7"/>
  <c r="H394" i="7"/>
  <c r="F394" i="7"/>
  <c r="C394" i="7"/>
  <c r="AA393" i="7"/>
  <c r="Z393" i="7"/>
  <c r="W393" i="7"/>
  <c r="X393" i="7" s="1"/>
  <c r="U393" i="7"/>
  <c r="T393" i="7"/>
  <c r="Q393" i="7"/>
  <c r="R393" i="7" s="1"/>
  <c r="L393" i="7"/>
  <c r="K393" i="7"/>
  <c r="I393" i="7"/>
  <c r="H393" i="7"/>
  <c r="E393" i="7"/>
  <c r="F393" i="7" s="1"/>
  <c r="C393" i="7"/>
  <c r="B393" i="7"/>
  <c r="N393" i="7" s="1"/>
  <c r="O393" i="7" s="1"/>
  <c r="AC392" i="7"/>
  <c r="AD392" i="7" s="1"/>
  <c r="AA392" i="7"/>
  <c r="X392" i="7"/>
  <c r="W392" i="7"/>
  <c r="U392" i="7"/>
  <c r="R392" i="7"/>
  <c r="N392" i="7"/>
  <c r="O392" i="7" s="1"/>
  <c r="L392" i="7"/>
  <c r="I392" i="7"/>
  <c r="H392" i="7"/>
  <c r="F392" i="7"/>
  <c r="C392" i="7"/>
  <c r="AD391" i="7"/>
  <c r="AC391" i="7"/>
  <c r="AA391" i="7"/>
  <c r="W391" i="7"/>
  <c r="X391" i="7" s="1"/>
  <c r="U391" i="7"/>
  <c r="R391" i="7"/>
  <c r="N391" i="7"/>
  <c r="O391" i="7" s="1"/>
  <c r="L391" i="7"/>
  <c r="H391" i="7"/>
  <c r="I391" i="7" s="1"/>
  <c r="F391" i="7"/>
  <c r="C391" i="7"/>
  <c r="AC390" i="7"/>
  <c r="AD390" i="7" s="1"/>
  <c r="AA390" i="7"/>
  <c r="W390" i="7"/>
  <c r="X390" i="7" s="1"/>
  <c r="U390" i="7"/>
  <c r="R390" i="7"/>
  <c r="O390" i="7"/>
  <c r="N390" i="7"/>
  <c r="L390" i="7"/>
  <c r="I390" i="7"/>
  <c r="H390" i="7"/>
  <c r="F390" i="7"/>
  <c r="C390" i="7"/>
  <c r="AD389" i="7"/>
  <c r="AC389" i="7"/>
  <c r="AA389" i="7"/>
  <c r="W389" i="7"/>
  <c r="X389" i="7" s="1"/>
  <c r="U389" i="7"/>
  <c r="R389" i="7"/>
  <c r="N389" i="7"/>
  <c r="O389" i="7" s="1"/>
  <c r="L389" i="7"/>
  <c r="H389" i="7"/>
  <c r="I389" i="7" s="1"/>
  <c r="F389" i="7"/>
  <c r="C389" i="7"/>
  <c r="AD388" i="7"/>
  <c r="AC388" i="7"/>
  <c r="AA388" i="7"/>
  <c r="X388" i="7"/>
  <c r="W388" i="7"/>
  <c r="U388" i="7"/>
  <c r="R388" i="7"/>
  <c r="N388" i="7"/>
  <c r="O388" i="7" s="1"/>
  <c r="L388" i="7"/>
  <c r="I388" i="7"/>
  <c r="H388" i="7"/>
  <c r="F388" i="7"/>
  <c r="C388" i="7"/>
  <c r="AD386" i="7"/>
  <c r="AC386" i="7"/>
  <c r="AA386" i="7"/>
  <c r="X386" i="7"/>
  <c r="W386" i="7"/>
  <c r="U386" i="7"/>
  <c r="R386" i="7"/>
  <c r="N386" i="7"/>
  <c r="O386" i="7" s="1"/>
  <c r="L386" i="7"/>
  <c r="H386" i="7"/>
  <c r="I386" i="7" s="1"/>
  <c r="F386" i="7"/>
  <c r="C386" i="7"/>
  <c r="AC385" i="7"/>
  <c r="AD385" i="7" s="1"/>
  <c r="AA385" i="7"/>
  <c r="W385" i="7"/>
  <c r="X385" i="7" s="1"/>
  <c r="U385" i="7"/>
  <c r="R385" i="7"/>
  <c r="O385" i="7"/>
  <c r="N385" i="7"/>
  <c r="L385" i="7"/>
  <c r="I385" i="7"/>
  <c r="H385" i="7"/>
  <c r="F385" i="7"/>
  <c r="C385" i="7"/>
  <c r="AD383" i="7"/>
  <c r="AC383" i="7"/>
  <c r="AA383" i="7"/>
  <c r="W383" i="7"/>
  <c r="X383" i="7" s="1"/>
  <c r="U383" i="7"/>
  <c r="R383" i="7"/>
  <c r="N383" i="7"/>
  <c r="O383" i="7" s="1"/>
  <c r="L383" i="7"/>
  <c r="H383" i="7"/>
  <c r="I383" i="7" s="1"/>
  <c r="F383" i="7"/>
  <c r="C383" i="7"/>
  <c r="AC382" i="7"/>
  <c r="AD382" i="7" s="1"/>
  <c r="AA382" i="7"/>
  <c r="X382" i="7"/>
  <c r="W382" i="7"/>
  <c r="U382" i="7"/>
  <c r="R382" i="7"/>
  <c r="N382" i="7"/>
  <c r="O382" i="7" s="1"/>
  <c r="L382" i="7"/>
  <c r="I382" i="7"/>
  <c r="H382" i="7"/>
  <c r="F382" i="7"/>
  <c r="C382" i="7"/>
  <c r="AD381" i="7"/>
  <c r="AC381" i="7"/>
  <c r="AA381" i="7"/>
  <c r="W381" i="7"/>
  <c r="X381" i="7" s="1"/>
  <c r="U381" i="7"/>
  <c r="R381" i="7"/>
  <c r="N381" i="7"/>
  <c r="O381" i="7" s="1"/>
  <c r="L381" i="7"/>
  <c r="H381" i="7"/>
  <c r="I381" i="7" s="1"/>
  <c r="F381" i="7"/>
  <c r="C381" i="7"/>
  <c r="AC380" i="7"/>
  <c r="AD380" i="7" s="1"/>
  <c r="AA380" i="7"/>
  <c r="W380" i="7"/>
  <c r="X380" i="7" s="1"/>
  <c r="U380" i="7"/>
  <c r="R380" i="7"/>
  <c r="O380" i="7"/>
  <c r="N380" i="7"/>
  <c r="L380" i="7"/>
  <c r="I380" i="7"/>
  <c r="H380" i="7"/>
  <c r="F380" i="7"/>
  <c r="C380" i="7"/>
  <c r="AD379" i="7"/>
  <c r="AC379" i="7"/>
  <c r="AA379" i="7"/>
  <c r="W379" i="7"/>
  <c r="X379" i="7" s="1"/>
  <c r="U379" i="7"/>
  <c r="R379" i="7"/>
  <c r="N379" i="7"/>
  <c r="O379" i="7" s="1"/>
  <c r="L379" i="7"/>
  <c r="H379" i="7"/>
  <c r="I379" i="7" s="1"/>
  <c r="F379" i="7"/>
  <c r="C379" i="7"/>
  <c r="AC378" i="7"/>
  <c r="AD378" i="7" s="1"/>
  <c r="AA378" i="7"/>
  <c r="X378" i="7"/>
  <c r="W378" i="7"/>
  <c r="U378" i="7"/>
  <c r="R378" i="7"/>
  <c r="N378" i="7"/>
  <c r="O378" i="7" s="1"/>
  <c r="L378" i="7"/>
  <c r="I378" i="7"/>
  <c r="H378" i="7"/>
  <c r="F378" i="7"/>
  <c r="C378" i="7"/>
  <c r="AD377" i="7"/>
  <c r="AC377" i="7"/>
  <c r="AA377" i="7"/>
  <c r="W377" i="7"/>
  <c r="X377" i="7" s="1"/>
  <c r="U377" i="7"/>
  <c r="R377" i="7"/>
  <c r="N377" i="7"/>
  <c r="O377" i="7" s="1"/>
  <c r="L377" i="7"/>
  <c r="H377" i="7"/>
  <c r="I377" i="7" s="1"/>
  <c r="F377" i="7"/>
  <c r="C377" i="7"/>
  <c r="AC376" i="7"/>
  <c r="AD376" i="7" s="1"/>
  <c r="AA376" i="7"/>
  <c r="W376" i="7"/>
  <c r="X376" i="7" s="1"/>
  <c r="U376" i="7"/>
  <c r="R376" i="7"/>
  <c r="O376" i="7"/>
  <c r="N376" i="7"/>
  <c r="L376" i="7"/>
  <c r="I376" i="7"/>
  <c r="H376" i="7"/>
  <c r="F376" i="7"/>
  <c r="C376" i="7"/>
  <c r="AD375" i="7"/>
  <c r="AC375" i="7"/>
  <c r="AA375" i="7"/>
  <c r="W375" i="7"/>
  <c r="X375" i="7" s="1"/>
  <c r="U375" i="7"/>
  <c r="R375" i="7"/>
  <c r="O375" i="7"/>
  <c r="N375" i="7"/>
  <c r="L375" i="7"/>
  <c r="H375" i="7"/>
  <c r="I375" i="7" s="1"/>
  <c r="F375" i="7"/>
  <c r="C375" i="7"/>
  <c r="AC374" i="7"/>
  <c r="AD374" i="7" s="1"/>
  <c r="AA374" i="7"/>
  <c r="X374" i="7"/>
  <c r="W374" i="7"/>
  <c r="U374" i="7"/>
  <c r="R374" i="7"/>
  <c r="N374" i="7"/>
  <c r="O374" i="7" s="1"/>
  <c r="L374" i="7"/>
  <c r="I374" i="7"/>
  <c r="H374" i="7"/>
  <c r="F374" i="7"/>
  <c r="C374" i="7"/>
  <c r="AD373" i="7"/>
  <c r="AC373" i="7"/>
  <c r="AA373" i="7"/>
  <c r="W373" i="7"/>
  <c r="X373" i="7" s="1"/>
  <c r="U373" i="7"/>
  <c r="R373" i="7"/>
  <c r="N373" i="7"/>
  <c r="O373" i="7" s="1"/>
  <c r="L373" i="7"/>
  <c r="H373" i="7"/>
  <c r="I373" i="7" s="1"/>
  <c r="F373" i="7"/>
  <c r="C373" i="7"/>
  <c r="AC372" i="7"/>
  <c r="AD372" i="7" s="1"/>
  <c r="AA372" i="7"/>
  <c r="W372" i="7"/>
  <c r="X372" i="7" s="1"/>
  <c r="U372" i="7"/>
  <c r="R372" i="7"/>
  <c r="O372" i="7"/>
  <c r="N372" i="7"/>
  <c r="L372" i="7"/>
  <c r="I372" i="7"/>
  <c r="H372" i="7"/>
  <c r="F372" i="7"/>
  <c r="C372" i="7"/>
  <c r="AD371" i="7"/>
  <c r="AC371" i="7"/>
  <c r="AA371" i="7"/>
  <c r="W371" i="7"/>
  <c r="X371" i="7" s="1"/>
  <c r="U371" i="7"/>
  <c r="R371" i="7"/>
  <c r="N371" i="7"/>
  <c r="O371" i="7" s="1"/>
  <c r="L371" i="7"/>
  <c r="H371" i="7"/>
  <c r="I371" i="7" s="1"/>
  <c r="F371" i="7"/>
  <c r="C371" i="7"/>
  <c r="AD370" i="7"/>
  <c r="AC370" i="7"/>
  <c r="AA370" i="7"/>
  <c r="X370" i="7"/>
  <c r="W370" i="7"/>
  <c r="U370" i="7"/>
  <c r="R370" i="7"/>
  <c r="N370" i="7"/>
  <c r="O370" i="7" s="1"/>
  <c r="L370" i="7"/>
  <c r="I370" i="7"/>
  <c r="H370" i="7"/>
  <c r="F370" i="7"/>
  <c r="C370" i="7"/>
  <c r="AD369" i="7"/>
  <c r="AC369" i="7"/>
  <c r="AA369" i="7"/>
  <c r="X369" i="7"/>
  <c r="W369" i="7"/>
  <c r="U369" i="7"/>
  <c r="R369" i="7"/>
  <c r="N369" i="7"/>
  <c r="O369" i="7" s="1"/>
  <c r="L369" i="7"/>
  <c r="H369" i="7"/>
  <c r="I369" i="7" s="1"/>
  <c r="F369" i="7"/>
  <c r="C369" i="7"/>
  <c r="AA368" i="7"/>
  <c r="Z368" i="7"/>
  <c r="W368" i="7"/>
  <c r="X368" i="7" s="1"/>
  <c r="U368" i="7"/>
  <c r="T368" i="7"/>
  <c r="Q368" i="7"/>
  <c r="R368" i="7" s="1"/>
  <c r="K368" i="7"/>
  <c r="L368" i="7" s="1"/>
  <c r="I368" i="7"/>
  <c r="H368" i="7"/>
  <c r="E368" i="7"/>
  <c r="F368" i="7" s="1"/>
  <c r="C368" i="7"/>
  <c r="B368" i="7"/>
  <c r="AC367" i="7"/>
  <c r="AD367" i="7" s="1"/>
  <c r="AA367" i="7"/>
  <c r="X367" i="7"/>
  <c r="W367" i="7"/>
  <c r="U367" i="7"/>
  <c r="R367" i="7"/>
  <c r="N367" i="7"/>
  <c r="O367" i="7" s="1"/>
  <c r="L367" i="7"/>
  <c r="I367" i="7"/>
  <c r="H367" i="7"/>
  <c r="F367" i="7"/>
  <c r="C367" i="7"/>
  <c r="AD366" i="7"/>
  <c r="AC366" i="7"/>
  <c r="AA366" i="7"/>
  <c r="W366" i="7"/>
  <c r="X366" i="7" s="1"/>
  <c r="U366" i="7"/>
  <c r="R366" i="7"/>
  <c r="N366" i="7"/>
  <c r="O366" i="7" s="1"/>
  <c r="L366" i="7"/>
  <c r="I366" i="7"/>
  <c r="H366" i="7"/>
  <c r="F366" i="7"/>
  <c r="C366" i="7"/>
  <c r="AC365" i="7"/>
  <c r="AD365" i="7" s="1"/>
  <c r="AA365" i="7"/>
  <c r="W365" i="7"/>
  <c r="X365" i="7" s="1"/>
  <c r="U365" i="7"/>
  <c r="R365" i="7"/>
  <c r="O365" i="7"/>
  <c r="N365" i="7"/>
  <c r="L365" i="7"/>
  <c r="I365" i="7"/>
  <c r="H365" i="7"/>
  <c r="F365" i="7"/>
  <c r="C365" i="7"/>
  <c r="AD364" i="7"/>
  <c r="AC364" i="7"/>
  <c r="AA364" i="7"/>
  <c r="W364" i="7"/>
  <c r="X364" i="7" s="1"/>
  <c r="U364" i="7"/>
  <c r="R364" i="7"/>
  <c r="O364" i="7"/>
  <c r="N364" i="7"/>
  <c r="L364" i="7"/>
  <c r="H364" i="7"/>
  <c r="I364" i="7" s="1"/>
  <c r="F364" i="7"/>
  <c r="C364" i="7"/>
  <c r="AC363" i="7"/>
  <c r="AD363" i="7" s="1"/>
  <c r="AA363" i="7"/>
  <c r="X363" i="7"/>
  <c r="W363" i="7"/>
  <c r="U363" i="7"/>
  <c r="R363" i="7"/>
  <c r="N363" i="7"/>
  <c r="O363" i="7" s="1"/>
  <c r="L363" i="7"/>
  <c r="I363" i="7"/>
  <c r="H363" i="7"/>
  <c r="F363" i="7"/>
  <c r="C363" i="7"/>
  <c r="AC362" i="7"/>
  <c r="AD362" i="7" s="1"/>
  <c r="AA362" i="7"/>
  <c r="W362" i="7"/>
  <c r="X362" i="7" s="1"/>
  <c r="U362" i="7"/>
  <c r="R362" i="7"/>
  <c r="N362" i="7"/>
  <c r="O362" i="7" s="1"/>
  <c r="L362" i="7"/>
  <c r="H362" i="7"/>
  <c r="I362" i="7" s="1"/>
  <c r="F362" i="7"/>
  <c r="C362" i="7"/>
  <c r="AC361" i="7"/>
  <c r="AD361" i="7" s="1"/>
  <c r="AA361" i="7"/>
  <c r="X361" i="7"/>
  <c r="W361" i="7"/>
  <c r="U361" i="7"/>
  <c r="R361" i="7"/>
  <c r="O361" i="7"/>
  <c r="N361" i="7"/>
  <c r="L361" i="7"/>
  <c r="I361" i="7"/>
  <c r="H361" i="7"/>
  <c r="F361" i="7"/>
  <c r="C361" i="7"/>
  <c r="AC360" i="7"/>
  <c r="AD360" i="7" s="1"/>
  <c r="AA360" i="7"/>
  <c r="W360" i="7"/>
  <c r="X360" i="7" s="1"/>
  <c r="U360" i="7"/>
  <c r="R360" i="7"/>
  <c r="N360" i="7"/>
  <c r="O360" i="7" s="1"/>
  <c r="L360" i="7"/>
  <c r="H360" i="7"/>
  <c r="I360" i="7" s="1"/>
  <c r="F360" i="7"/>
  <c r="C360" i="7"/>
  <c r="Z358" i="7"/>
  <c r="AA358" i="7" s="1"/>
  <c r="T358" i="7"/>
  <c r="U358" i="7" s="1"/>
  <c r="R358" i="7"/>
  <c r="Q358" i="7"/>
  <c r="K358" i="7"/>
  <c r="L358" i="7" s="1"/>
  <c r="E358" i="7"/>
  <c r="B358" i="7"/>
  <c r="AC357" i="7"/>
  <c r="AD357" i="7" s="1"/>
  <c r="AA357" i="7"/>
  <c r="W357" i="7"/>
  <c r="X357" i="7" s="1"/>
  <c r="U357" i="7"/>
  <c r="R357" i="7"/>
  <c r="O357" i="7"/>
  <c r="N357" i="7"/>
  <c r="L357" i="7"/>
  <c r="H357" i="7"/>
  <c r="I357" i="7" s="1"/>
  <c r="F357" i="7"/>
  <c r="C357" i="7"/>
  <c r="AD356" i="7"/>
  <c r="AC356" i="7"/>
  <c r="AA356" i="7"/>
  <c r="W356" i="7"/>
  <c r="X356" i="7" s="1"/>
  <c r="U356" i="7"/>
  <c r="R356" i="7"/>
  <c r="N356" i="7"/>
  <c r="O356" i="7" s="1"/>
  <c r="L356" i="7"/>
  <c r="H356" i="7"/>
  <c r="I356" i="7" s="1"/>
  <c r="F356" i="7"/>
  <c r="C356" i="7"/>
  <c r="AC355" i="7"/>
  <c r="AD355" i="7" s="1"/>
  <c r="AA355" i="7"/>
  <c r="X355" i="7"/>
  <c r="W355" i="7"/>
  <c r="U355" i="7"/>
  <c r="R355" i="7"/>
  <c r="O355" i="7"/>
  <c r="N355" i="7"/>
  <c r="L355" i="7"/>
  <c r="H355" i="7"/>
  <c r="I355" i="7" s="1"/>
  <c r="F355" i="7"/>
  <c r="C355" i="7"/>
  <c r="AD354" i="7"/>
  <c r="AC354" i="7"/>
  <c r="AA354" i="7"/>
  <c r="W354" i="7"/>
  <c r="X354" i="7" s="1"/>
  <c r="U354" i="7"/>
  <c r="R354" i="7"/>
  <c r="N354" i="7"/>
  <c r="O354" i="7" s="1"/>
  <c r="L354" i="7"/>
  <c r="I354" i="7"/>
  <c r="H354" i="7"/>
  <c r="F354" i="7"/>
  <c r="C354" i="7"/>
  <c r="AC353" i="7"/>
  <c r="AD353" i="7" s="1"/>
  <c r="AA353" i="7"/>
  <c r="W353" i="7"/>
  <c r="X353" i="7" s="1"/>
  <c r="U353" i="7"/>
  <c r="R353" i="7"/>
  <c r="O353" i="7"/>
  <c r="N353" i="7"/>
  <c r="L353" i="7"/>
  <c r="I353" i="7"/>
  <c r="H353" i="7"/>
  <c r="F353" i="7"/>
  <c r="C353" i="7"/>
  <c r="AC352" i="7"/>
  <c r="AD352" i="7" s="1"/>
  <c r="AA352" i="7"/>
  <c r="W352" i="7"/>
  <c r="X352" i="7" s="1"/>
  <c r="U352" i="7"/>
  <c r="R352" i="7"/>
  <c r="O352" i="7"/>
  <c r="N352" i="7"/>
  <c r="L352" i="7"/>
  <c r="H352" i="7"/>
  <c r="I352" i="7" s="1"/>
  <c r="F352" i="7"/>
  <c r="C352" i="7"/>
  <c r="AD351" i="7"/>
  <c r="AC351" i="7"/>
  <c r="AA351" i="7"/>
  <c r="X351" i="7"/>
  <c r="W351" i="7"/>
  <c r="U351" i="7"/>
  <c r="R351" i="7"/>
  <c r="N351" i="7"/>
  <c r="O351" i="7" s="1"/>
  <c r="L351" i="7"/>
  <c r="I351" i="7"/>
  <c r="H351" i="7"/>
  <c r="F351" i="7"/>
  <c r="C351" i="7"/>
  <c r="AC350" i="7"/>
  <c r="AD350" i="7" s="1"/>
  <c r="AA350" i="7"/>
  <c r="W350" i="7"/>
  <c r="X350" i="7" s="1"/>
  <c r="U350" i="7"/>
  <c r="R350" i="7"/>
  <c r="N350" i="7"/>
  <c r="O350" i="7" s="1"/>
  <c r="L350" i="7"/>
  <c r="H350" i="7"/>
  <c r="I350" i="7" s="1"/>
  <c r="F350" i="7"/>
  <c r="C350" i="7"/>
  <c r="AC349" i="7"/>
  <c r="AD349" i="7" s="1"/>
  <c r="AA349" i="7"/>
  <c r="W349" i="7"/>
  <c r="X349" i="7" s="1"/>
  <c r="U349" i="7"/>
  <c r="R349" i="7"/>
  <c r="O349" i="7"/>
  <c r="N349" i="7"/>
  <c r="L349" i="7"/>
  <c r="H349" i="7"/>
  <c r="I349" i="7" s="1"/>
  <c r="F349" i="7"/>
  <c r="C349" i="7"/>
  <c r="AD347" i="7"/>
  <c r="AC347" i="7"/>
  <c r="AA347" i="7"/>
  <c r="W347" i="7"/>
  <c r="X347" i="7" s="1"/>
  <c r="U347" i="7"/>
  <c r="R347" i="7"/>
  <c r="N347" i="7"/>
  <c r="O347" i="7" s="1"/>
  <c r="L347" i="7"/>
  <c r="H347" i="7"/>
  <c r="I347" i="7" s="1"/>
  <c r="F347" i="7"/>
  <c r="C347" i="7"/>
  <c r="Z344" i="7"/>
  <c r="AA344" i="7" s="1"/>
  <c r="X344" i="7"/>
  <c r="W344" i="7"/>
  <c r="U344" i="7"/>
  <c r="T344" i="7"/>
  <c r="Q344" i="7"/>
  <c r="R344" i="7" s="1"/>
  <c r="L344" i="7"/>
  <c r="K344" i="7"/>
  <c r="H344" i="7"/>
  <c r="I344" i="7" s="1"/>
  <c r="E344" i="7"/>
  <c r="F344" i="7" s="1"/>
  <c r="C344" i="7"/>
  <c r="B344" i="7"/>
  <c r="N344" i="7" s="1"/>
  <c r="O344" i="7" s="1"/>
  <c r="AC343" i="7"/>
  <c r="AD343" i="7" s="1"/>
  <c r="AA343" i="7"/>
  <c r="Z343" i="7"/>
  <c r="U343" i="7"/>
  <c r="T343" i="7"/>
  <c r="R343" i="7"/>
  <c r="Q343" i="7"/>
  <c r="N343" i="7"/>
  <c r="O343" i="7" s="1"/>
  <c r="K343" i="7"/>
  <c r="L343" i="7" s="1"/>
  <c r="E343" i="7"/>
  <c r="F343" i="7" s="1"/>
  <c r="C343" i="7"/>
  <c r="B343" i="7"/>
  <c r="Z342" i="7"/>
  <c r="AA342" i="7" s="1"/>
  <c r="X342" i="7"/>
  <c r="W342" i="7"/>
  <c r="T342" i="7"/>
  <c r="U342" i="7" s="1"/>
  <c r="Q342" i="7"/>
  <c r="R342" i="7" s="1"/>
  <c r="N342" i="7"/>
  <c r="O342" i="7" s="1"/>
  <c r="K342" i="7"/>
  <c r="L342" i="7" s="1"/>
  <c r="E342" i="7"/>
  <c r="C342" i="7"/>
  <c r="B342" i="7"/>
  <c r="AC341" i="7"/>
  <c r="AD341" i="7" s="1"/>
  <c r="AA341" i="7"/>
  <c r="X341" i="7"/>
  <c r="W341" i="7"/>
  <c r="U341" i="7"/>
  <c r="R341" i="7"/>
  <c r="N341" i="7"/>
  <c r="O341" i="7" s="1"/>
  <c r="L341" i="7"/>
  <c r="I341" i="7"/>
  <c r="H341" i="7"/>
  <c r="F341" i="7"/>
  <c r="C341" i="7"/>
  <c r="AD340" i="7"/>
  <c r="AC340" i="7"/>
  <c r="AA340" i="7"/>
  <c r="W340" i="7"/>
  <c r="X340" i="7" s="1"/>
  <c r="U340" i="7"/>
  <c r="R340" i="7"/>
  <c r="O340" i="7"/>
  <c r="N340" i="7"/>
  <c r="L340" i="7"/>
  <c r="H340" i="7"/>
  <c r="I340" i="7" s="1"/>
  <c r="F340" i="7"/>
  <c r="C340" i="7"/>
  <c r="AC339" i="7"/>
  <c r="AD339" i="7" s="1"/>
  <c r="AA339" i="7"/>
  <c r="X339" i="7"/>
  <c r="W339" i="7"/>
  <c r="U339" i="7"/>
  <c r="R339" i="7"/>
  <c r="O339" i="7"/>
  <c r="N339" i="7"/>
  <c r="L339" i="7"/>
  <c r="I339" i="7"/>
  <c r="H339" i="7"/>
  <c r="F339" i="7"/>
  <c r="C339" i="7"/>
  <c r="AC338" i="7"/>
  <c r="AD338" i="7" s="1"/>
  <c r="AA338" i="7"/>
  <c r="W338" i="7"/>
  <c r="X338" i="7" s="1"/>
  <c r="U338" i="7"/>
  <c r="R338" i="7"/>
  <c r="O338" i="7"/>
  <c r="N338" i="7"/>
  <c r="L338" i="7"/>
  <c r="H338" i="7"/>
  <c r="I338" i="7" s="1"/>
  <c r="F338" i="7"/>
  <c r="C338" i="7"/>
  <c r="AD337" i="7"/>
  <c r="AC337" i="7"/>
  <c r="AA337" i="7"/>
  <c r="X337" i="7"/>
  <c r="W337" i="7"/>
  <c r="U337" i="7"/>
  <c r="R337" i="7"/>
  <c r="O337" i="7"/>
  <c r="N337" i="7"/>
  <c r="L337" i="7"/>
  <c r="I337" i="7"/>
  <c r="H337" i="7"/>
  <c r="F337" i="7"/>
  <c r="C337" i="7"/>
  <c r="AC335" i="7"/>
  <c r="AD335" i="7" s="1"/>
  <c r="AA335" i="7"/>
  <c r="W335" i="7"/>
  <c r="X335" i="7" s="1"/>
  <c r="U335" i="7"/>
  <c r="R335" i="7"/>
  <c r="O335" i="7"/>
  <c r="N335" i="7"/>
  <c r="L335" i="7"/>
  <c r="I335" i="7"/>
  <c r="H335" i="7"/>
  <c r="F335" i="7"/>
  <c r="C335" i="7"/>
  <c r="AC334" i="7"/>
  <c r="AD334" i="7" s="1"/>
  <c r="AA334" i="7"/>
  <c r="W334" i="7"/>
  <c r="X334" i="7" s="1"/>
  <c r="U334" i="7"/>
  <c r="R334" i="7"/>
  <c r="O334" i="7"/>
  <c r="N334" i="7"/>
  <c r="L334" i="7"/>
  <c r="I334" i="7"/>
  <c r="H334" i="7"/>
  <c r="F334" i="7"/>
  <c r="C334" i="7"/>
  <c r="AC333" i="7"/>
  <c r="AD333" i="7" s="1"/>
  <c r="AA333" i="7"/>
  <c r="W333" i="7"/>
  <c r="X333" i="7" s="1"/>
  <c r="U333" i="7"/>
  <c r="R333" i="7"/>
  <c r="O333" i="7"/>
  <c r="N333" i="7"/>
  <c r="L333" i="7"/>
  <c r="H333" i="7"/>
  <c r="I333" i="7" s="1"/>
  <c r="F333" i="7"/>
  <c r="C333" i="7"/>
  <c r="AC332" i="7"/>
  <c r="AD332" i="7" s="1"/>
  <c r="AA332" i="7"/>
  <c r="X332" i="7"/>
  <c r="W332" i="7"/>
  <c r="U332" i="7"/>
  <c r="R332" i="7"/>
  <c r="O332" i="7"/>
  <c r="N332" i="7"/>
  <c r="L332" i="7"/>
  <c r="I332" i="7"/>
  <c r="H332" i="7"/>
  <c r="F332" i="7"/>
  <c r="C332" i="7"/>
  <c r="AC331" i="7"/>
  <c r="AD331" i="7" s="1"/>
  <c r="AA331" i="7"/>
  <c r="X331" i="7"/>
  <c r="W331" i="7"/>
  <c r="U331" i="7"/>
  <c r="R331" i="7"/>
  <c r="N331" i="7"/>
  <c r="O331" i="7" s="1"/>
  <c r="L331" i="7"/>
  <c r="H331" i="7"/>
  <c r="I331" i="7" s="1"/>
  <c r="F331" i="7"/>
  <c r="C331" i="7"/>
  <c r="AC330" i="7"/>
  <c r="AD330" i="7" s="1"/>
  <c r="AA330" i="7"/>
  <c r="W330" i="7"/>
  <c r="X330" i="7" s="1"/>
  <c r="U330" i="7"/>
  <c r="R330" i="7"/>
  <c r="O330" i="7"/>
  <c r="N330" i="7"/>
  <c r="L330" i="7"/>
  <c r="I330" i="7"/>
  <c r="H330" i="7"/>
  <c r="F330" i="7"/>
  <c r="C330" i="7"/>
  <c r="AD329" i="7"/>
  <c r="AC329" i="7"/>
  <c r="AA329" i="7"/>
  <c r="W329" i="7"/>
  <c r="X329" i="7" s="1"/>
  <c r="U329" i="7"/>
  <c r="R329" i="7"/>
  <c r="N329" i="7"/>
  <c r="O329" i="7" s="1"/>
  <c r="L329" i="7"/>
  <c r="H329" i="7"/>
  <c r="I329" i="7" s="1"/>
  <c r="F329" i="7"/>
  <c r="C329" i="7"/>
  <c r="AD328" i="7"/>
  <c r="AC328" i="7"/>
  <c r="AA328" i="7"/>
  <c r="X328" i="7"/>
  <c r="W328" i="7"/>
  <c r="U328" i="7"/>
  <c r="R328" i="7"/>
  <c r="N328" i="7"/>
  <c r="O328" i="7" s="1"/>
  <c r="L328" i="7"/>
  <c r="H328" i="7"/>
  <c r="I328" i="7" s="1"/>
  <c r="F328" i="7"/>
  <c r="C328" i="7"/>
  <c r="Z325" i="7"/>
  <c r="AA325" i="7" s="1"/>
  <c r="T325" i="7"/>
  <c r="U325" i="7" s="1"/>
  <c r="Q325" i="7"/>
  <c r="R325" i="7" s="1"/>
  <c r="L325" i="7"/>
  <c r="K325" i="7"/>
  <c r="H325" i="7"/>
  <c r="I325" i="7" s="1"/>
  <c r="F325" i="7"/>
  <c r="E325" i="7"/>
  <c r="B325" i="7"/>
  <c r="C325" i="7" s="1"/>
  <c r="Z324" i="7"/>
  <c r="AA324" i="7" s="1"/>
  <c r="X324" i="7"/>
  <c r="T324" i="7"/>
  <c r="U324" i="7" s="1"/>
  <c r="Q324" i="7"/>
  <c r="W324" i="7" s="1"/>
  <c r="O324" i="7"/>
  <c r="L324" i="7"/>
  <c r="K324" i="7"/>
  <c r="H324" i="7"/>
  <c r="I324" i="7" s="1"/>
  <c r="F324" i="7"/>
  <c r="E324" i="7"/>
  <c r="C324" i="7"/>
  <c r="B324" i="7"/>
  <c r="N324" i="7" s="1"/>
  <c r="AD323" i="7"/>
  <c r="AC323" i="7"/>
  <c r="AA323" i="7"/>
  <c r="W323" i="7"/>
  <c r="X323" i="7" s="1"/>
  <c r="U323" i="7"/>
  <c r="R323" i="7"/>
  <c r="N323" i="7"/>
  <c r="O323" i="7" s="1"/>
  <c r="L323" i="7"/>
  <c r="H323" i="7"/>
  <c r="I323" i="7" s="1"/>
  <c r="F323" i="7"/>
  <c r="C323" i="7"/>
  <c r="AD322" i="7"/>
  <c r="AC322" i="7"/>
  <c r="AA322" i="7"/>
  <c r="X322" i="7"/>
  <c r="W322" i="7"/>
  <c r="U322" i="7"/>
  <c r="R322" i="7"/>
  <c r="N322" i="7"/>
  <c r="O322" i="7" s="1"/>
  <c r="L322" i="7"/>
  <c r="I322" i="7"/>
  <c r="H322" i="7"/>
  <c r="F322" i="7"/>
  <c r="C322" i="7"/>
  <c r="AC321" i="7"/>
  <c r="AD321" i="7" s="1"/>
  <c r="AA321" i="7"/>
  <c r="W321" i="7"/>
  <c r="X321" i="7" s="1"/>
  <c r="U321" i="7"/>
  <c r="R321" i="7"/>
  <c r="O321" i="7"/>
  <c r="N321" i="7"/>
  <c r="L321" i="7"/>
  <c r="I321" i="7"/>
  <c r="H321" i="7"/>
  <c r="F321" i="7"/>
  <c r="C321" i="7"/>
  <c r="AC320" i="7"/>
  <c r="AD320" i="7" s="1"/>
  <c r="AA320" i="7"/>
  <c r="X320" i="7"/>
  <c r="W320" i="7"/>
  <c r="U320" i="7"/>
  <c r="R320" i="7"/>
  <c r="O320" i="7"/>
  <c r="N320" i="7"/>
  <c r="L320" i="7"/>
  <c r="I320" i="7"/>
  <c r="H320" i="7"/>
  <c r="F320" i="7"/>
  <c r="C320" i="7"/>
  <c r="AD319" i="7"/>
  <c r="AC319" i="7"/>
  <c r="AA319" i="7"/>
  <c r="X319" i="7"/>
  <c r="W319" i="7"/>
  <c r="U319" i="7"/>
  <c r="R319" i="7"/>
  <c r="N319" i="7"/>
  <c r="O319" i="7" s="1"/>
  <c r="L319" i="7"/>
  <c r="H319" i="7"/>
  <c r="I319" i="7" s="1"/>
  <c r="F319" i="7"/>
  <c r="C319" i="7"/>
  <c r="AD318" i="7"/>
  <c r="AC318" i="7"/>
  <c r="AA318" i="7"/>
  <c r="X318" i="7"/>
  <c r="W318" i="7"/>
  <c r="U318" i="7"/>
  <c r="R318" i="7"/>
  <c r="O318" i="7"/>
  <c r="N318" i="7"/>
  <c r="L318" i="7"/>
  <c r="I318" i="7"/>
  <c r="H318" i="7"/>
  <c r="F318" i="7"/>
  <c r="C318" i="7"/>
  <c r="AC317" i="7"/>
  <c r="AD317" i="7" s="1"/>
  <c r="AA317" i="7"/>
  <c r="W317" i="7"/>
  <c r="X317" i="7" s="1"/>
  <c r="U317" i="7"/>
  <c r="R317" i="7"/>
  <c r="O317" i="7"/>
  <c r="N317" i="7"/>
  <c r="L317" i="7"/>
  <c r="I317" i="7"/>
  <c r="H317" i="7"/>
  <c r="F317" i="7"/>
  <c r="C317" i="7"/>
  <c r="AC316" i="7"/>
  <c r="AD316" i="7" s="1"/>
  <c r="AA316" i="7"/>
  <c r="X316" i="7"/>
  <c r="W316" i="7"/>
  <c r="U316" i="7"/>
  <c r="R316" i="7"/>
  <c r="O316" i="7"/>
  <c r="N316" i="7"/>
  <c r="L316" i="7"/>
  <c r="I316" i="7"/>
  <c r="H316" i="7"/>
  <c r="F316" i="7"/>
  <c r="C316" i="7"/>
  <c r="AD315" i="7"/>
  <c r="AC315" i="7"/>
  <c r="AA315" i="7"/>
  <c r="W315" i="7"/>
  <c r="X315" i="7" s="1"/>
  <c r="U315" i="7"/>
  <c r="R315" i="7"/>
  <c r="N315" i="7"/>
  <c r="O315" i="7" s="1"/>
  <c r="L315" i="7"/>
  <c r="H315" i="7"/>
  <c r="I315" i="7" s="1"/>
  <c r="F315" i="7"/>
  <c r="C315" i="7"/>
  <c r="AD314" i="7"/>
  <c r="AC314" i="7"/>
  <c r="AA314" i="7"/>
  <c r="X314" i="7"/>
  <c r="W314" i="7"/>
  <c r="U314" i="7"/>
  <c r="R314" i="7"/>
  <c r="N314" i="7"/>
  <c r="O314" i="7" s="1"/>
  <c r="L314" i="7"/>
  <c r="I314" i="7"/>
  <c r="H314" i="7"/>
  <c r="F314" i="7"/>
  <c r="C314" i="7"/>
  <c r="AC313" i="7"/>
  <c r="AD313" i="7" s="1"/>
  <c r="AA313" i="7"/>
  <c r="W313" i="7"/>
  <c r="X313" i="7" s="1"/>
  <c r="U313" i="7"/>
  <c r="R313" i="7"/>
  <c r="O313" i="7"/>
  <c r="N313" i="7"/>
  <c r="L313" i="7"/>
  <c r="I313" i="7"/>
  <c r="H313" i="7"/>
  <c r="F313" i="7"/>
  <c r="C313" i="7"/>
  <c r="AC312" i="7"/>
  <c r="AD312" i="7" s="1"/>
  <c r="AA312" i="7"/>
  <c r="X312" i="7"/>
  <c r="W312" i="7"/>
  <c r="U312" i="7"/>
  <c r="R312" i="7"/>
  <c r="O312" i="7"/>
  <c r="N312" i="7"/>
  <c r="L312" i="7"/>
  <c r="I312" i="7"/>
  <c r="H312" i="7"/>
  <c r="F312" i="7"/>
  <c r="C312" i="7"/>
  <c r="AD311" i="7"/>
  <c r="AC311" i="7"/>
  <c r="AA311" i="7"/>
  <c r="X311" i="7"/>
  <c r="W311" i="7"/>
  <c r="U311" i="7"/>
  <c r="R311" i="7"/>
  <c r="N311" i="7"/>
  <c r="O311" i="7" s="1"/>
  <c r="L311" i="7"/>
  <c r="H311" i="7"/>
  <c r="I311" i="7" s="1"/>
  <c r="F311" i="7"/>
  <c r="C311" i="7"/>
  <c r="AD310" i="7"/>
  <c r="AC310" i="7"/>
  <c r="AA310" i="7"/>
  <c r="X310" i="7"/>
  <c r="W310" i="7"/>
  <c r="U310" i="7"/>
  <c r="R310" i="7"/>
  <c r="O310" i="7"/>
  <c r="N310" i="7"/>
  <c r="L310" i="7"/>
  <c r="I310" i="7"/>
  <c r="H310" i="7"/>
  <c r="F310" i="7"/>
  <c r="C310" i="7"/>
  <c r="AC309" i="7"/>
  <c r="AD309" i="7" s="1"/>
  <c r="AA309" i="7"/>
  <c r="W309" i="7"/>
  <c r="X309" i="7" s="1"/>
  <c r="U309" i="7"/>
  <c r="R309" i="7"/>
  <c r="O309" i="7"/>
  <c r="N309" i="7"/>
  <c r="L309" i="7"/>
  <c r="I309" i="7"/>
  <c r="H309" i="7"/>
  <c r="F309" i="7"/>
  <c r="C309" i="7"/>
  <c r="AC308" i="7"/>
  <c r="AD308" i="7" s="1"/>
  <c r="AA308" i="7"/>
  <c r="X308" i="7"/>
  <c r="W308" i="7"/>
  <c r="U308" i="7"/>
  <c r="R308" i="7"/>
  <c r="O308" i="7"/>
  <c r="N308" i="7"/>
  <c r="L308" i="7"/>
  <c r="I308" i="7"/>
  <c r="H308" i="7"/>
  <c r="F308" i="7"/>
  <c r="C308" i="7"/>
  <c r="AD307" i="7"/>
  <c r="AC307" i="7"/>
  <c r="AA307" i="7"/>
  <c r="W307" i="7"/>
  <c r="X307" i="7" s="1"/>
  <c r="U307" i="7"/>
  <c r="R307" i="7"/>
  <c r="N307" i="7"/>
  <c r="O307" i="7" s="1"/>
  <c r="L307" i="7"/>
  <c r="H307" i="7"/>
  <c r="I307" i="7" s="1"/>
  <c r="F307" i="7"/>
  <c r="C307" i="7"/>
  <c r="AD306" i="7"/>
  <c r="AC306" i="7"/>
  <c r="AA306" i="7"/>
  <c r="X306" i="7"/>
  <c r="W306" i="7"/>
  <c r="U306" i="7"/>
  <c r="R306" i="7"/>
  <c r="N306" i="7"/>
  <c r="O306" i="7" s="1"/>
  <c r="L306" i="7"/>
  <c r="I306" i="7"/>
  <c r="H306" i="7"/>
  <c r="F306" i="7"/>
  <c r="C306" i="7"/>
  <c r="AC305" i="7"/>
  <c r="AD305" i="7" s="1"/>
  <c r="AA305" i="7"/>
  <c r="W305" i="7"/>
  <c r="X305" i="7" s="1"/>
  <c r="U305" i="7"/>
  <c r="R305" i="7"/>
  <c r="N305" i="7"/>
  <c r="O305" i="7" s="1"/>
  <c r="L305" i="7"/>
  <c r="I305" i="7"/>
  <c r="H305" i="7"/>
  <c r="F305" i="7"/>
  <c r="C305" i="7"/>
  <c r="AC304" i="7"/>
  <c r="AD304" i="7" s="1"/>
  <c r="AA304" i="7"/>
  <c r="X304" i="7"/>
  <c r="W304" i="7"/>
  <c r="U304" i="7"/>
  <c r="R304" i="7"/>
  <c r="O304" i="7"/>
  <c r="N304" i="7"/>
  <c r="L304" i="7"/>
  <c r="H304" i="7"/>
  <c r="I304" i="7" s="1"/>
  <c r="F304" i="7"/>
  <c r="C304" i="7"/>
  <c r="AD303" i="7"/>
  <c r="AC303" i="7"/>
  <c r="AA303" i="7"/>
  <c r="X303" i="7"/>
  <c r="W303" i="7"/>
  <c r="U303" i="7"/>
  <c r="R303" i="7"/>
  <c r="N303" i="7"/>
  <c r="O303" i="7" s="1"/>
  <c r="L303" i="7"/>
  <c r="H303" i="7"/>
  <c r="I303" i="7" s="1"/>
  <c r="F303" i="7"/>
  <c r="C303" i="7"/>
  <c r="AD302" i="7"/>
  <c r="AC302" i="7"/>
  <c r="AA302" i="7"/>
  <c r="X302" i="7"/>
  <c r="W302" i="7"/>
  <c r="U302" i="7"/>
  <c r="R302" i="7"/>
  <c r="N302" i="7"/>
  <c r="O302" i="7" s="1"/>
  <c r="L302" i="7"/>
  <c r="I302" i="7"/>
  <c r="H302" i="7"/>
  <c r="F302" i="7"/>
  <c r="C302" i="7"/>
  <c r="AC301" i="7"/>
  <c r="AD301" i="7" s="1"/>
  <c r="AA301" i="7"/>
  <c r="W301" i="7"/>
  <c r="X301" i="7" s="1"/>
  <c r="U301" i="7"/>
  <c r="R301" i="7"/>
  <c r="O301" i="7"/>
  <c r="N301" i="7"/>
  <c r="L301" i="7"/>
  <c r="I301" i="7"/>
  <c r="H301" i="7"/>
  <c r="F301" i="7"/>
  <c r="C301" i="7"/>
  <c r="AC300" i="7"/>
  <c r="AD300" i="7" s="1"/>
  <c r="AA300" i="7"/>
  <c r="X300" i="7"/>
  <c r="W300" i="7"/>
  <c r="U300" i="7"/>
  <c r="R300" i="7"/>
  <c r="O300" i="7"/>
  <c r="N300" i="7"/>
  <c r="L300" i="7"/>
  <c r="I300" i="7"/>
  <c r="H300" i="7"/>
  <c r="F300" i="7"/>
  <c r="C300" i="7"/>
  <c r="AD299" i="7"/>
  <c r="AC299" i="7"/>
  <c r="AA299" i="7"/>
  <c r="W299" i="7"/>
  <c r="X299" i="7" s="1"/>
  <c r="U299" i="7"/>
  <c r="R299" i="7"/>
  <c r="N299" i="7"/>
  <c r="O299" i="7" s="1"/>
  <c r="L299" i="7"/>
  <c r="H299" i="7"/>
  <c r="I299" i="7" s="1"/>
  <c r="F299" i="7"/>
  <c r="C299" i="7"/>
  <c r="AD298" i="7"/>
  <c r="AC298" i="7"/>
  <c r="AA298" i="7"/>
  <c r="X298" i="7"/>
  <c r="W298" i="7"/>
  <c r="U298" i="7"/>
  <c r="R298" i="7"/>
  <c r="N298" i="7"/>
  <c r="O298" i="7" s="1"/>
  <c r="L298" i="7"/>
  <c r="I298" i="7"/>
  <c r="H298" i="7"/>
  <c r="F298" i="7"/>
  <c r="C298" i="7"/>
  <c r="AC297" i="7"/>
  <c r="AD297" i="7" s="1"/>
  <c r="AA297" i="7"/>
  <c r="W297" i="7"/>
  <c r="X297" i="7" s="1"/>
  <c r="U297" i="7"/>
  <c r="R297" i="7"/>
  <c r="N297" i="7"/>
  <c r="O297" i="7" s="1"/>
  <c r="L297" i="7"/>
  <c r="I297" i="7"/>
  <c r="H297" i="7"/>
  <c r="F297" i="7"/>
  <c r="C297" i="7"/>
  <c r="Z295" i="7"/>
  <c r="AC295" i="7" s="1"/>
  <c r="AD295" i="7" s="1"/>
  <c r="U295" i="7"/>
  <c r="T295" i="7"/>
  <c r="Q295" i="7"/>
  <c r="N295" i="7"/>
  <c r="O295" i="7" s="1"/>
  <c r="L295" i="7"/>
  <c r="K295" i="7"/>
  <c r="E295" i="7"/>
  <c r="F295" i="7" s="1"/>
  <c r="C295" i="7"/>
  <c r="B295" i="7"/>
  <c r="AD294" i="7"/>
  <c r="AC294" i="7"/>
  <c r="AA294" i="7"/>
  <c r="X294" i="7"/>
  <c r="W294" i="7"/>
  <c r="U294" i="7"/>
  <c r="R294" i="7"/>
  <c r="O294" i="7"/>
  <c r="N294" i="7"/>
  <c r="L294" i="7"/>
  <c r="I294" i="7"/>
  <c r="H294" i="7"/>
  <c r="F294" i="7"/>
  <c r="C294" i="7"/>
  <c r="AD293" i="7"/>
  <c r="AC293" i="7"/>
  <c r="AA293" i="7"/>
  <c r="W293" i="7"/>
  <c r="X293" i="7" s="1"/>
  <c r="U293" i="7"/>
  <c r="R293" i="7"/>
  <c r="N293" i="7"/>
  <c r="O293" i="7" s="1"/>
  <c r="L293" i="7"/>
  <c r="I293" i="7"/>
  <c r="H293" i="7"/>
  <c r="F293" i="7"/>
  <c r="C293" i="7"/>
  <c r="AC292" i="7"/>
  <c r="AD292" i="7" s="1"/>
  <c r="AA292" i="7"/>
  <c r="W292" i="7"/>
  <c r="X292" i="7" s="1"/>
  <c r="U292" i="7"/>
  <c r="R292" i="7"/>
  <c r="O292" i="7"/>
  <c r="N292" i="7"/>
  <c r="L292" i="7"/>
  <c r="H292" i="7"/>
  <c r="I292" i="7" s="1"/>
  <c r="F292" i="7"/>
  <c r="C292" i="7"/>
  <c r="AD291" i="7"/>
  <c r="AC291" i="7"/>
  <c r="AA291" i="7"/>
  <c r="X291" i="7"/>
  <c r="W291" i="7"/>
  <c r="U291" i="7"/>
  <c r="R291" i="7"/>
  <c r="N291" i="7"/>
  <c r="O291" i="7" s="1"/>
  <c r="L291" i="7"/>
  <c r="H291" i="7"/>
  <c r="I291" i="7" s="1"/>
  <c r="F291" i="7"/>
  <c r="C291" i="7"/>
  <c r="AD290" i="7"/>
  <c r="AC290" i="7"/>
  <c r="AA290" i="7"/>
  <c r="X290" i="7"/>
  <c r="W290" i="7"/>
  <c r="U290" i="7"/>
  <c r="R290" i="7"/>
  <c r="O290" i="7"/>
  <c r="N290" i="7"/>
  <c r="L290" i="7"/>
  <c r="I290" i="7"/>
  <c r="H290" i="7"/>
  <c r="F290" i="7"/>
  <c r="C290" i="7"/>
  <c r="AC289" i="7"/>
  <c r="AD289" i="7" s="1"/>
  <c r="AA289" i="7"/>
  <c r="W289" i="7"/>
  <c r="X289" i="7" s="1"/>
  <c r="U289" i="7"/>
  <c r="R289" i="7"/>
  <c r="N289" i="7"/>
  <c r="O289" i="7" s="1"/>
  <c r="L289" i="7"/>
  <c r="I289" i="7"/>
  <c r="H289" i="7"/>
  <c r="F289" i="7"/>
  <c r="C289" i="7"/>
  <c r="AC288" i="7"/>
  <c r="AD288" i="7" s="1"/>
  <c r="AA288" i="7"/>
  <c r="W288" i="7"/>
  <c r="X288" i="7" s="1"/>
  <c r="U288" i="7"/>
  <c r="R288" i="7"/>
  <c r="O288" i="7"/>
  <c r="N288" i="7"/>
  <c r="L288" i="7"/>
  <c r="H288" i="7"/>
  <c r="I288" i="7" s="1"/>
  <c r="F288" i="7"/>
  <c r="C288" i="7"/>
  <c r="AC287" i="7"/>
  <c r="AD287" i="7" s="1"/>
  <c r="AA287" i="7"/>
  <c r="X287" i="7"/>
  <c r="W287" i="7"/>
  <c r="U287" i="7"/>
  <c r="R287" i="7"/>
  <c r="N287" i="7"/>
  <c r="O287" i="7" s="1"/>
  <c r="L287" i="7"/>
  <c r="H287" i="7"/>
  <c r="I287" i="7" s="1"/>
  <c r="F287" i="7"/>
  <c r="C287" i="7"/>
  <c r="AD286" i="7"/>
  <c r="AC286" i="7"/>
  <c r="AA286" i="7"/>
  <c r="X286" i="7"/>
  <c r="W286" i="7"/>
  <c r="U286" i="7"/>
  <c r="R286" i="7"/>
  <c r="O286" i="7"/>
  <c r="N286" i="7"/>
  <c r="L286" i="7"/>
  <c r="H286" i="7"/>
  <c r="I286" i="7" s="1"/>
  <c r="F286" i="7"/>
  <c r="C286" i="7"/>
  <c r="AA284" i="7"/>
  <c r="Z284" i="7"/>
  <c r="T284" i="7"/>
  <c r="U284" i="7" s="1"/>
  <c r="Q284" i="7"/>
  <c r="K284" i="7"/>
  <c r="L284" i="7" s="1"/>
  <c r="H284" i="7"/>
  <c r="I284" i="7" s="1"/>
  <c r="F284" i="7"/>
  <c r="E284" i="7"/>
  <c r="C284" i="7"/>
  <c r="B284" i="7"/>
  <c r="N284" i="7" s="1"/>
  <c r="O284" i="7" s="1"/>
  <c r="AD283" i="7"/>
  <c r="AC283" i="7"/>
  <c r="AA283" i="7"/>
  <c r="W283" i="7"/>
  <c r="X283" i="7" s="1"/>
  <c r="U283" i="7"/>
  <c r="R283" i="7"/>
  <c r="N283" i="7"/>
  <c r="O283" i="7" s="1"/>
  <c r="L283" i="7"/>
  <c r="H283" i="7"/>
  <c r="I283" i="7" s="1"/>
  <c r="F283" i="7"/>
  <c r="C283" i="7"/>
  <c r="AD282" i="7"/>
  <c r="AC282" i="7"/>
  <c r="AA282" i="7"/>
  <c r="X282" i="7"/>
  <c r="W282" i="7"/>
  <c r="U282" i="7"/>
  <c r="R282" i="7"/>
  <c r="N282" i="7"/>
  <c r="O282" i="7" s="1"/>
  <c r="L282" i="7"/>
  <c r="H282" i="7"/>
  <c r="I282" i="7" s="1"/>
  <c r="F282" i="7"/>
  <c r="C282" i="7"/>
  <c r="AC281" i="7"/>
  <c r="AD281" i="7" s="1"/>
  <c r="AA281" i="7"/>
  <c r="W281" i="7"/>
  <c r="X281" i="7" s="1"/>
  <c r="U281" i="7"/>
  <c r="R281" i="7"/>
  <c r="O281" i="7"/>
  <c r="N281" i="7"/>
  <c r="L281" i="7"/>
  <c r="I281" i="7"/>
  <c r="H281" i="7"/>
  <c r="F281" i="7"/>
  <c r="C281" i="7"/>
  <c r="AC280" i="7"/>
  <c r="AD280" i="7" s="1"/>
  <c r="AA280" i="7"/>
  <c r="W280" i="7"/>
  <c r="X280" i="7" s="1"/>
  <c r="U280" i="7"/>
  <c r="R280" i="7"/>
  <c r="O280" i="7"/>
  <c r="N280" i="7"/>
  <c r="L280" i="7"/>
  <c r="I280" i="7"/>
  <c r="H280" i="7"/>
  <c r="F280" i="7"/>
  <c r="C280" i="7"/>
  <c r="AD279" i="7"/>
  <c r="AC279" i="7"/>
  <c r="AA279" i="7"/>
  <c r="X279" i="7"/>
  <c r="W279" i="7"/>
  <c r="U279" i="7"/>
  <c r="R279" i="7"/>
  <c r="N279" i="7"/>
  <c r="O279" i="7" s="1"/>
  <c r="L279" i="7"/>
  <c r="H279" i="7"/>
  <c r="I279" i="7" s="1"/>
  <c r="F279" i="7"/>
  <c r="C279" i="7"/>
  <c r="AD278" i="7"/>
  <c r="AC278" i="7"/>
  <c r="AA278" i="7"/>
  <c r="X278" i="7"/>
  <c r="W278" i="7"/>
  <c r="U278" i="7"/>
  <c r="R278" i="7"/>
  <c r="O278" i="7"/>
  <c r="N278" i="7"/>
  <c r="L278" i="7"/>
  <c r="H278" i="7"/>
  <c r="I278" i="7" s="1"/>
  <c r="F278" i="7"/>
  <c r="C278" i="7"/>
  <c r="AC277" i="7"/>
  <c r="AD277" i="7" s="1"/>
  <c r="AA277" i="7"/>
  <c r="W277" i="7"/>
  <c r="X277" i="7" s="1"/>
  <c r="U277" i="7"/>
  <c r="R277" i="7"/>
  <c r="O277" i="7"/>
  <c r="N277" i="7"/>
  <c r="L277" i="7"/>
  <c r="I277" i="7"/>
  <c r="H277" i="7"/>
  <c r="F277" i="7"/>
  <c r="C277" i="7"/>
  <c r="AC276" i="7"/>
  <c r="AD276" i="7" s="1"/>
  <c r="AA276" i="7"/>
  <c r="W276" i="7"/>
  <c r="X276" i="7" s="1"/>
  <c r="U276" i="7"/>
  <c r="R276" i="7"/>
  <c r="O276" i="7"/>
  <c r="N276" i="7"/>
  <c r="L276" i="7"/>
  <c r="I276" i="7"/>
  <c r="H276" i="7"/>
  <c r="F276" i="7"/>
  <c r="C276" i="7"/>
  <c r="AD275" i="7"/>
  <c r="AC275" i="7"/>
  <c r="AA275" i="7"/>
  <c r="X275" i="7"/>
  <c r="W275" i="7"/>
  <c r="U275" i="7"/>
  <c r="R275" i="7"/>
  <c r="N275" i="7"/>
  <c r="O275" i="7" s="1"/>
  <c r="L275" i="7"/>
  <c r="H275" i="7"/>
  <c r="I275" i="7" s="1"/>
  <c r="F275" i="7"/>
  <c r="C275" i="7"/>
  <c r="Z273" i="7"/>
  <c r="AA273" i="7" s="1"/>
  <c r="W273" i="7"/>
  <c r="X273" i="7" s="1"/>
  <c r="U273" i="7"/>
  <c r="T273" i="7"/>
  <c r="R273" i="7"/>
  <c r="Q273" i="7"/>
  <c r="K273" i="7"/>
  <c r="L273" i="7" s="1"/>
  <c r="E273" i="7"/>
  <c r="F273" i="7" s="1"/>
  <c r="C273" i="7"/>
  <c r="B273" i="7"/>
  <c r="H273" i="7" s="1"/>
  <c r="I273" i="7" s="1"/>
  <c r="AC272" i="7"/>
  <c r="AD272" i="7" s="1"/>
  <c r="AA272" i="7"/>
  <c r="X272" i="7"/>
  <c r="W272" i="7"/>
  <c r="U272" i="7"/>
  <c r="R272" i="7"/>
  <c r="O272" i="7"/>
  <c r="N272" i="7"/>
  <c r="L272" i="7"/>
  <c r="H272" i="7"/>
  <c r="I272" i="7" s="1"/>
  <c r="F272" i="7"/>
  <c r="C272" i="7"/>
  <c r="AC271" i="7"/>
  <c r="AD271" i="7" s="1"/>
  <c r="AA271" i="7"/>
  <c r="X271" i="7"/>
  <c r="W271" i="7"/>
  <c r="U271" i="7"/>
  <c r="R271" i="7"/>
  <c r="N271" i="7"/>
  <c r="O271" i="7" s="1"/>
  <c r="L271" i="7"/>
  <c r="H271" i="7"/>
  <c r="I271" i="7" s="1"/>
  <c r="F271" i="7"/>
  <c r="C271" i="7"/>
  <c r="AD270" i="7"/>
  <c r="AC270" i="7"/>
  <c r="AA270" i="7"/>
  <c r="X270" i="7"/>
  <c r="W270" i="7"/>
  <c r="U270" i="7"/>
  <c r="R270" i="7"/>
  <c r="N270" i="7"/>
  <c r="O270" i="7" s="1"/>
  <c r="L270" i="7"/>
  <c r="H270" i="7"/>
  <c r="I270" i="7" s="1"/>
  <c r="F270" i="7"/>
  <c r="C270" i="7"/>
  <c r="AD269" i="7"/>
  <c r="AC269" i="7"/>
  <c r="AA269" i="7"/>
  <c r="X269" i="7"/>
  <c r="W269" i="7"/>
  <c r="U269" i="7"/>
  <c r="R269" i="7"/>
  <c r="N269" i="7"/>
  <c r="O269" i="7" s="1"/>
  <c r="L269" i="7"/>
  <c r="I269" i="7"/>
  <c r="H269" i="7"/>
  <c r="F269" i="7"/>
  <c r="C269" i="7"/>
  <c r="Z267" i="7"/>
  <c r="AA267" i="7" s="1"/>
  <c r="W267" i="7"/>
  <c r="X267" i="7" s="1"/>
  <c r="U267" i="7"/>
  <c r="T267" i="7"/>
  <c r="Q267" i="7"/>
  <c r="R267" i="7" s="1"/>
  <c r="L267" i="7"/>
  <c r="K267" i="7"/>
  <c r="I267" i="7"/>
  <c r="E267" i="7"/>
  <c r="F267" i="7" s="1"/>
  <c r="C267" i="7"/>
  <c r="B267" i="7"/>
  <c r="H267" i="7" s="1"/>
  <c r="AC266" i="7"/>
  <c r="AD266" i="7" s="1"/>
  <c r="AA266" i="7"/>
  <c r="X266" i="7"/>
  <c r="W266" i="7"/>
  <c r="U266" i="7"/>
  <c r="R266" i="7"/>
  <c r="N266" i="7"/>
  <c r="O266" i="7" s="1"/>
  <c r="L266" i="7"/>
  <c r="H266" i="7"/>
  <c r="I266" i="7" s="1"/>
  <c r="F266" i="7"/>
  <c r="C266" i="7"/>
  <c r="AD265" i="7"/>
  <c r="AC265" i="7"/>
  <c r="AA265" i="7"/>
  <c r="X265" i="7"/>
  <c r="W265" i="7"/>
  <c r="U265" i="7"/>
  <c r="R265" i="7"/>
  <c r="N265" i="7"/>
  <c r="O265" i="7" s="1"/>
  <c r="L265" i="7"/>
  <c r="H265" i="7"/>
  <c r="I265" i="7" s="1"/>
  <c r="F265" i="7"/>
  <c r="C265" i="7"/>
  <c r="Z263" i="7"/>
  <c r="AA263" i="7" s="1"/>
  <c r="U263" i="7"/>
  <c r="T263" i="7"/>
  <c r="Q263" i="7"/>
  <c r="L263" i="7"/>
  <c r="K263" i="7"/>
  <c r="H263" i="7"/>
  <c r="I263" i="7" s="1"/>
  <c r="E263" i="7"/>
  <c r="F263" i="7" s="1"/>
  <c r="C263" i="7"/>
  <c r="B263" i="7"/>
  <c r="N263" i="7" s="1"/>
  <c r="O263" i="7" s="1"/>
  <c r="AC262" i="7"/>
  <c r="AD262" i="7" s="1"/>
  <c r="Z262" i="7"/>
  <c r="AA262" i="7" s="1"/>
  <c r="T262" i="7"/>
  <c r="R262" i="7"/>
  <c r="Q262" i="7"/>
  <c r="K262" i="7"/>
  <c r="L262" i="7" s="1"/>
  <c r="F262" i="7"/>
  <c r="E262" i="7"/>
  <c r="B262" i="7"/>
  <c r="C262" i="7" s="1"/>
  <c r="AC261" i="7"/>
  <c r="AD261" i="7" s="1"/>
  <c r="AA261" i="7"/>
  <c r="X261" i="7"/>
  <c r="W261" i="7"/>
  <c r="U261" i="7"/>
  <c r="R261" i="7"/>
  <c r="O261" i="7"/>
  <c r="N261" i="7"/>
  <c r="L261" i="7"/>
  <c r="H261" i="7"/>
  <c r="I261" i="7" s="1"/>
  <c r="F261" i="7"/>
  <c r="C261" i="7"/>
  <c r="AD260" i="7"/>
  <c r="AC260" i="7"/>
  <c r="AA260" i="7"/>
  <c r="W260" i="7"/>
  <c r="X260" i="7" s="1"/>
  <c r="U260" i="7"/>
  <c r="R260" i="7"/>
  <c r="O260" i="7"/>
  <c r="N260" i="7"/>
  <c r="L260" i="7"/>
  <c r="H260" i="7"/>
  <c r="I260" i="7" s="1"/>
  <c r="F260" i="7"/>
  <c r="C260" i="7"/>
  <c r="AD259" i="7"/>
  <c r="AC259" i="7"/>
  <c r="AA259" i="7"/>
  <c r="X259" i="7"/>
  <c r="W259" i="7"/>
  <c r="U259" i="7"/>
  <c r="R259" i="7"/>
  <c r="N259" i="7"/>
  <c r="O259" i="7" s="1"/>
  <c r="L259" i="7"/>
  <c r="I259" i="7"/>
  <c r="H259" i="7"/>
  <c r="F259" i="7"/>
  <c r="C259" i="7"/>
  <c r="AC258" i="7"/>
  <c r="AD258" i="7" s="1"/>
  <c r="AA258" i="7"/>
  <c r="W258" i="7"/>
  <c r="X258" i="7" s="1"/>
  <c r="U258" i="7"/>
  <c r="R258" i="7"/>
  <c r="O258" i="7"/>
  <c r="N258" i="7"/>
  <c r="L258" i="7"/>
  <c r="I258" i="7"/>
  <c r="H258" i="7"/>
  <c r="F258" i="7"/>
  <c r="C258" i="7"/>
  <c r="AC257" i="7"/>
  <c r="AD257" i="7" s="1"/>
  <c r="AA257" i="7"/>
  <c r="W257" i="7"/>
  <c r="X257" i="7" s="1"/>
  <c r="U257" i="7"/>
  <c r="R257" i="7"/>
  <c r="O257" i="7"/>
  <c r="N257" i="7"/>
  <c r="L257" i="7"/>
  <c r="I257" i="7"/>
  <c r="H257" i="7"/>
  <c r="F257" i="7"/>
  <c r="C257" i="7"/>
  <c r="AC256" i="7"/>
  <c r="AD256" i="7" s="1"/>
  <c r="AA256" i="7"/>
  <c r="W256" i="7"/>
  <c r="X256" i="7" s="1"/>
  <c r="U256" i="7"/>
  <c r="R256" i="7"/>
  <c r="O256" i="7"/>
  <c r="N256" i="7"/>
  <c r="L256" i="7"/>
  <c r="H256" i="7"/>
  <c r="I256" i="7" s="1"/>
  <c r="F256" i="7"/>
  <c r="C256" i="7"/>
  <c r="AC255" i="7"/>
  <c r="AD255" i="7" s="1"/>
  <c r="AA255" i="7"/>
  <c r="X255" i="7"/>
  <c r="W255" i="7"/>
  <c r="U255" i="7"/>
  <c r="R255" i="7"/>
  <c r="O255" i="7"/>
  <c r="N255" i="7"/>
  <c r="L255" i="7"/>
  <c r="I255" i="7"/>
  <c r="H255" i="7"/>
  <c r="F255" i="7"/>
  <c r="C255" i="7"/>
  <c r="AC254" i="7"/>
  <c r="AD254" i="7" s="1"/>
  <c r="AA254" i="7"/>
  <c r="W254" i="7"/>
  <c r="X254" i="7" s="1"/>
  <c r="U254" i="7"/>
  <c r="R254" i="7"/>
  <c r="O254" i="7"/>
  <c r="N254" i="7"/>
  <c r="L254" i="7"/>
  <c r="H254" i="7"/>
  <c r="I254" i="7" s="1"/>
  <c r="F254" i="7"/>
  <c r="C254" i="7"/>
  <c r="AC253" i="7"/>
  <c r="AD253" i="7" s="1"/>
  <c r="AA253" i="7"/>
  <c r="W253" i="7"/>
  <c r="X253" i="7" s="1"/>
  <c r="U253" i="7"/>
  <c r="R253" i="7"/>
  <c r="O253" i="7"/>
  <c r="N253" i="7"/>
  <c r="L253" i="7"/>
  <c r="I253" i="7"/>
  <c r="H253" i="7"/>
  <c r="F253" i="7"/>
  <c r="C253" i="7"/>
  <c r="AC252" i="7"/>
  <c r="AD252" i="7" s="1"/>
  <c r="AA252" i="7"/>
  <c r="X252" i="7"/>
  <c r="W252" i="7"/>
  <c r="U252" i="7"/>
  <c r="R252" i="7"/>
  <c r="N252" i="7"/>
  <c r="O252" i="7" s="1"/>
  <c r="L252" i="7"/>
  <c r="H252" i="7"/>
  <c r="I252" i="7" s="1"/>
  <c r="F252" i="7"/>
  <c r="C252" i="7"/>
  <c r="AC251" i="7"/>
  <c r="AD251" i="7" s="1"/>
  <c r="AA251" i="7"/>
  <c r="X251" i="7"/>
  <c r="W251" i="7"/>
  <c r="U251" i="7"/>
  <c r="R251" i="7"/>
  <c r="O251" i="7"/>
  <c r="N251" i="7"/>
  <c r="L251" i="7"/>
  <c r="H251" i="7"/>
  <c r="I251" i="7" s="1"/>
  <c r="F251" i="7"/>
  <c r="C251" i="7"/>
  <c r="AD250" i="7"/>
  <c r="AC250" i="7"/>
  <c r="AA250" i="7"/>
  <c r="X250" i="7"/>
  <c r="W250" i="7"/>
  <c r="U250" i="7"/>
  <c r="R250" i="7"/>
  <c r="N250" i="7"/>
  <c r="O250" i="7" s="1"/>
  <c r="L250" i="7"/>
  <c r="H250" i="7"/>
  <c r="I250" i="7" s="1"/>
  <c r="F250" i="7"/>
  <c r="C250" i="7"/>
  <c r="AC249" i="7"/>
  <c r="AD249" i="7" s="1"/>
  <c r="AA249" i="7"/>
  <c r="X249" i="7"/>
  <c r="W249" i="7"/>
  <c r="U249" i="7"/>
  <c r="R249" i="7"/>
  <c r="O249" i="7"/>
  <c r="N249" i="7"/>
  <c r="L249" i="7"/>
  <c r="H249" i="7"/>
  <c r="I249" i="7" s="1"/>
  <c r="F249" i="7"/>
  <c r="C249" i="7"/>
  <c r="AD248" i="7"/>
  <c r="AC248" i="7"/>
  <c r="AA248" i="7"/>
  <c r="X248" i="7"/>
  <c r="W248" i="7"/>
  <c r="U248" i="7"/>
  <c r="R248" i="7"/>
  <c r="N248" i="7"/>
  <c r="O248" i="7" s="1"/>
  <c r="L248" i="7"/>
  <c r="H248" i="7"/>
  <c r="I248" i="7" s="1"/>
  <c r="F248" i="7"/>
  <c r="C248" i="7"/>
  <c r="AD247" i="7"/>
  <c r="AC247" i="7"/>
  <c r="AA247" i="7"/>
  <c r="X247" i="7"/>
  <c r="W247" i="7"/>
  <c r="U247" i="7"/>
  <c r="R247" i="7"/>
  <c r="N247" i="7"/>
  <c r="O247" i="7" s="1"/>
  <c r="L247" i="7"/>
  <c r="H247" i="7"/>
  <c r="I247" i="7" s="1"/>
  <c r="F247" i="7"/>
  <c r="C247" i="7"/>
  <c r="AD246" i="7"/>
  <c r="AC246" i="7"/>
  <c r="AA246" i="7"/>
  <c r="X246" i="7"/>
  <c r="W246" i="7"/>
  <c r="U246" i="7"/>
  <c r="R246" i="7"/>
  <c r="N246" i="7"/>
  <c r="O246" i="7" s="1"/>
  <c r="L246" i="7"/>
  <c r="I246" i="7"/>
  <c r="H246" i="7"/>
  <c r="F246" i="7"/>
  <c r="C246" i="7"/>
  <c r="AC245" i="7"/>
  <c r="AD245" i="7" s="1"/>
  <c r="AA245" i="7"/>
  <c r="X245" i="7"/>
  <c r="W245" i="7"/>
  <c r="U245" i="7"/>
  <c r="R245" i="7"/>
  <c r="O245" i="7"/>
  <c r="N245" i="7"/>
  <c r="L245" i="7"/>
  <c r="H245" i="7"/>
  <c r="I245" i="7" s="1"/>
  <c r="F245" i="7"/>
  <c r="C245" i="7"/>
  <c r="AD244" i="7"/>
  <c r="AC244" i="7"/>
  <c r="AA244" i="7"/>
  <c r="W244" i="7"/>
  <c r="X244" i="7" s="1"/>
  <c r="U244" i="7"/>
  <c r="R244" i="7"/>
  <c r="O244" i="7"/>
  <c r="N244" i="7"/>
  <c r="L244" i="7"/>
  <c r="H244" i="7"/>
  <c r="I244" i="7" s="1"/>
  <c r="F244" i="7"/>
  <c r="C244" i="7"/>
  <c r="AD243" i="7"/>
  <c r="AC243" i="7"/>
  <c r="AA243" i="7"/>
  <c r="X243" i="7"/>
  <c r="W243" i="7"/>
  <c r="U243" i="7"/>
  <c r="R243" i="7"/>
  <c r="N243" i="7"/>
  <c r="O243" i="7" s="1"/>
  <c r="L243" i="7"/>
  <c r="I243" i="7"/>
  <c r="H243" i="7"/>
  <c r="F243" i="7"/>
  <c r="C243" i="7"/>
  <c r="AC242" i="7"/>
  <c r="AD242" i="7" s="1"/>
  <c r="AA242" i="7"/>
  <c r="W242" i="7"/>
  <c r="X242" i="7" s="1"/>
  <c r="U242" i="7"/>
  <c r="R242" i="7"/>
  <c r="O242" i="7"/>
  <c r="N242" i="7"/>
  <c r="L242" i="7"/>
  <c r="I242" i="7"/>
  <c r="H242" i="7"/>
  <c r="F242" i="7"/>
  <c r="C242" i="7"/>
  <c r="AC241" i="7"/>
  <c r="AD241" i="7" s="1"/>
  <c r="AA241" i="7"/>
  <c r="W241" i="7"/>
  <c r="X241" i="7" s="1"/>
  <c r="U241" i="7"/>
  <c r="R241" i="7"/>
  <c r="O241" i="7"/>
  <c r="N241" i="7"/>
  <c r="L241" i="7"/>
  <c r="I241" i="7"/>
  <c r="H241" i="7"/>
  <c r="F241" i="7"/>
  <c r="C241" i="7"/>
  <c r="AC240" i="7"/>
  <c r="AD240" i="7" s="1"/>
  <c r="AA240" i="7"/>
  <c r="W240" i="7"/>
  <c r="X240" i="7" s="1"/>
  <c r="U240" i="7"/>
  <c r="R240" i="7"/>
  <c r="O240" i="7"/>
  <c r="N240" i="7"/>
  <c r="L240" i="7"/>
  <c r="H240" i="7"/>
  <c r="I240" i="7" s="1"/>
  <c r="F240" i="7"/>
  <c r="C240" i="7"/>
  <c r="AC238" i="7"/>
  <c r="AD238" i="7" s="1"/>
  <c r="AA238" i="7"/>
  <c r="X238" i="7"/>
  <c r="W238" i="7"/>
  <c r="U238" i="7"/>
  <c r="R238" i="7"/>
  <c r="O238" i="7"/>
  <c r="N238" i="7"/>
  <c r="L238" i="7"/>
  <c r="I238" i="7"/>
  <c r="H238" i="7"/>
  <c r="F238" i="7"/>
  <c r="C238" i="7"/>
  <c r="AC236" i="7"/>
  <c r="AD236" i="7" s="1"/>
  <c r="Z236" i="7"/>
  <c r="AA236" i="7" s="1"/>
  <c r="T236" i="7"/>
  <c r="R236" i="7"/>
  <c r="Q236" i="7"/>
  <c r="K236" i="7"/>
  <c r="L236" i="7" s="1"/>
  <c r="F236" i="7"/>
  <c r="E236" i="7"/>
  <c r="B236" i="7"/>
  <c r="C236" i="7" s="1"/>
  <c r="AC235" i="7"/>
  <c r="AD235" i="7" s="1"/>
  <c r="AA235" i="7"/>
  <c r="W235" i="7"/>
  <c r="X235" i="7" s="1"/>
  <c r="U235" i="7"/>
  <c r="R235" i="7"/>
  <c r="O235" i="7"/>
  <c r="N235" i="7"/>
  <c r="L235" i="7"/>
  <c r="H235" i="7"/>
  <c r="I235" i="7" s="1"/>
  <c r="F235" i="7"/>
  <c r="C235" i="7"/>
  <c r="AD234" i="7"/>
  <c r="AC234" i="7"/>
  <c r="AA234" i="7"/>
  <c r="X234" i="7"/>
  <c r="W234" i="7"/>
  <c r="U234" i="7"/>
  <c r="R234" i="7"/>
  <c r="O234" i="7"/>
  <c r="N234" i="7"/>
  <c r="L234" i="7"/>
  <c r="I234" i="7"/>
  <c r="H234" i="7"/>
  <c r="F234" i="7"/>
  <c r="C234" i="7"/>
  <c r="AC233" i="7"/>
  <c r="AD233" i="7" s="1"/>
  <c r="AA233" i="7"/>
  <c r="W233" i="7"/>
  <c r="X233" i="7" s="1"/>
  <c r="U233" i="7"/>
  <c r="R233" i="7"/>
  <c r="O233" i="7"/>
  <c r="N233" i="7"/>
  <c r="L233" i="7"/>
  <c r="I233" i="7"/>
  <c r="H233" i="7"/>
  <c r="F233" i="7"/>
  <c r="C233" i="7"/>
  <c r="AC232" i="7"/>
  <c r="AD232" i="7" s="1"/>
  <c r="AA232" i="7"/>
  <c r="W232" i="7"/>
  <c r="X232" i="7" s="1"/>
  <c r="U232" i="7"/>
  <c r="R232" i="7"/>
  <c r="O232" i="7"/>
  <c r="N232" i="7"/>
  <c r="L232" i="7"/>
  <c r="I232" i="7"/>
  <c r="H232" i="7"/>
  <c r="F232" i="7"/>
  <c r="C232" i="7"/>
  <c r="AC231" i="7"/>
  <c r="AD231" i="7" s="1"/>
  <c r="AA231" i="7"/>
  <c r="W231" i="7"/>
  <c r="X231" i="7" s="1"/>
  <c r="U231" i="7"/>
  <c r="R231" i="7"/>
  <c r="O231" i="7"/>
  <c r="N231" i="7"/>
  <c r="L231" i="7"/>
  <c r="H231" i="7"/>
  <c r="I231" i="7" s="1"/>
  <c r="F231" i="7"/>
  <c r="C231" i="7"/>
  <c r="AC230" i="7"/>
  <c r="AD230" i="7" s="1"/>
  <c r="AA230" i="7"/>
  <c r="X230" i="7"/>
  <c r="W230" i="7"/>
  <c r="U230" i="7"/>
  <c r="R230" i="7"/>
  <c r="O230" i="7"/>
  <c r="N230" i="7"/>
  <c r="L230" i="7"/>
  <c r="I230" i="7"/>
  <c r="H230" i="7"/>
  <c r="F230" i="7"/>
  <c r="C230" i="7"/>
  <c r="AC229" i="7"/>
  <c r="AD229" i="7" s="1"/>
  <c r="AA229" i="7"/>
  <c r="X229" i="7"/>
  <c r="W229" i="7"/>
  <c r="U229" i="7"/>
  <c r="R229" i="7"/>
  <c r="N229" i="7"/>
  <c r="O229" i="7" s="1"/>
  <c r="L229" i="7"/>
  <c r="H229" i="7"/>
  <c r="I229" i="7" s="1"/>
  <c r="F229" i="7"/>
  <c r="C229" i="7"/>
  <c r="AC227" i="7"/>
  <c r="AD227" i="7" s="1"/>
  <c r="Z227" i="7"/>
  <c r="AA227" i="7" s="1"/>
  <c r="X227" i="7"/>
  <c r="W227" i="7"/>
  <c r="U227" i="7"/>
  <c r="T227" i="7"/>
  <c r="Q227" i="7"/>
  <c r="R227" i="7" s="1"/>
  <c r="K227" i="7"/>
  <c r="L227" i="7" s="1"/>
  <c r="H227" i="7"/>
  <c r="I227" i="7" s="1"/>
  <c r="E227" i="7"/>
  <c r="F227" i="7" s="1"/>
  <c r="B227" i="7"/>
  <c r="C227" i="7" s="1"/>
  <c r="AC226" i="7"/>
  <c r="AD226" i="7" s="1"/>
  <c r="AA226" i="7"/>
  <c r="X226" i="7"/>
  <c r="W226" i="7"/>
  <c r="U226" i="7"/>
  <c r="R226" i="7"/>
  <c r="O226" i="7"/>
  <c r="N226" i="7"/>
  <c r="L226" i="7"/>
  <c r="I226" i="7"/>
  <c r="H226" i="7"/>
  <c r="F226" i="7"/>
  <c r="C226" i="7"/>
  <c r="AC225" i="7"/>
  <c r="AD225" i="7" s="1"/>
  <c r="AA225" i="7"/>
  <c r="W225" i="7"/>
  <c r="X225" i="7" s="1"/>
  <c r="U225" i="7"/>
  <c r="R225" i="7"/>
  <c r="O225" i="7"/>
  <c r="N225" i="7"/>
  <c r="L225" i="7"/>
  <c r="H225" i="7"/>
  <c r="I225" i="7" s="1"/>
  <c r="F225" i="7"/>
  <c r="C225" i="7"/>
  <c r="AC224" i="7"/>
  <c r="AD224" i="7" s="1"/>
  <c r="AA224" i="7"/>
  <c r="W224" i="7"/>
  <c r="X224" i="7" s="1"/>
  <c r="U224" i="7"/>
  <c r="R224" i="7"/>
  <c r="O224" i="7"/>
  <c r="N224" i="7"/>
  <c r="L224" i="7"/>
  <c r="I224" i="7"/>
  <c r="H224" i="7"/>
  <c r="F224" i="7"/>
  <c r="C224" i="7"/>
  <c r="AC223" i="7"/>
  <c r="AD223" i="7" s="1"/>
  <c r="AA223" i="7"/>
  <c r="X223" i="7"/>
  <c r="W223" i="7"/>
  <c r="U223" i="7"/>
  <c r="R223" i="7"/>
  <c r="N223" i="7"/>
  <c r="O223" i="7" s="1"/>
  <c r="L223" i="7"/>
  <c r="H223" i="7"/>
  <c r="I223" i="7" s="1"/>
  <c r="F223" i="7"/>
  <c r="C223" i="7"/>
  <c r="AD222" i="7"/>
  <c r="AC222" i="7"/>
  <c r="AA222" i="7"/>
  <c r="X222" i="7"/>
  <c r="W222" i="7"/>
  <c r="U222" i="7"/>
  <c r="R222" i="7"/>
  <c r="N222" i="7"/>
  <c r="O222" i="7" s="1"/>
  <c r="L222" i="7"/>
  <c r="H222" i="7"/>
  <c r="I222" i="7" s="1"/>
  <c r="F222" i="7"/>
  <c r="C222" i="7"/>
  <c r="AD221" i="7"/>
  <c r="AC221" i="7"/>
  <c r="AA221" i="7"/>
  <c r="W221" i="7"/>
  <c r="X221" i="7" s="1"/>
  <c r="U221" i="7"/>
  <c r="R221" i="7"/>
  <c r="O221" i="7"/>
  <c r="N221" i="7"/>
  <c r="L221" i="7"/>
  <c r="I221" i="7"/>
  <c r="H221" i="7"/>
  <c r="F221" i="7"/>
  <c r="C221" i="7"/>
  <c r="AC220" i="7"/>
  <c r="AD220" i="7" s="1"/>
  <c r="AA220" i="7"/>
  <c r="W220" i="7"/>
  <c r="X220" i="7" s="1"/>
  <c r="U220" i="7"/>
  <c r="R220" i="7"/>
  <c r="O220" i="7"/>
  <c r="N220" i="7"/>
  <c r="L220" i="7"/>
  <c r="I220" i="7"/>
  <c r="H220" i="7"/>
  <c r="F220" i="7"/>
  <c r="C220" i="7"/>
  <c r="AC219" i="7"/>
  <c r="AD219" i="7" s="1"/>
  <c r="AA219" i="7"/>
  <c r="X219" i="7"/>
  <c r="W219" i="7"/>
  <c r="U219" i="7"/>
  <c r="R219" i="7"/>
  <c r="N219" i="7"/>
  <c r="O219" i="7" s="1"/>
  <c r="L219" i="7"/>
  <c r="H219" i="7"/>
  <c r="I219" i="7" s="1"/>
  <c r="F219" i="7"/>
  <c r="C219" i="7"/>
  <c r="Z218" i="7"/>
  <c r="AA218" i="7" s="1"/>
  <c r="W218" i="7"/>
  <c r="X218" i="7" s="1"/>
  <c r="U218" i="7"/>
  <c r="T218" i="7"/>
  <c r="R218" i="7"/>
  <c r="Q218" i="7"/>
  <c r="AC218" i="7" s="1"/>
  <c r="AD218" i="7" s="1"/>
  <c r="K218" i="7"/>
  <c r="L218" i="7" s="1"/>
  <c r="F218" i="7"/>
  <c r="E218" i="7"/>
  <c r="B218" i="7"/>
  <c r="AC217" i="7"/>
  <c r="AD217" i="7" s="1"/>
  <c r="AA217" i="7"/>
  <c r="W217" i="7"/>
  <c r="X217" i="7" s="1"/>
  <c r="U217" i="7"/>
  <c r="R217" i="7"/>
  <c r="O217" i="7"/>
  <c r="N217" i="7"/>
  <c r="L217" i="7"/>
  <c r="I217" i="7"/>
  <c r="H217" i="7"/>
  <c r="F217" i="7"/>
  <c r="C217" i="7"/>
  <c r="AC216" i="7"/>
  <c r="AD216" i="7" s="1"/>
  <c r="AA216" i="7"/>
  <c r="X216" i="7"/>
  <c r="W216" i="7"/>
  <c r="U216" i="7"/>
  <c r="R216" i="7"/>
  <c r="N216" i="7"/>
  <c r="O216" i="7" s="1"/>
  <c r="L216" i="7"/>
  <c r="H216" i="7"/>
  <c r="I216" i="7" s="1"/>
  <c r="F216" i="7"/>
  <c r="C216" i="7"/>
  <c r="AD215" i="7"/>
  <c r="AC215" i="7"/>
  <c r="AA215" i="7"/>
  <c r="X215" i="7"/>
  <c r="W215" i="7"/>
  <c r="U215" i="7"/>
  <c r="R215" i="7"/>
  <c r="N215" i="7"/>
  <c r="O215" i="7" s="1"/>
  <c r="L215" i="7"/>
  <c r="H215" i="7"/>
  <c r="I215" i="7" s="1"/>
  <c r="F215" i="7"/>
  <c r="C215" i="7"/>
  <c r="AD214" i="7"/>
  <c r="AC214" i="7"/>
  <c r="AA214" i="7"/>
  <c r="W214" i="7"/>
  <c r="X214" i="7" s="1"/>
  <c r="U214" i="7"/>
  <c r="R214" i="7"/>
  <c r="O214" i="7"/>
  <c r="N214" i="7"/>
  <c r="L214" i="7"/>
  <c r="I214" i="7"/>
  <c r="H214" i="7"/>
  <c r="F214" i="7"/>
  <c r="C214" i="7"/>
  <c r="AC213" i="7"/>
  <c r="AD213" i="7" s="1"/>
  <c r="AA213" i="7"/>
  <c r="W213" i="7"/>
  <c r="X213" i="7" s="1"/>
  <c r="U213" i="7"/>
  <c r="R213" i="7"/>
  <c r="O213" i="7"/>
  <c r="N213" i="7"/>
  <c r="L213" i="7"/>
  <c r="I213" i="7"/>
  <c r="H213" i="7"/>
  <c r="F213" i="7"/>
  <c r="C213" i="7"/>
  <c r="AC211" i="7"/>
  <c r="AD211" i="7" s="1"/>
  <c r="AA211" i="7"/>
  <c r="X211" i="7"/>
  <c r="W211" i="7"/>
  <c r="U211" i="7"/>
  <c r="R211" i="7"/>
  <c r="N211" i="7"/>
  <c r="O211" i="7" s="1"/>
  <c r="L211" i="7"/>
  <c r="H211" i="7"/>
  <c r="I211" i="7" s="1"/>
  <c r="F211" i="7"/>
  <c r="C211" i="7"/>
  <c r="Z209" i="7"/>
  <c r="AA209" i="7" s="1"/>
  <c r="W209" i="7"/>
  <c r="X209" i="7" s="1"/>
  <c r="U209" i="7"/>
  <c r="T209" i="7"/>
  <c r="R209" i="7"/>
  <c r="Q209" i="7"/>
  <c r="N209" i="7"/>
  <c r="O209" i="7" s="1"/>
  <c r="K209" i="7"/>
  <c r="L209" i="7" s="1"/>
  <c r="F209" i="7"/>
  <c r="E209" i="7"/>
  <c r="B209" i="7"/>
  <c r="AC208" i="7"/>
  <c r="AD208" i="7" s="1"/>
  <c r="AA208" i="7"/>
  <c r="W208" i="7"/>
  <c r="X208" i="7" s="1"/>
  <c r="U208" i="7"/>
  <c r="R208" i="7"/>
  <c r="O208" i="7"/>
  <c r="N208" i="7"/>
  <c r="L208" i="7"/>
  <c r="I208" i="7"/>
  <c r="H208" i="7"/>
  <c r="F208" i="7"/>
  <c r="C208" i="7"/>
  <c r="AC207" i="7"/>
  <c r="AD207" i="7" s="1"/>
  <c r="AA207" i="7"/>
  <c r="X207" i="7"/>
  <c r="W207" i="7"/>
  <c r="U207" i="7"/>
  <c r="R207" i="7"/>
  <c r="N207" i="7"/>
  <c r="O207" i="7" s="1"/>
  <c r="L207" i="7"/>
  <c r="H207" i="7"/>
  <c r="I207" i="7" s="1"/>
  <c r="F207" i="7"/>
  <c r="C207" i="7"/>
  <c r="AD206" i="7"/>
  <c r="AC206" i="7"/>
  <c r="AA206" i="7"/>
  <c r="X206" i="7"/>
  <c r="W206" i="7"/>
  <c r="U206" i="7"/>
  <c r="R206" i="7"/>
  <c r="N206" i="7"/>
  <c r="O206" i="7" s="1"/>
  <c r="L206" i="7"/>
  <c r="H206" i="7"/>
  <c r="I206" i="7" s="1"/>
  <c r="F206" i="7"/>
  <c r="C206" i="7"/>
  <c r="AD205" i="7"/>
  <c r="AC205" i="7"/>
  <c r="AA205" i="7"/>
  <c r="W205" i="7"/>
  <c r="X205" i="7" s="1"/>
  <c r="U205" i="7"/>
  <c r="R205" i="7"/>
  <c r="O205" i="7"/>
  <c r="N205" i="7"/>
  <c r="L205" i="7"/>
  <c r="I205" i="7"/>
  <c r="H205" i="7"/>
  <c r="F205" i="7"/>
  <c r="C205" i="7"/>
  <c r="AC204" i="7"/>
  <c r="AD204" i="7" s="1"/>
  <c r="AA204" i="7"/>
  <c r="W204" i="7"/>
  <c r="X204" i="7" s="1"/>
  <c r="U204" i="7"/>
  <c r="R204" i="7"/>
  <c r="O204" i="7"/>
  <c r="N204" i="7"/>
  <c r="L204" i="7"/>
  <c r="I204" i="7"/>
  <c r="H204" i="7"/>
  <c r="F204" i="7"/>
  <c r="C204" i="7"/>
  <c r="AC203" i="7"/>
  <c r="AD203" i="7" s="1"/>
  <c r="AA203" i="7"/>
  <c r="X203" i="7"/>
  <c r="W203" i="7"/>
  <c r="U203" i="7"/>
  <c r="R203" i="7"/>
  <c r="N203" i="7"/>
  <c r="O203" i="7" s="1"/>
  <c r="L203" i="7"/>
  <c r="H203" i="7"/>
  <c r="I203" i="7" s="1"/>
  <c r="F203" i="7"/>
  <c r="C203" i="7"/>
  <c r="AD202" i="7"/>
  <c r="AC202" i="7"/>
  <c r="AA202" i="7"/>
  <c r="X202" i="7"/>
  <c r="W202" i="7"/>
  <c r="U202" i="7"/>
  <c r="R202" i="7"/>
  <c r="N202" i="7"/>
  <c r="O202" i="7" s="1"/>
  <c r="L202" i="7"/>
  <c r="H202" i="7"/>
  <c r="I202" i="7" s="1"/>
  <c r="F202" i="7"/>
  <c r="C202" i="7"/>
  <c r="AD201" i="7"/>
  <c r="AC201" i="7"/>
  <c r="AA201" i="7"/>
  <c r="W201" i="7"/>
  <c r="X201" i="7" s="1"/>
  <c r="U201" i="7"/>
  <c r="R201" i="7"/>
  <c r="O201" i="7"/>
  <c r="N201" i="7"/>
  <c r="L201" i="7"/>
  <c r="I201" i="7"/>
  <c r="H201" i="7"/>
  <c r="F201" i="7"/>
  <c r="C201" i="7"/>
  <c r="Z197" i="7"/>
  <c r="AA197" i="7" s="1"/>
  <c r="W197" i="7"/>
  <c r="X197" i="7" s="1"/>
  <c r="T197" i="7"/>
  <c r="U197" i="7" s="1"/>
  <c r="R197" i="7"/>
  <c r="Q197" i="7"/>
  <c r="K197" i="7"/>
  <c r="L197" i="7" s="1"/>
  <c r="F197" i="7"/>
  <c r="E197" i="7"/>
  <c r="B197" i="7"/>
  <c r="Z196" i="7"/>
  <c r="AA196" i="7" s="1"/>
  <c r="T196" i="7"/>
  <c r="U196" i="7" s="1"/>
  <c r="Q196" i="7"/>
  <c r="AC196" i="7" s="1"/>
  <c r="AD196" i="7" s="1"/>
  <c r="L196" i="7"/>
  <c r="K196" i="7"/>
  <c r="E196" i="7"/>
  <c r="F196" i="7" s="1"/>
  <c r="B196" i="7"/>
  <c r="C196" i="7" s="1"/>
  <c r="AD195" i="7"/>
  <c r="AC195" i="7"/>
  <c r="AA195" i="7"/>
  <c r="X195" i="7"/>
  <c r="W195" i="7"/>
  <c r="U195" i="7"/>
  <c r="R195" i="7"/>
  <c r="N195" i="7"/>
  <c r="O195" i="7" s="1"/>
  <c r="L195" i="7"/>
  <c r="H195" i="7"/>
  <c r="I195" i="7" s="1"/>
  <c r="F195" i="7"/>
  <c r="C195" i="7"/>
  <c r="AC194" i="7"/>
  <c r="AD194" i="7" s="1"/>
  <c r="AA194" i="7"/>
  <c r="X194" i="7"/>
  <c r="W194" i="7"/>
  <c r="U194" i="7"/>
  <c r="R194" i="7"/>
  <c r="O194" i="7"/>
  <c r="N194" i="7"/>
  <c r="L194" i="7"/>
  <c r="I194" i="7"/>
  <c r="H194" i="7"/>
  <c r="F194" i="7"/>
  <c r="C194" i="7"/>
  <c r="Z193" i="7"/>
  <c r="AA193" i="7" s="1"/>
  <c r="T193" i="7"/>
  <c r="U193" i="7" s="1"/>
  <c r="Q193" i="7"/>
  <c r="L193" i="7"/>
  <c r="K193" i="7"/>
  <c r="E193" i="7"/>
  <c r="B193" i="7"/>
  <c r="C193" i="7" s="1"/>
  <c r="AD192" i="7"/>
  <c r="AC192" i="7"/>
  <c r="AA192" i="7"/>
  <c r="X192" i="7"/>
  <c r="W192" i="7"/>
  <c r="U192" i="7"/>
  <c r="R192" i="7"/>
  <c r="N192" i="7"/>
  <c r="O192" i="7" s="1"/>
  <c r="L192" i="7"/>
  <c r="H192" i="7"/>
  <c r="I192" i="7" s="1"/>
  <c r="F192" i="7"/>
  <c r="C192" i="7"/>
  <c r="AC191" i="7"/>
  <c r="AD191" i="7" s="1"/>
  <c r="AA191" i="7"/>
  <c r="X191" i="7"/>
  <c r="W191" i="7"/>
  <c r="U191" i="7"/>
  <c r="R191" i="7"/>
  <c r="O191" i="7"/>
  <c r="N191" i="7"/>
  <c r="L191" i="7"/>
  <c r="I191" i="7"/>
  <c r="H191" i="7"/>
  <c r="F191" i="7"/>
  <c r="C191" i="7"/>
  <c r="AC190" i="7"/>
  <c r="AD190" i="7" s="1"/>
  <c r="AA190" i="7"/>
  <c r="W190" i="7"/>
  <c r="X190" i="7" s="1"/>
  <c r="U190" i="7"/>
  <c r="R190" i="7"/>
  <c r="O190" i="7"/>
  <c r="N190" i="7"/>
  <c r="L190" i="7"/>
  <c r="H190" i="7"/>
  <c r="I190" i="7" s="1"/>
  <c r="F190" i="7"/>
  <c r="C190" i="7"/>
  <c r="AC189" i="7"/>
  <c r="AD189" i="7" s="1"/>
  <c r="AA189" i="7"/>
  <c r="X189" i="7"/>
  <c r="W189" i="7"/>
  <c r="U189" i="7"/>
  <c r="R189" i="7"/>
  <c r="O189" i="7"/>
  <c r="N189" i="7"/>
  <c r="L189" i="7"/>
  <c r="H189" i="7"/>
  <c r="I189" i="7" s="1"/>
  <c r="F189" i="7"/>
  <c r="C189" i="7"/>
  <c r="AD188" i="7"/>
  <c r="AC188" i="7"/>
  <c r="AA188" i="7"/>
  <c r="X188" i="7"/>
  <c r="W188" i="7"/>
  <c r="U188" i="7"/>
  <c r="R188" i="7"/>
  <c r="N188" i="7"/>
  <c r="O188" i="7" s="1"/>
  <c r="L188" i="7"/>
  <c r="H188" i="7"/>
  <c r="I188" i="7" s="1"/>
  <c r="F188" i="7"/>
  <c r="C188" i="7"/>
  <c r="AC187" i="7"/>
  <c r="AD187" i="7" s="1"/>
  <c r="AA187" i="7"/>
  <c r="X187" i="7"/>
  <c r="W187" i="7"/>
  <c r="U187" i="7"/>
  <c r="R187" i="7"/>
  <c r="O187" i="7"/>
  <c r="N187" i="7"/>
  <c r="L187" i="7"/>
  <c r="I187" i="7"/>
  <c r="H187" i="7"/>
  <c r="F187" i="7"/>
  <c r="C187" i="7"/>
  <c r="AC186" i="7"/>
  <c r="AD186" i="7" s="1"/>
  <c r="AA186" i="7"/>
  <c r="W186" i="7"/>
  <c r="X186" i="7" s="1"/>
  <c r="U186" i="7"/>
  <c r="R186" i="7"/>
  <c r="O186" i="7"/>
  <c r="N186" i="7"/>
  <c r="L186" i="7"/>
  <c r="H186" i="7"/>
  <c r="I186" i="7" s="1"/>
  <c r="F186" i="7"/>
  <c r="C186" i="7"/>
  <c r="AC184" i="7"/>
  <c r="AD184" i="7" s="1"/>
  <c r="AA184" i="7"/>
  <c r="X184" i="7"/>
  <c r="W184" i="7"/>
  <c r="U184" i="7"/>
  <c r="R184" i="7"/>
  <c r="O184" i="7"/>
  <c r="N184" i="7"/>
  <c r="L184" i="7"/>
  <c r="H184" i="7"/>
  <c r="I184" i="7" s="1"/>
  <c r="F184" i="7"/>
  <c r="C184" i="7"/>
  <c r="AD183" i="7"/>
  <c r="AC183" i="7"/>
  <c r="AA183" i="7"/>
  <c r="X183" i="7"/>
  <c r="W183" i="7"/>
  <c r="U183" i="7"/>
  <c r="R183" i="7"/>
  <c r="N183" i="7"/>
  <c r="O183" i="7" s="1"/>
  <c r="L183" i="7"/>
  <c r="H183" i="7"/>
  <c r="I183" i="7" s="1"/>
  <c r="F183" i="7"/>
  <c r="C183" i="7"/>
  <c r="AA182" i="7"/>
  <c r="Z182" i="7"/>
  <c r="W182" i="7"/>
  <c r="X182" i="7" s="1"/>
  <c r="T182" i="7"/>
  <c r="U182" i="7" s="1"/>
  <c r="Q182" i="7"/>
  <c r="R182" i="7" s="1"/>
  <c r="K182" i="7"/>
  <c r="L182" i="7" s="1"/>
  <c r="H182" i="7"/>
  <c r="I182" i="7" s="1"/>
  <c r="E182" i="7"/>
  <c r="F182" i="7" s="1"/>
  <c r="C182" i="7"/>
  <c r="B182" i="7"/>
  <c r="AC181" i="7"/>
  <c r="AD181" i="7" s="1"/>
  <c r="AA181" i="7"/>
  <c r="X181" i="7"/>
  <c r="W181" i="7"/>
  <c r="U181" i="7"/>
  <c r="R181" i="7"/>
  <c r="O181" i="7"/>
  <c r="N181" i="7"/>
  <c r="L181" i="7"/>
  <c r="H181" i="7"/>
  <c r="I181" i="7" s="1"/>
  <c r="F181" i="7"/>
  <c r="C181" i="7"/>
  <c r="AD180" i="7"/>
  <c r="AC180" i="7"/>
  <c r="AA180" i="7"/>
  <c r="X180" i="7"/>
  <c r="W180" i="7"/>
  <c r="U180" i="7"/>
  <c r="R180" i="7"/>
  <c r="N180" i="7"/>
  <c r="O180" i="7" s="1"/>
  <c r="L180" i="7"/>
  <c r="H180" i="7"/>
  <c r="I180" i="7" s="1"/>
  <c r="F180" i="7"/>
  <c r="C180" i="7"/>
  <c r="AC179" i="7"/>
  <c r="AD179" i="7" s="1"/>
  <c r="AA179" i="7"/>
  <c r="X179" i="7"/>
  <c r="W179" i="7"/>
  <c r="U179" i="7"/>
  <c r="R179" i="7"/>
  <c r="O179" i="7"/>
  <c r="N179" i="7"/>
  <c r="L179" i="7"/>
  <c r="I179" i="7"/>
  <c r="H179" i="7"/>
  <c r="F179" i="7"/>
  <c r="C179" i="7"/>
  <c r="AC178" i="7"/>
  <c r="AD178" i="7" s="1"/>
  <c r="AA178" i="7"/>
  <c r="W178" i="7"/>
  <c r="X178" i="7" s="1"/>
  <c r="U178" i="7"/>
  <c r="R178" i="7"/>
  <c r="O178" i="7"/>
  <c r="N178" i="7"/>
  <c r="L178" i="7"/>
  <c r="H178" i="7"/>
  <c r="I178" i="7" s="1"/>
  <c r="F178" i="7"/>
  <c r="C178" i="7"/>
  <c r="AC177" i="7"/>
  <c r="AD177" i="7" s="1"/>
  <c r="AA177" i="7"/>
  <c r="X177" i="7"/>
  <c r="W177" i="7"/>
  <c r="U177" i="7"/>
  <c r="R177" i="7"/>
  <c r="O177" i="7"/>
  <c r="N177" i="7"/>
  <c r="L177" i="7"/>
  <c r="H177" i="7"/>
  <c r="I177" i="7" s="1"/>
  <c r="F177" i="7"/>
  <c r="C177" i="7"/>
  <c r="AC175" i="7"/>
  <c r="AD175" i="7" s="1"/>
  <c r="AA175" i="7"/>
  <c r="X175" i="7"/>
  <c r="W175" i="7"/>
  <c r="U175" i="7"/>
  <c r="R175" i="7"/>
  <c r="N175" i="7"/>
  <c r="O175" i="7" s="1"/>
  <c r="L175" i="7"/>
  <c r="H175" i="7"/>
  <c r="I175" i="7" s="1"/>
  <c r="F175" i="7"/>
  <c r="C175" i="7"/>
  <c r="Z171" i="7"/>
  <c r="T171" i="7"/>
  <c r="U171" i="7" s="1"/>
  <c r="Q171" i="7"/>
  <c r="N171" i="7"/>
  <c r="O171" i="7" s="1"/>
  <c r="K171" i="7"/>
  <c r="L171" i="7" s="1"/>
  <c r="E171" i="7"/>
  <c r="B171" i="7"/>
  <c r="C171" i="7" s="1"/>
  <c r="AA170" i="7"/>
  <c r="Z170" i="7"/>
  <c r="W170" i="7"/>
  <c r="X170" i="7" s="1"/>
  <c r="U170" i="7"/>
  <c r="T170" i="7"/>
  <c r="Q170" i="7"/>
  <c r="R170" i="7" s="1"/>
  <c r="K170" i="7"/>
  <c r="L170" i="7" s="1"/>
  <c r="E170" i="7"/>
  <c r="F170" i="7" s="1"/>
  <c r="B170" i="7"/>
  <c r="C170" i="7" s="1"/>
  <c r="AC169" i="7"/>
  <c r="AD169" i="7" s="1"/>
  <c r="AA169" i="7"/>
  <c r="X169" i="7"/>
  <c r="W169" i="7"/>
  <c r="U169" i="7"/>
  <c r="R169" i="7"/>
  <c r="O169" i="7"/>
  <c r="N169" i="7"/>
  <c r="L169" i="7"/>
  <c r="H169" i="7"/>
  <c r="I169" i="7" s="1"/>
  <c r="F169" i="7"/>
  <c r="C169" i="7"/>
  <c r="AD168" i="7"/>
  <c r="AC168" i="7"/>
  <c r="AA168" i="7"/>
  <c r="X168" i="7"/>
  <c r="W168" i="7"/>
  <c r="U168" i="7"/>
  <c r="R168" i="7"/>
  <c r="N168" i="7"/>
  <c r="O168" i="7" s="1"/>
  <c r="L168" i="7"/>
  <c r="H168" i="7"/>
  <c r="I168" i="7" s="1"/>
  <c r="F168" i="7"/>
  <c r="C168" i="7"/>
  <c r="AC167" i="7"/>
  <c r="AD167" i="7" s="1"/>
  <c r="AA167" i="7"/>
  <c r="W167" i="7"/>
  <c r="X167" i="7" s="1"/>
  <c r="U167" i="7"/>
  <c r="R167" i="7"/>
  <c r="O167" i="7"/>
  <c r="N167" i="7"/>
  <c r="L167" i="7"/>
  <c r="I167" i="7"/>
  <c r="H167" i="7"/>
  <c r="F167" i="7"/>
  <c r="C167" i="7"/>
  <c r="AC166" i="7"/>
  <c r="AD166" i="7" s="1"/>
  <c r="Z166" i="7"/>
  <c r="AA166" i="7" s="1"/>
  <c r="T166" i="7"/>
  <c r="U166" i="7" s="1"/>
  <c r="Q166" i="7"/>
  <c r="R166" i="7" s="1"/>
  <c r="L166" i="7"/>
  <c r="K166" i="7"/>
  <c r="E166" i="7"/>
  <c r="B166" i="7"/>
  <c r="C166" i="7" s="1"/>
  <c r="AC165" i="7"/>
  <c r="AD165" i="7" s="1"/>
  <c r="AA165" i="7"/>
  <c r="X165" i="7"/>
  <c r="W165" i="7"/>
  <c r="U165" i="7"/>
  <c r="R165" i="7"/>
  <c r="N165" i="7"/>
  <c r="O165" i="7" s="1"/>
  <c r="L165" i="7"/>
  <c r="I165" i="7"/>
  <c r="H165" i="7"/>
  <c r="F165" i="7"/>
  <c r="C165" i="7"/>
  <c r="AC164" i="7"/>
  <c r="AD164" i="7" s="1"/>
  <c r="AA164" i="7"/>
  <c r="W164" i="7"/>
  <c r="X164" i="7" s="1"/>
  <c r="U164" i="7"/>
  <c r="R164" i="7"/>
  <c r="O164" i="7"/>
  <c r="N164" i="7"/>
  <c r="L164" i="7"/>
  <c r="I164" i="7"/>
  <c r="H164" i="7"/>
  <c r="F164" i="7"/>
  <c r="C164" i="7"/>
  <c r="AC163" i="7"/>
  <c r="AD163" i="7" s="1"/>
  <c r="AA163" i="7"/>
  <c r="W163" i="7"/>
  <c r="X163" i="7" s="1"/>
  <c r="U163" i="7"/>
  <c r="R163" i="7"/>
  <c r="N163" i="7"/>
  <c r="O163" i="7" s="1"/>
  <c r="L163" i="7"/>
  <c r="H163" i="7"/>
  <c r="I163" i="7" s="1"/>
  <c r="F163" i="7"/>
  <c r="C163" i="7"/>
  <c r="AD162" i="7"/>
  <c r="AC162" i="7"/>
  <c r="AA162" i="7"/>
  <c r="X162" i="7"/>
  <c r="W162" i="7"/>
  <c r="U162" i="7"/>
  <c r="R162" i="7"/>
  <c r="N162" i="7"/>
  <c r="O162" i="7" s="1"/>
  <c r="L162" i="7"/>
  <c r="H162" i="7"/>
  <c r="I162" i="7" s="1"/>
  <c r="F162" i="7"/>
  <c r="C162" i="7"/>
  <c r="AD161" i="7"/>
  <c r="AC161" i="7"/>
  <c r="AA161" i="7"/>
  <c r="W161" i="7"/>
  <c r="X161" i="7" s="1"/>
  <c r="U161" i="7"/>
  <c r="R161" i="7"/>
  <c r="N161" i="7"/>
  <c r="O161" i="7" s="1"/>
  <c r="L161" i="7"/>
  <c r="H161" i="7"/>
  <c r="I161" i="7" s="1"/>
  <c r="F161" i="7"/>
  <c r="C161" i="7"/>
  <c r="AC160" i="7"/>
  <c r="AD160" i="7" s="1"/>
  <c r="AA160" i="7"/>
  <c r="X160" i="7"/>
  <c r="W160" i="7"/>
  <c r="U160" i="7"/>
  <c r="R160" i="7"/>
  <c r="O160" i="7"/>
  <c r="N160" i="7"/>
  <c r="L160" i="7"/>
  <c r="H160" i="7"/>
  <c r="I160" i="7" s="1"/>
  <c r="F160" i="7"/>
  <c r="C160" i="7"/>
  <c r="Z158" i="7"/>
  <c r="AA158" i="7" s="1"/>
  <c r="U158" i="7"/>
  <c r="T158" i="7"/>
  <c r="Q158" i="7"/>
  <c r="K158" i="7"/>
  <c r="L158" i="7" s="1"/>
  <c r="F158" i="7"/>
  <c r="E158" i="7"/>
  <c r="H158" i="7" s="1"/>
  <c r="I158" i="7" s="1"/>
  <c r="B158" i="7"/>
  <c r="C158" i="7" s="1"/>
  <c r="AD157" i="7"/>
  <c r="AC157" i="7"/>
  <c r="AA157" i="7"/>
  <c r="X157" i="7"/>
  <c r="W157" i="7"/>
  <c r="U157" i="7"/>
  <c r="R157" i="7"/>
  <c r="N157" i="7"/>
  <c r="O157" i="7" s="1"/>
  <c r="L157" i="7"/>
  <c r="H157" i="7"/>
  <c r="I157" i="7" s="1"/>
  <c r="F157" i="7"/>
  <c r="C157" i="7"/>
  <c r="AC156" i="7"/>
  <c r="AD156" i="7" s="1"/>
  <c r="AA156" i="7"/>
  <c r="W156" i="7"/>
  <c r="X156" i="7" s="1"/>
  <c r="U156" i="7"/>
  <c r="R156" i="7"/>
  <c r="O156" i="7"/>
  <c r="N156" i="7"/>
  <c r="L156" i="7"/>
  <c r="I156" i="7"/>
  <c r="H156" i="7"/>
  <c r="F156" i="7"/>
  <c r="C156" i="7"/>
  <c r="AC155" i="7"/>
  <c r="AD155" i="7" s="1"/>
  <c r="AA155" i="7"/>
  <c r="W155" i="7"/>
  <c r="X155" i="7" s="1"/>
  <c r="U155" i="7"/>
  <c r="R155" i="7"/>
  <c r="O155" i="7"/>
  <c r="N155" i="7"/>
  <c r="L155" i="7"/>
  <c r="H155" i="7"/>
  <c r="I155" i="7" s="1"/>
  <c r="F155" i="7"/>
  <c r="C155" i="7"/>
  <c r="AD154" i="7"/>
  <c r="AC154" i="7"/>
  <c r="AA154" i="7"/>
  <c r="X154" i="7"/>
  <c r="W154" i="7"/>
  <c r="U154" i="7"/>
  <c r="R154" i="7"/>
  <c r="O154" i="7"/>
  <c r="N154" i="7"/>
  <c r="L154" i="7"/>
  <c r="I154" i="7"/>
  <c r="H154" i="7"/>
  <c r="F154" i="7"/>
  <c r="C154" i="7"/>
  <c r="AC153" i="7"/>
  <c r="AD153" i="7" s="1"/>
  <c r="AA153" i="7"/>
  <c r="W153" i="7"/>
  <c r="X153" i="7" s="1"/>
  <c r="U153" i="7"/>
  <c r="R153" i="7"/>
  <c r="N153" i="7"/>
  <c r="O153" i="7" s="1"/>
  <c r="L153" i="7"/>
  <c r="I153" i="7"/>
  <c r="H153" i="7"/>
  <c r="F153" i="7"/>
  <c r="C153" i="7"/>
  <c r="AC151" i="7"/>
  <c r="AD151" i="7" s="1"/>
  <c r="AA151" i="7"/>
  <c r="X151" i="7"/>
  <c r="W151" i="7"/>
  <c r="U151" i="7"/>
  <c r="R151" i="7"/>
  <c r="O151" i="7"/>
  <c r="N151" i="7"/>
  <c r="L151" i="7"/>
  <c r="H151" i="7"/>
  <c r="I151" i="7" s="1"/>
  <c r="F151" i="7"/>
  <c r="C151" i="7"/>
  <c r="Z149" i="7"/>
  <c r="AA149" i="7" s="1"/>
  <c r="U149" i="7"/>
  <c r="T149" i="7"/>
  <c r="R149" i="7"/>
  <c r="Q149" i="7"/>
  <c r="W149" i="7" s="1"/>
  <c r="X149" i="7" s="1"/>
  <c r="K149" i="7"/>
  <c r="L149" i="7" s="1"/>
  <c r="H149" i="7"/>
  <c r="I149" i="7" s="1"/>
  <c r="F149" i="7"/>
  <c r="E149" i="7"/>
  <c r="B149" i="7"/>
  <c r="C149" i="7" s="1"/>
  <c r="AA148" i="7"/>
  <c r="Z148" i="7"/>
  <c r="W148" i="7"/>
  <c r="X148" i="7" s="1"/>
  <c r="T148" i="7"/>
  <c r="U148" i="7" s="1"/>
  <c r="R148" i="7"/>
  <c r="Q148" i="7"/>
  <c r="AC148" i="7" s="1"/>
  <c r="AD148" i="7" s="1"/>
  <c r="N148" i="7"/>
  <c r="O148" i="7" s="1"/>
  <c r="K148" i="7"/>
  <c r="L148" i="7" s="1"/>
  <c r="F148" i="7"/>
  <c r="E148" i="7"/>
  <c r="C148" i="7"/>
  <c r="B148" i="7"/>
  <c r="H148" i="7" s="1"/>
  <c r="I148" i="7" s="1"/>
  <c r="AC147" i="7"/>
  <c r="AD147" i="7" s="1"/>
  <c r="AA147" i="7"/>
  <c r="W147" i="7"/>
  <c r="X147" i="7" s="1"/>
  <c r="U147" i="7"/>
  <c r="R147" i="7"/>
  <c r="O147" i="7"/>
  <c r="N147" i="7"/>
  <c r="L147" i="7"/>
  <c r="H147" i="7"/>
  <c r="I147" i="7" s="1"/>
  <c r="F147" i="7"/>
  <c r="C147" i="7"/>
  <c r="AD146" i="7"/>
  <c r="AC146" i="7"/>
  <c r="AA146" i="7"/>
  <c r="X146" i="7"/>
  <c r="W146" i="7"/>
  <c r="U146" i="7"/>
  <c r="R146" i="7"/>
  <c r="N146" i="7"/>
  <c r="O146" i="7" s="1"/>
  <c r="L146" i="7"/>
  <c r="I146" i="7"/>
  <c r="H146" i="7"/>
  <c r="F146" i="7"/>
  <c r="C146" i="7"/>
  <c r="AC145" i="7"/>
  <c r="AD145" i="7" s="1"/>
  <c r="AA145" i="7"/>
  <c r="W145" i="7"/>
  <c r="X145" i="7" s="1"/>
  <c r="U145" i="7"/>
  <c r="R145" i="7"/>
  <c r="N145" i="7"/>
  <c r="O145" i="7" s="1"/>
  <c r="L145" i="7"/>
  <c r="H145" i="7"/>
  <c r="I145" i="7" s="1"/>
  <c r="F145" i="7"/>
  <c r="C145" i="7"/>
  <c r="AC144" i="7"/>
  <c r="AD144" i="7" s="1"/>
  <c r="AA144" i="7"/>
  <c r="X144" i="7"/>
  <c r="W144" i="7"/>
  <c r="U144" i="7"/>
  <c r="R144" i="7"/>
  <c r="O144" i="7"/>
  <c r="N144" i="7"/>
  <c r="L144" i="7"/>
  <c r="H144" i="7"/>
  <c r="I144" i="7" s="1"/>
  <c r="F144" i="7"/>
  <c r="C144" i="7"/>
  <c r="AD143" i="7"/>
  <c r="AC143" i="7"/>
  <c r="AA143" i="7"/>
  <c r="W143" i="7"/>
  <c r="X143" i="7" s="1"/>
  <c r="U143" i="7"/>
  <c r="R143" i="7"/>
  <c r="N143" i="7"/>
  <c r="O143" i="7" s="1"/>
  <c r="L143" i="7"/>
  <c r="H143" i="7"/>
  <c r="I143" i="7" s="1"/>
  <c r="F143" i="7"/>
  <c r="C143" i="7"/>
  <c r="Z141" i="7"/>
  <c r="AA141" i="7" s="1"/>
  <c r="U141" i="7"/>
  <c r="T141" i="7"/>
  <c r="R141" i="7"/>
  <c r="Q141" i="7"/>
  <c r="W141" i="7" s="1"/>
  <c r="X141" i="7" s="1"/>
  <c r="N141" i="7"/>
  <c r="O141" i="7" s="1"/>
  <c r="K141" i="7"/>
  <c r="L141" i="7" s="1"/>
  <c r="H141" i="7"/>
  <c r="I141" i="7" s="1"/>
  <c r="E141" i="7"/>
  <c r="F141" i="7" s="1"/>
  <c r="C141" i="7"/>
  <c r="B141" i="7"/>
  <c r="AC140" i="7"/>
  <c r="AD140" i="7" s="1"/>
  <c r="AA140" i="7"/>
  <c r="W140" i="7"/>
  <c r="X140" i="7" s="1"/>
  <c r="U140" i="7"/>
  <c r="R140" i="7"/>
  <c r="O140" i="7"/>
  <c r="N140" i="7"/>
  <c r="L140" i="7"/>
  <c r="H140" i="7"/>
  <c r="I140" i="7" s="1"/>
  <c r="F140" i="7"/>
  <c r="C140" i="7"/>
  <c r="AD139" i="7"/>
  <c r="AC139" i="7"/>
  <c r="AA139" i="7"/>
  <c r="W139" i="7"/>
  <c r="X139" i="7" s="1"/>
  <c r="U139" i="7"/>
  <c r="R139" i="7"/>
  <c r="O139" i="7"/>
  <c r="N139" i="7"/>
  <c r="L139" i="7"/>
  <c r="H139" i="7"/>
  <c r="I139" i="7" s="1"/>
  <c r="F139" i="7"/>
  <c r="C139" i="7"/>
  <c r="AC138" i="7"/>
  <c r="AD138" i="7" s="1"/>
  <c r="AA138" i="7"/>
  <c r="X138" i="7"/>
  <c r="W138" i="7"/>
  <c r="U138" i="7"/>
  <c r="R138" i="7"/>
  <c r="O138" i="7"/>
  <c r="N138" i="7"/>
  <c r="L138" i="7"/>
  <c r="I138" i="7"/>
  <c r="H138" i="7"/>
  <c r="F138" i="7"/>
  <c r="C138" i="7"/>
  <c r="AC137" i="7"/>
  <c r="AD137" i="7" s="1"/>
  <c r="AA137" i="7"/>
  <c r="W137" i="7"/>
  <c r="X137" i="7" s="1"/>
  <c r="U137" i="7"/>
  <c r="R137" i="7"/>
  <c r="N137" i="7"/>
  <c r="O137" i="7" s="1"/>
  <c r="L137" i="7"/>
  <c r="I137" i="7"/>
  <c r="H137" i="7"/>
  <c r="F137" i="7"/>
  <c r="C137" i="7"/>
  <c r="AC136" i="7"/>
  <c r="AD136" i="7" s="1"/>
  <c r="AA136" i="7"/>
  <c r="X136" i="7"/>
  <c r="W136" i="7"/>
  <c r="U136" i="7"/>
  <c r="R136" i="7"/>
  <c r="O136" i="7"/>
  <c r="N136" i="7"/>
  <c r="L136" i="7"/>
  <c r="I136" i="7"/>
  <c r="H136" i="7"/>
  <c r="F136" i="7"/>
  <c r="C136" i="7"/>
  <c r="AC135" i="7"/>
  <c r="AD135" i="7" s="1"/>
  <c r="AA135" i="7"/>
  <c r="W135" i="7"/>
  <c r="X135" i="7" s="1"/>
  <c r="U135" i="7"/>
  <c r="R135" i="7"/>
  <c r="N135" i="7"/>
  <c r="O135" i="7" s="1"/>
  <c r="L135" i="7"/>
  <c r="H135" i="7"/>
  <c r="I135" i="7" s="1"/>
  <c r="F135" i="7"/>
  <c r="C135" i="7"/>
  <c r="AD134" i="7"/>
  <c r="AC134" i="7"/>
  <c r="AA134" i="7"/>
  <c r="X134" i="7"/>
  <c r="W134" i="7"/>
  <c r="U134" i="7"/>
  <c r="R134" i="7"/>
  <c r="N134" i="7"/>
  <c r="O134" i="7" s="1"/>
  <c r="L134" i="7"/>
  <c r="H134" i="7"/>
  <c r="I134" i="7" s="1"/>
  <c r="F134" i="7"/>
  <c r="C134" i="7"/>
  <c r="AD133" i="7"/>
  <c r="AC133" i="7"/>
  <c r="AA133" i="7"/>
  <c r="X133" i="7"/>
  <c r="W133" i="7"/>
  <c r="U133" i="7"/>
  <c r="R133" i="7"/>
  <c r="N133" i="7"/>
  <c r="O133" i="7" s="1"/>
  <c r="L133" i="7"/>
  <c r="H133" i="7"/>
  <c r="I133" i="7" s="1"/>
  <c r="F133" i="7"/>
  <c r="C133" i="7"/>
  <c r="AC132" i="7"/>
  <c r="AD132" i="7" s="1"/>
  <c r="AA132" i="7"/>
  <c r="X132" i="7"/>
  <c r="W132" i="7"/>
  <c r="U132" i="7"/>
  <c r="R132" i="7"/>
  <c r="O132" i="7"/>
  <c r="N132" i="7"/>
  <c r="L132" i="7"/>
  <c r="H132" i="7"/>
  <c r="I132" i="7" s="1"/>
  <c r="F132" i="7"/>
  <c r="C132" i="7"/>
  <c r="AD131" i="7"/>
  <c r="AC131" i="7"/>
  <c r="AA131" i="7"/>
  <c r="W131" i="7"/>
  <c r="X131" i="7" s="1"/>
  <c r="U131" i="7"/>
  <c r="R131" i="7"/>
  <c r="O131" i="7"/>
  <c r="N131" i="7"/>
  <c r="L131" i="7"/>
  <c r="H131" i="7"/>
  <c r="I131" i="7" s="1"/>
  <c r="F131" i="7"/>
  <c r="C131" i="7"/>
  <c r="AC130" i="7"/>
  <c r="AD130" i="7" s="1"/>
  <c r="AA130" i="7"/>
  <c r="X130" i="7"/>
  <c r="W130" i="7"/>
  <c r="U130" i="7"/>
  <c r="R130" i="7"/>
  <c r="O130" i="7"/>
  <c r="N130" i="7"/>
  <c r="L130" i="7"/>
  <c r="I130" i="7"/>
  <c r="H130" i="7"/>
  <c r="F130" i="7"/>
  <c r="C130" i="7"/>
  <c r="AC129" i="7"/>
  <c r="AD129" i="7" s="1"/>
  <c r="AA129" i="7"/>
  <c r="W129" i="7"/>
  <c r="X129" i="7" s="1"/>
  <c r="U129" i="7"/>
  <c r="R129" i="7"/>
  <c r="N129" i="7"/>
  <c r="O129" i="7" s="1"/>
  <c r="L129" i="7"/>
  <c r="I129" i="7"/>
  <c r="H129" i="7"/>
  <c r="F129" i="7"/>
  <c r="C129" i="7"/>
  <c r="AC127" i="7"/>
  <c r="AD127" i="7" s="1"/>
  <c r="AA127" i="7"/>
  <c r="X127" i="7"/>
  <c r="W127" i="7"/>
  <c r="U127" i="7"/>
  <c r="R127" i="7"/>
  <c r="O127" i="7"/>
  <c r="N127" i="7"/>
  <c r="L127" i="7"/>
  <c r="I127" i="7"/>
  <c r="H127" i="7"/>
  <c r="F127" i="7"/>
  <c r="C127" i="7"/>
  <c r="AC124" i="7"/>
  <c r="AD124" i="7" s="1"/>
  <c r="Z124" i="7"/>
  <c r="AA124" i="7" s="1"/>
  <c r="T124" i="7"/>
  <c r="T172" i="7" s="1"/>
  <c r="R124" i="7"/>
  <c r="Q124" i="7"/>
  <c r="L124" i="7"/>
  <c r="K124" i="7"/>
  <c r="K172" i="7" s="1"/>
  <c r="E124" i="7"/>
  <c r="E172" i="7" s="1"/>
  <c r="B124" i="7"/>
  <c r="C124" i="7" s="1"/>
  <c r="AC123" i="7"/>
  <c r="AD123" i="7" s="1"/>
  <c r="AA123" i="7"/>
  <c r="W123" i="7"/>
  <c r="X123" i="7" s="1"/>
  <c r="U123" i="7"/>
  <c r="R123" i="7"/>
  <c r="N123" i="7"/>
  <c r="O123" i="7" s="1"/>
  <c r="L123" i="7"/>
  <c r="I123" i="7"/>
  <c r="H123" i="7"/>
  <c r="F123" i="7"/>
  <c r="C123" i="7"/>
  <c r="AA122" i="7"/>
  <c r="Z122" i="7"/>
  <c r="T122" i="7"/>
  <c r="W122" i="7" s="1"/>
  <c r="X122" i="7" s="1"/>
  <c r="Q122" i="7"/>
  <c r="R122" i="7" s="1"/>
  <c r="L122" i="7"/>
  <c r="K122" i="7"/>
  <c r="E122" i="7"/>
  <c r="F122" i="7" s="1"/>
  <c r="B122" i="7"/>
  <c r="C122" i="7" s="1"/>
  <c r="AC121" i="7"/>
  <c r="AD121" i="7" s="1"/>
  <c r="AA121" i="7"/>
  <c r="X121" i="7"/>
  <c r="W121" i="7"/>
  <c r="U121" i="7"/>
  <c r="R121" i="7"/>
  <c r="O121" i="7"/>
  <c r="N121" i="7"/>
  <c r="L121" i="7"/>
  <c r="I121" i="7"/>
  <c r="H121" i="7"/>
  <c r="F121" i="7"/>
  <c r="C121" i="7"/>
  <c r="AC120" i="7"/>
  <c r="AD120" i="7" s="1"/>
  <c r="AA120" i="7"/>
  <c r="W120" i="7"/>
  <c r="X120" i="7" s="1"/>
  <c r="U120" i="7"/>
  <c r="R120" i="7"/>
  <c r="N120" i="7"/>
  <c r="O120" i="7" s="1"/>
  <c r="L120" i="7"/>
  <c r="H120" i="7"/>
  <c r="I120" i="7" s="1"/>
  <c r="F120" i="7"/>
  <c r="C120" i="7"/>
  <c r="AC119" i="7"/>
  <c r="AD119" i="7" s="1"/>
  <c r="AA119" i="7"/>
  <c r="X119" i="7"/>
  <c r="W119" i="7"/>
  <c r="U119" i="7"/>
  <c r="R119" i="7"/>
  <c r="O119" i="7"/>
  <c r="N119" i="7"/>
  <c r="L119" i="7"/>
  <c r="I119" i="7"/>
  <c r="H119" i="7"/>
  <c r="F119" i="7"/>
  <c r="C119" i="7"/>
  <c r="Z118" i="7"/>
  <c r="AA118" i="7" s="1"/>
  <c r="U118" i="7"/>
  <c r="T118" i="7"/>
  <c r="Q118" i="7"/>
  <c r="W118" i="7" s="1"/>
  <c r="X118" i="7" s="1"/>
  <c r="L118" i="7"/>
  <c r="K118" i="7"/>
  <c r="H118" i="7"/>
  <c r="I118" i="7" s="1"/>
  <c r="F118" i="7"/>
  <c r="E118" i="7"/>
  <c r="B118" i="7"/>
  <c r="C118" i="7" s="1"/>
  <c r="AC117" i="7"/>
  <c r="AD117" i="7" s="1"/>
  <c r="AA117" i="7"/>
  <c r="W117" i="7"/>
  <c r="X117" i="7" s="1"/>
  <c r="U117" i="7"/>
  <c r="R117" i="7"/>
  <c r="N117" i="7"/>
  <c r="O117" i="7" s="1"/>
  <c r="L117" i="7"/>
  <c r="H117" i="7"/>
  <c r="I117" i="7" s="1"/>
  <c r="F117" i="7"/>
  <c r="C117" i="7"/>
  <c r="AC116" i="7"/>
  <c r="AD116" i="7" s="1"/>
  <c r="AA116" i="7"/>
  <c r="X116" i="7"/>
  <c r="W116" i="7"/>
  <c r="U116" i="7"/>
  <c r="R116" i="7"/>
  <c r="O116" i="7"/>
  <c r="N116" i="7"/>
  <c r="L116" i="7"/>
  <c r="H116" i="7"/>
  <c r="I116" i="7" s="1"/>
  <c r="F116" i="7"/>
  <c r="C116" i="7"/>
  <c r="AD115" i="7"/>
  <c r="AC115" i="7"/>
  <c r="AA115" i="7"/>
  <c r="W115" i="7"/>
  <c r="X115" i="7" s="1"/>
  <c r="U115" i="7"/>
  <c r="R115" i="7"/>
  <c r="O115" i="7"/>
  <c r="N115" i="7"/>
  <c r="L115" i="7"/>
  <c r="H115" i="7"/>
  <c r="I115" i="7" s="1"/>
  <c r="F115" i="7"/>
  <c r="C115" i="7"/>
  <c r="AC114" i="7"/>
  <c r="AD114" i="7" s="1"/>
  <c r="AA114" i="7"/>
  <c r="X114" i="7"/>
  <c r="W114" i="7"/>
  <c r="U114" i="7"/>
  <c r="R114" i="7"/>
  <c r="O114" i="7"/>
  <c r="N114" i="7"/>
  <c r="L114" i="7"/>
  <c r="I114" i="7"/>
  <c r="H114" i="7"/>
  <c r="F114" i="7"/>
  <c r="C114" i="7"/>
  <c r="AC113" i="7"/>
  <c r="AD113" i="7" s="1"/>
  <c r="AA113" i="7"/>
  <c r="X113" i="7"/>
  <c r="W113" i="7"/>
  <c r="U113" i="7"/>
  <c r="R113" i="7"/>
  <c r="N113" i="7"/>
  <c r="O113" i="7" s="1"/>
  <c r="L113" i="7"/>
  <c r="I113" i="7"/>
  <c r="H113" i="7"/>
  <c r="F113" i="7"/>
  <c r="C113" i="7"/>
  <c r="AC112" i="7"/>
  <c r="AD112" i="7" s="1"/>
  <c r="AA112" i="7"/>
  <c r="W112" i="7"/>
  <c r="X112" i="7" s="1"/>
  <c r="U112" i="7"/>
  <c r="R112" i="7"/>
  <c r="O112" i="7"/>
  <c r="N112" i="7"/>
  <c r="L112" i="7"/>
  <c r="I112" i="7"/>
  <c r="H112" i="7"/>
  <c r="F112" i="7"/>
  <c r="C112" i="7"/>
  <c r="AC111" i="7"/>
  <c r="AD111" i="7" s="1"/>
  <c r="AA111" i="7"/>
  <c r="W111" i="7"/>
  <c r="X111" i="7" s="1"/>
  <c r="U111" i="7"/>
  <c r="R111" i="7"/>
  <c r="N111" i="7"/>
  <c r="O111" i="7" s="1"/>
  <c r="L111" i="7"/>
  <c r="H111" i="7"/>
  <c r="I111" i="7" s="1"/>
  <c r="F111" i="7"/>
  <c r="C111" i="7"/>
  <c r="AD110" i="7"/>
  <c r="AC110" i="7"/>
  <c r="AA110" i="7"/>
  <c r="X110" i="7"/>
  <c r="W110" i="7"/>
  <c r="U110" i="7"/>
  <c r="R110" i="7"/>
  <c r="O110" i="7"/>
  <c r="N110" i="7"/>
  <c r="L110" i="7"/>
  <c r="H110" i="7"/>
  <c r="I110" i="7" s="1"/>
  <c r="F110" i="7"/>
  <c r="C110" i="7"/>
  <c r="AC109" i="7"/>
  <c r="AD109" i="7" s="1"/>
  <c r="AA109" i="7"/>
  <c r="W109" i="7"/>
  <c r="X109" i="7" s="1"/>
  <c r="U109" i="7"/>
  <c r="R109" i="7"/>
  <c r="N109" i="7"/>
  <c r="O109" i="7" s="1"/>
  <c r="L109" i="7"/>
  <c r="H109" i="7"/>
  <c r="I109" i="7" s="1"/>
  <c r="F109" i="7"/>
  <c r="C109" i="7"/>
  <c r="AC108" i="7"/>
  <c r="AD108" i="7" s="1"/>
  <c r="AA108" i="7"/>
  <c r="W108" i="7"/>
  <c r="X108" i="7" s="1"/>
  <c r="U108" i="7"/>
  <c r="R108" i="7"/>
  <c r="O108" i="7"/>
  <c r="N108" i="7"/>
  <c r="L108" i="7"/>
  <c r="H108" i="7"/>
  <c r="I108" i="7" s="1"/>
  <c r="F108" i="7"/>
  <c r="C108" i="7"/>
  <c r="AD107" i="7"/>
  <c r="AC107" i="7"/>
  <c r="AA107" i="7"/>
  <c r="W107" i="7"/>
  <c r="X107" i="7" s="1"/>
  <c r="U107" i="7"/>
  <c r="R107" i="7"/>
  <c r="N107" i="7"/>
  <c r="O107" i="7" s="1"/>
  <c r="L107" i="7"/>
  <c r="H107" i="7"/>
  <c r="I107" i="7" s="1"/>
  <c r="F107" i="7"/>
  <c r="C107" i="7"/>
  <c r="AC106" i="7"/>
  <c r="AD106" i="7" s="1"/>
  <c r="AA106" i="7"/>
  <c r="X106" i="7"/>
  <c r="W106" i="7"/>
  <c r="U106" i="7"/>
  <c r="R106" i="7"/>
  <c r="O106" i="7"/>
  <c r="N106" i="7"/>
  <c r="L106" i="7"/>
  <c r="H106" i="7"/>
  <c r="I106" i="7" s="1"/>
  <c r="F106" i="7"/>
  <c r="C106" i="7"/>
  <c r="AD105" i="7"/>
  <c r="AC105" i="7"/>
  <c r="AA105" i="7"/>
  <c r="W105" i="7"/>
  <c r="X105" i="7" s="1"/>
  <c r="U105" i="7"/>
  <c r="R105" i="7"/>
  <c r="N105" i="7"/>
  <c r="O105" i="7" s="1"/>
  <c r="L105" i="7"/>
  <c r="I105" i="7"/>
  <c r="H105" i="7"/>
  <c r="F105" i="7"/>
  <c r="C105" i="7"/>
  <c r="AC104" i="7"/>
  <c r="AD104" i="7" s="1"/>
  <c r="AA104" i="7"/>
  <c r="W104" i="7"/>
  <c r="X104" i="7" s="1"/>
  <c r="U104" i="7"/>
  <c r="R104" i="7"/>
  <c r="O104" i="7"/>
  <c r="N104" i="7"/>
  <c r="L104" i="7"/>
  <c r="I104" i="7"/>
  <c r="H104" i="7"/>
  <c r="F104" i="7"/>
  <c r="C104" i="7"/>
  <c r="AC103" i="7"/>
  <c r="AD103" i="7" s="1"/>
  <c r="AA103" i="7"/>
  <c r="W103" i="7"/>
  <c r="X103" i="7" s="1"/>
  <c r="U103" i="7"/>
  <c r="R103" i="7"/>
  <c r="O103" i="7"/>
  <c r="N103" i="7"/>
  <c r="L103" i="7"/>
  <c r="H103" i="7"/>
  <c r="I103" i="7" s="1"/>
  <c r="F103" i="7"/>
  <c r="C103" i="7"/>
  <c r="AD102" i="7"/>
  <c r="AC102" i="7"/>
  <c r="AA102" i="7"/>
  <c r="X102" i="7"/>
  <c r="W102" i="7"/>
  <c r="U102" i="7"/>
  <c r="R102" i="7"/>
  <c r="N102" i="7"/>
  <c r="O102" i="7" s="1"/>
  <c r="L102" i="7"/>
  <c r="I102" i="7"/>
  <c r="H102" i="7"/>
  <c r="F102" i="7"/>
  <c r="C102" i="7"/>
  <c r="AD101" i="7"/>
  <c r="AC101" i="7"/>
  <c r="AA101" i="7"/>
  <c r="W101" i="7"/>
  <c r="X101" i="7" s="1"/>
  <c r="U101" i="7"/>
  <c r="R101" i="7"/>
  <c r="N101" i="7"/>
  <c r="O101" i="7" s="1"/>
  <c r="L101" i="7"/>
  <c r="I101" i="7"/>
  <c r="H101" i="7"/>
  <c r="F101" i="7"/>
  <c r="C101" i="7"/>
  <c r="AD100" i="7"/>
  <c r="AC100" i="7"/>
  <c r="AA100" i="7"/>
  <c r="X100" i="7"/>
  <c r="W100" i="7"/>
  <c r="U100" i="7"/>
  <c r="R100" i="7"/>
  <c r="N100" i="7"/>
  <c r="O100" i="7" s="1"/>
  <c r="L100" i="7"/>
  <c r="I100" i="7"/>
  <c r="H100" i="7"/>
  <c r="F100" i="7"/>
  <c r="C100" i="7"/>
  <c r="AC99" i="7"/>
  <c r="AD99" i="7" s="1"/>
  <c r="AA99" i="7"/>
  <c r="W99" i="7"/>
  <c r="X99" i="7" s="1"/>
  <c r="U99" i="7"/>
  <c r="R99" i="7"/>
  <c r="O99" i="7"/>
  <c r="N99" i="7"/>
  <c r="L99" i="7"/>
  <c r="I99" i="7"/>
  <c r="H99" i="7"/>
  <c r="F99" i="7"/>
  <c r="C99" i="7"/>
  <c r="AD98" i="7"/>
  <c r="AC98" i="7"/>
  <c r="AA98" i="7"/>
  <c r="W98" i="7"/>
  <c r="X98" i="7" s="1"/>
  <c r="U98" i="7"/>
  <c r="R98" i="7"/>
  <c r="O98" i="7"/>
  <c r="N98" i="7"/>
  <c r="L98" i="7"/>
  <c r="I98" i="7"/>
  <c r="H98" i="7"/>
  <c r="F98" i="7"/>
  <c r="C98" i="7"/>
  <c r="AC97" i="7"/>
  <c r="AD97" i="7" s="1"/>
  <c r="AA97" i="7"/>
  <c r="W97" i="7"/>
  <c r="X97" i="7" s="1"/>
  <c r="U97" i="7"/>
  <c r="R97" i="7"/>
  <c r="N97" i="7"/>
  <c r="O97" i="7" s="1"/>
  <c r="L97" i="7"/>
  <c r="H97" i="7"/>
  <c r="I97" i="7" s="1"/>
  <c r="F97" i="7"/>
  <c r="C97" i="7"/>
  <c r="AD96" i="7"/>
  <c r="AC96" i="7"/>
  <c r="AA96" i="7"/>
  <c r="W96" i="7"/>
  <c r="X96" i="7" s="1"/>
  <c r="U96" i="7"/>
  <c r="R96" i="7"/>
  <c r="O96" i="7"/>
  <c r="N96" i="7"/>
  <c r="L96" i="7"/>
  <c r="I96" i="7"/>
  <c r="H96" i="7"/>
  <c r="F96" i="7"/>
  <c r="C96" i="7"/>
  <c r="AD95" i="7"/>
  <c r="AC95" i="7"/>
  <c r="AA95" i="7"/>
  <c r="W95" i="7"/>
  <c r="X95" i="7" s="1"/>
  <c r="U95" i="7"/>
  <c r="R95" i="7"/>
  <c r="N95" i="7"/>
  <c r="O95" i="7" s="1"/>
  <c r="L95" i="7"/>
  <c r="I95" i="7"/>
  <c r="H95" i="7"/>
  <c r="F95" i="7"/>
  <c r="C95" i="7"/>
  <c r="AC94" i="7"/>
  <c r="AD94" i="7" s="1"/>
  <c r="AA94" i="7"/>
  <c r="W94" i="7"/>
  <c r="X94" i="7" s="1"/>
  <c r="U94" i="7"/>
  <c r="R94" i="7"/>
  <c r="O94" i="7"/>
  <c r="N94" i="7"/>
  <c r="L94" i="7"/>
  <c r="H94" i="7"/>
  <c r="I94" i="7" s="1"/>
  <c r="F94" i="7"/>
  <c r="C94" i="7"/>
  <c r="AD92" i="7"/>
  <c r="AC92" i="7"/>
  <c r="AA92" i="7"/>
  <c r="W92" i="7"/>
  <c r="X92" i="7" s="1"/>
  <c r="U92" i="7"/>
  <c r="R92" i="7"/>
  <c r="N92" i="7"/>
  <c r="O92" i="7" s="1"/>
  <c r="L92" i="7"/>
  <c r="I92" i="7"/>
  <c r="H92" i="7"/>
  <c r="F92" i="7"/>
  <c r="C92" i="7"/>
  <c r="AD91" i="7"/>
  <c r="AC91" i="7"/>
  <c r="AA91" i="7"/>
  <c r="X91" i="7"/>
  <c r="W91" i="7"/>
  <c r="U91" i="7"/>
  <c r="R91" i="7"/>
  <c r="N91" i="7"/>
  <c r="O91" i="7" s="1"/>
  <c r="L91" i="7"/>
  <c r="H91" i="7"/>
  <c r="I91" i="7" s="1"/>
  <c r="F91" i="7"/>
  <c r="C91" i="7"/>
  <c r="AD90" i="7"/>
  <c r="AC90" i="7"/>
  <c r="AA90" i="7"/>
  <c r="W90" i="7"/>
  <c r="X90" i="7" s="1"/>
  <c r="U90" i="7"/>
  <c r="R90" i="7"/>
  <c r="O90" i="7"/>
  <c r="N90" i="7"/>
  <c r="L90" i="7"/>
  <c r="I90" i="7"/>
  <c r="H90" i="7"/>
  <c r="F90" i="7"/>
  <c r="C90" i="7"/>
  <c r="AC89" i="7"/>
  <c r="AD89" i="7" s="1"/>
  <c r="AA89" i="7"/>
  <c r="X89" i="7"/>
  <c r="W89" i="7"/>
  <c r="U89" i="7"/>
  <c r="R89" i="7"/>
  <c r="N89" i="7"/>
  <c r="O89" i="7" s="1"/>
  <c r="L89" i="7"/>
  <c r="H89" i="7"/>
  <c r="I89" i="7" s="1"/>
  <c r="F89" i="7"/>
  <c r="C89" i="7"/>
  <c r="Z88" i="7"/>
  <c r="AA88" i="7" s="1"/>
  <c r="W88" i="7"/>
  <c r="X88" i="7" s="1"/>
  <c r="U88" i="7"/>
  <c r="T88" i="7"/>
  <c r="R88" i="7"/>
  <c r="Q88" i="7"/>
  <c r="K88" i="7"/>
  <c r="L88" i="7" s="1"/>
  <c r="E88" i="7"/>
  <c r="F88" i="7" s="1"/>
  <c r="B88" i="7"/>
  <c r="N88" i="7" s="1"/>
  <c r="O88" i="7" s="1"/>
  <c r="AD87" i="7"/>
  <c r="AC87" i="7"/>
  <c r="AA87" i="7"/>
  <c r="W87" i="7"/>
  <c r="X87" i="7" s="1"/>
  <c r="U87" i="7"/>
  <c r="R87" i="7"/>
  <c r="N87" i="7"/>
  <c r="O87" i="7" s="1"/>
  <c r="L87" i="7"/>
  <c r="I87" i="7"/>
  <c r="H87" i="7"/>
  <c r="F87" i="7"/>
  <c r="C87" i="7"/>
  <c r="AD86" i="7"/>
  <c r="AC86" i="7"/>
  <c r="AA86" i="7"/>
  <c r="X86" i="7"/>
  <c r="W86" i="7"/>
  <c r="U86" i="7"/>
  <c r="R86" i="7"/>
  <c r="N86" i="7"/>
  <c r="O86" i="7" s="1"/>
  <c r="L86" i="7"/>
  <c r="I86" i="7"/>
  <c r="H86" i="7"/>
  <c r="F86" i="7"/>
  <c r="C86" i="7"/>
  <c r="AC85" i="7"/>
  <c r="AD85" i="7" s="1"/>
  <c r="AA85" i="7"/>
  <c r="W85" i="7"/>
  <c r="X85" i="7" s="1"/>
  <c r="U85" i="7"/>
  <c r="R85" i="7"/>
  <c r="N85" i="7"/>
  <c r="O85" i="7" s="1"/>
  <c r="L85" i="7"/>
  <c r="H85" i="7"/>
  <c r="I85" i="7" s="1"/>
  <c r="F85" i="7"/>
  <c r="C85" i="7"/>
  <c r="AD84" i="7"/>
  <c r="AC84" i="7"/>
  <c r="AA84" i="7"/>
  <c r="W84" i="7"/>
  <c r="X84" i="7" s="1"/>
  <c r="U84" i="7"/>
  <c r="R84" i="7"/>
  <c r="N84" i="7"/>
  <c r="O84" i="7" s="1"/>
  <c r="L84" i="7"/>
  <c r="I84" i="7"/>
  <c r="H84" i="7"/>
  <c r="F84" i="7"/>
  <c r="C84" i="7"/>
  <c r="AC83" i="7"/>
  <c r="AD83" i="7" s="1"/>
  <c r="AA83" i="7"/>
  <c r="W83" i="7"/>
  <c r="X83" i="7" s="1"/>
  <c r="U83" i="7"/>
  <c r="R83" i="7"/>
  <c r="N83" i="7"/>
  <c r="O83" i="7" s="1"/>
  <c r="L83" i="7"/>
  <c r="I83" i="7"/>
  <c r="H83" i="7"/>
  <c r="F83" i="7"/>
  <c r="C83" i="7"/>
  <c r="AD82" i="7"/>
  <c r="AC82" i="7"/>
  <c r="AA82" i="7"/>
  <c r="W82" i="7"/>
  <c r="X82" i="7" s="1"/>
  <c r="U82" i="7"/>
  <c r="R82" i="7"/>
  <c r="O82" i="7"/>
  <c r="N82" i="7"/>
  <c r="L82" i="7"/>
  <c r="I82" i="7"/>
  <c r="H82" i="7"/>
  <c r="F82" i="7"/>
  <c r="C82" i="7"/>
  <c r="AC81" i="7"/>
  <c r="AD81" i="7" s="1"/>
  <c r="AA81" i="7"/>
  <c r="X81" i="7"/>
  <c r="W81" i="7"/>
  <c r="U81" i="7"/>
  <c r="R81" i="7"/>
  <c r="N81" i="7"/>
  <c r="O81" i="7" s="1"/>
  <c r="L81" i="7"/>
  <c r="H81" i="7"/>
  <c r="I81" i="7" s="1"/>
  <c r="F81" i="7"/>
  <c r="C81" i="7"/>
  <c r="AD80" i="7"/>
  <c r="AC80" i="7"/>
  <c r="AA80" i="7"/>
  <c r="W80" i="7"/>
  <c r="X80" i="7" s="1"/>
  <c r="U80" i="7"/>
  <c r="R80" i="7"/>
  <c r="O80" i="7"/>
  <c r="N80" i="7"/>
  <c r="L80" i="7"/>
  <c r="I80" i="7"/>
  <c r="H80" i="7"/>
  <c r="F80" i="7"/>
  <c r="C80" i="7"/>
  <c r="AD79" i="7"/>
  <c r="AC79" i="7"/>
  <c r="AA79" i="7"/>
  <c r="W79" i="7"/>
  <c r="X79" i="7" s="1"/>
  <c r="U79" i="7"/>
  <c r="R79" i="7"/>
  <c r="O79" i="7"/>
  <c r="N79" i="7"/>
  <c r="L79" i="7"/>
  <c r="I79" i="7"/>
  <c r="H79" i="7"/>
  <c r="F79" i="7"/>
  <c r="C79" i="7"/>
  <c r="AC78" i="7"/>
  <c r="AD78" i="7" s="1"/>
  <c r="AA78" i="7"/>
  <c r="W78" i="7"/>
  <c r="X78" i="7" s="1"/>
  <c r="U78" i="7"/>
  <c r="R78" i="7"/>
  <c r="O78" i="7"/>
  <c r="N78" i="7"/>
  <c r="L78" i="7"/>
  <c r="I78" i="7"/>
  <c r="H78" i="7"/>
  <c r="F78" i="7"/>
  <c r="C78" i="7"/>
  <c r="AD77" i="7"/>
  <c r="AC77" i="7"/>
  <c r="AA77" i="7"/>
  <c r="X77" i="7"/>
  <c r="W77" i="7"/>
  <c r="U77" i="7"/>
  <c r="R77" i="7"/>
  <c r="N77" i="7"/>
  <c r="O77" i="7" s="1"/>
  <c r="L77" i="7"/>
  <c r="I77" i="7"/>
  <c r="H77" i="7"/>
  <c r="F77" i="7"/>
  <c r="C77" i="7"/>
  <c r="AD76" i="7"/>
  <c r="AC76" i="7"/>
  <c r="AA76" i="7"/>
  <c r="X76" i="7"/>
  <c r="W76" i="7"/>
  <c r="U76" i="7"/>
  <c r="R76" i="7"/>
  <c r="O76" i="7"/>
  <c r="N76" i="7"/>
  <c r="L76" i="7"/>
  <c r="H76" i="7"/>
  <c r="I76" i="7" s="1"/>
  <c r="F76" i="7"/>
  <c r="C76" i="7"/>
  <c r="AC75" i="7"/>
  <c r="AD75" i="7" s="1"/>
  <c r="AA75" i="7"/>
  <c r="W75" i="7"/>
  <c r="X75" i="7" s="1"/>
  <c r="U75" i="7"/>
  <c r="R75" i="7"/>
  <c r="O75" i="7"/>
  <c r="N75" i="7"/>
  <c r="L75" i="7"/>
  <c r="I75" i="7"/>
  <c r="H75" i="7"/>
  <c r="F75" i="7"/>
  <c r="C75" i="7"/>
  <c r="Z73" i="7"/>
  <c r="AA73" i="7" s="1"/>
  <c r="U73" i="7"/>
  <c r="T73" i="7"/>
  <c r="Q73" i="7"/>
  <c r="O73" i="7"/>
  <c r="L73" i="7"/>
  <c r="K73" i="7"/>
  <c r="E73" i="7"/>
  <c r="C73" i="7"/>
  <c r="B73" i="7"/>
  <c r="N73" i="7" s="1"/>
  <c r="AD72" i="7"/>
  <c r="AC72" i="7"/>
  <c r="AA72" i="7"/>
  <c r="X72" i="7"/>
  <c r="W72" i="7"/>
  <c r="U72" i="7"/>
  <c r="R72" i="7"/>
  <c r="N72" i="7"/>
  <c r="O72" i="7" s="1"/>
  <c r="L72" i="7"/>
  <c r="I72" i="7"/>
  <c r="H72" i="7"/>
  <c r="F72" i="7"/>
  <c r="C72" i="7"/>
  <c r="AD71" i="7"/>
  <c r="AC71" i="7"/>
  <c r="AA71" i="7"/>
  <c r="W71" i="7"/>
  <c r="X71" i="7" s="1"/>
  <c r="U71" i="7"/>
  <c r="R71" i="7"/>
  <c r="N71" i="7"/>
  <c r="O71" i="7" s="1"/>
  <c r="L71" i="7"/>
  <c r="I71" i="7"/>
  <c r="H71" i="7"/>
  <c r="F71" i="7"/>
  <c r="C71" i="7"/>
  <c r="AD70" i="7"/>
  <c r="AC70" i="7"/>
  <c r="AA70" i="7"/>
  <c r="X70" i="7"/>
  <c r="W70" i="7"/>
  <c r="U70" i="7"/>
  <c r="R70" i="7"/>
  <c r="N70" i="7"/>
  <c r="O70" i="7" s="1"/>
  <c r="L70" i="7"/>
  <c r="H70" i="7"/>
  <c r="I70" i="7" s="1"/>
  <c r="F70" i="7"/>
  <c r="C70" i="7"/>
  <c r="AC69" i="7"/>
  <c r="AD69" i="7" s="1"/>
  <c r="AA69" i="7"/>
  <c r="W69" i="7"/>
  <c r="X69" i="7" s="1"/>
  <c r="U69" i="7"/>
  <c r="R69" i="7"/>
  <c r="N69" i="7"/>
  <c r="O69" i="7" s="1"/>
  <c r="L69" i="7"/>
  <c r="H69" i="7"/>
  <c r="I69" i="7" s="1"/>
  <c r="F69" i="7"/>
  <c r="C69" i="7"/>
  <c r="AD68" i="7"/>
  <c r="AC68" i="7"/>
  <c r="AA68" i="7"/>
  <c r="X68" i="7"/>
  <c r="W68" i="7"/>
  <c r="U68" i="7"/>
  <c r="R68" i="7"/>
  <c r="O68" i="7"/>
  <c r="N68" i="7"/>
  <c r="L68" i="7"/>
  <c r="I68" i="7"/>
  <c r="H68" i="7"/>
  <c r="F68" i="7"/>
  <c r="C68" i="7"/>
  <c r="AC67" i="7"/>
  <c r="AD67" i="7" s="1"/>
  <c r="AA67" i="7"/>
  <c r="W67" i="7"/>
  <c r="X67" i="7" s="1"/>
  <c r="U67" i="7"/>
  <c r="R67" i="7"/>
  <c r="O67" i="7"/>
  <c r="N67" i="7"/>
  <c r="L67" i="7"/>
  <c r="I67" i="7"/>
  <c r="H67" i="7"/>
  <c r="F67" i="7"/>
  <c r="C67" i="7"/>
  <c r="AD66" i="7"/>
  <c r="AC66" i="7"/>
  <c r="AA66" i="7"/>
  <c r="W66" i="7"/>
  <c r="X66" i="7" s="1"/>
  <c r="U66" i="7"/>
  <c r="R66" i="7"/>
  <c r="N66" i="7"/>
  <c r="O66" i="7" s="1"/>
  <c r="L66" i="7"/>
  <c r="I66" i="7"/>
  <c r="H66" i="7"/>
  <c r="F66" i="7"/>
  <c r="C66" i="7"/>
  <c r="AC65" i="7"/>
  <c r="AD65" i="7" s="1"/>
  <c r="AA65" i="7"/>
  <c r="W65" i="7"/>
  <c r="X65" i="7" s="1"/>
  <c r="U65" i="7"/>
  <c r="R65" i="7"/>
  <c r="N65" i="7"/>
  <c r="O65" i="7" s="1"/>
  <c r="L65" i="7"/>
  <c r="I65" i="7"/>
  <c r="H65" i="7"/>
  <c r="F65" i="7"/>
  <c r="C65" i="7"/>
  <c r="AD64" i="7"/>
  <c r="AC64" i="7"/>
  <c r="AA64" i="7"/>
  <c r="W64" i="7"/>
  <c r="X64" i="7" s="1"/>
  <c r="U64" i="7"/>
  <c r="R64" i="7"/>
  <c r="O64" i="7"/>
  <c r="N64" i="7"/>
  <c r="L64" i="7"/>
  <c r="I64" i="7"/>
  <c r="H64" i="7"/>
  <c r="F64" i="7"/>
  <c r="C64" i="7"/>
  <c r="AC62" i="7"/>
  <c r="AD62" i="7" s="1"/>
  <c r="AA62" i="7"/>
  <c r="Z62" i="7"/>
  <c r="T62" i="7"/>
  <c r="U62" i="7" s="1"/>
  <c r="R62" i="7"/>
  <c r="Q62" i="7"/>
  <c r="L62" i="7"/>
  <c r="K62" i="7"/>
  <c r="H62" i="7"/>
  <c r="I62" i="7" s="1"/>
  <c r="E62" i="7"/>
  <c r="F62" i="7" s="1"/>
  <c r="C62" i="7"/>
  <c r="B62" i="7"/>
  <c r="Z61" i="7"/>
  <c r="AA61" i="7" s="1"/>
  <c r="X61" i="7"/>
  <c r="W61" i="7"/>
  <c r="U61" i="7"/>
  <c r="T61" i="7"/>
  <c r="R61" i="7"/>
  <c r="Q61" i="7"/>
  <c r="K61" i="7"/>
  <c r="N61" i="7" s="1"/>
  <c r="O61" i="7" s="1"/>
  <c r="E61" i="7"/>
  <c r="F61" i="7" s="1"/>
  <c r="C61" i="7"/>
  <c r="B61" i="7"/>
  <c r="AC60" i="7"/>
  <c r="AD60" i="7" s="1"/>
  <c r="AA60" i="7"/>
  <c r="W60" i="7"/>
  <c r="X60" i="7" s="1"/>
  <c r="U60" i="7"/>
  <c r="R60" i="7"/>
  <c r="O60" i="7"/>
  <c r="N60" i="7"/>
  <c r="L60" i="7"/>
  <c r="I60" i="7"/>
  <c r="H60" i="7"/>
  <c r="F60" i="7"/>
  <c r="C60" i="7"/>
  <c r="AD59" i="7"/>
  <c r="AC59" i="7"/>
  <c r="AA59" i="7"/>
  <c r="W59" i="7"/>
  <c r="X59" i="7" s="1"/>
  <c r="U59" i="7"/>
  <c r="R59" i="7"/>
  <c r="N59" i="7"/>
  <c r="O59" i="7" s="1"/>
  <c r="L59" i="7"/>
  <c r="H59" i="7"/>
  <c r="I59" i="7" s="1"/>
  <c r="F59" i="7"/>
  <c r="C59" i="7"/>
  <c r="AD58" i="7"/>
  <c r="AC58" i="7"/>
  <c r="AA58" i="7"/>
  <c r="X58" i="7"/>
  <c r="W58" i="7"/>
  <c r="U58" i="7"/>
  <c r="R58" i="7"/>
  <c r="N58" i="7"/>
  <c r="O58" i="7" s="1"/>
  <c r="L58" i="7"/>
  <c r="H58" i="7"/>
  <c r="I58" i="7" s="1"/>
  <c r="F58" i="7"/>
  <c r="C58" i="7"/>
  <c r="AD57" i="7"/>
  <c r="AC57" i="7"/>
  <c r="AA57" i="7"/>
  <c r="X57" i="7"/>
  <c r="W57" i="7"/>
  <c r="U57" i="7"/>
  <c r="R57" i="7"/>
  <c r="N57" i="7"/>
  <c r="O57" i="7" s="1"/>
  <c r="L57" i="7"/>
  <c r="I57" i="7"/>
  <c r="H57" i="7"/>
  <c r="F57" i="7"/>
  <c r="C57" i="7"/>
  <c r="AD56" i="7"/>
  <c r="AC56" i="7"/>
  <c r="AA56" i="7"/>
  <c r="W56" i="7"/>
  <c r="X56" i="7" s="1"/>
  <c r="U56" i="7"/>
  <c r="R56" i="7"/>
  <c r="N56" i="7"/>
  <c r="O56" i="7" s="1"/>
  <c r="L56" i="7"/>
  <c r="I56" i="7"/>
  <c r="H56" i="7"/>
  <c r="F56" i="7"/>
  <c r="C56" i="7"/>
  <c r="AD55" i="7"/>
  <c r="AC55" i="7"/>
  <c r="AA55" i="7"/>
  <c r="X55" i="7"/>
  <c r="W55" i="7"/>
  <c r="U55" i="7"/>
  <c r="R55" i="7"/>
  <c r="N55" i="7"/>
  <c r="O55" i="7" s="1"/>
  <c r="L55" i="7"/>
  <c r="H55" i="7"/>
  <c r="I55" i="7" s="1"/>
  <c r="F55" i="7"/>
  <c r="C55" i="7"/>
  <c r="AC54" i="7"/>
  <c r="AD54" i="7" s="1"/>
  <c r="AA54" i="7"/>
  <c r="W54" i="7"/>
  <c r="X54" i="7" s="1"/>
  <c r="U54" i="7"/>
  <c r="R54" i="7"/>
  <c r="N54" i="7"/>
  <c r="O54" i="7" s="1"/>
  <c r="L54" i="7"/>
  <c r="H54" i="7"/>
  <c r="I54" i="7" s="1"/>
  <c r="F54" i="7"/>
  <c r="C54" i="7"/>
  <c r="AD53" i="7"/>
  <c r="AC53" i="7"/>
  <c r="AA53" i="7"/>
  <c r="X53" i="7"/>
  <c r="W53" i="7"/>
  <c r="U53" i="7"/>
  <c r="R53" i="7"/>
  <c r="O53" i="7"/>
  <c r="N53" i="7"/>
  <c r="L53" i="7"/>
  <c r="I53" i="7"/>
  <c r="H53" i="7"/>
  <c r="F53" i="7"/>
  <c r="C53" i="7"/>
  <c r="AC52" i="7"/>
  <c r="AD52" i="7" s="1"/>
  <c r="AA52" i="7"/>
  <c r="W52" i="7"/>
  <c r="X52" i="7" s="1"/>
  <c r="U52" i="7"/>
  <c r="R52" i="7"/>
  <c r="O52" i="7"/>
  <c r="N52" i="7"/>
  <c r="L52" i="7"/>
  <c r="I52" i="7"/>
  <c r="H52" i="7"/>
  <c r="F52" i="7"/>
  <c r="C52" i="7"/>
  <c r="AD51" i="7"/>
  <c r="AC51" i="7"/>
  <c r="AA51" i="7"/>
  <c r="W51" i="7"/>
  <c r="X51" i="7" s="1"/>
  <c r="U51" i="7"/>
  <c r="R51" i="7"/>
  <c r="N51" i="7"/>
  <c r="O51" i="7" s="1"/>
  <c r="L51" i="7"/>
  <c r="I51" i="7"/>
  <c r="H51" i="7"/>
  <c r="F51" i="7"/>
  <c r="C51" i="7"/>
  <c r="AC50" i="7"/>
  <c r="AD50" i="7" s="1"/>
  <c r="AA50" i="7"/>
  <c r="W50" i="7"/>
  <c r="X50" i="7" s="1"/>
  <c r="U50" i="7"/>
  <c r="R50" i="7"/>
  <c r="N50" i="7"/>
  <c r="O50" i="7" s="1"/>
  <c r="L50" i="7"/>
  <c r="I50" i="7"/>
  <c r="H50" i="7"/>
  <c r="F50" i="7"/>
  <c r="C50" i="7"/>
  <c r="AD49" i="7"/>
  <c r="AC49" i="7"/>
  <c r="AA49" i="7"/>
  <c r="W49" i="7"/>
  <c r="X49" i="7" s="1"/>
  <c r="U49" i="7"/>
  <c r="R49" i="7"/>
  <c r="O49" i="7"/>
  <c r="N49" i="7"/>
  <c r="L49" i="7"/>
  <c r="I49" i="7"/>
  <c r="H49" i="7"/>
  <c r="F49" i="7"/>
  <c r="C49" i="7"/>
  <c r="AC48" i="7"/>
  <c r="AD48" i="7" s="1"/>
  <c r="AA48" i="7"/>
  <c r="W48" i="7"/>
  <c r="X48" i="7" s="1"/>
  <c r="U48" i="7"/>
  <c r="R48" i="7"/>
  <c r="O48" i="7"/>
  <c r="N48" i="7"/>
  <c r="L48" i="7"/>
  <c r="I48" i="7"/>
  <c r="H48" i="7"/>
  <c r="F48" i="7"/>
  <c r="C48" i="7"/>
  <c r="AC47" i="7"/>
  <c r="AD47" i="7" s="1"/>
  <c r="AA47" i="7"/>
  <c r="X47" i="7"/>
  <c r="W47" i="7"/>
  <c r="U47" i="7"/>
  <c r="R47" i="7"/>
  <c r="O47" i="7"/>
  <c r="N47" i="7"/>
  <c r="L47" i="7"/>
  <c r="I47" i="7"/>
  <c r="H47" i="7"/>
  <c r="F47" i="7"/>
  <c r="C47" i="7"/>
  <c r="AC46" i="7"/>
  <c r="AD46" i="7" s="1"/>
  <c r="AA46" i="7"/>
  <c r="X46" i="7"/>
  <c r="W46" i="7"/>
  <c r="U46" i="7"/>
  <c r="R46" i="7"/>
  <c r="N46" i="7"/>
  <c r="O46" i="7" s="1"/>
  <c r="L46" i="7"/>
  <c r="I46" i="7"/>
  <c r="H46" i="7"/>
  <c r="F46" i="7"/>
  <c r="C46" i="7"/>
  <c r="AD44" i="7"/>
  <c r="AC44" i="7"/>
  <c r="AA44" i="7"/>
  <c r="W44" i="7"/>
  <c r="X44" i="7" s="1"/>
  <c r="U44" i="7"/>
  <c r="R44" i="7"/>
  <c r="O44" i="7"/>
  <c r="N44" i="7"/>
  <c r="L44" i="7"/>
  <c r="H44" i="7"/>
  <c r="I44" i="7" s="1"/>
  <c r="F44" i="7"/>
  <c r="C44" i="7"/>
  <c r="AC43" i="7"/>
  <c r="AD43" i="7" s="1"/>
  <c r="AA43" i="7"/>
  <c r="W43" i="7"/>
  <c r="X43" i="7" s="1"/>
  <c r="U43" i="7"/>
  <c r="R43" i="7"/>
  <c r="O43" i="7"/>
  <c r="N43" i="7"/>
  <c r="L43" i="7"/>
  <c r="I43" i="7"/>
  <c r="H43" i="7"/>
  <c r="F43" i="7"/>
  <c r="C43" i="7"/>
  <c r="AD42" i="7"/>
  <c r="AC42" i="7"/>
  <c r="AA42" i="7"/>
  <c r="W42" i="7"/>
  <c r="X42" i="7" s="1"/>
  <c r="U42" i="7"/>
  <c r="R42" i="7"/>
  <c r="N42" i="7"/>
  <c r="O42" i="7" s="1"/>
  <c r="L42" i="7"/>
  <c r="H42" i="7"/>
  <c r="I42" i="7" s="1"/>
  <c r="F42" i="7"/>
  <c r="C42" i="7"/>
  <c r="AD40" i="7"/>
  <c r="AA40" i="7"/>
  <c r="Z40" i="7"/>
  <c r="T40" i="7"/>
  <c r="W40" i="7" s="1"/>
  <c r="X40" i="7" s="1"/>
  <c r="R40" i="7"/>
  <c r="Q40" i="7"/>
  <c r="AC40" i="7" s="1"/>
  <c r="K40" i="7"/>
  <c r="L40" i="7" s="1"/>
  <c r="F40" i="7"/>
  <c r="E40" i="7"/>
  <c r="B40" i="7"/>
  <c r="AC39" i="7"/>
  <c r="AD39" i="7" s="1"/>
  <c r="AA39" i="7"/>
  <c r="W39" i="7"/>
  <c r="X39" i="7" s="1"/>
  <c r="U39" i="7"/>
  <c r="R39" i="7"/>
  <c r="O39" i="7"/>
  <c r="N39" i="7"/>
  <c r="L39" i="7"/>
  <c r="I39" i="7"/>
  <c r="H39" i="7"/>
  <c r="F39" i="7"/>
  <c r="C39" i="7"/>
  <c r="AD38" i="7"/>
  <c r="AC38" i="7"/>
  <c r="AA38" i="7"/>
  <c r="X38" i="7"/>
  <c r="W38" i="7"/>
  <c r="U38" i="7"/>
  <c r="R38" i="7"/>
  <c r="N38" i="7"/>
  <c r="O38" i="7" s="1"/>
  <c r="L38" i="7"/>
  <c r="H38" i="7"/>
  <c r="I38" i="7" s="1"/>
  <c r="F38" i="7"/>
  <c r="C38" i="7"/>
  <c r="AD37" i="7"/>
  <c r="AC37" i="7"/>
  <c r="AA37" i="7"/>
  <c r="X37" i="7"/>
  <c r="W37" i="7"/>
  <c r="U37" i="7"/>
  <c r="R37" i="7"/>
  <c r="O37" i="7"/>
  <c r="N37" i="7"/>
  <c r="L37" i="7"/>
  <c r="I37" i="7"/>
  <c r="H37" i="7"/>
  <c r="F37" i="7"/>
  <c r="C37" i="7"/>
  <c r="AC36" i="7"/>
  <c r="AD36" i="7" s="1"/>
  <c r="AA36" i="7"/>
  <c r="W36" i="7"/>
  <c r="X36" i="7" s="1"/>
  <c r="U36" i="7"/>
  <c r="R36" i="7"/>
  <c r="O36" i="7"/>
  <c r="N36" i="7"/>
  <c r="L36" i="7"/>
  <c r="I36" i="7"/>
  <c r="H36" i="7"/>
  <c r="F36" i="7"/>
  <c r="C36" i="7"/>
  <c r="AC35" i="7"/>
  <c r="AD35" i="7" s="1"/>
  <c r="AA35" i="7"/>
  <c r="W35" i="7"/>
  <c r="X35" i="7" s="1"/>
  <c r="U35" i="7"/>
  <c r="R35" i="7"/>
  <c r="O35" i="7"/>
  <c r="N35" i="7"/>
  <c r="L35" i="7"/>
  <c r="I35" i="7"/>
  <c r="H35" i="7"/>
  <c r="F35" i="7"/>
  <c r="C35" i="7"/>
  <c r="AD34" i="7"/>
  <c r="AC34" i="7"/>
  <c r="AA34" i="7"/>
  <c r="X34" i="7"/>
  <c r="W34" i="7"/>
  <c r="U34" i="7"/>
  <c r="R34" i="7"/>
  <c r="N34" i="7"/>
  <c r="O34" i="7" s="1"/>
  <c r="L34" i="7"/>
  <c r="H34" i="7"/>
  <c r="I34" i="7" s="1"/>
  <c r="F34" i="7"/>
  <c r="C34" i="7"/>
  <c r="AD33" i="7"/>
  <c r="AC33" i="7"/>
  <c r="AA33" i="7"/>
  <c r="X33" i="7"/>
  <c r="W33" i="7"/>
  <c r="U33" i="7"/>
  <c r="R33" i="7"/>
  <c r="O33" i="7"/>
  <c r="N33" i="7"/>
  <c r="L33" i="7"/>
  <c r="H33" i="7"/>
  <c r="I33" i="7" s="1"/>
  <c r="F33" i="7"/>
  <c r="C33" i="7"/>
  <c r="AC32" i="7"/>
  <c r="AD32" i="7" s="1"/>
  <c r="AA32" i="7"/>
  <c r="W32" i="7"/>
  <c r="X32" i="7" s="1"/>
  <c r="U32" i="7"/>
  <c r="R32" i="7"/>
  <c r="O32" i="7"/>
  <c r="N32" i="7"/>
  <c r="L32" i="7"/>
  <c r="I32" i="7"/>
  <c r="H32" i="7"/>
  <c r="F32" i="7"/>
  <c r="C32" i="7"/>
  <c r="AC31" i="7"/>
  <c r="AD31" i="7" s="1"/>
  <c r="AA31" i="7"/>
  <c r="W31" i="7"/>
  <c r="X31" i="7" s="1"/>
  <c r="U31" i="7"/>
  <c r="R31" i="7"/>
  <c r="O31" i="7"/>
  <c r="N31" i="7"/>
  <c r="L31" i="7"/>
  <c r="I31" i="7"/>
  <c r="H31" i="7"/>
  <c r="F31" i="7"/>
  <c r="C31" i="7"/>
  <c r="Z29" i="7"/>
  <c r="AA29" i="7" s="1"/>
  <c r="U29" i="7"/>
  <c r="T29" i="7"/>
  <c r="R29" i="7"/>
  <c r="Q29" i="7"/>
  <c r="K29" i="7"/>
  <c r="L29" i="7" s="1"/>
  <c r="E29" i="7"/>
  <c r="F29" i="7" s="1"/>
  <c r="B29" i="7"/>
  <c r="AD28" i="7"/>
  <c r="AC28" i="7"/>
  <c r="AA28" i="7"/>
  <c r="W28" i="7"/>
  <c r="X28" i="7" s="1"/>
  <c r="U28" i="7"/>
  <c r="R28" i="7"/>
  <c r="O28" i="7"/>
  <c r="N28" i="7"/>
  <c r="L28" i="7"/>
  <c r="I28" i="7"/>
  <c r="H28" i="7"/>
  <c r="F28" i="7"/>
  <c r="C28" i="7"/>
  <c r="AC27" i="7"/>
  <c r="AD27" i="7" s="1"/>
  <c r="AA27" i="7"/>
  <c r="X27" i="7"/>
  <c r="W27" i="7"/>
  <c r="U27" i="7"/>
  <c r="R27" i="7"/>
  <c r="O27" i="7"/>
  <c r="N27" i="7"/>
  <c r="L27" i="7"/>
  <c r="I27" i="7"/>
  <c r="H27" i="7"/>
  <c r="F27" i="7"/>
  <c r="C27" i="7"/>
  <c r="AD26" i="7"/>
  <c r="AC26" i="7"/>
  <c r="AA26" i="7"/>
  <c r="W26" i="7"/>
  <c r="X26" i="7" s="1"/>
  <c r="U26" i="7"/>
  <c r="R26" i="7"/>
  <c r="N26" i="7"/>
  <c r="O26" i="7" s="1"/>
  <c r="L26" i="7"/>
  <c r="H26" i="7"/>
  <c r="I26" i="7" s="1"/>
  <c r="F26" i="7"/>
  <c r="C26" i="7"/>
  <c r="AD25" i="7"/>
  <c r="AC25" i="7"/>
  <c r="AA25" i="7"/>
  <c r="X25" i="7"/>
  <c r="W25" i="7"/>
  <c r="U25" i="7"/>
  <c r="R25" i="7"/>
  <c r="N25" i="7"/>
  <c r="O25" i="7" s="1"/>
  <c r="L25" i="7"/>
  <c r="I25" i="7"/>
  <c r="H25" i="7"/>
  <c r="F25" i="7"/>
  <c r="C25" i="7"/>
  <c r="AD24" i="7"/>
  <c r="AC24" i="7"/>
  <c r="AA24" i="7"/>
  <c r="W24" i="7"/>
  <c r="X24" i="7" s="1"/>
  <c r="U24" i="7"/>
  <c r="R24" i="7"/>
  <c r="N24" i="7"/>
  <c r="O24" i="7" s="1"/>
  <c r="L24" i="7"/>
  <c r="I24" i="7"/>
  <c r="H24" i="7"/>
  <c r="F24" i="7"/>
  <c r="C24" i="7"/>
  <c r="AC23" i="7"/>
  <c r="AD23" i="7" s="1"/>
  <c r="AA23" i="7"/>
  <c r="X23" i="7"/>
  <c r="W23" i="7"/>
  <c r="U23" i="7"/>
  <c r="R23" i="7"/>
  <c r="O23" i="7"/>
  <c r="N23" i="7"/>
  <c r="L23" i="7"/>
  <c r="H23" i="7"/>
  <c r="I23" i="7" s="1"/>
  <c r="F23" i="7"/>
  <c r="C23" i="7"/>
  <c r="AC22" i="7"/>
  <c r="AD22" i="7" s="1"/>
  <c r="AA22" i="7"/>
  <c r="W22" i="7"/>
  <c r="X22" i="7" s="1"/>
  <c r="U22" i="7"/>
  <c r="R22" i="7"/>
  <c r="N22" i="7"/>
  <c r="O22" i="7" s="1"/>
  <c r="L22" i="7"/>
  <c r="H22" i="7"/>
  <c r="I22" i="7" s="1"/>
  <c r="F22" i="7"/>
  <c r="C22" i="7"/>
  <c r="AD21" i="7"/>
  <c r="AC21" i="7"/>
  <c r="AA21" i="7"/>
  <c r="X21" i="7"/>
  <c r="W21" i="7"/>
  <c r="U21" i="7"/>
  <c r="R21" i="7"/>
  <c r="N21" i="7"/>
  <c r="O21" i="7" s="1"/>
  <c r="L21" i="7"/>
  <c r="I21" i="7"/>
  <c r="H21" i="7"/>
  <c r="F21" i="7"/>
  <c r="C21" i="7"/>
  <c r="AD19" i="7"/>
  <c r="AC19" i="7"/>
  <c r="AA19" i="7"/>
  <c r="W19" i="7"/>
  <c r="X19" i="7" s="1"/>
  <c r="U19" i="7"/>
  <c r="R19" i="7"/>
  <c r="O19" i="7"/>
  <c r="N19" i="7"/>
  <c r="L19" i="7"/>
  <c r="I19" i="7"/>
  <c r="H19" i="7"/>
  <c r="F19" i="7"/>
  <c r="C19" i="7"/>
  <c r="Z18" i="7"/>
  <c r="AA18" i="7" s="1"/>
  <c r="T18" i="7"/>
  <c r="U18" i="7" s="1"/>
  <c r="Q18" i="7"/>
  <c r="L18" i="7"/>
  <c r="K18" i="7"/>
  <c r="E18" i="7"/>
  <c r="C18" i="7"/>
  <c r="B18" i="7"/>
  <c r="N18" i="7" s="1"/>
  <c r="O18" i="7" s="1"/>
  <c r="AD17" i="7"/>
  <c r="AC17" i="7"/>
  <c r="AA17" i="7"/>
  <c r="X17" i="7"/>
  <c r="W17" i="7"/>
  <c r="U17" i="7"/>
  <c r="R17" i="7"/>
  <c r="O17" i="7"/>
  <c r="N17" i="7"/>
  <c r="L17" i="7"/>
  <c r="I17" i="7"/>
  <c r="H17" i="7"/>
  <c r="F17" i="7"/>
  <c r="C17" i="7"/>
  <c r="AD16" i="7"/>
  <c r="AC16" i="7"/>
  <c r="AA16" i="7"/>
  <c r="W16" i="7"/>
  <c r="X16" i="7" s="1"/>
  <c r="U16" i="7"/>
  <c r="R16" i="7"/>
  <c r="N16" i="7"/>
  <c r="O16" i="7" s="1"/>
  <c r="L16" i="7"/>
  <c r="I16" i="7"/>
  <c r="H16" i="7"/>
  <c r="F16" i="7"/>
  <c r="C16" i="7"/>
  <c r="AC15" i="7"/>
  <c r="AD15" i="7" s="1"/>
  <c r="AA15" i="7"/>
  <c r="W15" i="7"/>
  <c r="X15" i="7" s="1"/>
  <c r="U15" i="7"/>
  <c r="R15" i="7"/>
  <c r="O15" i="7"/>
  <c r="N15" i="7"/>
  <c r="L15" i="7"/>
  <c r="H15" i="7"/>
  <c r="I15" i="7" s="1"/>
  <c r="F15" i="7"/>
  <c r="C15" i="7"/>
  <c r="AC14" i="7"/>
  <c r="AD14" i="7" s="1"/>
  <c r="AA14" i="7"/>
  <c r="X14" i="7"/>
  <c r="W14" i="7"/>
  <c r="U14" i="7"/>
  <c r="R14" i="7"/>
  <c r="N14" i="7"/>
  <c r="O14" i="7" s="1"/>
  <c r="L14" i="7"/>
  <c r="H14" i="7"/>
  <c r="I14" i="7" s="1"/>
  <c r="F14" i="7"/>
  <c r="C14" i="7"/>
  <c r="AD13" i="7"/>
  <c r="AC13" i="7"/>
  <c r="AA13" i="7"/>
  <c r="X13" i="7"/>
  <c r="W13" i="7"/>
  <c r="U13" i="7"/>
  <c r="R13" i="7"/>
  <c r="O13" i="7"/>
  <c r="N13" i="7"/>
  <c r="L13" i="7"/>
  <c r="I13" i="7"/>
  <c r="H13" i="7"/>
  <c r="F13" i="7"/>
  <c r="C13" i="7"/>
  <c r="AC12" i="7"/>
  <c r="AD12" i="7" s="1"/>
  <c r="AA12" i="7"/>
  <c r="W12" i="7"/>
  <c r="X12" i="7" s="1"/>
  <c r="U12" i="7"/>
  <c r="R12" i="7"/>
  <c r="N12" i="7"/>
  <c r="O12" i="7" s="1"/>
  <c r="L12" i="7"/>
  <c r="I12" i="7"/>
  <c r="H12" i="7"/>
  <c r="F12" i="7"/>
  <c r="C12" i="7"/>
  <c r="AC11" i="7"/>
  <c r="AD11" i="7" s="1"/>
  <c r="AA11" i="7"/>
  <c r="W11" i="7"/>
  <c r="X11" i="7" s="1"/>
  <c r="U11" i="7"/>
  <c r="R11" i="7"/>
  <c r="O11" i="7"/>
  <c r="N11" i="7"/>
  <c r="L11" i="7"/>
  <c r="H11" i="7"/>
  <c r="I11" i="7" s="1"/>
  <c r="F11" i="7"/>
  <c r="C11" i="7"/>
  <c r="AC10" i="7"/>
  <c r="AD10" i="7" s="1"/>
  <c r="AA10" i="7"/>
  <c r="X10" i="7"/>
  <c r="W10" i="7"/>
  <c r="U10" i="7"/>
  <c r="R10" i="7"/>
  <c r="N10" i="7"/>
  <c r="O10" i="7" s="1"/>
  <c r="L10" i="7"/>
  <c r="H10" i="7"/>
  <c r="I10" i="7" s="1"/>
  <c r="F10" i="7"/>
  <c r="C10" i="7"/>
  <c r="AD8" i="7"/>
  <c r="AC8" i="7"/>
  <c r="AA8" i="7"/>
  <c r="X8" i="7"/>
  <c r="W8" i="7"/>
  <c r="U8" i="7"/>
  <c r="R8" i="7"/>
  <c r="O8" i="7"/>
  <c r="N8" i="7"/>
  <c r="L8" i="7"/>
  <c r="H8" i="7"/>
  <c r="I8" i="7" s="1"/>
  <c r="F8" i="7"/>
  <c r="C8" i="7"/>
  <c r="AC444" i="6"/>
  <c r="AD426" i="6" s="1"/>
  <c r="W444" i="6"/>
  <c r="N444" i="6"/>
  <c r="H444" i="6"/>
  <c r="AC442" i="6"/>
  <c r="AD442" i="6" s="1"/>
  <c r="AA442" i="6"/>
  <c r="Z442" i="6"/>
  <c r="X442" i="6"/>
  <c r="W442" i="6"/>
  <c r="T442" i="6"/>
  <c r="U442" i="6" s="1"/>
  <c r="Q442" i="6"/>
  <c r="R442" i="6" s="1"/>
  <c r="O442" i="6"/>
  <c r="L442" i="6"/>
  <c r="K442" i="6"/>
  <c r="H442" i="6"/>
  <c r="I442" i="6" s="1"/>
  <c r="F442" i="6"/>
  <c r="E442" i="6"/>
  <c r="C442" i="6"/>
  <c r="B442" i="6"/>
  <c r="N442" i="6" s="1"/>
  <c r="AC441" i="6"/>
  <c r="AD441" i="6" s="1"/>
  <c r="Z441" i="6"/>
  <c r="AA441" i="6" s="1"/>
  <c r="W441" i="6"/>
  <c r="X441" i="6" s="1"/>
  <c r="U441" i="6"/>
  <c r="T441" i="6"/>
  <c r="Q441" i="6"/>
  <c r="R441" i="6" s="1"/>
  <c r="N441" i="6"/>
  <c r="O441" i="6" s="1"/>
  <c r="K441" i="6"/>
  <c r="L441" i="6" s="1"/>
  <c r="E441" i="6"/>
  <c r="F441" i="6" s="1"/>
  <c r="B441" i="6"/>
  <c r="AD440" i="6"/>
  <c r="AC440" i="6"/>
  <c r="AA440" i="6"/>
  <c r="X440" i="6"/>
  <c r="W440" i="6"/>
  <c r="U440" i="6"/>
  <c r="R440" i="6"/>
  <c r="O440" i="6"/>
  <c r="N440" i="6"/>
  <c r="L440" i="6"/>
  <c r="H440" i="6"/>
  <c r="I440" i="6" s="1"/>
  <c r="F440" i="6"/>
  <c r="C440" i="6"/>
  <c r="AC439" i="6"/>
  <c r="AD439" i="6" s="1"/>
  <c r="AA439" i="6"/>
  <c r="X439" i="6"/>
  <c r="W439" i="6"/>
  <c r="U439" i="6"/>
  <c r="R439" i="6"/>
  <c r="O439" i="6"/>
  <c r="N439" i="6"/>
  <c r="L439" i="6"/>
  <c r="I439" i="6"/>
  <c r="H439" i="6"/>
  <c r="F439" i="6"/>
  <c r="C439" i="6"/>
  <c r="AD438" i="6"/>
  <c r="AC438" i="6"/>
  <c r="AA438" i="6"/>
  <c r="X438" i="6"/>
  <c r="W438" i="6"/>
  <c r="U438" i="6"/>
  <c r="R438" i="6"/>
  <c r="N438" i="6"/>
  <c r="O438" i="6" s="1"/>
  <c r="L438" i="6"/>
  <c r="H438" i="6"/>
  <c r="I438" i="6" s="1"/>
  <c r="F438" i="6"/>
  <c r="C438" i="6"/>
  <c r="AD437" i="6"/>
  <c r="AC437" i="6"/>
  <c r="AA437" i="6"/>
  <c r="X437" i="6"/>
  <c r="W437" i="6"/>
  <c r="U437" i="6"/>
  <c r="R437" i="6"/>
  <c r="O437" i="6"/>
  <c r="N437" i="6"/>
  <c r="L437" i="6"/>
  <c r="H437" i="6"/>
  <c r="I437" i="6" s="1"/>
  <c r="F437" i="6"/>
  <c r="C437" i="6"/>
  <c r="AD436" i="6"/>
  <c r="AC436" i="6"/>
  <c r="AA436" i="6"/>
  <c r="W436" i="6"/>
  <c r="X436" i="6" s="1"/>
  <c r="U436" i="6"/>
  <c r="R436" i="6"/>
  <c r="N436" i="6"/>
  <c r="O436" i="6" s="1"/>
  <c r="L436" i="6"/>
  <c r="I436" i="6"/>
  <c r="H436" i="6"/>
  <c r="F436" i="6"/>
  <c r="C436" i="6"/>
  <c r="AC435" i="6"/>
  <c r="AA435" i="6"/>
  <c r="W435" i="6"/>
  <c r="X435" i="6" s="1"/>
  <c r="U435" i="6"/>
  <c r="R435" i="6"/>
  <c r="O435" i="6"/>
  <c r="N435" i="6"/>
  <c r="L435" i="6"/>
  <c r="H435" i="6"/>
  <c r="I435" i="6" s="1"/>
  <c r="F435" i="6"/>
  <c r="C435" i="6"/>
  <c r="AC434" i="6"/>
  <c r="AD434" i="6" s="1"/>
  <c r="AA434" i="6"/>
  <c r="X434" i="6"/>
  <c r="W434" i="6"/>
  <c r="U434" i="6"/>
  <c r="R434" i="6"/>
  <c r="O434" i="6"/>
  <c r="N434" i="6"/>
  <c r="L434" i="6"/>
  <c r="H434" i="6"/>
  <c r="I434" i="6" s="1"/>
  <c r="F434" i="6"/>
  <c r="C434" i="6"/>
  <c r="AC433" i="6"/>
  <c r="AD433" i="6" s="1"/>
  <c r="AA433" i="6"/>
  <c r="W433" i="6"/>
  <c r="X433" i="6" s="1"/>
  <c r="U433" i="6"/>
  <c r="R433" i="6"/>
  <c r="N433" i="6"/>
  <c r="O433" i="6" s="1"/>
  <c r="L433" i="6"/>
  <c r="I433" i="6"/>
  <c r="H433" i="6"/>
  <c r="F433" i="6"/>
  <c r="C433" i="6"/>
  <c r="AC432" i="6"/>
  <c r="AA432" i="6"/>
  <c r="X432" i="6"/>
  <c r="W432" i="6"/>
  <c r="U432" i="6"/>
  <c r="R432" i="6"/>
  <c r="O432" i="6"/>
  <c r="N432" i="6"/>
  <c r="L432" i="6"/>
  <c r="I432" i="6"/>
  <c r="H432" i="6"/>
  <c r="F432" i="6"/>
  <c r="C432" i="6"/>
  <c r="AA429" i="6"/>
  <c r="Z429" i="6"/>
  <c r="X429" i="6"/>
  <c r="W429" i="6"/>
  <c r="U429" i="6"/>
  <c r="T429" i="6"/>
  <c r="R429" i="6"/>
  <c r="Q429" i="6"/>
  <c r="AC429" i="6" s="1"/>
  <c r="AD429" i="6" s="1"/>
  <c r="K429" i="6"/>
  <c r="L429" i="6" s="1"/>
  <c r="I429" i="6"/>
  <c r="F429" i="6"/>
  <c r="E429" i="6"/>
  <c r="H429" i="6" s="1"/>
  <c r="C429" i="6"/>
  <c r="B429" i="6"/>
  <c r="AA428" i="6"/>
  <c r="Z428" i="6"/>
  <c r="U428" i="6"/>
  <c r="T428" i="6"/>
  <c r="Q428" i="6"/>
  <c r="R428" i="6" s="1"/>
  <c r="L428" i="6"/>
  <c r="K428" i="6"/>
  <c r="E428" i="6"/>
  <c r="F428" i="6" s="1"/>
  <c r="C428" i="6"/>
  <c r="B428" i="6"/>
  <c r="AC427" i="6"/>
  <c r="AD427" i="6" s="1"/>
  <c r="AA427" i="6"/>
  <c r="W427" i="6"/>
  <c r="X427" i="6" s="1"/>
  <c r="U427" i="6"/>
  <c r="R427" i="6"/>
  <c r="N427" i="6"/>
  <c r="O427" i="6" s="1"/>
  <c r="L427" i="6"/>
  <c r="I427" i="6"/>
  <c r="H427" i="6"/>
  <c r="F427" i="6"/>
  <c r="C427" i="6"/>
  <c r="AC426" i="6"/>
  <c r="AA426" i="6"/>
  <c r="X426" i="6"/>
  <c r="W426" i="6"/>
  <c r="U426" i="6"/>
  <c r="R426" i="6"/>
  <c r="O426" i="6"/>
  <c r="N426" i="6"/>
  <c r="L426" i="6"/>
  <c r="I426" i="6"/>
  <c r="H426" i="6"/>
  <c r="F426" i="6"/>
  <c r="C426" i="6"/>
  <c r="AD425" i="6"/>
  <c r="AC425" i="6"/>
  <c r="AA425" i="6"/>
  <c r="W425" i="6"/>
  <c r="X425" i="6" s="1"/>
  <c r="U425" i="6"/>
  <c r="R425" i="6"/>
  <c r="N425" i="6"/>
  <c r="O425" i="6" s="1"/>
  <c r="L425" i="6"/>
  <c r="I425" i="6"/>
  <c r="H425" i="6"/>
  <c r="F425" i="6"/>
  <c r="C425" i="6"/>
  <c r="AC424" i="6"/>
  <c r="AA424" i="6"/>
  <c r="W424" i="6"/>
  <c r="X424" i="6" s="1"/>
  <c r="U424" i="6"/>
  <c r="R424" i="6"/>
  <c r="O424" i="6"/>
  <c r="N424" i="6"/>
  <c r="L424" i="6"/>
  <c r="H424" i="6"/>
  <c r="I424" i="6" s="1"/>
  <c r="F424" i="6"/>
  <c r="C424" i="6"/>
  <c r="AD423" i="6"/>
  <c r="AC423" i="6"/>
  <c r="AA423" i="6"/>
  <c r="W423" i="6"/>
  <c r="X423" i="6" s="1"/>
  <c r="U423" i="6"/>
  <c r="R423" i="6"/>
  <c r="O423" i="6"/>
  <c r="N423" i="6"/>
  <c r="L423" i="6"/>
  <c r="I423" i="6"/>
  <c r="H423" i="6"/>
  <c r="F423" i="6"/>
  <c r="C423" i="6"/>
  <c r="AC422" i="6"/>
  <c r="AD422" i="6" s="1"/>
  <c r="AA422" i="6"/>
  <c r="X422" i="6"/>
  <c r="W422" i="6"/>
  <c r="U422" i="6"/>
  <c r="R422" i="6"/>
  <c r="N422" i="6"/>
  <c r="O422" i="6" s="1"/>
  <c r="L422" i="6"/>
  <c r="I422" i="6"/>
  <c r="H422" i="6"/>
  <c r="F422" i="6"/>
  <c r="C422" i="6"/>
  <c r="AD421" i="6"/>
  <c r="AC421" i="6"/>
  <c r="AA421" i="6"/>
  <c r="X421" i="6"/>
  <c r="W421" i="6"/>
  <c r="U421" i="6"/>
  <c r="R421" i="6"/>
  <c r="N421" i="6"/>
  <c r="O421" i="6" s="1"/>
  <c r="L421" i="6"/>
  <c r="H421" i="6"/>
  <c r="I421" i="6" s="1"/>
  <c r="F421" i="6"/>
  <c r="C421" i="6"/>
  <c r="AD420" i="6"/>
  <c r="AC420" i="6"/>
  <c r="AA420" i="6"/>
  <c r="X420" i="6"/>
  <c r="W420" i="6"/>
  <c r="U420" i="6"/>
  <c r="R420" i="6"/>
  <c r="O420" i="6"/>
  <c r="N420" i="6"/>
  <c r="L420" i="6"/>
  <c r="H420" i="6"/>
  <c r="I420" i="6" s="1"/>
  <c r="F420" i="6"/>
  <c r="C420" i="6"/>
  <c r="AD419" i="6"/>
  <c r="AC419" i="6"/>
  <c r="AA419" i="6"/>
  <c r="W419" i="6"/>
  <c r="X419" i="6" s="1"/>
  <c r="U419" i="6"/>
  <c r="R419" i="6"/>
  <c r="N419" i="6"/>
  <c r="O419" i="6" s="1"/>
  <c r="L419" i="6"/>
  <c r="I419" i="6"/>
  <c r="H419" i="6"/>
  <c r="F419" i="6"/>
  <c r="C419" i="6"/>
  <c r="AD418" i="6"/>
  <c r="AC418" i="6"/>
  <c r="AA418" i="6"/>
  <c r="X418" i="6"/>
  <c r="W418" i="6"/>
  <c r="U418" i="6"/>
  <c r="R418" i="6"/>
  <c r="N418" i="6"/>
  <c r="O418" i="6" s="1"/>
  <c r="L418" i="6"/>
  <c r="H418" i="6"/>
  <c r="I418" i="6" s="1"/>
  <c r="F418" i="6"/>
  <c r="C418" i="6"/>
  <c r="AC417" i="6"/>
  <c r="AD417" i="6" s="1"/>
  <c r="AA417" i="6"/>
  <c r="W417" i="6"/>
  <c r="X417" i="6" s="1"/>
  <c r="U417" i="6"/>
  <c r="R417" i="6"/>
  <c r="N417" i="6"/>
  <c r="O417" i="6" s="1"/>
  <c r="L417" i="6"/>
  <c r="H417" i="6"/>
  <c r="I417" i="6" s="1"/>
  <c r="F417" i="6"/>
  <c r="C417" i="6"/>
  <c r="AD416" i="6"/>
  <c r="AC416" i="6"/>
  <c r="AA416" i="6"/>
  <c r="W416" i="6"/>
  <c r="X416" i="6" s="1"/>
  <c r="U416" i="6"/>
  <c r="R416" i="6"/>
  <c r="N416" i="6"/>
  <c r="O416" i="6" s="1"/>
  <c r="L416" i="6"/>
  <c r="I416" i="6"/>
  <c r="H416" i="6"/>
  <c r="F416" i="6"/>
  <c r="C416" i="6"/>
  <c r="AC415" i="6"/>
  <c r="AD415" i="6" s="1"/>
  <c r="AA415" i="6"/>
  <c r="W415" i="6"/>
  <c r="X415" i="6" s="1"/>
  <c r="U415" i="6"/>
  <c r="R415" i="6"/>
  <c r="N415" i="6"/>
  <c r="O415" i="6" s="1"/>
  <c r="L415" i="6"/>
  <c r="I415" i="6"/>
  <c r="H415" i="6"/>
  <c r="F415" i="6"/>
  <c r="C415" i="6"/>
  <c r="AC414" i="6"/>
  <c r="AD414" i="6" s="1"/>
  <c r="AA414" i="6"/>
  <c r="W414" i="6"/>
  <c r="X414" i="6" s="1"/>
  <c r="U414" i="6"/>
  <c r="R414" i="6"/>
  <c r="O414" i="6"/>
  <c r="N414" i="6"/>
  <c r="L414" i="6"/>
  <c r="I414" i="6"/>
  <c r="H414" i="6"/>
  <c r="F414" i="6"/>
  <c r="C414" i="6"/>
  <c r="AC413" i="6"/>
  <c r="AD413" i="6" s="1"/>
  <c r="AA413" i="6"/>
  <c r="W413" i="6"/>
  <c r="X413" i="6" s="1"/>
  <c r="U413" i="6"/>
  <c r="R413" i="6"/>
  <c r="N413" i="6"/>
  <c r="O413" i="6" s="1"/>
  <c r="L413" i="6"/>
  <c r="I413" i="6"/>
  <c r="H413" i="6"/>
  <c r="F413" i="6"/>
  <c r="C413" i="6"/>
  <c r="AC412" i="6"/>
  <c r="AA412" i="6"/>
  <c r="X412" i="6"/>
  <c r="W412" i="6"/>
  <c r="U412" i="6"/>
  <c r="R412" i="6"/>
  <c r="O412" i="6"/>
  <c r="N412" i="6"/>
  <c r="L412" i="6"/>
  <c r="H412" i="6"/>
  <c r="I412" i="6" s="1"/>
  <c r="F412" i="6"/>
  <c r="C412" i="6"/>
  <c r="AC411" i="6"/>
  <c r="AD411" i="6" s="1"/>
  <c r="AA411" i="6"/>
  <c r="W411" i="6"/>
  <c r="X411" i="6" s="1"/>
  <c r="U411" i="6"/>
  <c r="R411" i="6"/>
  <c r="O411" i="6"/>
  <c r="N411" i="6"/>
  <c r="L411" i="6"/>
  <c r="I411" i="6"/>
  <c r="H411" i="6"/>
  <c r="F411" i="6"/>
  <c r="C411" i="6"/>
  <c r="AC410" i="6"/>
  <c r="AD410" i="6" s="1"/>
  <c r="AA410" i="6"/>
  <c r="W410" i="6"/>
  <c r="X410" i="6" s="1"/>
  <c r="U410" i="6"/>
  <c r="R410" i="6"/>
  <c r="N410" i="6"/>
  <c r="O410" i="6" s="1"/>
  <c r="L410" i="6"/>
  <c r="H410" i="6"/>
  <c r="I410" i="6" s="1"/>
  <c r="F410" i="6"/>
  <c r="C410" i="6"/>
  <c r="AD409" i="6"/>
  <c r="AC409" i="6"/>
  <c r="AA409" i="6"/>
  <c r="X409" i="6"/>
  <c r="W409" i="6"/>
  <c r="U409" i="6"/>
  <c r="R409" i="6"/>
  <c r="N409" i="6"/>
  <c r="O409" i="6" s="1"/>
  <c r="L409" i="6"/>
  <c r="H409" i="6"/>
  <c r="I409" i="6" s="1"/>
  <c r="F409" i="6"/>
  <c r="C409" i="6"/>
  <c r="AD408" i="6"/>
  <c r="AC408" i="6"/>
  <c r="AA408" i="6"/>
  <c r="X408" i="6"/>
  <c r="W408" i="6"/>
  <c r="U408" i="6"/>
  <c r="R408" i="6"/>
  <c r="N408" i="6"/>
  <c r="O408" i="6" s="1"/>
  <c r="L408" i="6"/>
  <c r="H408" i="6"/>
  <c r="I408" i="6" s="1"/>
  <c r="F408" i="6"/>
  <c r="C408" i="6"/>
  <c r="AD407" i="6"/>
  <c r="AC407" i="6"/>
  <c r="AA407" i="6"/>
  <c r="W407" i="6"/>
  <c r="X407" i="6" s="1"/>
  <c r="U407" i="6"/>
  <c r="R407" i="6"/>
  <c r="N407" i="6"/>
  <c r="O407" i="6" s="1"/>
  <c r="L407" i="6"/>
  <c r="I407" i="6"/>
  <c r="H407" i="6"/>
  <c r="F407" i="6"/>
  <c r="C407" i="6"/>
  <c r="AA403" i="6"/>
  <c r="Z403" i="6"/>
  <c r="W403" i="6"/>
  <c r="X403" i="6" s="1"/>
  <c r="T403" i="6"/>
  <c r="U403" i="6" s="1"/>
  <c r="R403" i="6"/>
  <c r="Q403" i="6"/>
  <c r="AC403" i="6" s="1"/>
  <c r="AD403" i="6" s="1"/>
  <c r="K403" i="6"/>
  <c r="L403" i="6" s="1"/>
  <c r="H403" i="6"/>
  <c r="I403" i="6" s="1"/>
  <c r="F403" i="6"/>
  <c r="E403" i="6"/>
  <c r="C403" i="6"/>
  <c r="B403" i="6"/>
  <c r="AC402" i="6"/>
  <c r="AD402" i="6" s="1"/>
  <c r="AA402" i="6"/>
  <c r="X402" i="6"/>
  <c r="W402" i="6"/>
  <c r="U402" i="6"/>
  <c r="R402" i="6"/>
  <c r="N402" i="6"/>
  <c r="O402" i="6" s="1"/>
  <c r="L402" i="6"/>
  <c r="H402" i="6"/>
  <c r="I402" i="6" s="1"/>
  <c r="F402" i="6"/>
  <c r="C402" i="6"/>
  <c r="AD401" i="6"/>
  <c r="AC401" i="6"/>
  <c r="AA401" i="6"/>
  <c r="X401" i="6"/>
  <c r="W401" i="6"/>
  <c r="U401" i="6"/>
  <c r="R401" i="6"/>
  <c r="N401" i="6"/>
  <c r="O401" i="6" s="1"/>
  <c r="L401" i="6"/>
  <c r="H401" i="6"/>
  <c r="I401" i="6" s="1"/>
  <c r="F401" i="6"/>
  <c r="C401" i="6"/>
  <c r="AD400" i="6"/>
  <c r="AC400" i="6"/>
  <c r="AA400" i="6"/>
  <c r="X400" i="6"/>
  <c r="W400" i="6"/>
  <c r="U400" i="6"/>
  <c r="R400" i="6"/>
  <c r="N400" i="6"/>
  <c r="O400" i="6" s="1"/>
  <c r="L400" i="6"/>
  <c r="I400" i="6"/>
  <c r="H400" i="6"/>
  <c r="F400" i="6"/>
  <c r="C400" i="6"/>
  <c r="AD399" i="6"/>
  <c r="AC399" i="6"/>
  <c r="AA399" i="6"/>
  <c r="W399" i="6"/>
  <c r="X399" i="6" s="1"/>
  <c r="U399" i="6"/>
  <c r="R399" i="6"/>
  <c r="N399" i="6"/>
  <c r="O399" i="6" s="1"/>
  <c r="L399" i="6"/>
  <c r="I399" i="6"/>
  <c r="H399" i="6"/>
  <c r="F399" i="6"/>
  <c r="C399" i="6"/>
  <c r="AD398" i="6"/>
  <c r="AC398" i="6"/>
  <c r="AA398" i="6"/>
  <c r="X398" i="6"/>
  <c r="W398" i="6"/>
  <c r="U398" i="6"/>
  <c r="R398" i="6"/>
  <c r="N398" i="6"/>
  <c r="O398" i="6" s="1"/>
  <c r="L398" i="6"/>
  <c r="H398" i="6"/>
  <c r="I398" i="6" s="1"/>
  <c r="F398" i="6"/>
  <c r="C398" i="6"/>
  <c r="AD397" i="6"/>
  <c r="AC397" i="6"/>
  <c r="AA397" i="6"/>
  <c r="W397" i="6"/>
  <c r="X397" i="6" s="1"/>
  <c r="U397" i="6"/>
  <c r="R397" i="6"/>
  <c r="N397" i="6"/>
  <c r="O397" i="6" s="1"/>
  <c r="L397" i="6"/>
  <c r="I397" i="6"/>
  <c r="H397" i="6"/>
  <c r="F397" i="6"/>
  <c r="C397" i="6"/>
  <c r="Z396" i="6"/>
  <c r="AA396" i="6" s="1"/>
  <c r="X396" i="6"/>
  <c r="W396" i="6"/>
  <c r="U396" i="6"/>
  <c r="T396" i="6"/>
  <c r="R396" i="6"/>
  <c r="Q396" i="6"/>
  <c r="AC396" i="6" s="1"/>
  <c r="AD396" i="6" s="1"/>
  <c r="L396" i="6"/>
  <c r="K396" i="6"/>
  <c r="F396" i="6"/>
  <c r="E396" i="6"/>
  <c r="B396" i="6"/>
  <c r="AD395" i="6"/>
  <c r="AC395" i="6"/>
  <c r="AA395" i="6"/>
  <c r="W395" i="6"/>
  <c r="X395" i="6" s="1"/>
  <c r="U395" i="6"/>
  <c r="R395" i="6"/>
  <c r="N395" i="6"/>
  <c r="O395" i="6" s="1"/>
  <c r="L395" i="6"/>
  <c r="I395" i="6"/>
  <c r="H395" i="6"/>
  <c r="F395" i="6"/>
  <c r="C395" i="6"/>
  <c r="AC394" i="6"/>
  <c r="AD394" i="6" s="1"/>
  <c r="AA394" i="6"/>
  <c r="W394" i="6"/>
  <c r="X394" i="6" s="1"/>
  <c r="U394" i="6"/>
  <c r="R394" i="6"/>
  <c r="N394" i="6"/>
  <c r="O394" i="6" s="1"/>
  <c r="L394" i="6"/>
  <c r="I394" i="6"/>
  <c r="H394" i="6"/>
  <c r="F394" i="6"/>
  <c r="C394" i="6"/>
  <c r="Z393" i="6"/>
  <c r="AA393" i="6" s="1"/>
  <c r="W393" i="6"/>
  <c r="X393" i="6" s="1"/>
  <c r="U393" i="6"/>
  <c r="T393" i="6"/>
  <c r="R393" i="6"/>
  <c r="Q393" i="6"/>
  <c r="K393" i="6"/>
  <c r="L393" i="6" s="1"/>
  <c r="F393" i="6"/>
  <c r="E393" i="6"/>
  <c r="B393" i="6"/>
  <c r="C393" i="6" s="1"/>
  <c r="AC392" i="6"/>
  <c r="AD392" i="6" s="1"/>
  <c r="AA392" i="6"/>
  <c r="X392" i="6"/>
  <c r="W392" i="6"/>
  <c r="U392" i="6"/>
  <c r="R392" i="6"/>
  <c r="O392" i="6"/>
  <c r="N392" i="6"/>
  <c r="L392" i="6"/>
  <c r="H392" i="6"/>
  <c r="I392" i="6" s="1"/>
  <c r="F392" i="6"/>
  <c r="C392" i="6"/>
  <c r="AC391" i="6"/>
  <c r="AD391" i="6" s="1"/>
  <c r="AA391" i="6"/>
  <c r="X391" i="6"/>
  <c r="W391" i="6"/>
  <c r="U391" i="6"/>
  <c r="R391" i="6"/>
  <c r="N391" i="6"/>
  <c r="O391" i="6" s="1"/>
  <c r="L391" i="6"/>
  <c r="I391" i="6"/>
  <c r="H391" i="6"/>
  <c r="F391" i="6"/>
  <c r="C391" i="6"/>
  <c r="AD390" i="6"/>
  <c r="AC390" i="6"/>
  <c r="AA390" i="6"/>
  <c r="W390" i="6"/>
  <c r="X390" i="6" s="1"/>
  <c r="U390" i="6"/>
  <c r="R390" i="6"/>
  <c r="N390" i="6"/>
  <c r="O390" i="6" s="1"/>
  <c r="L390" i="6"/>
  <c r="H390" i="6"/>
  <c r="I390" i="6" s="1"/>
  <c r="F390" i="6"/>
  <c r="C390" i="6"/>
  <c r="AC389" i="6"/>
  <c r="AD389" i="6" s="1"/>
  <c r="AA389" i="6"/>
  <c r="W389" i="6"/>
  <c r="X389" i="6" s="1"/>
  <c r="U389" i="6"/>
  <c r="R389" i="6"/>
  <c r="O389" i="6"/>
  <c r="N389" i="6"/>
  <c r="L389" i="6"/>
  <c r="I389" i="6"/>
  <c r="H389" i="6"/>
  <c r="F389" i="6"/>
  <c r="C389" i="6"/>
  <c r="AC388" i="6"/>
  <c r="AD388" i="6" s="1"/>
  <c r="AA388" i="6"/>
  <c r="W388" i="6"/>
  <c r="X388" i="6" s="1"/>
  <c r="U388" i="6"/>
  <c r="R388" i="6"/>
  <c r="N388" i="6"/>
  <c r="O388" i="6" s="1"/>
  <c r="L388" i="6"/>
  <c r="H388" i="6"/>
  <c r="I388" i="6" s="1"/>
  <c r="F388" i="6"/>
  <c r="C388" i="6"/>
  <c r="AD386" i="6"/>
  <c r="AC386" i="6"/>
  <c r="AA386" i="6"/>
  <c r="X386" i="6"/>
  <c r="W386" i="6"/>
  <c r="U386" i="6"/>
  <c r="R386" i="6"/>
  <c r="N386" i="6"/>
  <c r="O386" i="6" s="1"/>
  <c r="L386" i="6"/>
  <c r="H386" i="6"/>
  <c r="I386" i="6" s="1"/>
  <c r="F386" i="6"/>
  <c r="C386" i="6"/>
  <c r="AD385" i="6"/>
  <c r="AC385" i="6"/>
  <c r="AA385" i="6"/>
  <c r="X385" i="6"/>
  <c r="W385" i="6"/>
  <c r="U385" i="6"/>
  <c r="R385" i="6"/>
  <c r="N385" i="6"/>
  <c r="O385" i="6" s="1"/>
  <c r="L385" i="6"/>
  <c r="H385" i="6"/>
  <c r="I385" i="6" s="1"/>
  <c r="F385" i="6"/>
  <c r="C385" i="6"/>
  <c r="AD383" i="6"/>
  <c r="AC383" i="6"/>
  <c r="AA383" i="6"/>
  <c r="W383" i="6"/>
  <c r="X383" i="6" s="1"/>
  <c r="U383" i="6"/>
  <c r="R383" i="6"/>
  <c r="N383" i="6"/>
  <c r="O383" i="6" s="1"/>
  <c r="L383" i="6"/>
  <c r="I383" i="6"/>
  <c r="H383" i="6"/>
  <c r="F383" i="6"/>
  <c r="C383" i="6"/>
  <c r="AD382" i="6"/>
  <c r="AC382" i="6"/>
  <c r="AA382" i="6"/>
  <c r="X382" i="6"/>
  <c r="W382" i="6"/>
  <c r="U382" i="6"/>
  <c r="R382" i="6"/>
  <c r="N382" i="6"/>
  <c r="O382" i="6" s="1"/>
  <c r="L382" i="6"/>
  <c r="H382" i="6"/>
  <c r="I382" i="6" s="1"/>
  <c r="F382" i="6"/>
  <c r="C382" i="6"/>
  <c r="AD381" i="6"/>
  <c r="AC381" i="6"/>
  <c r="AA381" i="6"/>
  <c r="W381" i="6"/>
  <c r="X381" i="6" s="1"/>
  <c r="U381" i="6"/>
  <c r="R381" i="6"/>
  <c r="N381" i="6"/>
  <c r="O381" i="6" s="1"/>
  <c r="L381" i="6"/>
  <c r="I381" i="6"/>
  <c r="H381" i="6"/>
  <c r="F381" i="6"/>
  <c r="C381" i="6"/>
  <c r="AD380" i="6"/>
  <c r="AC380" i="6"/>
  <c r="AA380" i="6"/>
  <c r="W380" i="6"/>
  <c r="X380" i="6" s="1"/>
  <c r="U380" i="6"/>
  <c r="R380" i="6"/>
  <c r="O380" i="6"/>
  <c r="N380" i="6"/>
  <c r="L380" i="6"/>
  <c r="H380" i="6"/>
  <c r="I380" i="6" s="1"/>
  <c r="F380" i="6"/>
  <c r="C380" i="6"/>
  <c r="AC379" i="6"/>
  <c r="AD379" i="6" s="1"/>
  <c r="AA379" i="6"/>
  <c r="W379" i="6"/>
  <c r="X379" i="6" s="1"/>
  <c r="U379" i="6"/>
  <c r="R379" i="6"/>
  <c r="N379" i="6"/>
  <c r="O379" i="6" s="1"/>
  <c r="L379" i="6"/>
  <c r="I379" i="6"/>
  <c r="H379" i="6"/>
  <c r="F379" i="6"/>
  <c r="C379" i="6"/>
  <c r="AC378" i="6"/>
  <c r="AD378" i="6" s="1"/>
  <c r="AA378" i="6"/>
  <c r="W378" i="6"/>
  <c r="X378" i="6" s="1"/>
  <c r="U378" i="6"/>
  <c r="R378" i="6"/>
  <c r="N378" i="6"/>
  <c r="O378" i="6" s="1"/>
  <c r="L378" i="6"/>
  <c r="I378" i="6"/>
  <c r="H378" i="6"/>
  <c r="F378" i="6"/>
  <c r="C378" i="6"/>
  <c r="AC377" i="6"/>
  <c r="AD377" i="6" s="1"/>
  <c r="AA377" i="6"/>
  <c r="X377" i="6"/>
  <c r="W377" i="6"/>
  <c r="U377" i="6"/>
  <c r="R377" i="6"/>
  <c r="N377" i="6"/>
  <c r="O377" i="6" s="1"/>
  <c r="L377" i="6"/>
  <c r="I377" i="6"/>
  <c r="H377" i="6"/>
  <c r="F377" i="6"/>
  <c r="C377" i="6"/>
  <c r="AD376" i="6"/>
  <c r="AC376" i="6"/>
  <c r="AA376" i="6"/>
  <c r="W376" i="6"/>
  <c r="X376" i="6" s="1"/>
  <c r="U376" i="6"/>
  <c r="R376" i="6"/>
  <c r="O376" i="6"/>
  <c r="N376" i="6"/>
  <c r="L376" i="6"/>
  <c r="I376" i="6"/>
  <c r="H376" i="6"/>
  <c r="F376" i="6"/>
  <c r="C376" i="6"/>
  <c r="AC375" i="6"/>
  <c r="AD375" i="6" s="1"/>
  <c r="AA375" i="6"/>
  <c r="W375" i="6"/>
  <c r="X375" i="6" s="1"/>
  <c r="U375" i="6"/>
  <c r="R375" i="6"/>
  <c r="O375" i="6"/>
  <c r="N375" i="6"/>
  <c r="L375" i="6"/>
  <c r="I375" i="6"/>
  <c r="H375" i="6"/>
  <c r="F375" i="6"/>
  <c r="C375" i="6"/>
  <c r="AC374" i="6"/>
  <c r="AD374" i="6" s="1"/>
  <c r="AA374" i="6"/>
  <c r="X374" i="6"/>
  <c r="W374" i="6"/>
  <c r="U374" i="6"/>
  <c r="R374" i="6"/>
  <c r="O374" i="6"/>
  <c r="N374" i="6"/>
  <c r="L374" i="6"/>
  <c r="I374" i="6"/>
  <c r="H374" i="6"/>
  <c r="F374" i="6"/>
  <c r="C374" i="6"/>
  <c r="AC373" i="6"/>
  <c r="AD373" i="6" s="1"/>
  <c r="AA373" i="6"/>
  <c r="W373" i="6"/>
  <c r="X373" i="6" s="1"/>
  <c r="U373" i="6"/>
  <c r="R373" i="6"/>
  <c r="N373" i="6"/>
  <c r="O373" i="6" s="1"/>
  <c r="L373" i="6"/>
  <c r="I373" i="6"/>
  <c r="H373" i="6"/>
  <c r="F373" i="6"/>
  <c r="C373" i="6"/>
  <c r="AD372" i="6"/>
  <c r="AC372" i="6"/>
  <c r="AA372" i="6"/>
  <c r="W372" i="6"/>
  <c r="X372" i="6" s="1"/>
  <c r="U372" i="6"/>
  <c r="R372" i="6"/>
  <c r="N372" i="6"/>
  <c r="O372" i="6" s="1"/>
  <c r="L372" i="6"/>
  <c r="H372" i="6"/>
  <c r="I372" i="6" s="1"/>
  <c r="F372" i="6"/>
  <c r="C372" i="6"/>
  <c r="AD371" i="6"/>
  <c r="AC371" i="6"/>
  <c r="AA371" i="6"/>
  <c r="W371" i="6"/>
  <c r="X371" i="6" s="1"/>
  <c r="U371" i="6"/>
  <c r="R371" i="6"/>
  <c r="O371" i="6"/>
  <c r="N371" i="6"/>
  <c r="L371" i="6"/>
  <c r="I371" i="6"/>
  <c r="H371" i="6"/>
  <c r="F371" i="6"/>
  <c r="C371" i="6"/>
  <c r="AD370" i="6"/>
  <c r="AC370" i="6"/>
  <c r="AA370" i="6"/>
  <c r="X370" i="6"/>
  <c r="W370" i="6"/>
  <c r="U370" i="6"/>
  <c r="R370" i="6"/>
  <c r="N370" i="6"/>
  <c r="O370" i="6" s="1"/>
  <c r="L370" i="6"/>
  <c r="H370" i="6"/>
  <c r="I370" i="6" s="1"/>
  <c r="F370" i="6"/>
  <c r="C370" i="6"/>
  <c r="AD369" i="6"/>
  <c r="AC369" i="6"/>
  <c r="AA369" i="6"/>
  <c r="X369" i="6"/>
  <c r="W369" i="6"/>
  <c r="U369" i="6"/>
  <c r="R369" i="6"/>
  <c r="N369" i="6"/>
  <c r="O369" i="6" s="1"/>
  <c r="L369" i="6"/>
  <c r="H369" i="6"/>
  <c r="I369" i="6" s="1"/>
  <c r="F369" i="6"/>
  <c r="C369" i="6"/>
  <c r="AD368" i="6"/>
  <c r="Z368" i="6"/>
  <c r="AA368" i="6" s="1"/>
  <c r="X368" i="6"/>
  <c r="T368" i="6"/>
  <c r="W368" i="6" s="1"/>
  <c r="R368" i="6"/>
  <c r="Q368" i="6"/>
  <c r="AC368" i="6" s="1"/>
  <c r="L368" i="6"/>
  <c r="K368" i="6"/>
  <c r="H368" i="6"/>
  <c r="I368" i="6" s="1"/>
  <c r="F368" i="6"/>
  <c r="E368" i="6"/>
  <c r="C368" i="6"/>
  <c r="B368" i="6"/>
  <c r="N368" i="6" s="1"/>
  <c r="O368" i="6" s="1"/>
  <c r="AD367" i="6"/>
  <c r="AC367" i="6"/>
  <c r="AA367" i="6"/>
  <c r="X367" i="6"/>
  <c r="W367" i="6"/>
  <c r="U367" i="6"/>
  <c r="R367" i="6"/>
  <c r="N367" i="6"/>
  <c r="O367" i="6" s="1"/>
  <c r="L367" i="6"/>
  <c r="H367" i="6"/>
  <c r="I367" i="6" s="1"/>
  <c r="F367" i="6"/>
  <c r="C367" i="6"/>
  <c r="AD366" i="6"/>
  <c r="AC366" i="6"/>
  <c r="AA366" i="6"/>
  <c r="W366" i="6"/>
  <c r="X366" i="6" s="1"/>
  <c r="U366" i="6"/>
  <c r="R366" i="6"/>
  <c r="N366" i="6"/>
  <c r="O366" i="6" s="1"/>
  <c r="L366" i="6"/>
  <c r="I366" i="6"/>
  <c r="H366" i="6"/>
  <c r="F366" i="6"/>
  <c r="C366" i="6"/>
  <c r="AD365" i="6"/>
  <c r="AC365" i="6"/>
  <c r="AA365" i="6"/>
  <c r="W365" i="6"/>
  <c r="X365" i="6" s="1"/>
  <c r="U365" i="6"/>
  <c r="R365" i="6"/>
  <c r="O365" i="6"/>
  <c r="N365" i="6"/>
  <c r="L365" i="6"/>
  <c r="I365" i="6"/>
  <c r="H365" i="6"/>
  <c r="F365" i="6"/>
  <c r="C365" i="6"/>
  <c r="AC364" i="6"/>
  <c r="AD364" i="6" s="1"/>
  <c r="AA364" i="6"/>
  <c r="W364" i="6"/>
  <c r="X364" i="6" s="1"/>
  <c r="U364" i="6"/>
  <c r="R364" i="6"/>
  <c r="N364" i="6"/>
  <c r="O364" i="6" s="1"/>
  <c r="L364" i="6"/>
  <c r="I364" i="6"/>
  <c r="H364" i="6"/>
  <c r="F364" i="6"/>
  <c r="C364" i="6"/>
  <c r="AD363" i="6"/>
  <c r="AC363" i="6"/>
  <c r="AA363" i="6"/>
  <c r="W363" i="6"/>
  <c r="X363" i="6" s="1"/>
  <c r="U363" i="6"/>
  <c r="R363" i="6"/>
  <c r="N363" i="6"/>
  <c r="O363" i="6" s="1"/>
  <c r="L363" i="6"/>
  <c r="I363" i="6"/>
  <c r="H363" i="6"/>
  <c r="F363" i="6"/>
  <c r="C363" i="6"/>
  <c r="AC362" i="6"/>
  <c r="AD362" i="6" s="1"/>
  <c r="AA362" i="6"/>
  <c r="W362" i="6"/>
  <c r="X362" i="6" s="1"/>
  <c r="U362" i="6"/>
  <c r="R362" i="6"/>
  <c r="N362" i="6"/>
  <c r="O362" i="6" s="1"/>
  <c r="L362" i="6"/>
  <c r="I362" i="6"/>
  <c r="H362" i="6"/>
  <c r="F362" i="6"/>
  <c r="C362" i="6"/>
  <c r="AD361" i="6"/>
  <c r="AC361" i="6"/>
  <c r="AA361" i="6"/>
  <c r="W361" i="6"/>
  <c r="X361" i="6" s="1"/>
  <c r="U361" i="6"/>
  <c r="R361" i="6"/>
  <c r="O361" i="6"/>
  <c r="N361" i="6"/>
  <c r="L361" i="6"/>
  <c r="I361" i="6"/>
  <c r="H361" i="6"/>
  <c r="F361" i="6"/>
  <c r="C361" i="6"/>
  <c r="AC360" i="6"/>
  <c r="AD360" i="6" s="1"/>
  <c r="AA360" i="6"/>
  <c r="W360" i="6"/>
  <c r="X360" i="6" s="1"/>
  <c r="U360" i="6"/>
  <c r="R360" i="6"/>
  <c r="N360" i="6"/>
  <c r="O360" i="6" s="1"/>
  <c r="L360" i="6"/>
  <c r="I360" i="6"/>
  <c r="H360" i="6"/>
  <c r="F360" i="6"/>
  <c r="C360" i="6"/>
  <c r="Z358" i="6"/>
  <c r="T358" i="6"/>
  <c r="U358" i="6" s="1"/>
  <c r="R358" i="6"/>
  <c r="Q358" i="6"/>
  <c r="L358" i="6"/>
  <c r="K358" i="6"/>
  <c r="F358" i="6"/>
  <c r="E358" i="6"/>
  <c r="B358" i="6"/>
  <c r="H358" i="6" s="1"/>
  <c r="I358" i="6" s="1"/>
  <c r="AD357" i="6"/>
  <c r="AC357" i="6"/>
  <c r="AA357" i="6"/>
  <c r="W357" i="6"/>
  <c r="X357" i="6" s="1"/>
  <c r="U357" i="6"/>
  <c r="R357" i="6"/>
  <c r="O357" i="6"/>
  <c r="N357" i="6"/>
  <c r="L357" i="6"/>
  <c r="H357" i="6"/>
  <c r="I357" i="6" s="1"/>
  <c r="F357" i="6"/>
  <c r="C357" i="6"/>
  <c r="AD356" i="6"/>
  <c r="AC356" i="6"/>
  <c r="AA356" i="6"/>
  <c r="W356" i="6"/>
  <c r="X356" i="6" s="1"/>
  <c r="U356" i="6"/>
  <c r="R356" i="6"/>
  <c r="O356" i="6"/>
  <c r="N356" i="6"/>
  <c r="L356" i="6"/>
  <c r="I356" i="6"/>
  <c r="H356" i="6"/>
  <c r="F356" i="6"/>
  <c r="C356" i="6"/>
  <c r="AD355" i="6"/>
  <c r="AC355" i="6"/>
  <c r="AA355" i="6"/>
  <c r="X355" i="6"/>
  <c r="W355" i="6"/>
  <c r="U355" i="6"/>
  <c r="R355" i="6"/>
  <c r="N355" i="6"/>
  <c r="O355" i="6" s="1"/>
  <c r="L355" i="6"/>
  <c r="H355" i="6"/>
  <c r="I355" i="6" s="1"/>
  <c r="F355" i="6"/>
  <c r="C355" i="6"/>
  <c r="AD354" i="6"/>
  <c r="AC354" i="6"/>
  <c r="AA354" i="6"/>
  <c r="X354" i="6"/>
  <c r="W354" i="6"/>
  <c r="U354" i="6"/>
  <c r="R354" i="6"/>
  <c r="N354" i="6"/>
  <c r="O354" i="6" s="1"/>
  <c r="L354" i="6"/>
  <c r="H354" i="6"/>
  <c r="I354" i="6" s="1"/>
  <c r="F354" i="6"/>
  <c r="C354" i="6"/>
  <c r="AD353" i="6"/>
  <c r="AC353" i="6"/>
  <c r="AA353" i="6"/>
  <c r="X353" i="6"/>
  <c r="W353" i="6"/>
  <c r="U353" i="6"/>
  <c r="R353" i="6"/>
  <c r="N353" i="6"/>
  <c r="O353" i="6" s="1"/>
  <c r="L353" i="6"/>
  <c r="H353" i="6"/>
  <c r="I353" i="6" s="1"/>
  <c r="F353" i="6"/>
  <c r="C353" i="6"/>
  <c r="AD352" i="6"/>
  <c r="AC352" i="6"/>
  <c r="AA352" i="6"/>
  <c r="W352" i="6"/>
  <c r="X352" i="6" s="1"/>
  <c r="U352" i="6"/>
  <c r="R352" i="6"/>
  <c r="N352" i="6"/>
  <c r="O352" i="6" s="1"/>
  <c r="L352" i="6"/>
  <c r="H352" i="6"/>
  <c r="I352" i="6" s="1"/>
  <c r="F352" i="6"/>
  <c r="C352" i="6"/>
  <c r="AD351" i="6"/>
  <c r="AC351" i="6"/>
  <c r="AA351" i="6"/>
  <c r="X351" i="6"/>
  <c r="W351" i="6"/>
  <c r="U351" i="6"/>
  <c r="R351" i="6"/>
  <c r="N351" i="6"/>
  <c r="O351" i="6" s="1"/>
  <c r="L351" i="6"/>
  <c r="I351" i="6"/>
  <c r="H351" i="6"/>
  <c r="F351" i="6"/>
  <c r="C351" i="6"/>
  <c r="AC350" i="6"/>
  <c r="AD350" i="6" s="1"/>
  <c r="AA350" i="6"/>
  <c r="W350" i="6"/>
  <c r="X350" i="6" s="1"/>
  <c r="U350" i="6"/>
  <c r="R350" i="6"/>
  <c r="N350" i="6"/>
  <c r="O350" i="6" s="1"/>
  <c r="L350" i="6"/>
  <c r="I350" i="6"/>
  <c r="H350" i="6"/>
  <c r="F350" i="6"/>
  <c r="C350" i="6"/>
  <c r="AC349" i="6"/>
  <c r="AD349" i="6" s="1"/>
  <c r="AA349" i="6"/>
  <c r="X349" i="6"/>
  <c r="W349" i="6"/>
  <c r="U349" i="6"/>
  <c r="R349" i="6"/>
  <c r="O349" i="6"/>
  <c r="N349" i="6"/>
  <c r="L349" i="6"/>
  <c r="H349" i="6"/>
  <c r="I349" i="6" s="1"/>
  <c r="F349" i="6"/>
  <c r="C349" i="6"/>
  <c r="AD347" i="6"/>
  <c r="AC347" i="6"/>
  <c r="AA347" i="6"/>
  <c r="X347" i="6"/>
  <c r="W347" i="6"/>
  <c r="U347" i="6"/>
  <c r="R347" i="6"/>
  <c r="N347" i="6"/>
  <c r="O347" i="6" s="1"/>
  <c r="L347" i="6"/>
  <c r="H347" i="6"/>
  <c r="I347" i="6" s="1"/>
  <c r="F347" i="6"/>
  <c r="C347" i="6"/>
  <c r="Z344" i="6"/>
  <c r="AC344" i="6" s="1"/>
  <c r="AD344" i="6" s="1"/>
  <c r="T344" i="6"/>
  <c r="U344" i="6" s="1"/>
  <c r="Q344" i="6"/>
  <c r="L344" i="6"/>
  <c r="K344" i="6"/>
  <c r="E344" i="6"/>
  <c r="F344" i="6" s="1"/>
  <c r="B344" i="6"/>
  <c r="C344" i="6" s="1"/>
  <c r="Z343" i="6"/>
  <c r="AA343" i="6" s="1"/>
  <c r="T343" i="6"/>
  <c r="R343" i="6"/>
  <c r="Q343" i="6"/>
  <c r="K343" i="6"/>
  <c r="L343" i="6" s="1"/>
  <c r="F343" i="6"/>
  <c r="E343" i="6"/>
  <c r="B343" i="6"/>
  <c r="C343" i="6" s="1"/>
  <c r="AA342" i="6"/>
  <c r="Z342" i="6"/>
  <c r="U342" i="6"/>
  <c r="T342" i="6"/>
  <c r="Q342" i="6"/>
  <c r="AC342" i="6" s="1"/>
  <c r="AD342" i="6" s="1"/>
  <c r="L342" i="6"/>
  <c r="K342" i="6"/>
  <c r="H342" i="6"/>
  <c r="I342" i="6" s="1"/>
  <c r="E342" i="6"/>
  <c r="F342" i="6" s="1"/>
  <c r="B342" i="6"/>
  <c r="C342" i="6" s="1"/>
  <c r="AD341" i="6"/>
  <c r="AC341" i="6"/>
  <c r="AA341" i="6"/>
  <c r="X341" i="6"/>
  <c r="W341" i="6"/>
  <c r="U341" i="6"/>
  <c r="R341" i="6"/>
  <c r="O341" i="6"/>
  <c r="N341" i="6"/>
  <c r="L341" i="6"/>
  <c r="H341" i="6"/>
  <c r="I341" i="6" s="1"/>
  <c r="F341" i="6"/>
  <c r="C341" i="6"/>
  <c r="AC340" i="6"/>
  <c r="AD340" i="6" s="1"/>
  <c r="AA340" i="6"/>
  <c r="W340" i="6"/>
  <c r="X340" i="6" s="1"/>
  <c r="U340" i="6"/>
  <c r="R340" i="6"/>
  <c r="O340" i="6"/>
  <c r="N340" i="6"/>
  <c r="L340" i="6"/>
  <c r="I340" i="6"/>
  <c r="H340" i="6"/>
  <c r="F340" i="6"/>
  <c r="C340" i="6"/>
  <c r="AC339" i="6"/>
  <c r="AD339" i="6" s="1"/>
  <c r="AA339" i="6"/>
  <c r="W339" i="6"/>
  <c r="X339" i="6" s="1"/>
  <c r="U339" i="6"/>
  <c r="R339" i="6"/>
  <c r="O339" i="6"/>
  <c r="N339" i="6"/>
  <c r="L339" i="6"/>
  <c r="I339" i="6"/>
  <c r="H339" i="6"/>
  <c r="F339" i="6"/>
  <c r="C339" i="6"/>
  <c r="AC338" i="6"/>
  <c r="AD338" i="6" s="1"/>
  <c r="AA338" i="6"/>
  <c r="W338" i="6"/>
  <c r="X338" i="6" s="1"/>
  <c r="U338" i="6"/>
  <c r="R338" i="6"/>
  <c r="N338" i="6"/>
  <c r="O338" i="6" s="1"/>
  <c r="L338" i="6"/>
  <c r="H338" i="6"/>
  <c r="I338" i="6" s="1"/>
  <c r="F338" i="6"/>
  <c r="C338" i="6"/>
  <c r="AD337" i="6"/>
  <c r="AC337" i="6"/>
  <c r="AA337" i="6"/>
  <c r="X337" i="6"/>
  <c r="W337" i="6"/>
  <c r="U337" i="6"/>
  <c r="R337" i="6"/>
  <c r="N337" i="6"/>
  <c r="O337" i="6" s="1"/>
  <c r="L337" i="6"/>
  <c r="H337" i="6"/>
  <c r="I337" i="6" s="1"/>
  <c r="F337" i="6"/>
  <c r="C337" i="6"/>
  <c r="AC335" i="6"/>
  <c r="AD335" i="6" s="1"/>
  <c r="AA335" i="6"/>
  <c r="W335" i="6"/>
  <c r="X335" i="6" s="1"/>
  <c r="U335" i="6"/>
  <c r="R335" i="6"/>
  <c r="N335" i="6"/>
  <c r="O335" i="6" s="1"/>
  <c r="L335" i="6"/>
  <c r="I335" i="6"/>
  <c r="H335" i="6"/>
  <c r="F335" i="6"/>
  <c r="C335" i="6"/>
  <c r="AC334" i="6"/>
  <c r="AD334" i="6" s="1"/>
  <c r="AA334" i="6"/>
  <c r="X334" i="6"/>
  <c r="W334" i="6"/>
  <c r="U334" i="6"/>
  <c r="R334" i="6"/>
  <c r="O334" i="6"/>
  <c r="N334" i="6"/>
  <c r="L334" i="6"/>
  <c r="H334" i="6"/>
  <c r="I334" i="6" s="1"/>
  <c r="F334" i="6"/>
  <c r="C334" i="6"/>
  <c r="AD333" i="6"/>
  <c r="AC333" i="6"/>
  <c r="AA333" i="6"/>
  <c r="X333" i="6"/>
  <c r="W333" i="6"/>
  <c r="U333" i="6"/>
  <c r="R333" i="6"/>
  <c r="N333" i="6"/>
  <c r="O333" i="6" s="1"/>
  <c r="L333" i="6"/>
  <c r="H333" i="6"/>
  <c r="I333" i="6" s="1"/>
  <c r="F333" i="6"/>
  <c r="C333" i="6"/>
  <c r="AD332" i="6"/>
  <c r="AC332" i="6"/>
  <c r="AA332" i="6"/>
  <c r="X332" i="6"/>
  <c r="W332" i="6"/>
  <c r="U332" i="6"/>
  <c r="R332" i="6"/>
  <c r="O332" i="6"/>
  <c r="N332" i="6"/>
  <c r="L332" i="6"/>
  <c r="H332" i="6"/>
  <c r="I332" i="6" s="1"/>
  <c r="F332" i="6"/>
  <c r="C332" i="6"/>
  <c r="AC331" i="6"/>
  <c r="AD331" i="6" s="1"/>
  <c r="AA331" i="6"/>
  <c r="W331" i="6"/>
  <c r="X331" i="6" s="1"/>
  <c r="U331" i="6"/>
  <c r="R331" i="6"/>
  <c r="O331" i="6"/>
  <c r="N331" i="6"/>
  <c r="L331" i="6"/>
  <c r="I331" i="6"/>
  <c r="H331" i="6"/>
  <c r="F331" i="6"/>
  <c r="C331" i="6"/>
  <c r="AC330" i="6"/>
  <c r="AD330" i="6" s="1"/>
  <c r="AA330" i="6"/>
  <c r="W330" i="6"/>
  <c r="X330" i="6" s="1"/>
  <c r="U330" i="6"/>
  <c r="R330" i="6"/>
  <c r="O330" i="6"/>
  <c r="N330" i="6"/>
  <c r="L330" i="6"/>
  <c r="I330" i="6"/>
  <c r="H330" i="6"/>
  <c r="F330" i="6"/>
  <c r="C330" i="6"/>
  <c r="AC329" i="6"/>
  <c r="AD329" i="6" s="1"/>
  <c r="AA329" i="6"/>
  <c r="W329" i="6"/>
  <c r="X329" i="6" s="1"/>
  <c r="U329" i="6"/>
  <c r="R329" i="6"/>
  <c r="N329" i="6"/>
  <c r="O329" i="6" s="1"/>
  <c r="L329" i="6"/>
  <c r="H329" i="6"/>
  <c r="I329" i="6" s="1"/>
  <c r="F329" i="6"/>
  <c r="C329" i="6"/>
  <c r="AD328" i="6"/>
  <c r="AC328" i="6"/>
  <c r="AA328" i="6"/>
  <c r="X328" i="6"/>
  <c r="W328" i="6"/>
  <c r="U328" i="6"/>
  <c r="R328" i="6"/>
  <c r="N328" i="6"/>
  <c r="O328" i="6" s="1"/>
  <c r="L328" i="6"/>
  <c r="H328" i="6"/>
  <c r="I328" i="6" s="1"/>
  <c r="F328" i="6"/>
  <c r="C328" i="6"/>
  <c r="AC325" i="6"/>
  <c r="AD325" i="6" s="1"/>
  <c r="AA325" i="6"/>
  <c r="Z325" i="6"/>
  <c r="W325" i="6"/>
  <c r="X325" i="6" s="1"/>
  <c r="T325" i="6"/>
  <c r="U325" i="6" s="1"/>
  <c r="R325" i="6"/>
  <c r="Q325" i="6"/>
  <c r="O325" i="6"/>
  <c r="L325" i="6"/>
  <c r="K325" i="6"/>
  <c r="F325" i="6"/>
  <c r="E325" i="6"/>
  <c r="H325" i="6" s="1"/>
  <c r="I325" i="6" s="1"/>
  <c r="C325" i="6"/>
  <c r="B325" i="6"/>
  <c r="N325" i="6" s="1"/>
  <c r="AC324" i="6"/>
  <c r="AD324" i="6" s="1"/>
  <c r="Z324" i="6"/>
  <c r="AA324" i="6" s="1"/>
  <c r="W324" i="6"/>
  <c r="X324" i="6" s="1"/>
  <c r="U324" i="6"/>
  <c r="T324" i="6"/>
  <c r="Q324" i="6"/>
  <c r="R324" i="6" s="1"/>
  <c r="N324" i="6"/>
  <c r="O324" i="6" s="1"/>
  <c r="K324" i="6"/>
  <c r="L324" i="6" s="1"/>
  <c r="E324" i="6"/>
  <c r="F324" i="6" s="1"/>
  <c r="B324" i="6"/>
  <c r="AC323" i="6"/>
  <c r="AD323" i="6" s="1"/>
  <c r="AA323" i="6"/>
  <c r="W323" i="6"/>
  <c r="X323" i="6" s="1"/>
  <c r="U323" i="6"/>
  <c r="R323" i="6"/>
  <c r="O323" i="6"/>
  <c r="N323" i="6"/>
  <c r="L323" i="6"/>
  <c r="I323" i="6"/>
  <c r="H323" i="6"/>
  <c r="F323" i="6"/>
  <c r="C323" i="6"/>
  <c r="AC322" i="6"/>
  <c r="AD322" i="6" s="1"/>
  <c r="AA322" i="6"/>
  <c r="W322" i="6"/>
  <c r="X322" i="6" s="1"/>
  <c r="U322" i="6"/>
  <c r="R322" i="6"/>
  <c r="O322" i="6"/>
  <c r="N322" i="6"/>
  <c r="L322" i="6"/>
  <c r="I322" i="6"/>
  <c r="H322" i="6"/>
  <c r="F322" i="6"/>
  <c r="C322" i="6"/>
  <c r="AC321" i="6"/>
  <c r="AD321" i="6" s="1"/>
  <c r="AA321" i="6"/>
  <c r="W321" i="6"/>
  <c r="X321" i="6" s="1"/>
  <c r="U321" i="6"/>
  <c r="R321" i="6"/>
  <c r="N321" i="6"/>
  <c r="O321" i="6" s="1"/>
  <c r="L321" i="6"/>
  <c r="H321" i="6"/>
  <c r="I321" i="6" s="1"/>
  <c r="F321" i="6"/>
  <c r="C321" i="6"/>
  <c r="AD320" i="6"/>
  <c r="AC320" i="6"/>
  <c r="AA320" i="6"/>
  <c r="X320" i="6"/>
  <c r="W320" i="6"/>
  <c r="U320" i="6"/>
  <c r="R320" i="6"/>
  <c r="N320" i="6"/>
  <c r="O320" i="6" s="1"/>
  <c r="L320" i="6"/>
  <c r="H320" i="6"/>
  <c r="I320" i="6" s="1"/>
  <c r="F320" i="6"/>
  <c r="C320" i="6"/>
  <c r="AD319" i="6"/>
  <c r="AC319" i="6"/>
  <c r="AA319" i="6"/>
  <c r="W319" i="6"/>
  <c r="X319" i="6" s="1"/>
  <c r="U319" i="6"/>
  <c r="R319" i="6"/>
  <c r="N319" i="6"/>
  <c r="O319" i="6" s="1"/>
  <c r="L319" i="6"/>
  <c r="I319" i="6"/>
  <c r="H319" i="6"/>
  <c r="F319" i="6"/>
  <c r="C319" i="6"/>
  <c r="AC318" i="6"/>
  <c r="AD318" i="6" s="1"/>
  <c r="AA318" i="6"/>
  <c r="W318" i="6"/>
  <c r="X318" i="6" s="1"/>
  <c r="U318" i="6"/>
  <c r="R318" i="6"/>
  <c r="O318" i="6"/>
  <c r="N318" i="6"/>
  <c r="L318" i="6"/>
  <c r="H318" i="6"/>
  <c r="I318" i="6" s="1"/>
  <c r="F318" i="6"/>
  <c r="C318" i="6"/>
  <c r="AD317" i="6"/>
  <c r="AC317" i="6"/>
  <c r="AA317" i="6"/>
  <c r="X317" i="6"/>
  <c r="W317" i="6"/>
  <c r="U317" i="6"/>
  <c r="R317" i="6"/>
  <c r="N317" i="6"/>
  <c r="O317" i="6" s="1"/>
  <c r="L317" i="6"/>
  <c r="H317" i="6"/>
  <c r="I317" i="6" s="1"/>
  <c r="F317" i="6"/>
  <c r="C317" i="6"/>
  <c r="AD316" i="6"/>
  <c r="AC316" i="6"/>
  <c r="AA316" i="6"/>
  <c r="X316" i="6"/>
  <c r="W316" i="6"/>
  <c r="U316" i="6"/>
  <c r="R316" i="6"/>
  <c r="O316" i="6"/>
  <c r="N316" i="6"/>
  <c r="L316" i="6"/>
  <c r="I316" i="6"/>
  <c r="H316" i="6"/>
  <c r="F316" i="6"/>
  <c r="C316" i="6"/>
  <c r="AC315" i="6"/>
  <c r="AD315" i="6" s="1"/>
  <c r="AA315" i="6"/>
  <c r="W315" i="6"/>
  <c r="X315" i="6" s="1"/>
  <c r="U315" i="6"/>
  <c r="R315" i="6"/>
  <c r="O315" i="6"/>
  <c r="N315" i="6"/>
  <c r="L315" i="6"/>
  <c r="I315" i="6"/>
  <c r="H315" i="6"/>
  <c r="F315" i="6"/>
  <c r="C315" i="6"/>
  <c r="AC314" i="6"/>
  <c r="AD314" i="6" s="1"/>
  <c r="AA314" i="6"/>
  <c r="W314" i="6"/>
  <c r="X314" i="6" s="1"/>
  <c r="U314" i="6"/>
  <c r="R314" i="6"/>
  <c r="O314" i="6"/>
  <c r="N314" i="6"/>
  <c r="L314" i="6"/>
  <c r="I314" i="6"/>
  <c r="H314" i="6"/>
  <c r="F314" i="6"/>
  <c r="C314" i="6"/>
  <c r="AC313" i="6"/>
  <c r="AD313" i="6" s="1"/>
  <c r="AA313" i="6"/>
  <c r="W313" i="6"/>
  <c r="X313" i="6" s="1"/>
  <c r="U313" i="6"/>
  <c r="R313" i="6"/>
  <c r="N313" i="6"/>
  <c r="O313" i="6" s="1"/>
  <c r="L313" i="6"/>
  <c r="H313" i="6"/>
  <c r="I313" i="6" s="1"/>
  <c r="F313" i="6"/>
  <c r="C313" i="6"/>
  <c r="AD312" i="6"/>
  <c r="AC312" i="6"/>
  <c r="AA312" i="6"/>
  <c r="X312" i="6"/>
  <c r="W312" i="6"/>
  <c r="U312" i="6"/>
  <c r="R312" i="6"/>
  <c r="N312" i="6"/>
  <c r="O312" i="6" s="1"/>
  <c r="L312" i="6"/>
  <c r="H312" i="6"/>
  <c r="I312" i="6" s="1"/>
  <c r="F312" i="6"/>
  <c r="C312" i="6"/>
  <c r="AD311" i="6"/>
  <c r="AC311" i="6"/>
  <c r="AA311" i="6"/>
  <c r="W311" i="6"/>
  <c r="X311" i="6" s="1"/>
  <c r="U311" i="6"/>
  <c r="R311" i="6"/>
  <c r="N311" i="6"/>
  <c r="O311" i="6" s="1"/>
  <c r="L311" i="6"/>
  <c r="I311" i="6"/>
  <c r="H311" i="6"/>
  <c r="F311" i="6"/>
  <c r="C311" i="6"/>
  <c r="AC310" i="6"/>
  <c r="AD310" i="6" s="1"/>
  <c r="AA310" i="6"/>
  <c r="X310" i="6"/>
  <c r="W310" i="6"/>
  <c r="U310" i="6"/>
  <c r="R310" i="6"/>
  <c r="O310" i="6"/>
  <c r="N310" i="6"/>
  <c r="L310" i="6"/>
  <c r="H310" i="6"/>
  <c r="I310" i="6" s="1"/>
  <c r="F310" i="6"/>
  <c r="C310" i="6"/>
  <c r="AD309" i="6"/>
  <c r="AC309" i="6"/>
  <c r="AA309" i="6"/>
  <c r="X309" i="6"/>
  <c r="W309" i="6"/>
  <c r="U309" i="6"/>
  <c r="R309" i="6"/>
  <c r="N309" i="6"/>
  <c r="O309" i="6" s="1"/>
  <c r="L309" i="6"/>
  <c r="H309" i="6"/>
  <c r="I309" i="6" s="1"/>
  <c r="F309" i="6"/>
  <c r="C309" i="6"/>
  <c r="AD308" i="6"/>
  <c r="AC308" i="6"/>
  <c r="AA308" i="6"/>
  <c r="X308" i="6"/>
  <c r="W308" i="6"/>
  <c r="U308" i="6"/>
  <c r="R308" i="6"/>
  <c r="O308" i="6"/>
  <c r="N308" i="6"/>
  <c r="L308" i="6"/>
  <c r="I308" i="6"/>
  <c r="H308" i="6"/>
  <c r="F308" i="6"/>
  <c r="C308" i="6"/>
  <c r="AC307" i="6"/>
  <c r="AD307" i="6" s="1"/>
  <c r="AA307" i="6"/>
  <c r="W307" i="6"/>
  <c r="X307" i="6" s="1"/>
  <c r="U307" i="6"/>
  <c r="R307" i="6"/>
  <c r="O307" i="6"/>
  <c r="N307" i="6"/>
  <c r="L307" i="6"/>
  <c r="I307" i="6"/>
  <c r="H307" i="6"/>
  <c r="F307" i="6"/>
  <c r="C307" i="6"/>
  <c r="AC306" i="6"/>
  <c r="AD306" i="6" s="1"/>
  <c r="AA306" i="6"/>
  <c r="W306" i="6"/>
  <c r="X306" i="6" s="1"/>
  <c r="U306" i="6"/>
  <c r="R306" i="6"/>
  <c r="O306" i="6"/>
  <c r="N306" i="6"/>
  <c r="L306" i="6"/>
  <c r="I306" i="6"/>
  <c r="H306" i="6"/>
  <c r="F306" i="6"/>
  <c r="C306" i="6"/>
  <c r="AC305" i="6"/>
  <c r="AD305" i="6" s="1"/>
  <c r="AA305" i="6"/>
  <c r="X305" i="6"/>
  <c r="W305" i="6"/>
  <c r="U305" i="6"/>
  <c r="R305" i="6"/>
  <c r="N305" i="6"/>
  <c r="O305" i="6" s="1"/>
  <c r="L305" i="6"/>
  <c r="H305" i="6"/>
  <c r="I305" i="6" s="1"/>
  <c r="F305" i="6"/>
  <c r="C305" i="6"/>
  <c r="AD304" i="6"/>
  <c r="AC304" i="6"/>
  <c r="AA304" i="6"/>
  <c r="X304" i="6"/>
  <c r="W304" i="6"/>
  <c r="U304" i="6"/>
  <c r="R304" i="6"/>
  <c r="O304" i="6"/>
  <c r="N304" i="6"/>
  <c r="L304" i="6"/>
  <c r="H304" i="6"/>
  <c r="I304" i="6" s="1"/>
  <c r="F304" i="6"/>
  <c r="C304" i="6"/>
  <c r="AD303" i="6"/>
  <c r="AC303" i="6"/>
  <c r="AA303" i="6"/>
  <c r="W303" i="6"/>
  <c r="X303" i="6" s="1"/>
  <c r="U303" i="6"/>
  <c r="R303" i="6"/>
  <c r="N303" i="6"/>
  <c r="O303" i="6" s="1"/>
  <c r="L303" i="6"/>
  <c r="I303" i="6"/>
  <c r="H303" i="6"/>
  <c r="F303" i="6"/>
  <c r="C303" i="6"/>
  <c r="AC302" i="6"/>
  <c r="AD302" i="6" s="1"/>
  <c r="AA302" i="6"/>
  <c r="W302" i="6"/>
  <c r="X302" i="6" s="1"/>
  <c r="U302" i="6"/>
  <c r="R302" i="6"/>
  <c r="O302" i="6"/>
  <c r="N302" i="6"/>
  <c r="L302" i="6"/>
  <c r="H302" i="6"/>
  <c r="I302" i="6" s="1"/>
  <c r="F302" i="6"/>
  <c r="C302" i="6"/>
  <c r="AD301" i="6"/>
  <c r="AC301" i="6"/>
  <c r="AA301" i="6"/>
  <c r="X301" i="6"/>
  <c r="W301" i="6"/>
  <c r="U301" i="6"/>
  <c r="R301" i="6"/>
  <c r="N301" i="6"/>
  <c r="O301" i="6" s="1"/>
  <c r="L301" i="6"/>
  <c r="H301" i="6"/>
  <c r="I301" i="6" s="1"/>
  <c r="F301" i="6"/>
  <c r="C301" i="6"/>
  <c r="AD300" i="6"/>
  <c r="AC300" i="6"/>
  <c r="AA300" i="6"/>
  <c r="X300" i="6"/>
  <c r="W300" i="6"/>
  <c r="U300" i="6"/>
  <c r="R300" i="6"/>
  <c r="O300" i="6"/>
  <c r="N300" i="6"/>
  <c r="L300" i="6"/>
  <c r="H300" i="6"/>
  <c r="I300" i="6" s="1"/>
  <c r="F300" i="6"/>
  <c r="C300" i="6"/>
  <c r="AC299" i="6"/>
  <c r="AD299" i="6" s="1"/>
  <c r="AA299" i="6"/>
  <c r="W299" i="6"/>
  <c r="X299" i="6" s="1"/>
  <c r="U299" i="6"/>
  <c r="R299" i="6"/>
  <c r="O299" i="6"/>
  <c r="N299" i="6"/>
  <c r="L299" i="6"/>
  <c r="I299" i="6"/>
  <c r="H299" i="6"/>
  <c r="F299" i="6"/>
  <c r="C299" i="6"/>
  <c r="AC298" i="6"/>
  <c r="AD298" i="6" s="1"/>
  <c r="AA298" i="6"/>
  <c r="W298" i="6"/>
  <c r="X298" i="6" s="1"/>
  <c r="U298" i="6"/>
  <c r="R298" i="6"/>
  <c r="O298" i="6"/>
  <c r="N298" i="6"/>
  <c r="L298" i="6"/>
  <c r="I298" i="6"/>
  <c r="H298" i="6"/>
  <c r="F298" i="6"/>
  <c r="C298" i="6"/>
  <c r="AC297" i="6"/>
  <c r="AD297" i="6" s="1"/>
  <c r="AA297" i="6"/>
  <c r="X297" i="6"/>
  <c r="W297" i="6"/>
  <c r="U297" i="6"/>
  <c r="R297" i="6"/>
  <c r="N297" i="6"/>
  <c r="O297" i="6" s="1"/>
  <c r="L297" i="6"/>
  <c r="H297" i="6"/>
  <c r="I297" i="6" s="1"/>
  <c r="F297" i="6"/>
  <c r="C297" i="6"/>
  <c r="Z295" i="6"/>
  <c r="AA295" i="6" s="1"/>
  <c r="T295" i="6"/>
  <c r="U295" i="6" s="1"/>
  <c r="R295" i="6"/>
  <c r="Q295" i="6"/>
  <c r="AC295" i="6" s="1"/>
  <c r="AD295" i="6" s="1"/>
  <c r="K295" i="6"/>
  <c r="L295" i="6" s="1"/>
  <c r="F295" i="6"/>
  <c r="E295" i="6"/>
  <c r="C295" i="6"/>
  <c r="B295" i="6"/>
  <c r="AC294" i="6"/>
  <c r="AD294" i="6" s="1"/>
  <c r="AA294" i="6"/>
  <c r="X294" i="6"/>
  <c r="W294" i="6"/>
  <c r="U294" i="6"/>
  <c r="R294" i="6"/>
  <c r="O294" i="6"/>
  <c r="N294" i="6"/>
  <c r="L294" i="6"/>
  <c r="H294" i="6"/>
  <c r="I294" i="6" s="1"/>
  <c r="F294" i="6"/>
  <c r="C294" i="6"/>
  <c r="AC293" i="6"/>
  <c r="AD293" i="6" s="1"/>
  <c r="AA293" i="6"/>
  <c r="W293" i="6"/>
  <c r="X293" i="6" s="1"/>
  <c r="U293" i="6"/>
  <c r="R293" i="6"/>
  <c r="N293" i="6"/>
  <c r="O293" i="6" s="1"/>
  <c r="L293" i="6"/>
  <c r="H293" i="6"/>
  <c r="I293" i="6" s="1"/>
  <c r="F293" i="6"/>
  <c r="C293" i="6"/>
  <c r="AD292" i="6"/>
  <c r="AC292" i="6"/>
  <c r="AA292" i="6"/>
  <c r="X292" i="6"/>
  <c r="W292" i="6"/>
  <c r="U292" i="6"/>
  <c r="R292" i="6"/>
  <c r="N292" i="6"/>
  <c r="O292" i="6" s="1"/>
  <c r="L292" i="6"/>
  <c r="H292" i="6"/>
  <c r="I292" i="6" s="1"/>
  <c r="F292" i="6"/>
  <c r="C292" i="6"/>
  <c r="AD291" i="6"/>
  <c r="AC291" i="6"/>
  <c r="AA291" i="6"/>
  <c r="W291" i="6"/>
  <c r="X291" i="6" s="1"/>
  <c r="U291" i="6"/>
  <c r="R291" i="6"/>
  <c r="N291" i="6"/>
  <c r="O291" i="6" s="1"/>
  <c r="L291" i="6"/>
  <c r="I291" i="6"/>
  <c r="H291" i="6"/>
  <c r="F291" i="6"/>
  <c r="C291" i="6"/>
  <c r="AC290" i="6"/>
  <c r="AD290" i="6" s="1"/>
  <c r="AA290" i="6"/>
  <c r="X290" i="6"/>
  <c r="W290" i="6"/>
  <c r="U290" i="6"/>
  <c r="R290" i="6"/>
  <c r="O290" i="6"/>
  <c r="N290" i="6"/>
  <c r="L290" i="6"/>
  <c r="H290" i="6"/>
  <c r="I290" i="6" s="1"/>
  <c r="F290" i="6"/>
  <c r="C290" i="6"/>
  <c r="AC289" i="6"/>
  <c r="AD289" i="6" s="1"/>
  <c r="AA289" i="6"/>
  <c r="W289" i="6"/>
  <c r="X289" i="6" s="1"/>
  <c r="U289" i="6"/>
  <c r="R289" i="6"/>
  <c r="N289" i="6"/>
  <c r="O289" i="6" s="1"/>
  <c r="L289" i="6"/>
  <c r="H289" i="6"/>
  <c r="I289" i="6" s="1"/>
  <c r="F289" i="6"/>
  <c r="C289" i="6"/>
  <c r="AD288" i="6"/>
  <c r="AC288" i="6"/>
  <c r="AA288" i="6"/>
  <c r="X288" i="6"/>
  <c r="W288" i="6"/>
  <c r="U288" i="6"/>
  <c r="R288" i="6"/>
  <c r="N288" i="6"/>
  <c r="O288" i="6" s="1"/>
  <c r="L288" i="6"/>
  <c r="I288" i="6"/>
  <c r="H288" i="6"/>
  <c r="F288" i="6"/>
  <c r="C288" i="6"/>
  <c r="AC287" i="6"/>
  <c r="AD287" i="6" s="1"/>
  <c r="AA287" i="6"/>
  <c r="W287" i="6"/>
  <c r="X287" i="6" s="1"/>
  <c r="U287" i="6"/>
  <c r="R287" i="6"/>
  <c r="N287" i="6"/>
  <c r="O287" i="6" s="1"/>
  <c r="L287" i="6"/>
  <c r="H287" i="6"/>
  <c r="I287" i="6" s="1"/>
  <c r="F287" i="6"/>
  <c r="C287" i="6"/>
  <c r="AC286" i="6"/>
  <c r="AD286" i="6" s="1"/>
  <c r="AA286" i="6"/>
  <c r="X286" i="6"/>
  <c r="W286" i="6"/>
  <c r="U286" i="6"/>
  <c r="R286" i="6"/>
  <c r="O286" i="6"/>
  <c r="N286" i="6"/>
  <c r="L286" i="6"/>
  <c r="H286" i="6"/>
  <c r="I286" i="6" s="1"/>
  <c r="F286" i="6"/>
  <c r="C286" i="6"/>
  <c r="AC284" i="6"/>
  <c r="AD284" i="6" s="1"/>
  <c r="Z284" i="6"/>
  <c r="AA284" i="6" s="1"/>
  <c r="U284" i="6"/>
  <c r="T284" i="6"/>
  <c r="R284" i="6"/>
  <c r="Q284" i="6"/>
  <c r="W284" i="6" s="1"/>
  <c r="X284" i="6" s="1"/>
  <c r="L284" i="6"/>
  <c r="K284" i="6"/>
  <c r="E284" i="6"/>
  <c r="F284" i="6" s="1"/>
  <c r="B284" i="6"/>
  <c r="C284" i="6" s="1"/>
  <c r="AD283" i="6"/>
  <c r="AC283" i="6"/>
  <c r="AA283" i="6"/>
  <c r="W283" i="6"/>
  <c r="X283" i="6" s="1"/>
  <c r="U283" i="6"/>
  <c r="R283" i="6"/>
  <c r="O283" i="6"/>
  <c r="N283" i="6"/>
  <c r="L283" i="6"/>
  <c r="H283" i="6"/>
  <c r="I283" i="6" s="1"/>
  <c r="F283" i="6"/>
  <c r="C283" i="6"/>
  <c r="AC282" i="6"/>
  <c r="AD282" i="6" s="1"/>
  <c r="AA282" i="6"/>
  <c r="X282" i="6"/>
  <c r="W282" i="6"/>
  <c r="U282" i="6"/>
  <c r="R282" i="6"/>
  <c r="O282" i="6"/>
  <c r="N282" i="6"/>
  <c r="L282" i="6"/>
  <c r="H282" i="6"/>
  <c r="I282" i="6" s="1"/>
  <c r="F282" i="6"/>
  <c r="C282" i="6"/>
  <c r="AC281" i="6"/>
  <c r="AD281" i="6" s="1"/>
  <c r="AA281" i="6"/>
  <c r="W281" i="6"/>
  <c r="X281" i="6" s="1"/>
  <c r="U281" i="6"/>
  <c r="R281" i="6"/>
  <c r="N281" i="6"/>
  <c r="O281" i="6" s="1"/>
  <c r="L281" i="6"/>
  <c r="H281" i="6"/>
  <c r="I281" i="6" s="1"/>
  <c r="F281" i="6"/>
  <c r="C281" i="6"/>
  <c r="AD280" i="6"/>
  <c r="AC280" i="6"/>
  <c r="AA280" i="6"/>
  <c r="X280" i="6"/>
  <c r="W280" i="6"/>
  <c r="U280" i="6"/>
  <c r="R280" i="6"/>
  <c r="N280" i="6"/>
  <c r="O280" i="6" s="1"/>
  <c r="L280" i="6"/>
  <c r="H280" i="6"/>
  <c r="I280" i="6" s="1"/>
  <c r="F280" i="6"/>
  <c r="C280" i="6"/>
  <c r="AD279" i="6"/>
  <c r="AC279" i="6"/>
  <c r="AA279" i="6"/>
  <c r="X279" i="6"/>
  <c r="W279" i="6"/>
  <c r="U279" i="6"/>
  <c r="R279" i="6"/>
  <c r="N279" i="6"/>
  <c r="O279" i="6" s="1"/>
  <c r="L279" i="6"/>
  <c r="H279" i="6"/>
  <c r="I279" i="6" s="1"/>
  <c r="F279" i="6"/>
  <c r="C279" i="6"/>
  <c r="AC278" i="6"/>
  <c r="AD278" i="6" s="1"/>
  <c r="AA278" i="6"/>
  <c r="X278" i="6"/>
  <c r="W278" i="6"/>
  <c r="U278" i="6"/>
  <c r="R278" i="6"/>
  <c r="O278" i="6"/>
  <c r="N278" i="6"/>
  <c r="L278" i="6"/>
  <c r="H278" i="6"/>
  <c r="I278" i="6" s="1"/>
  <c r="F278" i="6"/>
  <c r="C278" i="6"/>
  <c r="AD277" i="6"/>
  <c r="AC277" i="6"/>
  <c r="AA277" i="6"/>
  <c r="X277" i="6"/>
  <c r="W277" i="6"/>
  <c r="U277" i="6"/>
  <c r="R277" i="6"/>
  <c r="O277" i="6"/>
  <c r="N277" i="6"/>
  <c r="L277" i="6"/>
  <c r="H277" i="6"/>
  <c r="I277" i="6" s="1"/>
  <c r="F277" i="6"/>
  <c r="C277" i="6"/>
  <c r="AC276" i="6"/>
  <c r="AD276" i="6" s="1"/>
  <c r="AA276" i="6"/>
  <c r="X276" i="6"/>
  <c r="W276" i="6"/>
  <c r="U276" i="6"/>
  <c r="R276" i="6"/>
  <c r="N276" i="6"/>
  <c r="O276" i="6" s="1"/>
  <c r="L276" i="6"/>
  <c r="I276" i="6"/>
  <c r="H276" i="6"/>
  <c r="F276" i="6"/>
  <c r="C276" i="6"/>
  <c r="AD275" i="6"/>
  <c r="AC275" i="6"/>
  <c r="AA275" i="6"/>
  <c r="W275" i="6"/>
  <c r="X275" i="6" s="1"/>
  <c r="U275" i="6"/>
  <c r="R275" i="6"/>
  <c r="N275" i="6"/>
  <c r="O275" i="6" s="1"/>
  <c r="L275" i="6"/>
  <c r="H275" i="6"/>
  <c r="I275" i="6" s="1"/>
  <c r="F275" i="6"/>
  <c r="C275" i="6"/>
  <c r="Z273" i="6"/>
  <c r="AA273" i="6" s="1"/>
  <c r="T273" i="6"/>
  <c r="U273" i="6" s="1"/>
  <c r="Q273" i="6"/>
  <c r="N273" i="6"/>
  <c r="O273" i="6" s="1"/>
  <c r="L273" i="6"/>
  <c r="K273" i="6"/>
  <c r="E273" i="6"/>
  <c r="F273" i="6" s="1"/>
  <c r="C273" i="6"/>
  <c r="B273" i="6"/>
  <c r="AC272" i="6"/>
  <c r="AD272" i="6" s="1"/>
  <c r="AA272" i="6"/>
  <c r="X272" i="6"/>
  <c r="W272" i="6"/>
  <c r="U272" i="6"/>
  <c r="R272" i="6"/>
  <c r="N272" i="6"/>
  <c r="O272" i="6" s="1"/>
  <c r="L272" i="6"/>
  <c r="H272" i="6"/>
  <c r="I272" i="6" s="1"/>
  <c r="F272" i="6"/>
  <c r="C272" i="6"/>
  <c r="AD271" i="6"/>
  <c r="AC271" i="6"/>
  <c r="AA271" i="6"/>
  <c r="X271" i="6"/>
  <c r="W271" i="6"/>
  <c r="U271" i="6"/>
  <c r="R271" i="6"/>
  <c r="O271" i="6"/>
  <c r="N271" i="6"/>
  <c r="L271" i="6"/>
  <c r="H271" i="6"/>
  <c r="I271" i="6" s="1"/>
  <c r="F271" i="6"/>
  <c r="C271" i="6"/>
  <c r="AC270" i="6"/>
  <c r="AD270" i="6" s="1"/>
  <c r="AA270" i="6"/>
  <c r="X270" i="6"/>
  <c r="W270" i="6"/>
  <c r="U270" i="6"/>
  <c r="R270" i="6"/>
  <c r="O270" i="6"/>
  <c r="N270" i="6"/>
  <c r="L270" i="6"/>
  <c r="H270" i="6"/>
  <c r="I270" i="6" s="1"/>
  <c r="F270" i="6"/>
  <c r="C270" i="6"/>
  <c r="AD269" i="6"/>
  <c r="AC269" i="6"/>
  <c r="AA269" i="6"/>
  <c r="X269" i="6"/>
  <c r="W269" i="6"/>
  <c r="U269" i="6"/>
  <c r="R269" i="6"/>
  <c r="N269" i="6"/>
  <c r="O269" i="6" s="1"/>
  <c r="L269" i="6"/>
  <c r="H269" i="6"/>
  <c r="I269" i="6" s="1"/>
  <c r="F269" i="6"/>
  <c r="C269" i="6"/>
  <c r="Z267" i="6"/>
  <c r="AA267" i="6" s="1"/>
  <c r="U267" i="6"/>
  <c r="T267" i="6"/>
  <c r="Q267" i="6"/>
  <c r="K267" i="6"/>
  <c r="H267" i="6"/>
  <c r="I267" i="6" s="1"/>
  <c r="E267" i="6"/>
  <c r="F267" i="6" s="1"/>
  <c r="C267" i="6"/>
  <c r="B267" i="6"/>
  <c r="AC266" i="6"/>
  <c r="AD266" i="6" s="1"/>
  <c r="AA266" i="6"/>
  <c r="W266" i="6"/>
  <c r="X266" i="6" s="1"/>
  <c r="U266" i="6"/>
  <c r="R266" i="6"/>
  <c r="O266" i="6"/>
  <c r="N266" i="6"/>
  <c r="L266" i="6"/>
  <c r="I266" i="6"/>
  <c r="H266" i="6"/>
  <c r="F266" i="6"/>
  <c r="C266" i="6"/>
  <c r="AC265" i="6"/>
  <c r="AD265" i="6" s="1"/>
  <c r="AA265" i="6"/>
  <c r="W265" i="6"/>
  <c r="X265" i="6" s="1"/>
  <c r="U265" i="6"/>
  <c r="R265" i="6"/>
  <c r="N265" i="6"/>
  <c r="O265" i="6" s="1"/>
  <c r="L265" i="6"/>
  <c r="H265" i="6"/>
  <c r="I265" i="6" s="1"/>
  <c r="F265" i="6"/>
  <c r="C265" i="6"/>
  <c r="AA263" i="6"/>
  <c r="Z263" i="6"/>
  <c r="AC263" i="6" s="1"/>
  <c r="AD263" i="6" s="1"/>
  <c r="W263" i="6"/>
  <c r="X263" i="6" s="1"/>
  <c r="T263" i="6"/>
  <c r="U263" i="6" s="1"/>
  <c r="R263" i="6"/>
  <c r="Q263" i="6"/>
  <c r="K263" i="6"/>
  <c r="L263" i="6" s="1"/>
  <c r="E263" i="6"/>
  <c r="F263" i="6" s="1"/>
  <c r="B263" i="6"/>
  <c r="AA262" i="6"/>
  <c r="Z262" i="6"/>
  <c r="U262" i="6"/>
  <c r="T262" i="6"/>
  <c r="Q262" i="6"/>
  <c r="R262" i="6" s="1"/>
  <c r="N262" i="6"/>
  <c r="O262" i="6" s="1"/>
  <c r="L262" i="6"/>
  <c r="K262" i="6"/>
  <c r="H262" i="6"/>
  <c r="I262" i="6" s="1"/>
  <c r="E262" i="6"/>
  <c r="F262" i="6" s="1"/>
  <c r="C262" i="6"/>
  <c r="B262" i="6"/>
  <c r="AD261" i="6"/>
  <c r="AC261" i="6"/>
  <c r="AA261" i="6"/>
  <c r="X261" i="6"/>
  <c r="W261" i="6"/>
  <c r="U261" i="6"/>
  <c r="R261" i="6"/>
  <c r="N261" i="6"/>
  <c r="O261" i="6" s="1"/>
  <c r="L261" i="6"/>
  <c r="H261" i="6"/>
  <c r="I261" i="6" s="1"/>
  <c r="F261" i="6"/>
  <c r="C261" i="6"/>
  <c r="AC260" i="6"/>
  <c r="AD260" i="6" s="1"/>
  <c r="AA260" i="6"/>
  <c r="X260" i="6"/>
  <c r="W260" i="6"/>
  <c r="U260" i="6"/>
  <c r="R260" i="6"/>
  <c r="N260" i="6"/>
  <c r="O260" i="6" s="1"/>
  <c r="L260" i="6"/>
  <c r="I260" i="6"/>
  <c r="H260" i="6"/>
  <c r="F260" i="6"/>
  <c r="C260" i="6"/>
  <c r="AC259" i="6"/>
  <c r="AD259" i="6" s="1"/>
  <c r="AA259" i="6"/>
  <c r="X259" i="6"/>
  <c r="W259" i="6"/>
  <c r="U259" i="6"/>
  <c r="R259" i="6"/>
  <c r="O259" i="6"/>
  <c r="N259" i="6"/>
  <c r="L259" i="6"/>
  <c r="H259" i="6"/>
  <c r="I259" i="6" s="1"/>
  <c r="F259" i="6"/>
  <c r="C259" i="6"/>
  <c r="AD258" i="6"/>
  <c r="AC258" i="6"/>
  <c r="AA258" i="6"/>
  <c r="X258" i="6"/>
  <c r="W258" i="6"/>
  <c r="U258" i="6"/>
  <c r="R258" i="6"/>
  <c r="N258" i="6"/>
  <c r="O258" i="6" s="1"/>
  <c r="L258" i="6"/>
  <c r="H258" i="6"/>
  <c r="I258" i="6" s="1"/>
  <c r="F258" i="6"/>
  <c r="C258" i="6"/>
  <c r="AC257" i="6"/>
  <c r="AD257" i="6" s="1"/>
  <c r="AA257" i="6"/>
  <c r="X257" i="6"/>
  <c r="W257" i="6"/>
  <c r="U257" i="6"/>
  <c r="R257" i="6"/>
  <c r="N257" i="6"/>
  <c r="O257" i="6" s="1"/>
  <c r="L257" i="6"/>
  <c r="I257" i="6"/>
  <c r="H257" i="6"/>
  <c r="F257" i="6"/>
  <c r="C257" i="6"/>
  <c r="AD256" i="6"/>
  <c r="AC256" i="6"/>
  <c r="AA256" i="6"/>
  <c r="W256" i="6"/>
  <c r="X256" i="6" s="1"/>
  <c r="U256" i="6"/>
  <c r="R256" i="6"/>
  <c r="N256" i="6"/>
  <c r="O256" i="6" s="1"/>
  <c r="L256" i="6"/>
  <c r="H256" i="6"/>
  <c r="I256" i="6" s="1"/>
  <c r="F256" i="6"/>
  <c r="C256" i="6"/>
  <c r="AC255" i="6"/>
  <c r="AD255" i="6" s="1"/>
  <c r="AA255" i="6"/>
  <c r="X255" i="6"/>
  <c r="W255" i="6"/>
  <c r="U255" i="6"/>
  <c r="R255" i="6"/>
  <c r="O255" i="6"/>
  <c r="N255" i="6"/>
  <c r="L255" i="6"/>
  <c r="H255" i="6"/>
  <c r="I255" i="6" s="1"/>
  <c r="F255" i="6"/>
  <c r="C255" i="6"/>
  <c r="AC254" i="6"/>
  <c r="AD254" i="6" s="1"/>
  <c r="AA254" i="6"/>
  <c r="W254" i="6"/>
  <c r="X254" i="6" s="1"/>
  <c r="U254" i="6"/>
  <c r="R254" i="6"/>
  <c r="O254" i="6"/>
  <c r="N254" i="6"/>
  <c r="L254" i="6"/>
  <c r="H254" i="6"/>
  <c r="I254" i="6" s="1"/>
  <c r="F254" i="6"/>
  <c r="C254" i="6"/>
  <c r="AD253" i="6"/>
  <c r="AC253" i="6"/>
  <c r="AA253" i="6"/>
  <c r="X253" i="6"/>
  <c r="W253" i="6"/>
  <c r="U253" i="6"/>
  <c r="R253" i="6"/>
  <c r="O253" i="6"/>
  <c r="N253" i="6"/>
  <c r="L253" i="6"/>
  <c r="I253" i="6"/>
  <c r="H253" i="6"/>
  <c r="F253" i="6"/>
  <c r="C253" i="6"/>
  <c r="AC252" i="6"/>
  <c r="AD252" i="6" s="1"/>
  <c r="AA252" i="6"/>
  <c r="W252" i="6"/>
  <c r="X252" i="6" s="1"/>
  <c r="U252" i="6"/>
  <c r="R252" i="6"/>
  <c r="O252" i="6"/>
  <c r="N252" i="6"/>
  <c r="L252" i="6"/>
  <c r="I252" i="6"/>
  <c r="H252" i="6"/>
  <c r="F252" i="6"/>
  <c r="C252" i="6"/>
  <c r="AC251" i="6"/>
  <c r="AD251" i="6" s="1"/>
  <c r="AA251" i="6"/>
  <c r="W251" i="6"/>
  <c r="X251" i="6" s="1"/>
  <c r="U251" i="6"/>
  <c r="R251" i="6"/>
  <c r="O251" i="6"/>
  <c r="N251" i="6"/>
  <c r="L251" i="6"/>
  <c r="I251" i="6"/>
  <c r="H251" i="6"/>
  <c r="F251" i="6"/>
  <c r="C251" i="6"/>
  <c r="AC250" i="6"/>
  <c r="AD250" i="6" s="1"/>
  <c r="AA250" i="6"/>
  <c r="W250" i="6"/>
  <c r="X250" i="6" s="1"/>
  <c r="U250" i="6"/>
  <c r="R250" i="6"/>
  <c r="O250" i="6"/>
  <c r="N250" i="6"/>
  <c r="L250" i="6"/>
  <c r="H250" i="6"/>
  <c r="I250" i="6" s="1"/>
  <c r="F250" i="6"/>
  <c r="C250" i="6"/>
  <c r="AC249" i="6"/>
  <c r="AD249" i="6" s="1"/>
  <c r="AA249" i="6"/>
  <c r="X249" i="6"/>
  <c r="W249" i="6"/>
  <c r="U249" i="6"/>
  <c r="R249" i="6"/>
  <c r="O249" i="6"/>
  <c r="N249" i="6"/>
  <c r="L249" i="6"/>
  <c r="I249" i="6"/>
  <c r="H249" i="6"/>
  <c r="F249" i="6"/>
  <c r="C249" i="6"/>
  <c r="AD248" i="6"/>
  <c r="AC248" i="6"/>
  <c r="AA248" i="6"/>
  <c r="X248" i="6"/>
  <c r="W248" i="6"/>
  <c r="U248" i="6"/>
  <c r="R248" i="6"/>
  <c r="N248" i="6"/>
  <c r="O248" i="6" s="1"/>
  <c r="L248" i="6"/>
  <c r="H248" i="6"/>
  <c r="I248" i="6" s="1"/>
  <c r="F248" i="6"/>
  <c r="C248" i="6"/>
  <c r="AC247" i="6"/>
  <c r="AD247" i="6" s="1"/>
  <c r="AA247" i="6"/>
  <c r="W247" i="6"/>
  <c r="X247" i="6" s="1"/>
  <c r="U247" i="6"/>
  <c r="R247" i="6"/>
  <c r="O247" i="6"/>
  <c r="N247" i="6"/>
  <c r="L247" i="6"/>
  <c r="I247" i="6"/>
  <c r="H247" i="6"/>
  <c r="F247" i="6"/>
  <c r="C247" i="6"/>
  <c r="AD246" i="6"/>
  <c r="AC246" i="6"/>
  <c r="AA246" i="6"/>
  <c r="W246" i="6"/>
  <c r="X246" i="6" s="1"/>
  <c r="U246" i="6"/>
  <c r="R246" i="6"/>
  <c r="N246" i="6"/>
  <c r="O246" i="6" s="1"/>
  <c r="L246" i="6"/>
  <c r="H246" i="6"/>
  <c r="I246" i="6" s="1"/>
  <c r="F246" i="6"/>
  <c r="C246" i="6"/>
  <c r="AD245" i="6"/>
  <c r="AC245" i="6"/>
  <c r="AA245" i="6"/>
  <c r="X245" i="6"/>
  <c r="W245" i="6"/>
  <c r="U245" i="6"/>
  <c r="R245" i="6"/>
  <c r="N245" i="6"/>
  <c r="O245" i="6" s="1"/>
  <c r="L245" i="6"/>
  <c r="H245" i="6"/>
  <c r="I245" i="6" s="1"/>
  <c r="F245" i="6"/>
  <c r="C245" i="6"/>
  <c r="AD244" i="6"/>
  <c r="AC244" i="6"/>
  <c r="AA244" i="6"/>
  <c r="X244" i="6"/>
  <c r="W244" i="6"/>
  <c r="U244" i="6"/>
  <c r="R244" i="6"/>
  <c r="N244" i="6"/>
  <c r="O244" i="6" s="1"/>
  <c r="L244" i="6"/>
  <c r="H244" i="6"/>
  <c r="I244" i="6" s="1"/>
  <c r="F244" i="6"/>
  <c r="C244" i="6"/>
  <c r="AC243" i="6"/>
  <c r="AD243" i="6" s="1"/>
  <c r="AA243" i="6"/>
  <c r="X243" i="6"/>
  <c r="W243" i="6"/>
  <c r="U243" i="6"/>
  <c r="R243" i="6"/>
  <c r="O243" i="6"/>
  <c r="N243" i="6"/>
  <c r="L243" i="6"/>
  <c r="H243" i="6"/>
  <c r="I243" i="6" s="1"/>
  <c r="F243" i="6"/>
  <c r="C243" i="6"/>
  <c r="AD242" i="6"/>
  <c r="AC242" i="6"/>
  <c r="AA242" i="6"/>
  <c r="X242" i="6"/>
  <c r="W242" i="6"/>
  <c r="U242" i="6"/>
  <c r="R242" i="6"/>
  <c r="O242" i="6"/>
  <c r="N242" i="6"/>
  <c r="L242" i="6"/>
  <c r="H242" i="6"/>
  <c r="I242" i="6" s="1"/>
  <c r="F242" i="6"/>
  <c r="C242" i="6"/>
  <c r="AC241" i="6"/>
  <c r="AD241" i="6" s="1"/>
  <c r="AA241" i="6"/>
  <c r="X241" i="6"/>
  <c r="W241" i="6"/>
  <c r="U241" i="6"/>
  <c r="R241" i="6"/>
  <c r="N241" i="6"/>
  <c r="O241" i="6" s="1"/>
  <c r="L241" i="6"/>
  <c r="I241" i="6"/>
  <c r="H241" i="6"/>
  <c r="F241" i="6"/>
  <c r="C241" i="6"/>
  <c r="AD240" i="6"/>
  <c r="AC240" i="6"/>
  <c r="AA240" i="6"/>
  <c r="W240" i="6"/>
  <c r="X240" i="6" s="1"/>
  <c r="U240" i="6"/>
  <c r="R240" i="6"/>
  <c r="N240" i="6"/>
  <c r="O240" i="6" s="1"/>
  <c r="L240" i="6"/>
  <c r="I240" i="6"/>
  <c r="H240" i="6"/>
  <c r="F240" i="6"/>
  <c r="C240" i="6"/>
  <c r="AC238" i="6"/>
  <c r="AD238" i="6" s="1"/>
  <c r="AA238" i="6"/>
  <c r="X238" i="6"/>
  <c r="W238" i="6"/>
  <c r="U238" i="6"/>
  <c r="R238" i="6"/>
  <c r="O238" i="6"/>
  <c r="N238" i="6"/>
  <c r="L238" i="6"/>
  <c r="H238" i="6"/>
  <c r="I238" i="6" s="1"/>
  <c r="F238" i="6"/>
  <c r="C238" i="6"/>
  <c r="Z236" i="6"/>
  <c r="AA236" i="6" s="1"/>
  <c r="U236" i="6"/>
  <c r="T236" i="6"/>
  <c r="Q236" i="6"/>
  <c r="W236" i="6" s="1"/>
  <c r="X236" i="6" s="1"/>
  <c r="L236" i="6"/>
  <c r="K236" i="6"/>
  <c r="E236" i="6"/>
  <c r="F236" i="6" s="1"/>
  <c r="B236" i="6"/>
  <c r="C236" i="6" s="1"/>
  <c r="AD235" i="6"/>
  <c r="AC235" i="6"/>
  <c r="AA235" i="6"/>
  <c r="X235" i="6"/>
  <c r="W235" i="6"/>
  <c r="U235" i="6"/>
  <c r="R235" i="6"/>
  <c r="N235" i="6"/>
  <c r="O235" i="6" s="1"/>
  <c r="L235" i="6"/>
  <c r="H235" i="6"/>
  <c r="I235" i="6" s="1"/>
  <c r="F235" i="6"/>
  <c r="C235" i="6"/>
  <c r="AC234" i="6"/>
  <c r="AD234" i="6" s="1"/>
  <c r="AA234" i="6"/>
  <c r="W234" i="6"/>
  <c r="X234" i="6" s="1"/>
  <c r="U234" i="6"/>
  <c r="R234" i="6"/>
  <c r="O234" i="6"/>
  <c r="N234" i="6"/>
  <c r="L234" i="6"/>
  <c r="I234" i="6"/>
  <c r="H234" i="6"/>
  <c r="F234" i="6"/>
  <c r="C234" i="6"/>
  <c r="AD233" i="6"/>
  <c r="AC233" i="6"/>
  <c r="AA233" i="6"/>
  <c r="W233" i="6"/>
  <c r="X233" i="6" s="1"/>
  <c r="U233" i="6"/>
  <c r="R233" i="6"/>
  <c r="N233" i="6"/>
  <c r="O233" i="6" s="1"/>
  <c r="L233" i="6"/>
  <c r="H233" i="6"/>
  <c r="I233" i="6" s="1"/>
  <c r="F233" i="6"/>
  <c r="C233" i="6"/>
  <c r="AD232" i="6"/>
  <c r="AC232" i="6"/>
  <c r="AA232" i="6"/>
  <c r="X232" i="6"/>
  <c r="W232" i="6"/>
  <c r="U232" i="6"/>
  <c r="R232" i="6"/>
  <c r="N232" i="6"/>
  <c r="O232" i="6" s="1"/>
  <c r="L232" i="6"/>
  <c r="H232" i="6"/>
  <c r="I232" i="6" s="1"/>
  <c r="F232" i="6"/>
  <c r="C232" i="6"/>
  <c r="AD231" i="6"/>
  <c r="AC231" i="6"/>
  <c r="AA231" i="6"/>
  <c r="X231" i="6"/>
  <c r="W231" i="6"/>
  <c r="U231" i="6"/>
  <c r="R231" i="6"/>
  <c r="N231" i="6"/>
  <c r="O231" i="6" s="1"/>
  <c r="L231" i="6"/>
  <c r="H231" i="6"/>
  <c r="I231" i="6" s="1"/>
  <c r="F231" i="6"/>
  <c r="C231" i="6"/>
  <c r="AC230" i="6"/>
  <c r="AD230" i="6" s="1"/>
  <c r="AA230" i="6"/>
  <c r="X230" i="6"/>
  <c r="W230" i="6"/>
  <c r="U230" i="6"/>
  <c r="R230" i="6"/>
  <c r="O230" i="6"/>
  <c r="N230" i="6"/>
  <c r="L230" i="6"/>
  <c r="H230" i="6"/>
  <c r="I230" i="6" s="1"/>
  <c r="F230" i="6"/>
  <c r="C230" i="6"/>
  <c r="AD229" i="6"/>
  <c r="AC229" i="6"/>
  <c r="AA229" i="6"/>
  <c r="X229" i="6"/>
  <c r="W229" i="6"/>
  <c r="U229" i="6"/>
  <c r="R229" i="6"/>
  <c r="O229" i="6"/>
  <c r="N229" i="6"/>
  <c r="L229" i="6"/>
  <c r="H229" i="6"/>
  <c r="I229" i="6" s="1"/>
  <c r="F229" i="6"/>
  <c r="C229" i="6"/>
  <c r="AC227" i="6"/>
  <c r="AD227" i="6" s="1"/>
  <c r="AA227" i="6"/>
  <c r="Z227" i="6"/>
  <c r="T227" i="6"/>
  <c r="U227" i="6" s="1"/>
  <c r="Q227" i="6"/>
  <c r="K227" i="6"/>
  <c r="L227" i="6" s="1"/>
  <c r="F227" i="6"/>
  <c r="E227" i="6"/>
  <c r="C227" i="6"/>
  <c r="B227" i="6"/>
  <c r="H227" i="6" s="1"/>
  <c r="I227" i="6" s="1"/>
  <c r="AC226" i="6"/>
  <c r="AD226" i="6" s="1"/>
  <c r="AA226" i="6"/>
  <c r="W226" i="6"/>
  <c r="X226" i="6" s="1"/>
  <c r="U226" i="6"/>
  <c r="R226" i="6"/>
  <c r="O226" i="6"/>
  <c r="N226" i="6"/>
  <c r="L226" i="6"/>
  <c r="I226" i="6"/>
  <c r="H226" i="6"/>
  <c r="F226" i="6"/>
  <c r="C226" i="6"/>
  <c r="AC225" i="6"/>
  <c r="AD225" i="6" s="1"/>
  <c r="AA225" i="6"/>
  <c r="X225" i="6"/>
  <c r="W225" i="6"/>
  <c r="U225" i="6"/>
  <c r="R225" i="6"/>
  <c r="O225" i="6"/>
  <c r="N225" i="6"/>
  <c r="L225" i="6"/>
  <c r="H225" i="6"/>
  <c r="I225" i="6" s="1"/>
  <c r="F225" i="6"/>
  <c r="C225" i="6"/>
  <c r="AC224" i="6"/>
  <c r="AD224" i="6" s="1"/>
  <c r="AA224" i="6"/>
  <c r="X224" i="6"/>
  <c r="W224" i="6"/>
  <c r="U224" i="6"/>
  <c r="R224" i="6"/>
  <c r="O224" i="6"/>
  <c r="N224" i="6"/>
  <c r="L224" i="6"/>
  <c r="I224" i="6"/>
  <c r="H224" i="6"/>
  <c r="F224" i="6"/>
  <c r="C224" i="6"/>
  <c r="AC223" i="6"/>
  <c r="AD223" i="6" s="1"/>
  <c r="AA223" i="6"/>
  <c r="X223" i="6"/>
  <c r="W223" i="6"/>
  <c r="U223" i="6"/>
  <c r="R223" i="6"/>
  <c r="N223" i="6"/>
  <c r="O223" i="6" s="1"/>
  <c r="L223" i="6"/>
  <c r="H223" i="6"/>
  <c r="I223" i="6" s="1"/>
  <c r="F223" i="6"/>
  <c r="C223" i="6"/>
  <c r="AD222" i="6"/>
  <c r="AC222" i="6"/>
  <c r="AA222" i="6"/>
  <c r="X222" i="6"/>
  <c r="W222" i="6"/>
  <c r="U222" i="6"/>
  <c r="R222" i="6"/>
  <c r="N222" i="6"/>
  <c r="O222" i="6" s="1"/>
  <c r="L222" i="6"/>
  <c r="I222" i="6"/>
  <c r="H222" i="6"/>
  <c r="F222" i="6"/>
  <c r="C222" i="6"/>
  <c r="AD221" i="6"/>
  <c r="AC221" i="6"/>
  <c r="AA221" i="6"/>
  <c r="X221" i="6"/>
  <c r="W221" i="6"/>
  <c r="U221" i="6"/>
  <c r="R221" i="6"/>
  <c r="O221" i="6"/>
  <c r="N221" i="6"/>
  <c r="L221" i="6"/>
  <c r="H221" i="6"/>
  <c r="I221" i="6" s="1"/>
  <c r="F221" i="6"/>
  <c r="C221" i="6"/>
  <c r="AC220" i="6"/>
  <c r="AD220" i="6" s="1"/>
  <c r="AA220" i="6"/>
  <c r="W220" i="6"/>
  <c r="X220" i="6" s="1"/>
  <c r="U220" i="6"/>
  <c r="R220" i="6"/>
  <c r="O220" i="6"/>
  <c r="N220" i="6"/>
  <c r="L220" i="6"/>
  <c r="I220" i="6"/>
  <c r="H220" i="6"/>
  <c r="F220" i="6"/>
  <c r="C220" i="6"/>
  <c r="AC219" i="6"/>
  <c r="AD219" i="6" s="1"/>
  <c r="AA219" i="6"/>
  <c r="W219" i="6"/>
  <c r="X219" i="6" s="1"/>
  <c r="U219" i="6"/>
  <c r="R219" i="6"/>
  <c r="O219" i="6"/>
  <c r="N219" i="6"/>
  <c r="L219" i="6"/>
  <c r="H219" i="6"/>
  <c r="I219" i="6" s="1"/>
  <c r="F219" i="6"/>
  <c r="C219" i="6"/>
  <c r="AA218" i="6"/>
  <c r="Z218" i="6"/>
  <c r="U218" i="6"/>
  <c r="T218" i="6"/>
  <c r="Q218" i="6"/>
  <c r="R218" i="6" s="1"/>
  <c r="N218" i="6"/>
  <c r="O218" i="6" s="1"/>
  <c r="K218" i="6"/>
  <c r="L218" i="6" s="1"/>
  <c r="F218" i="6"/>
  <c r="E218" i="6"/>
  <c r="B218" i="6"/>
  <c r="H218" i="6" s="1"/>
  <c r="I218" i="6" s="1"/>
  <c r="AC217" i="6"/>
  <c r="AD217" i="6" s="1"/>
  <c r="AA217" i="6"/>
  <c r="W217" i="6"/>
  <c r="X217" i="6" s="1"/>
  <c r="U217" i="6"/>
  <c r="R217" i="6"/>
  <c r="O217" i="6"/>
  <c r="N217" i="6"/>
  <c r="L217" i="6"/>
  <c r="I217" i="6"/>
  <c r="H217" i="6"/>
  <c r="F217" i="6"/>
  <c r="C217" i="6"/>
  <c r="AD216" i="6"/>
  <c r="AC216" i="6"/>
  <c r="AA216" i="6"/>
  <c r="X216" i="6"/>
  <c r="W216" i="6"/>
  <c r="U216" i="6"/>
  <c r="R216" i="6"/>
  <c r="O216" i="6"/>
  <c r="N216" i="6"/>
  <c r="L216" i="6"/>
  <c r="H216" i="6"/>
  <c r="I216" i="6" s="1"/>
  <c r="F216" i="6"/>
  <c r="C216" i="6"/>
  <c r="AD215" i="6"/>
  <c r="AC215" i="6"/>
  <c r="AA215" i="6"/>
  <c r="X215" i="6"/>
  <c r="W215" i="6"/>
  <c r="U215" i="6"/>
  <c r="R215" i="6"/>
  <c r="N215" i="6"/>
  <c r="O215" i="6" s="1"/>
  <c r="L215" i="6"/>
  <c r="H215" i="6"/>
  <c r="I215" i="6" s="1"/>
  <c r="F215" i="6"/>
  <c r="C215" i="6"/>
  <c r="AD214" i="6"/>
  <c r="AC214" i="6"/>
  <c r="AA214" i="6"/>
  <c r="X214" i="6"/>
  <c r="W214" i="6"/>
  <c r="U214" i="6"/>
  <c r="R214" i="6"/>
  <c r="N214" i="6"/>
  <c r="O214" i="6" s="1"/>
  <c r="L214" i="6"/>
  <c r="H214" i="6"/>
  <c r="I214" i="6" s="1"/>
  <c r="F214" i="6"/>
  <c r="C214" i="6"/>
  <c r="AC213" i="6"/>
  <c r="AD213" i="6" s="1"/>
  <c r="AA213" i="6"/>
  <c r="W213" i="6"/>
  <c r="X213" i="6" s="1"/>
  <c r="U213" i="6"/>
  <c r="R213" i="6"/>
  <c r="O213" i="6"/>
  <c r="N213" i="6"/>
  <c r="L213" i="6"/>
  <c r="I213" i="6"/>
  <c r="H213" i="6"/>
  <c r="F213" i="6"/>
  <c r="C213" i="6"/>
  <c r="AC211" i="6"/>
  <c r="AD211" i="6" s="1"/>
  <c r="AA211" i="6"/>
  <c r="X211" i="6"/>
  <c r="W211" i="6"/>
  <c r="U211" i="6"/>
  <c r="R211" i="6"/>
  <c r="O211" i="6"/>
  <c r="N211" i="6"/>
  <c r="L211" i="6"/>
  <c r="H211" i="6"/>
  <c r="I211" i="6" s="1"/>
  <c r="F211" i="6"/>
  <c r="C211" i="6"/>
  <c r="AA209" i="6"/>
  <c r="Z209" i="6"/>
  <c r="AC209" i="6" s="1"/>
  <c r="AD209" i="6" s="1"/>
  <c r="W209" i="6"/>
  <c r="X209" i="6" s="1"/>
  <c r="U209" i="6"/>
  <c r="T209" i="6"/>
  <c r="R209" i="6"/>
  <c r="Q209" i="6"/>
  <c r="N209" i="6"/>
  <c r="O209" i="6" s="1"/>
  <c r="K209" i="6"/>
  <c r="L209" i="6" s="1"/>
  <c r="E209" i="6"/>
  <c r="F209" i="6" s="1"/>
  <c r="C209" i="6"/>
  <c r="B209" i="6"/>
  <c r="AC208" i="6"/>
  <c r="AD208" i="6" s="1"/>
  <c r="AA208" i="6"/>
  <c r="W208" i="6"/>
  <c r="X208" i="6" s="1"/>
  <c r="U208" i="6"/>
  <c r="R208" i="6"/>
  <c r="O208" i="6"/>
  <c r="N208" i="6"/>
  <c r="L208" i="6"/>
  <c r="I208" i="6"/>
  <c r="H208" i="6"/>
  <c r="F208" i="6"/>
  <c r="C208" i="6"/>
  <c r="AC207" i="6"/>
  <c r="AD207" i="6" s="1"/>
  <c r="AA207" i="6"/>
  <c r="W207" i="6"/>
  <c r="X207" i="6" s="1"/>
  <c r="U207" i="6"/>
  <c r="R207" i="6"/>
  <c r="O207" i="6"/>
  <c r="N207" i="6"/>
  <c r="L207" i="6"/>
  <c r="H207" i="6"/>
  <c r="I207" i="6" s="1"/>
  <c r="F207" i="6"/>
  <c r="C207" i="6"/>
  <c r="AD206" i="6"/>
  <c r="AC206" i="6"/>
  <c r="AA206" i="6"/>
  <c r="X206" i="6"/>
  <c r="W206" i="6"/>
  <c r="U206" i="6"/>
  <c r="R206" i="6"/>
  <c r="N206" i="6"/>
  <c r="O206" i="6" s="1"/>
  <c r="L206" i="6"/>
  <c r="H206" i="6"/>
  <c r="I206" i="6" s="1"/>
  <c r="F206" i="6"/>
  <c r="C206" i="6"/>
  <c r="AD205" i="6"/>
  <c r="AC205" i="6"/>
  <c r="AA205" i="6"/>
  <c r="X205" i="6"/>
  <c r="W205" i="6"/>
  <c r="U205" i="6"/>
  <c r="R205" i="6"/>
  <c r="O205" i="6"/>
  <c r="N205" i="6"/>
  <c r="L205" i="6"/>
  <c r="H205" i="6"/>
  <c r="I205" i="6" s="1"/>
  <c r="F205" i="6"/>
  <c r="C205" i="6"/>
  <c r="AC204" i="6"/>
  <c r="AD204" i="6" s="1"/>
  <c r="AA204" i="6"/>
  <c r="W204" i="6"/>
  <c r="X204" i="6" s="1"/>
  <c r="U204" i="6"/>
  <c r="R204" i="6"/>
  <c r="O204" i="6"/>
  <c r="N204" i="6"/>
  <c r="L204" i="6"/>
  <c r="I204" i="6"/>
  <c r="H204" i="6"/>
  <c r="F204" i="6"/>
  <c r="C204" i="6"/>
  <c r="AC203" i="6"/>
  <c r="AD203" i="6" s="1"/>
  <c r="AA203" i="6"/>
  <c r="X203" i="6"/>
  <c r="W203" i="6"/>
  <c r="U203" i="6"/>
  <c r="R203" i="6"/>
  <c r="N203" i="6"/>
  <c r="O203" i="6" s="1"/>
  <c r="L203" i="6"/>
  <c r="H203" i="6"/>
  <c r="I203" i="6" s="1"/>
  <c r="F203" i="6"/>
  <c r="C203" i="6"/>
  <c r="AD202" i="6"/>
  <c r="AC202" i="6"/>
  <c r="AA202" i="6"/>
  <c r="X202" i="6"/>
  <c r="W202" i="6"/>
  <c r="U202" i="6"/>
  <c r="R202" i="6"/>
  <c r="N202" i="6"/>
  <c r="O202" i="6" s="1"/>
  <c r="L202" i="6"/>
  <c r="I202" i="6"/>
  <c r="H202" i="6"/>
  <c r="F202" i="6"/>
  <c r="C202" i="6"/>
  <c r="AD201" i="6"/>
  <c r="AC201" i="6"/>
  <c r="AA201" i="6"/>
  <c r="X201" i="6"/>
  <c r="W201" i="6"/>
  <c r="U201" i="6"/>
  <c r="R201" i="6"/>
  <c r="O201" i="6"/>
  <c r="N201" i="6"/>
  <c r="L201" i="6"/>
  <c r="H201" i="6"/>
  <c r="I201" i="6" s="1"/>
  <c r="F201" i="6"/>
  <c r="C201" i="6"/>
  <c r="Z197" i="6"/>
  <c r="AA197" i="6" s="1"/>
  <c r="W197" i="6"/>
  <c r="X197" i="6" s="1"/>
  <c r="U197" i="6"/>
  <c r="T197" i="6"/>
  <c r="R197" i="6"/>
  <c r="Q197" i="6"/>
  <c r="K197" i="6"/>
  <c r="F197" i="6"/>
  <c r="E197" i="6"/>
  <c r="C197" i="6"/>
  <c r="B197" i="6"/>
  <c r="AA196" i="6"/>
  <c r="Z196" i="6"/>
  <c r="W196" i="6"/>
  <c r="X196" i="6" s="1"/>
  <c r="T196" i="6"/>
  <c r="U196" i="6" s="1"/>
  <c r="Q196" i="6"/>
  <c r="R196" i="6" s="1"/>
  <c r="K196" i="6"/>
  <c r="L196" i="6" s="1"/>
  <c r="H196" i="6"/>
  <c r="I196" i="6" s="1"/>
  <c r="E196" i="6"/>
  <c r="F196" i="6" s="1"/>
  <c r="C196" i="6"/>
  <c r="B196" i="6"/>
  <c r="AC195" i="6"/>
  <c r="AD195" i="6" s="1"/>
  <c r="AA195" i="6"/>
  <c r="X195" i="6"/>
  <c r="W195" i="6"/>
  <c r="U195" i="6"/>
  <c r="R195" i="6"/>
  <c r="N195" i="6"/>
  <c r="O195" i="6" s="1"/>
  <c r="L195" i="6"/>
  <c r="H195" i="6"/>
  <c r="I195" i="6" s="1"/>
  <c r="F195" i="6"/>
  <c r="C195" i="6"/>
  <c r="AD194" i="6"/>
  <c r="AC194" i="6"/>
  <c r="AA194" i="6"/>
  <c r="W194" i="6"/>
  <c r="X194" i="6" s="1"/>
  <c r="U194" i="6"/>
  <c r="R194" i="6"/>
  <c r="O194" i="6"/>
  <c r="N194" i="6"/>
  <c r="L194" i="6"/>
  <c r="I194" i="6"/>
  <c r="H194" i="6"/>
  <c r="F194" i="6"/>
  <c r="C194" i="6"/>
  <c r="AA193" i="6"/>
  <c r="Z193" i="6"/>
  <c r="T193" i="6"/>
  <c r="U193" i="6" s="1"/>
  <c r="Q193" i="6"/>
  <c r="L193" i="6"/>
  <c r="K193" i="6"/>
  <c r="I193" i="6"/>
  <c r="H193" i="6"/>
  <c r="E193" i="6"/>
  <c r="F193" i="6" s="1"/>
  <c r="C193" i="6"/>
  <c r="B193" i="6"/>
  <c r="N193" i="6" s="1"/>
  <c r="O193" i="6" s="1"/>
  <c r="AC192" i="6"/>
  <c r="AD192" i="6" s="1"/>
  <c r="AA192" i="6"/>
  <c r="X192" i="6"/>
  <c r="W192" i="6"/>
  <c r="U192" i="6"/>
  <c r="R192" i="6"/>
  <c r="N192" i="6"/>
  <c r="O192" i="6" s="1"/>
  <c r="L192" i="6"/>
  <c r="I192" i="6"/>
  <c r="H192" i="6"/>
  <c r="F192" i="6"/>
  <c r="C192" i="6"/>
  <c r="AD191" i="6"/>
  <c r="AC191" i="6"/>
  <c r="AA191" i="6"/>
  <c r="W191" i="6"/>
  <c r="X191" i="6" s="1"/>
  <c r="U191" i="6"/>
  <c r="R191" i="6"/>
  <c r="O191" i="6"/>
  <c r="N191" i="6"/>
  <c r="L191" i="6"/>
  <c r="I191" i="6"/>
  <c r="H191" i="6"/>
  <c r="F191" i="6"/>
  <c r="C191" i="6"/>
  <c r="AC190" i="6"/>
  <c r="AD190" i="6" s="1"/>
  <c r="AA190" i="6"/>
  <c r="W190" i="6"/>
  <c r="X190" i="6" s="1"/>
  <c r="U190" i="6"/>
  <c r="R190" i="6"/>
  <c r="O190" i="6"/>
  <c r="N190" i="6"/>
  <c r="L190" i="6"/>
  <c r="I190" i="6"/>
  <c r="H190" i="6"/>
  <c r="F190" i="6"/>
  <c r="C190" i="6"/>
  <c r="AC189" i="6"/>
  <c r="AD189" i="6" s="1"/>
  <c r="AA189" i="6"/>
  <c r="W189" i="6"/>
  <c r="X189" i="6" s="1"/>
  <c r="U189" i="6"/>
  <c r="R189" i="6"/>
  <c r="N189" i="6"/>
  <c r="O189" i="6" s="1"/>
  <c r="L189" i="6"/>
  <c r="H189" i="6"/>
  <c r="I189" i="6" s="1"/>
  <c r="F189" i="6"/>
  <c r="C189" i="6"/>
  <c r="AD188" i="6"/>
  <c r="AC188" i="6"/>
  <c r="AA188" i="6"/>
  <c r="X188" i="6"/>
  <c r="W188" i="6"/>
  <c r="U188" i="6"/>
  <c r="R188" i="6"/>
  <c r="N188" i="6"/>
  <c r="O188" i="6" s="1"/>
  <c r="L188" i="6"/>
  <c r="H188" i="6"/>
  <c r="I188" i="6" s="1"/>
  <c r="F188" i="6"/>
  <c r="C188" i="6"/>
  <c r="AD187" i="6"/>
  <c r="AC187" i="6"/>
  <c r="AA187" i="6"/>
  <c r="X187" i="6"/>
  <c r="W187" i="6"/>
  <c r="U187" i="6"/>
  <c r="R187" i="6"/>
  <c r="O187" i="6"/>
  <c r="N187" i="6"/>
  <c r="L187" i="6"/>
  <c r="I187" i="6"/>
  <c r="H187" i="6"/>
  <c r="F187" i="6"/>
  <c r="C187" i="6"/>
  <c r="AC186" i="6"/>
  <c r="AD186" i="6" s="1"/>
  <c r="AA186" i="6"/>
  <c r="W186" i="6"/>
  <c r="X186" i="6" s="1"/>
  <c r="U186" i="6"/>
  <c r="R186" i="6"/>
  <c r="O186" i="6"/>
  <c r="N186" i="6"/>
  <c r="L186" i="6"/>
  <c r="I186" i="6"/>
  <c r="H186" i="6"/>
  <c r="F186" i="6"/>
  <c r="C186" i="6"/>
  <c r="AD184" i="6"/>
  <c r="AC184" i="6"/>
  <c r="AA184" i="6"/>
  <c r="W184" i="6"/>
  <c r="X184" i="6" s="1"/>
  <c r="U184" i="6"/>
  <c r="R184" i="6"/>
  <c r="N184" i="6"/>
  <c r="O184" i="6" s="1"/>
  <c r="L184" i="6"/>
  <c r="H184" i="6"/>
  <c r="I184" i="6" s="1"/>
  <c r="F184" i="6"/>
  <c r="C184" i="6"/>
  <c r="AD183" i="6"/>
  <c r="AC183" i="6"/>
  <c r="AA183" i="6"/>
  <c r="X183" i="6"/>
  <c r="W183" i="6"/>
  <c r="U183" i="6"/>
  <c r="R183" i="6"/>
  <c r="N183" i="6"/>
  <c r="O183" i="6" s="1"/>
  <c r="L183" i="6"/>
  <c r="I183" i="6"/>
  <c r="H183" i="6"/>
  <c r="F183" i="6"/>
  <c r="C183" i="6"/>
  <c r="AA182" i="6"/>
  <c r="Z182" i="6"/>
  <c r="W182" i="6"/>
  <c r="X182" i="6" s="1"/>
  <c r="T182" i="6"/>
  <c r="U182" i="6" s="1"/>
  <c r="R182" i="6"/>
  <c r="Q182" i="6"/>
  <c r="K182" i="6"/>
  <c r="L182" i="6" s="1"/>
  <c r="H182" i="6"/>
  <c r="I182" i="6" s="1"/>
  <c r="F182" i="6"/>
  <c r="E182" i="6"/>
  <c r="C182" i="6"/>
  <c r="B182" i="6"/>
  <c r="AC181" i="6"/>
  <c r="AD181" i="6" s="1"/>
  <c r="AA181" i="6"/>
  <c r="X181" i="6"/>
  <c r="W181" i="6"/>
  <c r="U181" i="6"/>
  <c r="R181" i="6"/>
  <c r="N181" i="6"/>
  <c r="O181" i="6" s="1"/>
  <c r="L181" i="6"/>
  <c r="H181" i="6"/>
  <c r="I181" i="6" s="1"/>
  <c r="F181" i="6"/>
  <c r="C181" i="6"/>
  <c r="AD180" i="6"/>
  <c r="AC180" i="6"/>
  <c r="AA180" i="6"/>
  <c r="X180" i="6"/>
  <c r="W180" i="6"/>
  <c r="U180" i="6"/>
  <c r="R180" i="6"/>
  <c r="N180" i="6"/>
  <c r="O180" i="6" s="1"/>
  <c r="L180" i="6"/>
  <c r="I180" i="6"/>
  <c r="H180" i="6"/>
  <c r="F180" i="6"/>
  <c r="C180" i="6"/>
  <c r="AD179" i="6"/>
  <c r="AC179" i="6"/>
  <c r="AA179" i="6"/>
  <c r="X179" i="6"/>
  <c r="W179" i="6"/>
  <c r="U179" i="6"/>
  <c r="R179" i="6"/>
  <c r="N179" i="6"/>
  <c r="O179" i="6" s="1"/>
  <c r="L179" i="6"/>
  <c r="H179" i="6"/>
  <c r="I179" i="6" s="1"/>
  <c r="F179" i="6"/>
  <c r="C179" i="6"/>
  <c r="AC178" i="6"/>
  <c r="AD178" i="6" s="1"/>
  <c r="AA178" i="6"/>
  <c r="W178" i="6"/>
  <c r="X178" i="6" s="1"/>
  <c r="U178" i="6"/>
  <c r="R178" i="6"/>
  <c r="O178" i="6"/>
  <c r="N178" i="6"/>
  <c r="L178" i="6"/>
  <c r="I178" i="6"/>
  <c r="H178" i="6"/>
  <c r="F178" i="6"/>
  <c r="C178" i="6"/>
  <c r="AC177" i="6"/>
  <c r="AD177" i="6" s="1"/>
  <c r="AA177" i="6"/>
  <c r="W177" i="6"/>
  <c r="X177" i="6" s="1"/>
  <c r="U177" i="6"/>
  <c r="R177" i="6"/>
  <c r="O177" i="6"/>
  <c r="N177" i="6"/>
  <c r="L177" i="6"/>
  <c r="H177" i="6"/>
  <c r="I177" i="6" s="1"/>
  <c r="F177" i="6"/>
  <c r="C177" i="6"/>
  <c r="AC175" i="6"/>
  <c r="AD175" i="6" s="1"/>
  <c r="AA175" i="6"/>
  <c r="X175" i="6"/>
  <c r="W175" i="6"/>
  <c r="U175" i="6"/>
  <c r="R175" i="6"/>
  <c r="N175" i="6"/>
  <c r="O175" i="6" s="1"/>
  <c r="L175" i="6"/>
  <c r="H175" i="6"/>
  <c r="I175" i="6" s="1"/>
  <c r="F175" i="6"/>
  <c r="C175" i="6"/>
  <c r="Z172" i="6"/>
  <c r="K172" i="6"/>
  <c r="L172" i="6" s="1"/>
  <c r="Z171" i="6"/>
  <c r="AA171" i="6" s="1"/>
  <c r="T171" i="6"/>
  <c r="T172" i="6" s="1"/>
  <c r="R171" i="6"/>
  <c r="Q171" i="6"/>
  <c r="N171" i="6"/>
  <c r="O171" i="6" s="1"/>
  <c r="L171" i="6"/>
  <c r="K171" i="6"/>
  <c r="H171" i="6"/>
  <c r="I171" i="6" s="1"/>
  <c r="F171" i="6"/>
  <c r="E171" i="6"/>
  <c r="B171" i="6"/>
  <c r="C171" i="6" s="1"/>
  <c r="AD170" i="6"/>
  <c r="AA170" i="6"/>
  <c r="Z170" i="6"/>
  <c r="T170" i="6"/>
  <c r="U170" i="6" s="1"/>
  <c r="R170" i="6"/>
  <c r="Q170" i="6"/>
  <c r="AC170" i="6" s="1"/>
  <c r="K170" i="6"/>
  <c r="L170" i="6" s="1"/>
  <c r="F170" i="6"/>
  <c r="E170" i="6"/>
  <c r="B170" i="6"/>
  <c r="AD169" i="6"/>
  <c r="AC169" i="6"/>
  <c r="AA169" i="6"/>
  <c r="W169" i="6"/>
  <c r="X169" i="6" s="1"/>
  <c r="U169" i="6"/>
  <c r="R169" i="6"/>
  <c r="O169" i="6"/>
  <c r="N169" i="6"/>
  <c r="L169" i="6"/>
  <c r="H169" i="6"/>
  <c r="I169" i="6" s="1"/>
  <c r="F169" i="6"/>
  <c r="C169" i="6"/>
  <c r="AD168" i="6"/>
  <c r="AC168" i="6"/>
  <c r="AA168" i="6"/>
  <c r="X168" i="6"/>
  <c r="W168" i="6"/>
  <c r="U168" i="6"/>
  <c r="R168" i="6"/>
  <c r="N168" i="6"/>
  <c r="O168" i="6" s="1"/>
  <c r="L168" i="6"/>
  <c r="H168" i="6"/>
  <c r="I168" i="6" s="1"/>
  <c r="F168" i="6"/>
  <c r="C168" i="6"/>
  <c r="AD167" i="6"/>
  <c r="AC167" i="6"/>
  <c r="AA167" i="6"/>
  <c r="X167" i="6"/>
  <c r="W167" i="6"/>
  <c r="U167" i="6"/>
  <c r="R167" i="6"/>
  <c r="N167" i="6"/>
  <c r="O167" i="6" s="1"/>
  <c r="L167" i="6"/>
  <c r="I167" i="6"/>
  <c r="H167" i="6"/>
  <c r="F167" i="6"/>
  <c r="C167" i="6"/>
  <c r="AA166" i="6"/>
  <c r="Z166" i="6"/>
  <c r="U166" i="6"/>
  <c r="T166" i="6"/>
  <c r="Q166" i="6"/>
  <c r="K166" i="6"/>
  <c r="L166" i="6" s="1"/>
  <c r="H166" i="6"/>
  <c r="I166" i="6" s="1"/>
  <c r="E166" i="6"/>
  <c r="F166" i="6" s="1"/>
  <c r="C166" i="6"/>
  <c r="B166" i="6"/>
  <c r="AD165" i="6"/>
  <c r="AC165" i="6"/>
  <c r="AA165" i="6"/>
  <c r="X165" i="6"/>
  <c r="W165" i="6"/>
  <c r="U165" i="6"/>
  <c r="R165" i="6"/>
  <c r="N165" i="6"/>
  <c r="O165" i="6" s="1"/>
  <c r="L165" i="6"/>
  <c r="H165" i="6"/>
  <c r="I165" i="6" s="1"/>
  <c r="F165" i="6"/>
  <c r="C165" i="6"/>
  <c r="AD164" i="6"/>
  <c r="AC164" i="6"/>
  <c r="AA164" i="6"/>
  <c r="X164" i="6"/>
  <c r="W164" i="6"/>
  <c r="U164" i="6"/>
  <c r="R164" i="6"/>
  <c r="N164" i="6"/>
  <c r="O164" i="6" s="1"/>
  <c r="L164" i="6"/>
  <c r="I164" i="6"/>
  <c r="H164" i="6"/>
  <c r="F164" i="6"/>
  <c r="C164" i="6"/>
  <c r="AC163" i="6"/>
  <c r="AD163" i="6" s="1"/>
  <c r="AA163" i="6"/>
  <c r="W163" i="6"/>
  <c r="X163" i="6" s="1"/>
  <c r="U163" i="6"/>
  <c r="R163" i="6"/>
  <c r="O163" i="6"/>
  <c r="N163" i="6"/>
  <c r="L163" i="6"/>
  <c r="I163" i="6"/>
  <c r="H163" i="6"/>
  <c r="F163" i="6"/>
  <c r="C163" i="6"/>
  <c r="AD162" i="6"/>
  <c r="AC162" i="6"/>
  <c r="AA162" i="6"/>
  <c r="X162" i="6"/>
  <c r="W162" i="6"/>
  <c r="U162" i="6"/>
  <c r="R162" i="6"/>
  <c r="N162" i="6"/>
  <c r="O162" i="6" s="1"/>
  <c r="L162" i="6"/>
  <c r="H162" i="6"/>
  <c r="I162" i="6" s="1"/>
  <c r="F162" i="6"/>
  <c r="C162" i="6"/>
  <c r="AC161" i="6"/>
  <c r="AD161" i="6" s="1"/>
  <c r="AA161" i="6"/>
  <c r="X161" i="6"/>
  <c r="W161" i="6"/>
  <c r="U161" i="6"/>
  <c r="R161" i="6"/>
  <c r="N161" i="6"/>
  <c r="O161" i="6" s="1"/>
  <c r="L161" i="6"/>
  <c r="I161" i="6"/>
  <c r="H161" i="6"/>
  <c r="F161" i="6"/>
  <c r="C161" i="6"/>
  <c r="AD160" i="6"/>
  <c r="AC160" i="6"/>
  <c r="AA160" i="6"/>
  <c r="W160" i="6"/>
  <c r="X160" i="6" s="1"/>
  <c r="U160" i="6"/>
  <c r="R160" i="6"/>
  <c r="O160" i="6"/>
  <c r="N160" i="6"/>
  <c r="L160" i="6"/>
  <c r="I160" i="6"/>
  <c r="H160" i="6"/>
  <c r="F160" i="6"/>
  <c r="C160" i="6"/>
  <c r="AC158" i="6"/>
  <c r="AD158" i="6" s="1"/>
  <c r="AA158" i="6"/>
  <c r="Z158" i="6"/>
  <c r="T158" i="6"/>
  <c r="W158" i="6" s="1"/>
  <c r="X158" i="6" s="1"/>
  <c r="Q158" i="6"/>
  <c r="R158" i="6" s="1"/>
  <c r="O158" i="6"/>
  <c r="L158" i="6"/>
  <c r="K158" i="6"/>
  <c r="H158" i="6"/>
  <c r="I158" i="6" s="1"/>
  <c r="E158" i="6"/>
  <c r="F158" i="6" s="1"/>
  <c r="C158" i="6"/>
  <c r="B158" i="6"/>
  <c r="N158" i="6" s="1"/>
  <c r="AD157" i="6"/>
  <c r="AC157" i="6"/>
  <c r="AA157" i="6"/>
  <c r="X157" i="6"/>
  <c r="W157" i="6"/>
  <c r="U157" i="6"/>
  <c r="R157" i="6"/>
  <c r="N157" i="6"/>
  <c r="O157" i="6" s="1"/>
  <c r="L157" i="6"/>
  <c r="I157" i="6"/>
  <c r="H157" i="6"/>
  <c r="F157" i="6"/>
  <c r="C157" i="6"/>
  <c r="AD156" i="6"/>
  <c r="AC156" i="6"/>
  <c r="AA156" i="6"/>
  <c r="X156" i="6"/>
  <c r="W156" i="6"/>
  <c r="U156" i="6"/>
  <c r="R156" i="6"/>
  <c r="O156" i="6"/>
  <c r="N156" i="6"/>
  <c r="L156" i="6"/>
  <c r="H156" i="6"/>
  <c r="I156" i="6" s="1"/>
  <c r="F156" i="6"/>
  <c r="C156" i="6"/>
  <c r="AC155" i="6"/>
  <c r="AD155" i="6" s="1"/>
  <c r="AA155" i="6"/>
  <c r="W155" i="6"/>
  <c r="X155" i="6" s="1"/>
  <c r="U155" i="6"/>
  <c r="R155" i="6"/>
  <c r="O155" i="6"/>
  <c r="N155" i="6"/>
  <c r="L155" i="6"/>
  <c r="I155" i="6"/>
  <c r="H155" i="6"/>
  <c r="F155" i="6"/>
  <c r="C155" i="6"/>
  <c r="AC154" i="6"/>
  <c r="AD154" i="6" s="1"/>
  <c r="AA154" i="6"/>
  <c r="W154" i="6"/>
  <c r="X154" i="6" s="1"/>
  <c r="U154" i="6"/>
  <c r="R154" i="6"/>
  <c r="O154" i="6"/>
  <c r="N154" i="6"/>
  <c r="L154" i="6"/>
  <c r="H154" i="6"/>
  <c r="I154" i="6" s="1"/>
  <c r="F154" i="6"/>
  <c r="C154" i="6"/>
  <c r="AC153" i="6"/>
  <c r="AD153" i="6" s="1"/>
  <c r="AA153" i="6"/>
  <c r="X153" i="6"/>
  <c r="W153" i="6"/>
  <c r="U153" i="6"/>
  <c r="R153" i="6"/>
  <c r="N153" i="6"/>
  <c r="O153" i="6" s="1"/>
  <c r="L153" i="6"/>
  <c r="I153" i="6"/>
  <c r="H153" i="6"/>
  <c r="F153" i="6"/>
  <c r="C153" i="6"/>
  <c r="AD151" i="6"/>
  <c r="AC151" i="6"/>
  <c r="AA151" i="6"/>
  <c r="W151" i="6"/>
  <c r="X151" i="6" s="1"/>
  <c r="U151" i="6"/>
  <c r="R151" i="6"/>
  <c r="O151" i="6"/>
  <c r="N151" i="6"/>
  <c r="L151" i="6"/>
  <c r="H151" i="6"/>
  <c r="I151" i="6" s="1"/>
  <c r="F151" i="6"/>
  <c r="C151" i="6"/>
  <c r="AA149" i="6"/>
  <c r="Z149" i="6"/>
  <c r="W149" i="6"/>
  <c r="X149" i="6" s="1"/>
  <c r="U149" i="6"/>
  <c r="T149" i="6"/>
  <c r="Q149" i="6"/>
  <c r="L149" i="6"/>
  <c r="K149" i="6"/>
  <c r="H149" i="6"/>
  <c r="I149" i="6" s="1"/>
  <c r="E149" i="6"/>
  <c r="F149" i="6" s="1"/>
  <c r="C149" i="6"/>
  <c r="B149" i="6"/>
  <c r="N149" i="6" s="1"/>
  <c r="O149" i="6" s="1"/>
  <c r="AC148" i="6"/>
  <c r="AD148" i="6" s="1"/>
  <c r="AA148" i="6"/>
  <c r="Z148" i="6"/>
  <c r="W148" i="6"/>
  <c r="X148" i="6" s="1"/>
  <c r="U148" i="6"/>
  <c r="T148" i="6"/>
  <c r="R148" i="6"/>
  <c r="Q148" i="6"/>
  <c r="K148" i="6"/>
  <c r="L148" i="6" s="1"/>
  <c r="E148" i="6"/>
  <c r="F148" i="6" s="1"/>
  <c r="C148" i="6"/>
  <c r="B148" i="6"/>
  <c r="AC147" i="6"/>
  <c r="AD147" i="6" s="1"/>
  <c r="AA147" i="6"/>
  <c r="W147" i="6"/>
  <c r="X147" i="6" s="1"/>
  <c r="U147" i="6"/>
  <c r="R147" i="6"/>
  <c r="O147" i="6"/>
  <c r="N147" i="6"/>
  <c r="L147" i="6"/>
  <c r="I147" i="6"/>
  <c r="H147" i="6"/>
  <c r="F147" i="6"/>
  <c r="C147" i="6"/>
  <c r="AC146" i="6"/>
  <c r="AD146" i="6" s="1"/>
  <c r="AA146" i="6"/>
  <c r="W146" i="6"/>
  <c r="X146" i="6" s="1"/>
  <c r="U146" i="6"/>
  <c r="R146" i="6"/>
  <c r="N146" i="6"/>
  <c r="O146" i="6" s="1"/>
  <c r="L146" i="6"/>
  <c r="H146" i="6"/>
  <c r="I146" i="6" s="1"/>
  <c r="F146" i="6"/>
  <c r="C146" i="6"/>
  <c r="AD145" i="6"/>
  <c r="AC145" i="6"/>
  <c r="AA145" i="6"/>
  <c r="X145" i="6"/>
  <c r="W145" i="6"/>
  <c r="U145" i="6"/>
  <c r="R145" i="6"/>
  <c r="N145" i="6"/>
  <c r="O145" i="6" s="1"/>
  <c r="L145" i="6"/>
  <c r="H145" i="6"/>
  <c r="I145" i="6" s="1"/>
  <c r="F145" i="6"/>
  <c r="C145" i="6"/>
  <c r="AD144" i="6"/>
  <c r="AC144" i="6"/>
  <c r="AA144" i="6"/>
  <c r="X144" i="6"/>
  <c r="W144" i="6"/>
  <c r="U144" i="6"/>
  <c r="R144" i="6"/>
  <c r="N144" i="6"/>
  <c r="O144" i="6" s="1"/>
  <c r="L144" i="6"/>
  <c r="I144" i="6"/>
  <c r="H144" i="6"/>
  <c r="F144" i="6"/>
  <c r="C144" i="6"/>
  <c r="AC143" i="6"/>
  <c r="AD143" i="6" s="1"/>
  <c r="AA143" i="6"/>
  <c r="W143" i="6"/>
  <c r="X143" i="6" s="1"/>
  <c r="U143" i="6"/>
  <c r="R143" i="6"/>
  <c r="O143" i="6"/>
  <c r="N143" i="6"/>
  <c r="L143" i="6"/>
  <c r="I143" i="6"/>
  <c r="H143" i="6"/>
  <c r="F143" i="6"/>
  <c r="C143" i="6"/>
  <c r="Z141" i="6"/>
  <c r="AA141" i="6" s="1"/>
  <c r="T141" i="6"/>
  <c r="U141" i="6" s="1"/>
  <c r="R141" i="6"/>
  <c r="Q141" i="6"/>
  <c r="N141" i="6"/>
  <c r="O141" i="6" s="1"/>
  <c r="L141" i="6"/>
  <c r="K141" i="6"/>
  <c r="E141" i="6"/>
  <c r="F141" i="6" s="1"/>
  <c r="B141" i="6"/>
  <c r="C141" i="6" s="1"/>
  <c r="AD140" i="6"/>
  <c r="AC140" i="6"/>
  <c r="AA140" i="6"/>
  <c r="X140" i="6"/>
  <c r="W140" i="6"/>
  <c r="U140" i="6"/>
  <c r="R140" i="6"/>
  <c r="N140" i="6"/>
  <c r="O140" i="6" s="1"/>
  <c r="L140" i="6"/>
  <c r="H140" i="6"/>
  <c r="I140" i="6" s="1"/>
  <c r="F140" i="6"/>
  <c r="C140" i="6"/>
  <c r="AC139" i="6"/>
  <c r="AD139" i="6" s="1"/>
  <c r="AA139" i="6"/>
  <c r="W139" i="6"/>
  <c r="X139" i="6" s="1"/>
  <c r="U139" i="6"/>
  <c r="R139" i="6"/>
  <c r="O139" i="6"/>
  <c r="N139" i="6"/>
  <c r="L139" i="6"/>
  <c r="I139" i="6"/>
  <c r="H139" i="6"/>
  <c r="F139" i="6"/>
  <c r="C139" i="6"/>
  <c r="AC138" i="6"/>
  <c r="AD138" i="6" s="1"/>
  <c r="AA138" i="6"/>
  <c r="W138" i="6"/>
  <c r="X138" i="6" s="1"/>
  <c r="U138" i="6"/>
  <c r="R138" i="6"/>
  <c r="O138" i="6"/>
  <c r="N138" i="6"/>
  <c r="L138" i="6"/>
  <c r="H138" i="6"/>
  <c r="I138" i="6" s="1"/>
  <c r="F138" i="6"/>
  <c r="C138" i="6"/>
  <c r="AC137" i="6"/>
  <c r="AD137" i="6" s="1"/>
  <c r="AA137" i="6"/>
  <c r="X137" i="6"/>
  <c r="W137" i="6"/>
  <c r="U137" i="6"/>
  <c r="R137" i="6"/>
  <c r="N137" i="6"/>
  <c r="O137" i="6" s="1"/>
  <c r="L137" i="6"/>
  <c r="I137" i="6"/>
  <c r="H137" i="6"/>
  <c r="F137" i="6"/>
  <c r="C137" i="6"/>
  <c r="AD136" i="6"/>
  <c r="AC136" i="6"/>
  <c r="AA136" i="6"/>
  <c r="W136" i="6"/>
  <c r="X136" i="6" s="1"/>
  <c r="U136" i="6"/>
  <c r="R136" i="6"/>
  <c r="O136" i="6"/>
  <c r="N136" i="6"/>
  <c r="L136" i="6"/>
  <c r="I136" i="6"/>
  <c r="H136" i="6"/>
  <c r="F136" i="6"/>
  <c r="C136" i="6"/>
  <c r="AC135" i="6"/>
  <c r="AD135" i="6" s="1"/>
  <c r="AA135" i="6"/>
  <c r="W135" i="6"/>
  <c r="X135" i="6" s="1"/>
  <c r="U135" i="6"/>
  <c r="R135" i="6"/>
  <c r="O135" i="6"/>
  <c r="N135" i="6"/>
  <c r="L135" i="6"/>
  <c r="I135" i="6"/>
  <c r="H135" i="6"/>
  <c r="F135" i="6"/>
  <c r="C135" i="6"/>
  <c r="AD134" i="6"/>
  <c r="AC134" i="6"/>
  <c r="AA134" i="6"/>
  <c r="X134" i="6"/>
  <c r="W134" i="6"/>
  <c r="U134" i="6"/>
  <c r="R134" i="6"/>
  <c r="O134" i="6"/>
  <c r="N134" i="6"/>
  <c r="L134" i="6"/>
  <c r="H134" i="6"/>
  <c r="I134" i="6" s="1"/>
  <c r="F134" i="6"/>
  <c r="C134" i="6"/>
  <c r="AC133" i="6"/>
  <c r="AD133" i="6" s="1"/>
  <c r="AA133" i="6"/>
  <c r="X133" i="6"/>
  <c r="W133" i="6"/>
  <c r="U133" i="6"/>
  <c r="R133" i="6"/>
  <c r="N133" i="6"/>
  <c r="O133" i="6" s="1"/>
  <c r="L133" i="6"/>
  <c r="H133" i="6"/>
  <c r="I133" i="6" s="1"/>
  <c r="F133" i="6"/>
  <c r="C133" i="6"/>
  <c r="AD132" i="6"/>
  <c r="AC132" i="6"/>
  <c r="AA132" i="6"/>
  <c r="W132" i="6"/>
  <c r="X132" i="6" s="1"/>
  <c r="U132" i="6"/>
  <c r="R132" i="6"/>
  <c r="N132" i="6"/>
  <c r="O132" i="6" s="1"/>
  <c r="L132" i="6"/>
  <c r="H132" i="6"/>
  <c r="I132" i="6" s="1"/>
  <c r="F132" i="6"/>
  <c r="C132" i="6"/>
  <c r="AC131" i="6"/>
  <c r="AD131" i="6" s="1"/>
  <c r="AA131" i="6"/>
  <c r="W131" i="6"/>
  <c r="X131" i="6" s="1"/>
  <c r="U131" i="6"/>
  <c r="R131" i="6"/>
  <c r="O131" i="6"/>
  <c r="N131" i="6"/>
  <c r="L131" i="6"/>
  <c r="I131" i="6"/>
  <c r="H131" i="6"/>
  <c r="F131" i="6"/>
  <c r="C131" i="6"/>
  <c r="AC130" i="6"/>
  <c r="AD130" i="6" s="1"/>
  <c r="AA130" i="6"/>
  <c r="W130" i="6"/>
  <c r="X130" i="6" s="1"/>
  <c r="U130" i="6"/>
  <c r="R130" i="6"/>
  <c r="O130" i="6"/>
  <c r="N130" i="6"/>
  <c r="L130" i="6"/>
  <c r="H130" i="6"/>
  <c r="I130" i="6" s="1"/>
  <c r="F130" i="6"/>
  <c r="C130" i="6"/>
  <c r="AC129" i="6"/>
  <c r="AD129" i="6" s="1"/>
  <c r="AA129" i="6"/>
  <c r="X129" i="6"/>
  <c r="W129" i="6"/>
  <c r="U129" i="6"/>
  <c r="R129" i="6"/>
  <c r="N129" i="6"/>
  <c r="O129" i="6" s="1"/>
  <c r="L129" i="6"/>
  <c r="I129" i="6"/>
  <c r="H129" i="6"/>
  <c r="F129" i="6"/>
  <c r="C129" i="6"/>
  <c r="AD127" i="6"/>
  <c r="AC127" i="6"/>
  <c r="AA127" i="6"/>
  <c r="W127" i="6"/>
  <c r="X127" i="6" s="1"/>
  <c r="U127" i="6"/>
  <c r="R127" i="6"/>
  <c r="N127" i="6"/>
  <c r="O127" i="6" s="1"/>
  <c r="L127" i="6"/>
  <c r="I127" i="6"/>
  <c r="H127" i="6"/>
  <c r="F127" i="6"/>
  <c r="C127" i="6"/>
  <c r="AA124" i="6"/>
  <c r="Z124" i="6"/>
  <c r="W124" i="6"/>
  <c r="X124" i="6" s="1"/>
  <c r="T124" i="6"/>
  <c r="U124" i="6" s="1"/>
  <c r="Q124" i="6"/>
  <c r="AC124" i="6" s="1"/>
  <c r="AD124" i="6" s="1"/>
  <c r="K124" i="6"/>
  <c r="L124" i="6" s="1"/>
  <c r="I124" i="6"/>
  <c r="H124" i="6"/>
  <c r="E124" i="6"/>
  <c r="C124" i="6"/>
  <c r="B124" i="6"/>
  <c r="AC123" i="6"/>
  <c r="AD123" i="6" s="1"/>
  <c r="AA123" i="6"/>
  <c r="X123" i="6"/>
  <c r="W123" i="6"/>
  <c r="U123" i="6"/>
  <c r="R123" i="6"/>
  <c r="N123" i="6"/>
  <c r="O123" i="6" s="1"/>
  <c r="L123" i="6"/>
  <c r="H123" i="6"/>
  <c r="I123" i="6" s="1"/>
  <c r="F123" i="6"/>
  <c r="C123" i="6"/>
  <c r="AA122" i="6"/>
  <c r="Z122" i="6"/>
  <c r="W122" i="6"/>
  <c r="X122" i="6" s="1"/>
  <c r="T122" i="6"/>
  <c r="U122" i="6" s="1"/>
  <c r="R122" i="6"/>
  <c r="Q122" i="6"/>
  <c r="AC122" i="6" s="1"/>
  <c r="AD122" i="6" s="1"/>
  <c r="N122" i="6"/>
  <c r="O122" i="6" s="1"/>
  <c r="L122" i="6"/>
  <c r="K122" i="6"/>
  <c r="H122" i="6"/>
  <c r="I122" i="6" s="1"/>
  <c r="F122" i="6"/>
  <c r="E122" i="6"/>
  <c r="C122" i="6"/>
  <c r="B122" i="6"/>
  <c r="AD121" i="6"/>
  <c r="AC121" i="6"/>
  <c r="AA121" i="6"/>
  <c r="W121" i="6"/>
  <c r="X121" i="6" s="1"/>
  <c r="U121" i="6"/>
  <c r="R121" i="6"/>
  <c r="N121" i="6"/>
  <c r="O121" i="6" s="1"/>
  <c r="L121" i="6"/>
  <c r="H121" i="6"/>
  <c r="I121" i="6" s="1"/>
  <c r="F121" i="6"/>
  <c r="C121" i="6"/>
  <c r="AD120" i="6"/>
  <c r="AC120" i="6"/>
  <c r="AA120" i="6"/>
  <c r="X120" i="6"/>
  <c r="W120" i="6"/>
  <c r="U120" i="6"/>
  <c r="R120" i="6"/>
  <c r="N120" i="6"/>
  <c r="O120" i="6" s="1"/>
  <c r="L120" i="6"/>
  <c r="I120" i="6"/>
  <c r="H120" i="6"/>
  <c r="F120" i="6"/>
  <c r="C120" i="6"/>
  <c r="AD119" i="6"/>
  <c r="AC119" i="6"/>
  <c r="AA119" i="6"/>
  <c r="X119" i="6"/>
  <c r="W119" i="6"/>
  <c r="U119" i="6"/>
  <c r="R119" i="6"/>
  <c r="O119" i="6"/>
  <c r="N119" i="6"/>
  <c r="L119" i="6"/>
  <c r="I119" i="6"/>
  <c r="H119" i="6"/>
  <c r="F119" i="6"/>
  <c r="C119" i="6"/>
  <c r="AC118" i="6"/>
  <c r="AD118" i="6" s="1"/>
  <c r="AA118" i="6"/>
  <c r="Z118" i="6"/>
  <c r="W118" i="6"/>
  <c r="X118" i="6" s="1"/>
  <c r="U118" i="6"/>
  <c r="T118" i="6"/>
  <c r="Q118" i="6"/>
  <c r="R118" i="6" s="1"/>
  <c r="O118" i="6"/>
  <c r="L118" i="6"/>
  <c r="K118" i="6"/>
  <c r="H118" i="6"/>
  <c r="I118" i="6" s="1"/>
  <c r="E118" i="6"/>
  <c r="F118" i="6" s="1"/>
  <c r="C118" i="6"/>
  <c r="B118" i="6"/>
  <c r="N118" i="6" s="1"/>
  <c r="AD117" i="6"/>
  <c r="AC117" i="6"/>
  <c r="AA117" i="6"/>
  <c r="X117" i="6"/>
  <c r="W117" i="6"/>
  <c r="U117" i="6"/>
  <c r="R117" i="6"/>
  <c r="N117" i="6"/>
  <c r="O117" i="6" s="1"/>
  <c r="L117" i="6"/>
  <c r="I117" i="6"/>
  <c r="H117" i="6"/>
  <c r="F117" i="6"/>
  <c r="C117" i="6"/>
  <c r="AD116" i="6"/>
  <c r="AC116" i="6"/>
  <c r="AA116" i="6"/>
  <c r="X116" i="6"/>
  <c r="W116" i="6"/>
  <c r="U116" i="6"/>
  <c r="R116" i="6"/>
  <c r="O116" i="6"/>
  <c r="N116" i="6"/>
  <c r="L116" i="6"/>
  <c r="H116" i="6"/>
  <c r="I116" i="6" s="1"/>
  <c r="F116" i="6"/>
  <c r="C116" i="6"/>
  <c r="AC115" i="6"/>
  <c r="AD115" i="6" s="1"/>
  <c r="AA115" i="6"/>
  <c r="W115" i="6"/>
  <c r="X115" i="6" s="1"/>
  <c r="U115" i="6"/>
  <c r="R115" i="6"/>
  <c r="O115" i="6"/>
  <c r="N115" i="6"/>
  <c r="L115" i="6"/>
  <c r="I115" i="6"/>
  <c r="H115" i="6"/>
  <c r="F115" i="6"/>
  <c r="C115" i="6"/>
  <c r="AC114" i="6"/>
  <c r="AD114" i="6" s="1"/>
  <c r="AA114" i="6"/>
  <c r="W114" i="6"/>
  <c r="X114" i="6" s="1"/>
  <c r="U114" i="6"/>
  <c r="R114" i="6"/>
  <c r="O114" i="6"/>
  <c r="N114" i="6"/>
  <c r="L114" i="6"/>
  <c r="H114" i="6"/>
  <c r="I114" i="6" s="1"/>
  <c r="F114" i="6"/>
  <c r="C114" i="6"/>
  <c r="AC113" i="6"/>
  <c r="AD113" i="6" s="1"/>
  <c r="AA113" i="6"/>
  <c r="X113" i="6"/>
  <c r="W113" i="6"/>
  <c r="U113" i="6"/>
  <c r="R113" i="6"/>
  <c r="N113" i="6"/>
  <c r="O113" i="6" s="1"/>
  <c r="L113" i="6"/>
  <c r="I113" i="6"/>
  <c r="H113" i="6"/>
  <c r="F113" i="6"/>
  <c r="C113" i="6"/>
  <c r="AD112" i="6"/>
  <c r="AC112" i="6"/>
  <c r="AA112" i="6"/>
  <c r="W112" i="6"/>
  <c r="X112" i="6" s="1"/>
  <c r="U112" i="6"/>
  <c r="R112" i="6"/>
  <c r="O112" i="6"/>
  <c r="N112" i="6"/>
  <c r="L112" i="6"/>
  <c r="I112" i="6"/>
  <c r="H112" i="6"/>
  <c r="F112" i="6"/>
  <c r="C112" i="6"/>
  <c r="AC111" i="6"/>
  <c r="AD111" i="6" s="1"/>
  <c r="AA111" i="6"/>
  <c r="W111" i="6"/>
  <c r="X111" i="6" s="1"/>
  <c r="U111" i="6"/>
  <c r="R111" i="6"/>
  <c r="O111" i="6"/>
  <c r="N111" i="6"/>
  <c r="L111" i="6"/>
  <c r="I111" i="6"/>
  <c r="H111" i="6"/>
  <c r="F111" i="6"/>
  <c r="C111" i="6"/>
  <c r="AD110" i="6"/>
  <c r="AC110" i="6"/>
  <c r="AA110" i="6"/>
  <c r="X110" i="6"/>
  <c r="W110" i="6"/>
  <c r="U110" i="6"/>
  <c r="R110" i="6"/>
  <c r="N110" i="6"/>
  <c r="O110" i="6" s="1"/>
  <c r="L110" i="6"/>
  <c r="H110" i="6"/>
  <c r="I110" i="6" s="1"/>
  <c r="F110" i="6"/>
  <c r="C110" i="6"/>
  <c r="AD109" i="6"/>
  <c r="AC109" i="6"/>
  <c r="AA109" i="6"/>
  <c r="X109" i="6"/>
  <c r="W109" i="6"/>
  <c r="U109" i="6"/>
  <c r="R109" i="6"/>
  <c r="N109" i="6"/>
  <c r="O109" i="6" s="1"/>
  <c r="L109" i="6"/>
  <c r="I109" i="6"/>
  <c r="H109" i="6"/>
  <c r="F109" i="6"/>
  <c r="C109" i="6"/>
  <c r="AD108" i="6"/>
  <c r="AC108" i="6"/>
  <c r="AA108" i="6"/>
  <c r="X108" i="6"/>
  <c r="W108" i="6"/>
  <c r="U108" i="6"/>
  <c r="R108" i="6"/>
  <c r="O108" i="6"/>
  <c r="N108" i="6"/>
  <c r="L108" i="6"/>
  <c r="H108" i="6"/>
  <c r="I108" i="6" s="1"/>
  <c r="F108" i="6"/>
  <c r="C108" i="6"/>
  <c r="AC107" i="6"/>
  <c r="AD107" i="6" s="1"/>
  <c r="AA107" i="6"/>
  <c r="W107" i="6"/>
  <c r="X107" i="6" s="1"/>
  <c r="U107" i="6"/>
  <c r="R107" i="6"/>
  <c r="O107" i="6"/>
  <c r="N107" i="6"/>
  <c r="L107" i="6"/>
  <c r="I107" i="6"/>
  <c r="H107" i="6"/>
  <c r="F107" i="6"/>
  <c r="C107" i="6"/>
  <c r="AC106" i="6"/>
  <c r="AD106" i="6" s="1"/>
  <c r="AA106" i="6"/>
  <c r="W106" i="6"/>
  <c r="X106" i="6" s="1"/>
  <c r="U106" i="6"/>
  <c r="R106" i="6"/>
  <c r="O106" i="6"/>
  <c r="N106" i="6"/>
  <c r="L106" i="6"/>
  <c r="H106" i="6"/>
  <c r="I106" i="6" s="1"/>
  <c r="F106" i="6"/>
  <c r="C106" i="6"/>
  <c r="AD105" i="6"/>
  <c r="AC105" i="6"/>
  <c r="AA105" i="6"/>
  <c r="X105" i="6"/>
  <c r="W105" i="6"/>
  <c r="U105" i="6"/>
  <c r="R105" i="6"/>
  <c r="N105" i="6"/>
  <c r="O105" i="6" s="1"/>
  <c r="L105" i="6"/>
  <c r="I105" i="6"/>
  <c r="H105" i="6"/>
  <c r="F105" i="6"/>
  <c r="C105" i="6"/>
  <c r="AD104" i="6"/>
  <c r="AC104" i="6"/>
  <c r="AA104" i="6"/>
  <c r="X104" i="6"/>
  <c r="W104" i="6"/>
  <c r="U104" i="6"/>
  <c r="R104" i="6"/>
  <c r="O104" i="6"/>
  <c r="N104" i="6"/>
  <c r="L104" i="6"/>
  <c r="I104" i="6"/>
  <c r="H104" i="6"/>
  <c r="F104" i="6"/>
  <c r="C104" i="6"/>
  <c r="AC103" i="6"/>
  <c r="AD103" i="6" s="1"/>
  <c r="AA103" i="6"/>
  <c r="W103" i="6"/>
  <c r="X103" i="6" s="1"/>
  <c r="U103" i="6"/>
  <c r="R103" i="6"/>
  <c r="O103" i="6"/>
  <c r="N103" i="6"/>
  <c r="L103" i="6"/>
  <c r="I103" i="6"/>
  <c r="H103" i="6"/>
  <c r="F103" i="6"/>
  <c r="C103" i="6"/>
  <c r="AD102" i="6"/>
  <c r="AC102" i="6"/>
  <c r="AA102" i="6"/>
  <c r="X102" i="6"/>
  <c r="W102" i="6"/>
  <c r="U102" i="6"/>
  <c r="R102" i="6"/>
  <c r="N102" i="6"/>
  <c r="O102" i="6" s="1"/>
  <c r="L102" i="6"/>
  <c r="H102" i="6"/>
  <c r="I102" i="6" s="1"/>
  <c r="F102" i="6"/>
  <c r="C102" i="6"/>
  <c r="AD101" i="6"/>
  <c r="AC101" i="6"/>
  <c r="AA101" i="6"/>
  <c r="X101" i="6"/>
  <c r="W101" i="6"/>
  <c r="U101" i="6"/>
  <c r="R101" i="6"/>
  <c r="N101" i="6"/>
  <c r="O101" i="6" s="1"/>
  <c r="L101" i="6"/>
  <c r="I101" i="6"/>
  <c r="H101" i="6"/>
  <c r="F101" i="6"/>
  <c r="C101" i="6"/>
  <c r="AD100" i="6"/>
  <c r="AC100" i="6"/>
  <c r="AA100" i="6"/>
  <c r="X100" i="6"/>
  <c r="W100" i="6"/>
  <c r="U100" i="6"/>
  <c r="R100" i="6"/>
  <c r="O100" i="6"/>
  <c r="N100" i="6"/>
  <c r="L100" i="6"/>
  <c r="H100" i="6"/>
  <c r="I100" i="6" s="1"/>
  <c r="F100" i="6"/>
  <c r="C100" i="6"/>
  <c r="AC99" i="6"/>
  <c r="AD99" i="6" s="1"/>
  <c r="AA99" i="6"/>
  <c r="W99" i="6"/>
  <c r="X99" i="6" s="1"/>
  <c r="U99" i="6"/>
  <c r="R99" i="6"/>
  <c r="O99" i="6"/>
  <c r="N99" i="6"/>
  <c r="L99" i="6"/>
  <c r="I99" i="6"/>
  <c r="H99" i="6"/>
  <c r="F99" i="6"/>
  <c r="C99" i="6"/>
  <c r="AC98" i="6"/>
  <c r="AD98" i="6" s="1"/>
  <c r="AA98" i="6"/>
  <c r="W98" i="6"/>
  <c r="X98" i="6" s="1"/>
  <c r="U98" i="6"/>
  <c r="R98" i="6"/>
  <c r="O98" i="6"/>
  <c r="N98" i="6"/>
  <c r="L98" i="6"/>
  <c r="H98" i="6"/>
  <c r="I98" i="6" s="1"/>
  <c r="F98" i="6"/>
  <c r="C98" i="6"/>
  <c r="AC97" i="6"/>
  <c r="AD97" i="6" s="1"/>
  <c r="AA97" i="6"/>
  <c r="X97" i="6"/>
  <c r="W97" i="6"/>
  <c r="U97" i="6"/>
  <c r="R97" i="6"/>
  <c r="N97" i="6"/>
  <c r="O97" i="6" s="1"/>
  <c r="L97" i="6"/>
  <c r="H97" i="6"/>
  <c r="I97" i="6" s="1"/>
  <c r="F97" i="6"/>
  <c r="C97" i="6"/>
  <c r="AD96" i="6"/>
  <c r="AC96" i="6"/>
  <c r="AA96" i="6"/>
  <c r="W96" i="6"/>
  <c r="X96" i="6" s="1"/>
  <c r="U96" i="6"/>
  <c r="R96" i="6"/>
  <c r="O96" i="6"/>
  <c r="N96" i="6"/>
  <c r="L96" i="6"/>
  <c r="I96" i="6"/>
  <c r="H96" i="6"/>
  <c r="F96" i="6"/>
  <c r="C96" i="6"/>
  <c r="AC95" i="6"/>
  <c r="AD95" i="6" s="1"/>
  <c r="AA95" i="6"/>
  <c r="W95" i="6"/>
  <c r="X95" i="6" s="1"/>
  <c r="U95" i="6"/>
  <c r="R95" i="6"/>
  <c r="O95" i="6"/>
  <c r="N95" i="6"/>
  <c r="L95" i="6"/>
  <c r="I95" i="6"/>
  <c r="H95" i="6"/>
  <c r="F95" i="6"/>
  <c r="C95" i="6"/>
  <c r="AD94" i="6"/>
  <c r="AC94" i="6"/>
  <c r="AA94" i="6"/>
  <c r="X94" i="6"/>
  <c r="W94" i="6"/>
  <c r="U94" i="6"/>
  <c r="R94" i="6"/>
  <c r="N94" i="6"/>
  <c r="O94" i="6" s="1"/>
  <c r="L94" i="6"/>
  <c r="H94" i="6"/>
  <c r="I94" i="6" s="1"/>
  <c r="F94" i="6"/>
  <c r="C94" i="6"/>
  <c r="AD92" i="6"/>
  <c r="AC92" i="6"/>
  <c r="AA92" i="6"/>
  <c r="X92" i="6"/>
  <c r="W92" i="6"/>
  <c r="U92" i="6"/>
  <c r="R92" i="6"/>
  <c r="N92" i="6"/>
  <c r="O92" i="6" s="1"/>
  <c r="L92" i="6"/>
  <c r="I92" i="6"/>
  <c r="H92" i="6"/>
  <c r="F92" i="6"/>
  <c r="C92" i="6"/>
  <c r="AD91" i="6"/>
  <c r="AC91" i="6"/>
  <c r="AA91" i="6"/>
  <c r="X91" i="6"/>
  <c r="W91" i="6"/>
  <c r="U91" i="6"/>
  <c r="R91" i="6"/>
  <c r="O91" i="6"/>
  <c r="N91" i="6"/>
  <c r="L91" i="6"/>
  <c r="H91" i="6"/>
  <c r="I91" i="6" s="1"/>
  <c r="F91" i="6"/>
  <c r="C91" i="6"/>
  <c r="AC90" i="6"/>
  <c r="AD90" i="6" s="1"/>
  <c r="AA90" i="6"/>
  <c r="W90" i="6"/>
  <c r="X90" i="6" s="1"/>
  <c r="U90" i="6"/>
  <c r="R90" i="6"/>
  <c r="O90" i="6"/>
  <c r="N90" i="6"/>
  <c r="L90" i="6"/>
  <c r="I90" i="6"/>
  <c r="H90" i="6"/>
  <c r="F90" i="6"/>
  <c r="C90" i="6"/>
  <c r="AC89" i="6"/>
  <c r="AD89" i="6" s="1"/>
  <c r="AA89" i="6"/>
  <c r="W89" i="6"/>
  <c r="X89" i="6" s="1"/>
  <c r="U89" i="6"/>
  <c r="R89" i="6"/>
  <c r="O89" i="6"/>
  <c r="N89" i="6"/>
  <c r="L89" i="6"/>
  <c r="H89" i="6"/>
  <c r="I89" i="6" s="1"/>
  <c r="F89" i="6"/>
  <c r="C89" i="6"/>
  <c r="AA88" i="6"/>
  <c r="Z88" i="6"/>
  <c r="U88" i="6"/>
  <c r="T88" i="6"/>
  <c r="R88" i="6"/>
  <c r="Q88" i="6"/>
  <c r="W88" i="6" s="1"/>
  <c r="X88" i="6" s="1"/>
  <c r="K88" i="6"/>
  <c r="L88" i="6" s="1"/>
  <c r="F88" i="6"/>
  <c r="E88" i="6"/>
  <c r="C88" i="6"/>
  <c r="B88" i="6"/>
  <c r="H88" i="6" s="1"/>
  <c r="I88" i="6" s="1"/>
  <c r="AC87" i="6"/>
  <c r="AD87" i="6" s="1"/>
  <c r="AA87" i="6"/>
  <c r="W87" i="6"/>
  <c r="X87" i="6" s="1"/>
  <c r="U87" i="6"/>
  <c r="R87" i="6"/>
  <c r="O87" i="6"/>
  <c r="N87" i="6"/>
  <c r="L87" i="6"/>
  <c r="I87" i="6"/>
  <c r="H87" i="6"/>
  <c r="F87" i="6"/>
  <c r="C87" i="6"/>
  <c r="AD86" i="6"/>
  <c r="AC86" i="6"/>
  <c r="AA86" i="6"/>
  <c r="X86" i="6"/>
  <c r="W86" i="6"/>
  <c r="U86" i="6"/>
  <c r="R86" i="6"/>
  <c r="O86" i="6"/>
  <c r="N86" i="6"/>
  <c r="L86" i="6"/>
  <c r="H86" i="6"/>
  <c r="I86" i="6" s="1"/>
  <c r="F86" i="6"/>
  <c r="C86" i="6"/>
  <c r="AD85" i="6"/>
  <c r="AC85" i="6"/>
  <c r="AA85" i="6"/>
  <c r="X85" i="6"/>
  <c r="W85" i="6"/>
  <c r="U85" i="6"/>
  <c r="R85" i="6"/>
  <c r="N85" i="6"/>
  <c r="O85" i="6" s="1"/>
  <c r="L85" i="6"/>
  <c r="H85" i="6"/>
  <c r="I85" i="6" s="1"/>
  <c r="F85" i="6"/>
  <c r="C85" i="6"/>
  <c r="AD84" i="6"/>
  <c r="AC84" i="6"/>
  <c r="AA84" i="6"/>
  <c r="X84" i="6"/>
  <c r="W84" i="6"/>
  <c r="U84" i="6"/>
  <c r="R84" i="6"/>
  <c r="N84" i="6"/>
  <c r="O84" i="6" s="1"/>
  <c r="L84" i="6"/>
  <c r="I84" i="6"/>
  <c r="H84" i="6"/>
  <c r="F84" i="6"/>
  <c r="C84" i="6"/>
  <c r="AC83" i="6"/>
  <c r="AD83" i="6" s="1"/>
  <c r="AA83" i="6"/>
  <c r="W83" i="6"/>
  <c r="X83" i="6" s="1"/>
  <c r="U83" i="6"/>
  <c r="R83" i="6"/>
  <c r="O83" i="6"/>
  <c r="N83" i="6"/>
  <c r="L83" i="6"/>
  <c r="I83" i="6"/>
  <c r="H83" i="6"/>
  <c r="F83" i="6"/>
  <c r="C83" i="6"/>
  <c r="AD82" i="6"/>
  <c r="AC82" i="6"/>
  <c r="AA82" i="6"/>
  <c r="X82" i="6"/>
  <c r="W82" i="6"/>
  <c r="U82" i="6"/>
  <c r="R82" i="6"/>
  <c r="N82" i="6"/>
  <c r="O82" i="6" s="1"/>
  <c r="L82" i="6"/>
  <c r="H82" i="6"/>
  <c r="I82" i="6" s="1"/>
  <c r="F82" i="6"/>
  <c r="C82" i="6"/>
  <c r="AC81" i="6"/>
  <c r="AD81" i="6" s="1"/>
  <c r="AA81" i="6"/>
  <c r="X81" i="6"/>
  <c r="W81" i="6"/>
  <c r="U81" i="6"/>
  <c r="R81" i="6"/>
  <c r="N81" i="6"/>
  <c r="O81" i="6" s="1"/>
  <c r="L81" i="6"/>
  <c r="H81" i="6"/>
  <c r="I81" i="6" s="1"/>
  <c r="F81" i="6"/>
  <c r="C81" i="6"/>
  <c r="AD80" i="6"/>
  <c r="AC80" i="6"/>
  <c r="AA80" i="6"/>
  <c r="W80" i="6"/>
  <c r="X80" i="6" s="1"/>
  <c r="U80" i="6"/>
  <c r="R80" i="6"/>
  <c r="O80" i="6"/>
  <c r="N80" i="6"/>
  <c r="L80" i="6"/>
  <c r="I80" i="6"/>
  <c r="H80" i="6"/>
  <c r="F80" i="6"/>
  <c r="C80" i="6"/>
  <c r="AC79" i="6"/>
  <c r="AD79" i="6" s="1"/>
  <c r="AA79" i="6"/>
  <c r="W79" i="6"/>
  <c r="X79" i="6" s="1"/>
  <c r="U79" i="6"/>
  <c r="R79" i="6"/>
  <c r="O79" i="6"/>
  <c r="N79" i="6"/>
  <c r="L79" i="6"/>
  <c r="I79" i="6"/>
  <c r="H79" i="6"/>
  <c r="F79" i="6"/>
  <c r="C79" i="6"/>
  <c r="AD78" i="6"/>
  <c r="AC78" i="6"/>
  <c r="AA78" i="6"/>
  <c r="W78" i="6"/>
  <c r="X78" i="6" s="1"/>
  <c r="U78" i="6"/>
  <c r="R78" i="6"/>
  <c r="O78" i="6"/>
  <c r="N78" i="6"/>
  <c r="L78" i="6"/>
  <c r="H78" i="6"/>
  <c r="I78" i="6" s="1"/>
  <c r="F78" i="6"/>
  <c r="C78" i="6"/>
  <c r="AD77" i="6"/>
  <c r="AC77" i="6"/>
  <c r="AA77" i="6"/>
  <c r="X77" i="6"/>
  <c r="W77" i="6"/>
  <c r="U77" i="6"/>
  <c r="R77" i="6"/>
  <c r="N77" i="6"/>
  <c r="O77" i="6" s="1"/>
  <c r="L77" i="6"/>
  <c r="H77" i="6"/>
  <c r="I77" i="6" s="1"/>
  <c r="F77" i="6"/>
  <c r="C77" i="6"/>
  <c r="AD76" i="6"/>
  <c r="AC76" i="6"/>
  <c r="AA76" i="6"/>
  <c r="X76" i="6"/>
  <c r="W76" i="6"/>
  <c r="U76" i="6"/>
  <c r="R76" i="6"/>
  <c r="N76" i="6"/>
  <c r="O76" i="6" s="1"/>
  <c r="L76" i="6"/>
  <c r="I76" i="6"/>
  <c r="H76" i="6"/>
  <c r="F76" i="6"/>
  <c r="C76" i="6"/>
  <c r="AC75" i="6"/>
  <c r="AD75" i="6" s="1"/>
  <c r="AA75" i="6"/>
  <c r="W75" i="6"/>
  <c r="X75" i="6" s="1"/>
  <c r="U75" i="6"/>
  <c r="R75" i="6"/>
  <c r="O75" i="6"/>
  <c r="N75" i="6"/>
  <c r="L75" i="6"/>
  <c r="I75" i="6"/>
  <c r="H75" i="6"/>
  <c r="F75" i="6"/>
  <c r="C75" i="6"/>
  <c r="AD73" i="6"/>
  <c r="AC73" i="6"/>
  <c r="Z73" i="6"/>
  <c r="AA73" i="6" s="1"/>
  <c r="X73" i="6"/>
  <c r="U73" i="6"/>
  <c r="T73" i="6"/>
  <c r="R73" i="6"/>
  <c r="Q73" i="6"/>
  <c r="W73" i="6" s="1"/>
  <c r="L73" i="6"/>
  <c r="K73" i="6"/>
  <c r="E73" i="6"/>
  <c r="F73" i="6" s="1"/>
  <c r="B73" i="6"/>
  <c r="AD72" i="6"/>
  <c r="AC72" i="6"/>
  <c r="AA72" i="6"/>
  <c r="X72" i="6"/>
  <c r="W72" i="6"/>
  <c r="U72" i="6"/>
  <c r="R72" i="6"/>
  <c r="O72" i="6"/>
  <c r="N72" i="6"/>
  <c r="L72" i="6"/>
  <c r="H72" i="6"/>
  <c r="I72" i="6" s="1"/>
  <c r="F72" i="6"/>
  <c r="C72" i="6"/>
  <c r="AC71" i="6"/>
  <c r="AD71" i="6" s="1"/>
  <c r="AA71" i="6"/>
  <c r="W71" i="6"/>
  <c r="X71" i="6" s="1"/>
  <c r="U71" i="6"/>
  <c r="R71" i="6"/>
  <c r="O71" i="6"/>
  <c r="N71" i="6"/>
  <c r="L71" i="6"/>
  <c r="I71" i="6"/>
  <c r="H71" i="6"/>
  <c r="F71" i="6"/>
  <c r="C71" i="6"/>
  <c r="AC70" i="6"/>
  <c r="AD70" i="6" s="1"/>
  <c r="AA70" i="6"/>
  <c r="W70" i="6"/>
  <c r="X70" i="6" s="1"/>
  <c r="U70" i="6"/>
  <c r="R70" i="6"/>
  <c r="O70" i="6"/>
  <c r="N70" i="6"/>
  <c r="L70" i="6"/>
  <c r="H70" i="6"/>
  <c r="I70" i="6" s="1"/>
  <c r="F70" i="6"/>
  <c r="C70" i="6"/>
  <c r="AC69" i="6"/>
  <c r="AD69" i="6" s="1"/>
  <c r="AA69" i="6"/>
  <c r="X69" i="6"/>
  <c r="W69" i="6"/>
  <c r="U69" i="6"/>
  <c r="R69" i="6"/>
  <c r="N69" i="6"/>
  <c r="O69" i="6" s="1"/>
  <c r="L69" i="6"/>
  <c r="I69" i="6"/>
  <c r="H69" i="6"/>
  <c r="F69" i="6"/>
  <c r="C69" i="6"/>
  <c r="AD68" i="6"/>
  <c r="AC68" i="6"/>
  <c r="AA68" i="6"/>
  <c r="W68" i="6"/>
  <c r="X68" i="6" s="1"/>
  <c r="U68" i="6"/>
  <c r="R68" i="6"/>
  <c r="O68" i="6"/>
  <c r="N68" i="6"/>
  <c r="L68" i="6"/>
  <c r="H68" i="6"/>
  <c r="I68" i="6" s="1"/>
  <c r="F68" i="6"/>
  <c r="C68" i="6"/>
  <c r="AC67" i="6"/>
  <c r="AD67" i="6" s="1"/>
  <c r="AA67" i="6"/>
  <c r="W67" i="6"/>
  <c r="X67" i="6" s="1"/>
  <c r="U67" i="6"/>
  <c r="R67" i="6"/>
  <c r="O67" i="6"/>
  <c r="N67" i="6"/>
  <c r="L67" i="6"/>
  <c r="I67" i="6"/>
  <c r="H67" i="6"/>
  <c r="F67" i="6"/>
  <c r="C67" i="6"/>
  <c r="AC66" i="6"/>
  <c r="AD66" i="6" s="1"/>
  <c r="AA66" i="6"/>
  <c r="X66" i="6"/>
  <c r="W66" i="6"/>
  <c r="U66" i="6"/>
  <c r="R66" i="6"/>
  <c r="N66" i="6"/>
  <c r="O66" i="6" s="1"/>
  <c r="L66" i="6"/>
  <c r="H66" i="6"/>
  <c r="I66" i="6" s="1"/>
  <c r="F66" i="6"/>
  <c r="C66" i="6"/>
  <c r="AD65" i="6"/>
  <c r="AC65" i="6"/>
  <c r="AA65" i="6"/>
  <c r="X65" i="6"/>
  <c r="W65" i="6"/>
  <c r="U65" i="6"/>
  <c r="R65" i="6"/>
  <c r="N65" i="6"/>
  <c r="O65" i="6" s="1"/>
  <c r="L65" i="6"/>
  <c r="I65" i="6"/>
  <c r="H65" i="6"/>
  <c r="F65" i="6"/>
  <c r="C65" i="6"/>
  <c r="AD64" i="6"/>
  <c r="AC64" i="6"/>
  <c r="AA64" i="6"/>
  <c r="X64" i="6"/>
  <c r="W64" i="6"/>
  <c r="U64" i="6"/>
  <c r="R64" i="6"/>
  <c r="N64" i="6"/>
  <c r="O64" i="6" s="1"/>
  <c r="L64" i="6"/>
  <c r="H64" i="6"/>
  <c r="I64" i="6" s="1"/>
  <c r="F64" i="6"/>
  <c r="C64" i="6"/>
  <c r="AC62" i="6"/>
  <c r="AD62" i="6" s="1"/>
  <c r="AA62" i="6"/>
  <c r="Z62" i="6"/>
  <c r="W62" i="6"/>
  <c r="X62" i="6" s="1"/>
  <c r="U62" i="6"/>
  <c r="T62" i="6"/>
  <c r="R62" i="6"/>
  <c r="Q62" i="6"/>
  <c r="K62" i="6"/>
  <c r="E62" i="6"/>
  <c r="F62" i="6" s="1"/>
  <c r="C62" i="6"/>
  <c r="B62" i="6"/>
  <c r="AA61" i="6"/>
  <c r="Z61" i="6"/>
  <c r="T61" i="6"/>
  <c r="W61" i="6" s="1"/>
  <c r="X61" i="6" s="1"/>
  <c r="Q61" i="6"/>
  <c r="R61" i="6" s="1"/>
  <c r="K61" i="6"/>
  <c r="L61" i="6" s="1"/>
  <c r="H61" i="6"/>
  <c r="I61" i="6" s="1"/>
  <c r="E61" i="6"/>
  <c r="F61" i="6" s="1"/>
  <c r="C61" i="6"/>
  <c r="B61" i="6"/>
  <c r="N61" i="6" s="1"/>
  <c r="O61" i="6" s="1"/>
  <c r="AD60" i="6"/>
  <c r="AC60" i="6"/>
  <c r="AA60" i="6"/>
  <c r="X60" i="6"/>
  <c r="W60" i="6"/>
  <c r="U60" i="6"/>
  <c r="R60" i="6"/>
  <c r="N60" i="6"/>
  <c r="O60" i="6" s="1"/>
  <c r="L60" i="6"/>
  <c r="H60" i="6"/>
  <c r="I60" i="6" s="1"/>
  <c r="F60" i="6"/>
  <c r="C60" i="6"/>
  <c r="AD59" i="6"/>
  <c r="AC59" i="6"/>
  <c r="AA59" i="6"/>
  <c r="X59" i="6"/>
  <c r="W59" i="6"/>
  <c r="U59" i="6"/>
  <c r="R59" i="6"/>
  <c r="O59" i="6"/>
  <c r="N59" i="6"/>
  <c r="L59" i="6"/>
  <c r="I59" i="6"/>
  <c r="H59" i="6"/>
  <c r="F59" i="6"/>
  <c r="C59" i="6"/>
  <c r="AC58" i="6"/>
  <c r="AD58" i="6" s="1"/>
  <c r="AA58" i="6"/>
  <c r="W58" i="6"/>
  <c r="X58" i="6" s="1"/>
  <c r="U58" i="6"/>
  <c r="R58" i="6"/>
  <c r="O58" i="6"/>
  <c r="N58" i="6"/>
  <c r="L58" i="6"/>
  <c r="I58" i="6"/>
  <c r="H58" i="6"/>
  <c r="F58" i="6"/>
  <c r="C58" i="6"/>
  <c r="AD57" i="6"/>
  <c r="AC57" i="6"/>
  <c r="AA57" i="6"/>
  <c r="X57" i="6"/>
  <c r="W57" i="6"/>
  <c r="U57" i="6"/>
  <c r="R57" i="6"/>
  <c r="O57" i="6"/>
  <c r="N57" i="6"/>
  <c r="L57" i="6"/>
  <c r="H57" i="6"/>
  <c r="I57" i="6" s="1"/>
  <c r="F57" i="6"/>
  <c r="C57" i="6"/>
  <c r="AC56" i="6"/>
  <c r="AD56" i="6" s="1"/>
  <c r="AA56" i="6"/>
  <c r="X56" i="6"/>
  <c r="W56" i="6"/>
  <c r="U56" i="6"/>
  <c r="R56" i="6"/>
  <c r="N56" i="6"/>
  <c r="O56" i="6" s="1"/>
  <c r="L56" i="6"/>
  <c r="I56" i="6"/>
  <c r="H56" i="6"/>
  <c r="F56" i="6"/>
  <c r="C56" i="6"/>
  <c r="AD55" i="6"/>
  <c r="AC55" i="6"/>
  <c r="AA55" i="6"/>
  <c r="X55" i="6"/>
  <c r="W55" i="6"/>
  <c r="U55" i="6"/>
  <c r="R55" i="6"/>
  <c r="O55" i="6"/>
  <c r="N55" i="6"/>
  <c r="L55" i="6"/>
  <c r="H55" i="6"/>
  <c r="I55" i="6" s="1"/>
  <c r="F55" i="6"/>
  <c r="C55" i="6"/>
  <c r="AC54" i="6"/>
  <c r="AD54" i="6" s="1"/>
  <c r="AA54" i="6"/>
  <c r="W54" i="6"/>
  <c r="X54" i="6" s="1"/>
  <c r="U54" i="6"/>
  <c r="R54" i="6"/>
  <c r="O54" i="6"/>
  <c r="N54" i="6"/>
  <c r="L54" i="6"/>
  <c r="I54" i="6"/>
  <c r="H54" i="6"/>
  <c r="F54" i="6"/>
  <c r="C54" i="6"/>
  <c r="AC53" i="6"/>
  <c r="AD53" i="6" s="1"/>
  <c r="AA53" i="6"/>
  <c r="X53" i="6"/>
  <c r="W53" i="6"/>
  <c r="U53" i="6"/>
  <c r="R53" i="6"/>
  <c r="O53" i="6"/>
  <c r="N53" i="6"/>
  <c r="L53" i="6"/>
  <c r="H53" i="6"/>
  <c r="I53" i="6" s="1"/>
  <c r="F53" i="6"/>
  <c r="C53" i="6"/>
  <c r="AD52" i="6"/>
  <c r="AC52" i="6"/>
  <c r="AA52" i="6"/>
  <c r="X52" i="6"/>
  <c r="W52" i="6"/>
  <c r="U52" i="6"/>
  <c r="R52" i="6"/>
  <c r="N52" i="6"/>
  <c r="O52" i="6" s="1"/>
  <c r="L52" i="6"/>
  <c r="H52" i="6"/>
  <c r="I52" i="6" s="1"/>
  <c r="F52" i="6"/>
  <c r="C52" i="6"/>
  <c r="AD51" i="6"/>
  <c r="AC51" i="6"/>
  <c r="AA51" i="6"/>
  <c r="X51" i="6"/>
  <c r="W51" i="6"/>
  <c r="U51" i="6"/>
  <c r="R51" i="6"/>
  <c r="O51" i="6"/>
  <c r="N51" i="6"/>
  <c r="L51" i="6"/>
  <c r="I51" i="6"/>
  <c r="H51" i="6"/>
  <c r="F51" i="6"/>
  <c r="C51" i="6"/>
  <c r="AC50" i="6"/>
  <c r="AD50" i="6" s="1"/>
  <c r="AA50" i="6"/>
  <c r="W50" i="6"/>
  <c r="X50" i="6" s="1"/>
  <c r="U50" i="6"/>
  <c r="R50" i="6"/>
  <c r="O50" i="6"/>
  <c r="N50" i="6"/>
  <c r="L50" i="6"/>
  <c r="I50" i="6"/>
  <c r="H50" i="6"/>
  <c r="F50" i="6"/>
  <c r="C50" i="6"/>
  <c r="AD49" i="6"/>
  <c r="AC49" i="6"/>
  <c r="AA49" i="6"/>
  <c r="X49" i="6"/>
  <c r="W49" i="6"/>
  <c r="U49" i="6"/>
  <c r="R49" i="6"/>
  <c r="N49" i="6"/>
  <c r="O49" i="6" s="1"/>
  <c r="L49" i="6"/>
  <c r="H49" i="6"/>
  <c r="I49" i="6" s="1"/>
  <c r="F49" i="6"/>
  <c r="C49" i="6"/>
  <c r="AC48" i="6"/>
  <c r="AD48" i="6" s="1"/>
  <c r="AA48" i="6"/>
  <c r="X48" i="6"/>
  <c r="W48" i="6"/>
  <c r="U48" i="6"/>
  <c r="R48" i="6"/>
  <c r="N48" i="6"/>
  <c r="O48" i="6" s="1"/>
  <c r="L48" i="6"/>
  <c r="H48" i="6"/>
  <c r="I48" i="6" s="1"/>
  <c r="F48" i="6"/>
  <c r="C48" i="6"/>
  <c r="AD47" i="6"/>
  <c r="AC47" i="6"/>
  <c r="AA47" i="6"/>
  <c r="W47" i="6"/>
  <c r="X47" i="6" s="1"/>
  <c r="U47" i="6"/>
  <c r="R47" i="6"/>
  <c r="O47" i="6"/>
  <c r="N47" i="6"/>
  <c r="L47" i="6"/>
  <c r="H47" i="6"/>
  <c r="I47" i="6" s="1"/>
  <c r="F47" i="6"/>
  <c r="C47" i="6"/>
  <c r="AC46" i="6"/>
  <c r="AD46" i="6" s="1"/>
  <c r="AA46" i="6"/>
  <c r="W46" i="6"/>
  <c r="X46" i="6" s="1"/>
  <c r="U46" i="6"/>
  <c r="R46" i="6"/>
  <c r="O46" i="6"/>
  <c r="N46" i="6"/>
  <c r="L46" i="6"/>
  <c r="I46" i="6"/>
  <c r="H46" i="6"/>
  <c r="F46" i="6"/>
  <c r="C46" i="6"/>
  <c r="AC44" i="6"/>
  <c r="AD44" i="6" s="1"/>
  <c r="AA44" i="6"/>
  <c r="X44" i="6"/>
  <c r="W44" i="6"/>
  <c r="U44" i="6"/>
  <c r="R44" i="6"/>
  <c r="O44" i="6"/>
  <c r="N44" i="6"/>
  <c r="L44" i="6"/>
  <c r="H44" i="6"/>
  <c r="I44" i="6" s="1"/>
  <c r="F44" i="6"/>
  <c r="C44" i="6"/>
  <c r="AD43" i="6"/>
  <c r="AC43" i="6"/>
  <c r="AA43" i="6"/>
  <c r="X43" i="6"/>
  <c r="W43" i="6"/>
  <c r="U43" i="6"/>
  <c r="R43" i="6"/>
  <c r="N43" i="6"/>
  <c r="O43" i="6" s="1"/>
  <c r="L43" i="6"/>
  <c r="H43" i="6"/>
  <c r="I43" i="6" s="1"/>
  <c r="F43" i="6"/>
  <c r="C43" i="6"/>
  <c r="AD42" i="6"/>
  <c r="AC42" i="6"/>
  <c r="AA42" i="6"/>
  <c r="X42" i="6"/>
  <c r="W42" i="6"/>
  <c r="U42" i="6"/>
  <c r="R42" i="6"/>
  <c r="O42" i="6"/>
  <c r="N42" i="6"/>
  <c r="L42" i="6"/>
  <c r="I42" i="6"/>
  <c r="H42" i="6"/>
  <c r="F42" i="6"/>
  <c r="C42" i="6"/>
  <c r="AA40" i="6"/>
  <c r="Z40" i="6"/>
  <c r="W40" i="6"/>
  <c r="X40" i="6" s="1"/>
  <c r="U40" i="6"/>
  <c r="T40" i="6"/>
  <c r="Q40" i="6"/>
  <c r="R40" i="6" s="1"/>
  <c r="K40" i="6"/>
  <c r="L40" i="6" s="1"/>
  <c r="I40" i="6"/>
  <c r="H40" i="6"/>
  <c r="E40" i="6"/>
  <c r="F40" i="6" s="1"/>
  <c r="C40" i="6"/>
  <c r="B40" i="6"/>
  <c r="AD39" i="6"/>
  <c r="AC39" i="6"/>
  <c r="AA39" i="6"/>
  <c r="X39" i="6"/>
  <c r="W39" i="6"/>
  <c r="U39" i="6"/>
  <c r="R39" i="6"/>
  <c r="N39" i="6"/>
  <c r="O39" i="6" s="1"/>
  <c r="L39" i="6"/>
  <c r="H39" i="6"/>
  <c r="I39" i="6" s="1"/>
  <c r="F39" i="6"/>
  <c r="C39" i="6"/>
  <c r="AD38" i="6"/>
  <c r="AC38" i="6"/>
  <c r="AA38" i="6"/>
  <c r="X38" i="6"/>
  <c r="W38" i="6"/>
  <c r="U38" i="6"/>
  <c r="R38" i="6"/>
  <c r="O38" i="6"/>
  <c r="N38" i="6"/>
  <c r="L38" i="6"/>
  <c r="H38" i="6"/>
  <c r="I38" i="6" s="1"/>
  <c r="F38" i="6"/>
  <c r="C38" i="6"/>
  <c r="AC37" i="6"/>
  <c r="AD37" i="6" s="1"/>
  <c r="AA37" i="6"/>
  <c r="W37" i="6"/>
  <c r="X37" i="6" s="1"/>
  <c r="U37" i="6"/>
  <c r="R37" i="6"/>
  <c r="O37" i="6"/>
  <c r="N37" i="6"/>
  <c r="L37" i="6"/>
  <c r="I37" i="6"/>
  <c r="H37" i="6"/>
  <c r="F37" i="6"/>
  <c r="C37" i="6"/>
  <c r="AC36" i="6"/>
  <c r="AD36" i="6" s="1"/>
  <c r="AA36" i="6"/>
  <c r="X36" i="6"/>
  <c r="W36" i="6"/>
  <c r="U36" i="6"/>
  <c r="R36" i="6"/>
  <c r="O36" i="6"/>
  <c r="N36" i="6"/>
  <c r="L36" i="6"/>
  <c r="H36" i="6"/>
  <c r="I36" i="6" s="1"/>
  <c r="F36" i="6"/>
  <c r="C36" i="6"/>
  <c r="AC35" i="6"/>
  <c r="AD35" i="6" s="1"/>
  <c r="AA35" i="6"/>
  <c r="X35" i="6"/>
  <c r="W35" i="6"/>
  <c r="U35" i="6"/>
  <c r="R35" i="6"/>
  <c r="N35" i="6"/>
  <c r="O35" i="6" s="1"/>
  <c r="L35" i="6"/>
  <c r="I35" i="6"/>
  <c r="H35" i="6"/>
  <c r="F35" i="6"/>
  <c r="C35" i="6"/>
  <c r="AD34" i="6"/>
  <c r="AC34" i="6"/>
  <c r="AA34" i="6"/>
  <c r="W34" i="6"/>
  <c r="X34" i="6" s="1"/>
  <c r="U34" i="6"/>
  <c r="R34" i="6"/>
  <c r="O34" i="6"/>
  <c r="N34" i="6"/>
  <c r="L34" i="6"/>
  <c r="H34" i="6"/>
  <c r="I34" i="6" s="1"/>
  <c r="F34" i="6"/>
  <c r="C34" i="6"/>
  <c r="AC33" i="6"/>
  <c r="AD33" i="6" s="1"/>
  <c r="AA33" i="6"/>
  <c r="W33" i="6"/>
  <c r="X33" i="6" s="1"/>
  <c r="U33" i="6"/>
  <c r="R33" i="6"/>
  <c r="O33" i="6"/>
  <c r="N33" i="6"/>
  <c r="L33" i="6"/>
  <c r="I33" i="6"/>
  <c r="H33" i="6"/>
  <c r="F33" i="6"/>
  <c r="C33" i="6"/>
  <c r="AC32" i="6"/>
  <c r="AD32" i="6" s="1"/>
  <c r="AA32" i="6"/>
  <c r="X32" i="6"/>
  <c r="W32" i="6"/>
  <c r="U32" i="6"/>
  <c r="R32" i="6"/>
  <c r="N32" i="6"/>
  <c r="O32" i="6" s="1"/>
  <c r="L32" i="6"/>
  <c r="H32" i="6"/>
  <c r="I32" i="6" s="1"/>
  <c r="F32" i="6"/>
  <c r="C32" i="6"/>
  <c r="AD31" i="6"/>
  <c r="AC31" i="6"/>
  <c r="AA31" i="6"/>
  <c r="X31" i="6"/>
  <c r="W31" i="6"/>
  <c r="U31" i="6"/>
  <c r="R31" i="6"/>
  <c r="N31" i="6"/>
  <c r="O31" i="6" s="1"/>
  <c r="L31" i="6"/>
  <c r="H31" i="6"/>
  <c r="I31" i="6" s="1"/>
  <c r="F31" i="6"/>
  <c r="C31" i="6"/>
  <c r="AA29" i="6"/>
  <c r="Z29" i="6"/>
  <c r="W29" i="6"/>
  <c r="X29" i="6" s="1"/>
  <c r="T29" i="6"/>
  <c r="U29" i="6" s="1"/>
  <c r="R29" i="6"/>
  <c r="Q29" i="6"/>
  <c r="AC29" i="6" s="1"/>
  <c r="AD29" i="6" s="1"/>
  <c r="N29" i="6"/>
  <c r="O29" i="6" s="1"/>
  <c r="L29" i="6"/>
  <c r="K29" i="6"/>
  <c r="F29" i="6"/>
  <c r="E29" i="6"/>
  <c r="B29" i="6"/>
  <c r="H29" i="6" s="1"/>
  <c r="I29" i="6" s="1"/>
  <c r="AD28" i="6"/>
  <c r="AC28" i="6"/>
  <c r="AA28" i="6"/>
  <c r="X28" i="6"/>
  <c r="W28" i="6"/>
  <c r="U28" i="6"/>
  <c r="R28" i="6"/>
  <c r="O28" i="6"/>
  <c r="N28" i="6"/>
  <c r="L28" i="6"/>
  <c r="H28" i="6"/>
  <c r="I28" i="6" s="1"/>
  <c r="F28" i="6"/>
  <c r="C28" i="6"/>
  <c r="AD27" i="6"/>
  <c r="AC27" i="6"/>
  <c r="AA27" i="6"/>
  <c r="X27" i="6"/>
  <c r="W27" i="6"/>
  <c r="U27" i="6"/>
  <c r="R27" i="6"/>
  <c r="N27" i="6"/>
  <c r="O27" i="6" s="1"/>
  <c r="L27" i="6"/>
  <c r="H27" i="6"/>
  <c r="I27" i="6" s="1"/>
  <c r="F27" i="6"/>
  <c r="C27" i="6"/>
  <c r="AD26" i="6"/>
  <c r="AC26" i="6"/>
  <c r="AA26" i="6"/>
  <c r="X26" i="6"/>
  <c r="W26" i="6"/>
  <c r="U26" i="6"/>
  <c r="R26" i="6"/>
  <c r="O26" i="6"/>
  <c r="N26" i="6"/>
  <c r="L26" i="6"/>
  <c r="H26" i="6"/>
  <c r="I26" i="6" s="1"/>
  <c r="F26" i="6"/>
  <c r="C26" i="6"/>
  <c r="AC25" i="6"/>
  <c r="AD25" i="6" s="1"/>
  <c r="AA25" i="6"/>
  <c r="W25" i="6"/>
  <c r="X25" i="6" s="1"/>
  <c r="U25" i="6"/>
  <c r="R25" i="6"/>
  <c r="O25" i="6"/>
  <c r="N25" i="6"/>
  <c r="L25" i="6"/>
  <c r="I25" i="6"/>
  <c r="H25" i="6"/>
  <c r="F25" i="6"/>
  <c r="C25" i="6"/>
  <c r="AC24" i="6"/>
  <c r="AD24" i="6" s="1"/>
  <c r="AA24" i="6"/>
  <c r="X24" i="6"/>
  <c r="W24" i="6"/>
  <c r="U24" i="6"/>
  <c r="R24" i="6"/>
  <c r="O24" i="6"/>
  <c r="N24" i="6"/>
  <c r="L24" i="6"/>
  <c r="H24" i="6"/>
  <c r="I24" i="6" s="1"/>
  <c r="F24" i="6"/>
  <c r="C24" i="6"/>
  <c r="AD23" i="6"/>
  <c r="AC23" i="6"/>
  <c r="AA23" i="6"/>
  <c r="X23" i="6"/>
  <c r="W23" i="6"/>
  <c r="U23" i="6"/>
  <c r="R23" i="6"/>
  <c r="N23" i="6"/>
  <c r="O23" i="6" s="1"/>
  <c r="L23" i="6"/>
  <c r="H23" i="6"/>
  <c r="I23" i="6" s="1"/>
  <c r="F23" i="6"/>
  <c r="C23" i="6"/>
  <c r="AD22" i="6"/>
  <c r="AC22" i="6"/>
  <c r="AA22" i="6"/>
  <c r="X22" i="6"/>
  <c r="W22" i="6"/>
  <c r="U22" i="6"/>
  <c r="R22" i="6"/>
  <c r="O22" i="6"/>
  <c r="N22" i="6"/>
  <c r="L22" i="6"/>
  <c r="I22" i="6"/>
  <c r="H22" i="6"/>
  <c r="F22" i="6"/>
  <c r="C22" i="6"/>
  <c r="AC21" i="6"/>
  <c r="AD21" i="6" s="1"/>
  <c r="AA21" i="6"/>
  <c r="W21" i="6"/>
  <c r="X21" i="6" s="1"/>
  <c r="U21" i="6"/>
  <c r="R21" i="6"/>
  <c r="O21" i="6"/>
  <c r="N21" i="6"/>
  <c r="L21" i="6"/>
  <c r="I21" i="6"/>
  <c r="H21" i="6"/>
  <c r="F21" i="6"/>
  <c r="C21" i="6"/>
  <c r="AD19" i="6"/>
  <c r="AC19" i="6"/>
  <c r="AA19" i="6"/>
  <c r="X19" i="6"/>
  <c r="W19" i="6"/>
  <c r="U19" i="6"/>
  <c r="R19" i="6"/>
  <c r="O19" i="6"/>
  <c r="N19" i="6"/>
  <c r="L19" i="6"/>
  <c r="H19" i="6"/>
  <c r="I19" i="6" s="1"/>
  <c r="F19" i="6"/>
  <c r="C19" i="6"/>
  <c r="AC18" i="6"/>
  <c r="AD18" i="6" s="1"/>
  <c r="AA18" i="6"/>
  <c r="Z18" i="6"/>
  <c r="U18" i="6"/>
  <c r="T18" i="6"/>
  <c r="Q18" i="6"/>
  <c r="K18" i="6"/>
  <c r="L18" i="6" s="1"/>
  <c r="F18" i="6"/>
  <c r="E18" i="6"/>
  <c r="C18" i="6"/>
  <c r="B18" i="6"/>
  <c r="H18" i="6" s="1"/>
  <c r="I18" i="6" s="1"/>
  <c r="AC17" i="6"/>
  <c r="AD17" i="6" s="1"/>
  <c r="AA17" i="6"/>
  <c r="W17" i="6"/>
  <c r="X17" i="6" s="1"/>
  <c r="U17" i="6"/>
  <c r="R17" i="6"/>
  <c r="O17" i="6"/>
  <c r="N17" i="6"/>
  <c r="L17" i="6"/>
  <c r="I17" i="6"/>
  <c r="H17" i="6"/>
  <c r="F17" i="6"/>
  <c r="C17" i="6"/>
  <c r="AD16" i="6"/>
  <c r="AC16" i="6"/>
  <c r="AA16" i="6"/>
  <c r="X16" i="6"/>
  <c r="W16" i="6"/>
  <c r="U16" i="6"/>
  <c r="R16" i="6"/>
  <c r="O16" i="6"/>
  <c r="N16" i="6"/>
  <c r="L16" i="6"/>
  <c r="H16" i="6"/>
  <c r="I16" i="6" s="1"/>
  <c r="F16" i="6"/>
  <c r="C16" i="6"/>
  <c r="AC15" i="6"/>
  <c r="AD15" i="6" s="1"/>
  <c r="AA15" i="6"/>
  <c r="X15" i="6"/>
  <c r="W15" i="6"/>
  <c r="U15" i="6"/>
  <c r="R15" i="6"/>
  <c r="N15" i="6"/>
  <c r="O15" i="6" s="1"/>
  <c r="L15" i="6"/>
  <c r="H15" i="6"/>
  <c r="I15" i="6" s="1"/>
  <c r="F15" i="6"/>
  <c r="C15" i="6"/>
  <c r="AD14" i="6"/>
  <c r="AC14" i="6"/>
  <c r="AA14" i="6"/>
  <c r="W14" i="6"/>
  <c r="X14" i="6" s="1"/>
  <c r="U14" i="6"/>
  <c r="R14" i="6"/>
  <c r="O14" i="6"/>
  <c r="N14" i="6"/>
  <c r="L14" i="6"/>
  <c r="H14" i="6"/>
  <c r="I14" i="6" s="1"/>
  <c r="F14" i="6"/>
  <c r="C14" i="6"/>
  <c r="AC13" i="6"/>
  <c r="AD13" i="6" s="1"/>
  <c r="AA13" i="6"/>
  <c r="W13" i="6"/>
  <c r="X13" i="6" s="1"/>
  <c r="U13" i="6"/>
  <c r="R13" i="6"/>
  <c r="O13" i="6"/>
  <c r="N13" i="6"/>
  <c r="L13" i="6"/>
  <c r="I13" i="6"/>
  <c r="H13" i="6"/>
  <c r="F13" i="6"/>
  <c r="C13" i="6"/>
  <c r="AC12" i="6"/>
  <c r="AD12" i="6" s="1"/>
  <c r="AA12" i="6"/>
  <c r="X12" i="6"/>
  <c r="W12" i="6"/>
  <c r="U12" i="6"/>
  <c r="R12" i="6"/>
  <c r="N12" i="6"/>
  <c r="O12" i="6" s="1"/>
  <c r="L12" i="6"/>
  <c r="H12" i="6"/>
  <c r="I12" i="6" s="1"/>
  <c r="F12" i="6"/>
  <c r="C12" i="6"/>
  <c r="AC11" i="6"/>
  <c r="AD11" i="6" s="1"/>
  <c r="AA11" i="6"/>
  <c r="X11" i="6"/>
  <c r="W11" i="6"/>
  <c r="U11" i="6"/>
  <c r="R11" i="6"/>
  <c r="N11" i="6"/>
  <c r="O11" i="6" s="1"/>
  <c r="L11" i="6"/>
  <c r="I11" i="6"/>
  <c r="H11" i="6"/>
  <c r="F11" i="6"/>
  <c r="C11" i="6"/>
  <c r="AD10" i="6"/>
  <c r="AC10" i="6"/>
  <c r="AA10" i="6"/>
  <c r="W10" i="6"/>
  <c r="X10" i="6" s="1"/>
  <c r="U10" i="6"/>
  <c r="R10" i="6"/>
  <c r="O10" i="6"/>
  <c r="N10" i="6"/>
  <c r="L10" i="6"/>
  <c r="I10" i="6"/>
  <c r="H10" i="6"/>
  <c r="F10" i="6"/>
  <c r="C10" i="6"/>
  <c r="AC8" i="6"/>
  <c r="AD8" i="6" s="1"/>
  <c r="AA8" i="6"/>
  <c r="W8" i="6"/>
  <c r="X8" i="6" s="1"/>
  <c r="U8" i="6"/>
  <c r="R8" i="6"/>
  <c r="O8" i="6"/>
  <c r="N8" i="6"/>
  <c r="L8" i="6"/>
  <c r="I8" i="6"/>
  <c r="H8" i="6"/>
  <c r="F8" i="6"/>
  <c r="C8" i="6"/>
  <c r="AC444" i="5"/>
  <c r="W444" i="5"/>
  <c r="N444" i="5"/>
  <c r="H444" i="5"/>
  <c r="I427" i="5" s="1"/>
  <c r="Z442" i="5"/>
  <c r="AA442" i="5" s="1"/>
  <c r="T442" i="5"/>
  <c r="U442" i="5" s="1"/>
  <c r="R442" i="5"/>
  <c r="Q442" i="5"/>
  <c r="N442" i="5"/>
  <c r="O442" i="5" s="1"/>
  <c r="L442" i="5"/>
  <c r="K442" i="5"/>
  <c r="F442" i="5"/>
  <c r="E442" i="5"/>
  <c r="B442" i="5"/>
  <c r="AA441" i="5"/>
  <c r="Z441" i="5"/>
  <c r="W441" i="5"/>
  <c r="X441" i="5" s="1"/>
  <c r="T441" i="5"/>
  <c r="U441" i="5" s="1"/>
  <c r="R441" i="5"/>
  <c r="Q441" i="5"/>
  <c r="AC441" i="5" s="1"/>
  <c r="AD441" i="5" s="1"/>
  <c r="L441" i="5"/>
  <c r="K441" i="5"/>
  <c r="F441" i="5"/>
  <c r="E441" i="5"/>
  <c r="C441" i="5"/>
  <c r="B441" i="5"/>
  <c r="H441" i="5" s="1"/>
  <c r="I441" i="5" s="1"/>
  <c r="AD440" i="5"/>
  <c r="AC440" i="5"/>
  <c r="AA440" i="5"/>
  <c r="X440" i="5"/>
  <c r="W440" i="5"/>
  <c r="U440" i="5"/>
  <c r="R440" i="5"/>
  <c r="O440" i="5"/>
  <c r="N440" i="5"/>
  <c r="L440" i="5"/>
  <c r="H440" i="5"/>
  <c r="F440" i="5"/>
  <c r="C440" i="5"/>
  <c r="AC439" i="5"/>
  <c r="AD439" i="5" s="1"/>
  <c r="AA439" i="5"/>
  <c r="X439" i="5"/>
  <c r="W439" i="5"/>
  <c r="U439" i="5"/>
  <c r="R439" i="5"/>
  <c r="N439" i="5"/>
  <c r="O439" i="5" s="1"/>
  <c r="L439" i="5"/>
  <c r="I439" i="5"/>
  <c r="H439" i="5"/>
  <c r="F439" i="5"/>
  <c r="C439" i="5"/>
  <c r="AC438" i="5"/>
  <c r="AA438" i="5"/>
  <c r="W438" i="5"/>
  <c r="X438" i="5" s="1"/>
  <c r="U438" i="5"/>
  <c r="R438" i="5"/>
  <c r="O438" i="5"/>
  <c r="N438" i="5"/>
  <c r="L438" i="5"/>
  <c r="I438" i="5"/>
  <c r="H438" i="5"/>
  <c r="F438" i="5"/>
  <c r="C438" i="5"/>
  <c r="AC437" i="5"/>
  <c r="AD437" i="5" s="1"/>
  <c r="AA437" i="5"/>
  <c r="W437" i="5"/>
  <c r="X437" i="5" s="1"/>
  <c r="U437" i="5"/>
  <c r="R437" i="5"/>
  <c r="O437" i="5"/>
  <c r="N437" i="5"/>
  <c r="L437" i="5"/>
  <c r="H437" i="5"/>
  <c r="F437" i="5"/>
  <c r="C437" i="5"/>
  <c r="AC436" i="5"/>
  <c r="AD436" i="5" s="1"/>
  <c r="AA436" i="5"/>
  <c r="X436" i="5"/>
  <c r="W436" i="5"/>
  <c r="U436" i="5"/>
  <c r="R436" i="5"/>
  <c r="O436" i="5"/>
  <c r="N436" i="5"/>
  <c r="L436" i="5"/>
  <c r="H436" i="5"/>
  <c r="I436" i="5" s="1"/>
  <c r="F436" i="5"/>
  <c r="C436" i="5"/>
  <c r="AC435" i="5"/>
  <c r="AD435" i="5" s="1"/>
  <c r="AA435" i="5"/>
  <c r="X435" i="5"/>
  <c r="W435" i="5"/>
  <c r="U435" i="5"/>
  <c r="R435" i="5"/>
  <c r="N435" i="5"/>
  <c r="O435" i="5" s="1"/>
  <c r="L435" i="5"/>
  <c r="I435" i="5"/>
  <c r="H435" i="5"/>
  <c r="F435" i="5"/>
  <c r="C435" i="5"/>
  <c r="AC434" i="5"/>
  <c r="AA434" i="5"/>
  <c r="W434" i="5"/>
  <c r="X434" i="5" s="1"/>
  <c r="U434" i="5"/>
  <c r="R434" i="5"/>
  <c r="O434" i="5"/>
  <c r="N434" i="5"/>
  <c r="L434" i="5"/>
  <c r="H434" i="5"/>
  <c r="I434" i="5" s="1"/>
  <c r="F434" i="5"/>
  <c r="C434" i="5"/>
  <c r="AC433" i="5"/>
  <c r="AD433" i="5" s="1"/>
  <c r="AA433" i="5"/>
  <c r="W433" i="5"/>
  <c r="X433" i="5" s="1"/>
  <c r="U433" i="5"/>
  <c r="R433" i="5"/>
  <c r="O433" i="5"/>
  <c r="N433" i="5"/>
  <c r="L433" i="5"/>
  <c r="H433" i="5"/>
  <c r="F433" i="5"/>
  <c r="C433" i="5"/>
  <c r="AC432" i="5"/>
  <c r="AD432" i="5" s="1"/>
  <c r="AA432" i="5"/>
  <c r="X432" i="5"/>
  <c r="W432" i="5"/>
  <c r="U432" i="5"/>
  <c r="R432" i="5"/>
  <c r="O432" i="5"/>
  <c r="N432" i="5"/>
  <c r="L432" i="5"/>
  <c r="H432" i="5"/>
  <c r="I432" i="5" s="1"/>
  <c r="F432" i="5"/>
  <c r="C432" i="5"/>
  <c r="AA429" i="5"/>
  <c r="Z429" i="5"/>
  <c r="W429" i="5"/>
  <c r="X429" i="5" s="1"/>
  <c r="U429" i="5"/>
  <c r="T429" i="5"/>
  <c r="R429" i="5"/>
  <c r="Q429" i="5"/>
  <c r="AC429" i="5" s="1"/>
  <c r="AD429" i="5" s="1"/>
  <c r="K429" i="5"/>
  <c r="L429" i="5" s="1"/>
  <c r="F429" i="5"/>
  <c r="E429" i="5"/>
  <c r="C429" i="5"/>
  <c r="B429" i="5"/>
  <c r="AA428" i="5"/>
  <c r="Z428" i="5"/>
  <c r="T428" i="5"/>
  <c r="U428" i="5" s="1"/>
  <c r="Q428" i="5"/>
  <c r="L428" i="5"/>
  <c r="K428" i="5"/>
  <c r="E428" i="5"/>
  <c r="C428" i="5"/>
  <c r="B428" i="5"/>
  <c r="N428" i="5" s="1"/>
  <c r="O428" i="5" s="1"/>
  <c r="AD427" i="5"/>
  <c r="AC427" i="5"/>
  <c r="AA427" i="5"/>
  <c r="X427" i="5"/>
  <c r="W427" i="5"/>
  <c r="U427" i="5"/>
  <c r="R427" i="5"/>
  <c r="N427" i="5"/>
  <c r="O427" i="5" s="1"/>
  <c r="L427" i="5"/>
  <c r="H427" i="5"/>
  <c r="F427" i="5"/>
  <c r="C427" i="5"/>
  <c r="AC426" i="5"/>
  <c r="AA426" i="5"/>
  <c r="W426" i="5"/>
  <c r="X426" i="5" s="1"/>
  <c r="U426" i="5"/>
  <c r="R426" i="5"/>
  <c r="O426" i="5"/>
  <c r="N426" i="5"/>
  <c r="L426" i="5"/>
  <c r="I426" i="5"/>
  <c r="H426" i="5"/>
  <c r="F426" i="5"/>
  <c r="C426" i="5"/>
  <c r="AC425" i="5"/>
  <c r="AA425" i="5"/>
  <c r="W425" i="5"/>
  <c r="X425" i="5" s="1"/>
  <c r="U425" i="5"/>
  <c r="R425" i="5"/>
  <c r="O425" i="5"/>
  <c r="N425" i="5"/>
  <c r="L425" i="5"/>
  <c r="H425" i="5"/>
  <c r="F425" i="5"/>
  <c r="C425" i="5"/>
  <c r="AC424" i="5"/>
  <c r="AD424" i="5" s="1"/>
  <c r="AA424" i="5"/>
  <c r="X424" i="5"/>
  <c r="W424" i="5"/>
  <c r="U424" i="5"/>
  <c r="R424" i="5"/>
  <c r="N424" i="5"/>
  <c r="O424" i="5" s="1"/>
  <c r="L424" i="5"/>
  <c r="H424" i="5"/>
  <c r="I424" i="5" s="1"/>
  <c r="F424" i="5"/>
  <c r="C424" i="5"/>
  <c r="AC423" i="5"/>
  <c r="AD423" i="5" s="1"/>
  <c r="AA423" i="5"/>
  <c r="X423" i="5"/>
  <c r="W423" i="5"/>
  <c r="U423" i="5"/>
  <c r="R423" i="5"/>
  <c r="N423" i="5"/>
  <c r="O423" i="5" s="1"/>
  <c r="L423" i="5"/>
  <c r="I423" i="5"/>
  <c r="H423" i="5"/>
  <c r="F423" i="5"/>
  <c r="C423" i="5"/>
  <c r="AC422" i="5"/>
  <c r="AA422" i="5"/>
  <c r="X422" i="5"/>
  <c r="W422" i="5"/>
  <c r="U422" i="5"/>
  <c r="R422" i="5"/>
  <c r="O422" i="5"/>
  <c r="N422" i="5"/>
  <c r="L422" i="5"/>
  <c r="I422" i="5"/>
  <c r="H422" i="5"/>
  <c r="F422" i="5"/>
  <c r="C422" i="5"/>
  <c r="AC421" i="5"/>
  <c r="AD421" i="5" s="1"/>
  <c r="AA421" i="5"/>
  <c r="W421" i="5"/>
  <c r="X421" i="5" s="1"/>
  <c r="U421" i="5"/>
  <c r="R421" i="5"/>
  <c r="O421" i="5"/>
  <c r="N421" i="5"/>
  <c r="L421" i="5"/>
  <c r="H421" i="5"/>
  <c r="F421" i="5"/>
  <c r="C421" i="5"/>
  <c r="AD420" i="5"/>
  <c r="AC420" i="5"/>
  <c r="AA420" i="5"/>
  <c r="X420" i="5"/>
  <c r="W420" i="5"/>
  <c r="U420" i="5"/>
  <c r="R420" i="5"/>
  <c r="O420" i="5"/>
  <c r="N420" i="5"/>
  <c r="L420" i="5"/>
  <c r="H420" i="5"/>
  <c r="F420" i="5"/>
  <c r="C420" i="5"/>
  <c r="AC419" i="5"/>
  <c r="AD419" i="5" s="1"/>
  <c r="AA419" i="5"/>
  <c r="X419" i="5"/>
  <c r="W419" i="5"/>
  <c r="U419" i="5"/>
  <c r="R419" i="5"/>
  <c r="N419" i="5"/>
  <c r="O419" i="5" s="1"/>
  <c r="L419" i="5"/>
  <c r="I419" i="5"/>
  <c r="H419" i="5"/>
  <c r="F419" i="5"/>
  <c r="C419" i="5"/>
  <c r="AC418" i="5"/>
  <c r="AA418" i="5"/>
  <c r="X418" i="5"/>
  <c r="W418" i="5"/>
  <c r="U418" i="5"/>
  <c r="R418" i="5"/>
  <c r="O418" i="5"/>
  <c r="N418" i="5"/>
  <c r="L418" i="5"/>
  <c r="H418" i="5"/>
  <c r="I418" i="5" s="1"/>
  <c r="F418" i="5"/>
  <c r="C418" i="5"/>
  <c r="AC417" i="5"/>
  <c r="AD417" i="5" s="1"/>
  <c r="AA417" i="5"/>
  <c r="W417" i="5"/>
  <c r="X417" i="5" s="1"/>
  <c r="U417" i="5"/>
  <c r="R417" i="5"/>
  <c r="O417" i="5"/>
  <c r="N417" i="5"/>
  <c r="L417" i="5"/>
  <c r="H417" i="5"/>
  <c r="F417" i="5"/>
  <c r="C417" i="5"/>
  <c r="AD416" i="5"/>
  <c r="AC416" i="5"/>
  <c r="AA416" i="5"/>
  <c r="X416" i="5"/>
  <c r="W416" i="5"/>
  <c r="U416" i="5"/>
  <c r="R416" i="5"/>
  <c r="O416" i="5"/>
  <c r="N416" i="5"/>
  <c r="L416" i="5"/>
  <c r="H416" i="5"/>
  <c r="I416" i="5" s="1"/>
  <c r="F416" i="5"/>
  <c r="C416" i="5"/>
  <c r="AD415" i="5"/>
  <c r="AC415" i="5"/>
  <c r="AA415" i="5"/>
  <c r="X415" i="5"/>
  <c r="W415" i="5"/>
  <c r="U415" i="5"/>
  <c r="R415" i="5"/>
  <c r="N415" i="5"/>
  <c r="O415" i="5" s="1"/>
  <c r="L415" i="5"/>
  <c r="I415" i="5"/>
  <c r="H415" i="5"/>
  <c r="F415" i="5"/>
  <c r="C415" i="5"/>
  <c r="AC414" i="5"/>
  <c r="AA414" i="5"/>
  <c r="W414" i="5"/>
  <c r="X414" i="5" s="1"/>
  <c r="U414" i="5"/>
  <c r="R414" i="5"/>
  <c r="O414" i="5"/>
  <c r="N414" i="5"/>
  <c r="L414" i="5"/>
  <c r="H414" i="5"/>
  <c r="I414" i="5" s="1"/>
  <c r="F414" i="5"/>
  <c r="C414" i="5"/>
  <c r="AC413" i="5"/>
  <c r="AD413" i="5" s="1"/>
  <c r="AA413" i="5"/>
  <c r="W413" i="5"/>
  <c r="X413" i="5" s="1"/>
  <c r="U413" i="5"/>
  <c r="R413" i="5"/>
  <c r="O413" i="5"/>
  <c r="N413" i="5"/>
  <c r="L413" i="5"/>
  <c r="H413" i="5"/>
  <c r="F413" i="5"/>
  <c r="C413" i="5"/>
  <c r="AD412" i="5"/>
  <c r="AC412" i="5"/>
  <c r="AA412" i="5"/>
  <c r="X412" i="5"/>
  <c r="W412" i="5"/>
  <c r="U412" i="5"/>
  <c r="R412" i="5"/>
  <c r="N412" i="5"/>
  <c r="O412" i="5" s="1"/>
  <c r="L412" i="5"/>
  <c r="H412" i="5"/>
  <c r="I412" i="5" s="1"/>
  <c r="F412" i="5"/>
  <c r="C412" i="5"/>
  <c r="AD411" i="5"/>
  <c r="AC411" i="5"/>
  <c r="AA411" i="5"/>
  <c r="X411" i="5"/>
  <c r="W411" i="5"/>
  <c r="U411" i="5"/>
  <c r="R411" i="5"/>
  <c r="N411" i="5"/>
  <c r="O411" i="5" s="1"/>
  <c r="L411" i="5"/>
  <c r="H411" i="5"/>
  <c r="F411" i="5"/>
  <c r="C411" i="5"/>
  <c r="AC410" i="5"/>
  <c r="AA410" i="5"/>
  <c r="W410" i="5"/>
  <c r="X410" i="5" s="1"/>
  <c r="U410" i="5"/>
  <c r="R410" i="5"/>
  <c r="O410" i="5"/>
  <c r="N410" i="5"/>
  <c r="L410" i="5"/>
  <c r="H410" i="5"/>
  <c r="I410" i="5" s="1"/>
  <c r="F410" i="5"/>
  <c r="C410" i="5"/>
  <c r="AC409" i="5"/>
  <c r="AA409" i="5"/>
  <c r="W409" i="5"/>
  <c r="X409" i="5" s="1"/>
  <c r="U409" i="5"/>
  <c r="R409" i="5"/>
  <c r="O409" i="5"/>
  <c r="N409" i="5"/>
  <c r="L409" i="5"/>
  <c r="H409" i="5"/>
  <c r="F409" i="5"/>
  <c r="C409" i="5"/>
  <c r="AD408" i="5"/>
  <c r="AC408" i="5"/>
  <c r="AA408" i="5"/>
  <c r="X408" i="5"/>
  <c r="W408" i="5"/>
  <c r="U408" i="5"/>
  <c r="R408" i="5"/>
  <c r="N408" i="5"/>
  <c r="O408" i="5" s="1"/>
  <c r="L408" i="5"/>
  <c r="H408" i="5"/>
  <c r="I408" i="5" s="1"/>
  <c r="F408" i="5"/>
  <c r="C408" i="5"/>
  <c r="AC407" i="5"/>
  <c r="AD407" i="5" s="1"/>
  <c r="AA407" i="5"/>
  <c r="X407" i="5"/>
  <c r="W407" i="5"/>
  <c r="U407" i="5"/>
  <c r="R407" i="5"/>
  <c r="N407" i="5"/>
  <c r="O407" i="5" s="1"/>
  <c r="L407" i="5"/>
  <c r="I407" i="5"/>
  <c r="H407" i="5"/>
  <c r="F407" i="5"/>
  <c r="C407" i="5"/>
  <c r="Z403" i="5"/>
  <c r="T403" i="5"/>
  <c r="U403" i="5" s="1"/>
  <c r="R403" i="5"/>
  <c r="Q403" i="5"/>
  <c r="L403" i="5"/>
  <c r="K403" i="5"/>
  <c r="I403" i="5"/>
  <c r="H403" i="5"/>
  <c r="E403" i="5"/>
  <c r="F403" i="5" s="1"/>
  <c r="B403" i="5"/>
  <c r="C403" i="5" s="1"/>
  <c r="AC402" i="5"/>
  <c r="AA402" i="5"/>
  <c r="W402" i="5"/>
  <c r="X402" i="5" s="1"/>
  <c r="U402" i="5"/>
  <c r="R402" i="5"/>
  <c r="O402" i="5"/>
  <c r="N402" i="5"/>
  <c r="L402" i="5"/>
  <c r="I402" i="5"/>
  <c r="H402" i="5"/>
  <c r="F402" i="5"/>
  <c r="C402" i="5"/>
  <c r="AC401" i="5"/>
  <c r="AD401" i="5" s="1"/>
  <c r="AA401" i="5"/>
  <c r="W401" i="5"/>
  <c r="X401" i="5" s="1"/>
  <c r="U401" i="5"/>
  <c r="R401" i="5"/>
  <c r="O401" i="5"/>
  <c r="N401" i="5"/>
  <c r="L401" i="5"/>
  <c r="H401" i="5"/>
  <c r="F401" i="5"/>
  <c r="C401" i="5"/>
  <c r="AC400" i="5"/>
  <c r="AD400" i="5" s="1"/>
  <c r="AA400" i="5"/>
  <c r="X400" i="5"/>
  <c r="W400" i="5"/>
  <c r="U400" i="5"/>
  <c r="R400" i="5"/>
  <c r="O400" i="5"/>
  <c r="N400" i="5"/>
  <c r="L400" i="5"/>
  <c r="H400" i="5"/>
  <c r="I400" i="5" s="1"/>
  <c r="F400" i="5"/>
  <c r="C400" i="5"/>
  <c r="AD399" i="5"/>
  <c r="AC399" i="5"/>
  <c r="AA399" i="5"/>
  <c r="X399" i="5"/>
  <c r="W399" i="5"/>
  <c r="U399" i="5"/>
  <c r="R399" i="5"/>
  <c r="N399" i="5"/>
  <c r="O399" i="5" s="1"/>
  <c r="L399" i="5"/>
  <c r="I399" i="5"/>
  <c r="H399" i="5"/>
  <c r="F399" i="5"/>
  <c r="C399" i="5"/>
  <c r="AC398" i="5"/>
  <c r="AA398" i="5"/>
  <c r="X398" i="5"/>
  <c r="W398" i="5"/>
  <c r="U398" i="5"/>
  <c r="R398" i="5"/>
  <c r="O398" i="5"/>
  <c r="N398" i="5"/>
  <c r="L398" i="5"/>
  <c r="H398" i="5"/>
  <c r="I398" i="5" s="1"/>
  <c r="F398" i="5"/>
  <c r="C398" i="5"/>
  <c r="AC397" i="5"/>
  <c r="AD397" i="5" s="1"/>
  <c r="AA397" i="5"/>
  <c r="W397" i="5"/>
  <c r="X397" i="5" s="1"/>
  <c r="U397" i="5"/>
  <c r="R397" i="5"/>
  <c r="O397" i="5"/>
  <c r="N397" i="5"/>
  <c r="L397" i="5"/>
  <c r="H397" i="5"/>
  <c r="F397" i="5"/>
  <c r="C397" i="5"/>
  <c r="Z396" i="5"/>
  <c r="AA396" i="5" s="1"/>
  <c r="U396" i="5"/>
  <c r="T396" i="5"/>
  <c r="R396" i="5"/>
  <c r="Q396" i="5"/>
  <c r="N396" i="5"/>
  <c r="O396" i="5" s="1"/>
  <c r="L396" i="5"/>
  <c r="K396" i="5"/>
  <c r="H396" i="5"/>
  <c r="I396" i="5" s="1"/>
  <c r="F396" i="5"/>
  <c r="E396" i="5"/>
  <c r="B396" i="5"/>
  <c r="C396" i="5" s="1"/>
  <c r="AC395" i="5"/>
  <c r="AA395" i="5"/>
  <c r="W395" i="5"/>
  <c r="X395" i="5" s="1"/>
  <c r="U395" i="5"/>
  <c r="R395" i="5"/>
  <c r="O395" i="5"/>
  <c r="N395" i="5"/>
  <c r="L395" i="5"/>
  <c r="H395" i="5"/>
  <c r="I395" i="5" s="1"/>
  <c r="F395" i="5"/>
  <c r="C395" i="5"/>
  <c r="AC394" i="5"/>
  <c r="AD394" i="5" s="1"/>
  <c r="AA394" i="5"/>
  <c r="W394" i="5"/>
  <c r="X394" i="5" s="1"/>
  <c r="U394" i="5"/>
  <c r="R394" i="5"/>
  <c r="O394" i="5"/>
  <c r="N394" i="5"/>
  <c r="L394" i="5"/>
  <c r="H394" i="5"/>
  <c r="F394" i="5"/>
  <c r="C394" i="5"/>
  <c r="Z393" i="5"/>
  <c r="U393" i="5"/>
  <c r="T393" i="5"/>
  <c r="R393" i="5"/>
  <c r="Q393" i="5"/>
  <c r="L393" i="5"/>
  <c r="K393" i="5"/>
  <c r="I393" i="5"/>
  <c r="H393" i="5"/>
  <c r="F393" i="5"/>
  <c r="E393" i="5"/>
  <c r="B393" i="5"/>
  <c r="C393" i="5" s="1"/>
  <c r="AC392" i="5"/>
  <c r="AA392" i="5"/>
  <c r="W392" i="5"/>
  <c r="X392" i="5" s="1"/>
  <c r="U392" i="5"/>
  <c r="R392" i="5"/>
  <c r="O392" i="5"/>
  <c r="N392" i="5"/>
  <c r="L392" i="5"/>
  <c r="I392" i="5"/>
  <c r="H392" i="5"/>
  <c r="F392" i="5"/>
  <c r="C392" i="5"/>
  <c r="AC391" i="5"/>
  <c r="AD391" i="5" s="1"/>
  <c r="AA391" i="5"/>
  <c r="W391" i="5"/>
  <c r="X391" i="5" s="1"/>
  <c r="U391" i="5"/>
  <c r="R391" i="5"/>
  <c r="O391" i="5"/>
  <c r="N391" i="5"/>
  <c r="L391" i="5"/>
  <c r="H391" i="5"/>
  <c r="F391" i="5"/>
  <c r="C391" i="5"/>
  <c r="AC390" i="5"/>
  <c r="AD390" i="5" s="1"/>
  <c r="AA390" i="5"/>
  <c r="X390" i="5"/>
  <c r="W390" i="5"/>
  <c r="U390" i="5"/>
  <c r="R390" i="5"/>
  <c r="O390" i="5"/>
  <c r="N390" i="5"/>
  <c r="L390" i="5"/>
  <c r="H390" i="5"/>
  <c r="I390" i="5" s="1"/>
  <c r="F390" i="5"/>
  <c r="C390" i="5"/>
  <c r="AD389" i="5"/>
  <c r="AC389" i="5"/>
  <c r="AA389" i="5"/>
  <c r="X389" i="5"/>
  <c r="W389" i="5"/>
  <c r="U389" i="5"/>
  <c r="R389" i="5"/>
  <c r="N389" i="5"/>
  <c r="O389" i="5" s="1"/>
  <c r="L389" i="5"/>
  <c r="I389" i="5"/>
  <c r="H389" i="5"/>
  <c r="F389" i="5"/>
  <c r="C389" i="5"/>
  <c r="AC388" i="5"/>
  <c r="AA388" i="5"/>
  <c r="X388" i="5"/>
  <c r="W388" i="5"/>
  <c r="U388" i="5"/>
  <c r="R388" i="5"/>
  <c r="O388" i="5"/>
  <c r="N388" i="5"/>
  <c r="L388" i="5"/>
  <c r="I388" i="5"/>
  <c r="H388" i="5"/>
  <c r="F388" i="5"/>
  <c r="C388" i="5"/>
  <c r="AC386" i="5"/>
  <c r="AD386" i="5" s="1"/>
  <c r="AA386" i="5"/>
  <c r="W386" i="5"/>
  <c r="X386" i="5" s="1"/>
  <c r="U386" i="5"/>
  <c r="R386" i="5"/>
  <c r="O386" i="5"/>
  <c r="N386" i="5"/>
  <c r="L386" i="5"/>
  <c r="H386" i="5"/>
  <c r="F386" i="5"/>
  <c r="C386" i="5"/>
  <c r="AC385" i="5"/>
  <c r="AD385" i="5" s="1"/>
  <c r="AA385" i="5"/>
  <c r="X385" i="5"/>
  <c r="W385" i="5"/>
  <c r="U385" i="5"/>
  <c r="R385" i="5"/>
  <c r="O385" i="5"/>
  <c r="N385" i="5"/>
  <c r="L385" i="5"/>
  <c r="H385" i="5"/>
  <c r="I385" i="5" s="1"/>
  <c r="F385" i="5"/>
  <c r="C385" i="5"/>
  <c r="AD383" i="5"/>
  <c r="AC383" i="5"/>
  <c r="AA383" i="5"/>
  <c r="X383" i="5"/>
  <c r="W383" i="5"/>
  <c r="U383" i="5"/>
  <c r="R383" i="5"/>
  <c r="N383" i="5"/>
  <c r="O383" i="5" s="1"/>
  <c r="L383" i="5"/>
  <c r="H383" i="5"/>
  <c r="I383" i="5" s="1"/>
  <c r="F383" i="5"/>
  <c r="C383" i="5"/>
  <c r="AC382" i="5"/>
  <c r="AA382" i="5"/>
  <c r="X382" i="5"/>
  <c r="W382" i="5"/>
  <c r="U382" i="5"/>
  <c r="R382" i="5"/>
  <c r="O382" i="5"/>
  <c r="N382" i="5"/>
  <c r="L382" i="5"/>
  <c r="I382" i="5"/>
  <c r="H382" i="5"/>
  <c r="F382" i="5"/>
  <c r="C382" i="5"/>
  <c r="AC381" i="5"/>
  <c r="AD381" i="5" s="1"/>
  <c r="AA381" i="5"/>
  <c r="W381" i="5"/>
  <c r="X381" i="5" s="1"/>
  <c r="U381" i="5"/>
  <c r="R381" i="5"/>
  <c r="O381" i="5"/>
  <c r="N381" i="5"/>
  <c r="L381" i="5"/>
  <c r="H381" i="5"/>
  <c r="F381" i="5"/>
  <c r="C381" i="5"/>
  <c r="AC380" i="5"/>
  <c r="AD380" i="5" s="1"/>
  <c r="AA380" i="5"/>
  <c r="X380" i="5"/>
  <c r="W380" i="5"/>
  <c r="U380" i="5"/>
  <c r="R380" i="5"/>
  <c r="N380" i="5"/>
  <c r="O380" i="5" s="1"/>
  <c r="L380" i="5"/>
  <c r="H380" i="5"/>
  <c r="I380" i="5" s="1"/>
  <c r="F380" i="5"/>
  <c r="C380" i="5"/>
  <c r="AD379" i="5"/>
  <c r="AC379" i="5"/>
  <c r="AA379" i="5"/>
  <c r="X379" i="5"/>
  <c r="W379" i="5"/>
  <c r="U379" i="5"/>
  <c r="R379" i="5"/>
  <c r="N379" i="5"/>
  <c r="O379" i="5" s="1"/>
  <c r="L379" i="5"/>
  <c r="H379" i="5"/>
  <c r="I379" i="5" s="1"/>
  <c r="F379" i="5"/>
  <c r="C379" i="5"/>
  <c r="AC378" i="5"/>
  <c r="AA378" i="5"/>
  <c r="W378" i="5"/>
  <c r="X378" i="5" s="1"/>
  <c r="U378" i="5"/>
  <c r="R378" i="5"/>
  <c r="O378" i="5"/>
  <c r="N378" i="5"/>
  <c r="L378" i="5"/>
  <c r="I378" i="5"/>
  <c r="H378" i="5"/>
  <c r="F378" i="5"/>
  <c r="C378" i="5"/>
  <c r="AC377" i="5"/>
  <c r="AD377" i="5" s="1"/>
  <c r="AA377" i="5"/>
  <c r="W377" i="5"/>
  <c r="X377" i="5" s="1"/>
  <c r="U377" i="5"/>
  <c r="R377" i="5"/>
  <c r="O377" i="5"/>
  <c r="N377" i="5"/>
  <c r="L377" i="5"/>
  <c r="H377" i="5"/>
  <c r="F377" i="5"/>
  <c r="C377" i="5"/>
  <c r="AD376" i="5"/>
  <c r="AC376" i="5"/>
  <c r="AA376" i="5"/>
  <c r="X376" i="5"/>
  <c r="W376" i="5"/>
  <c r="U376" i="5"/>
  <c r="R376" i="5"/>
  <c r="N376" i="5"/>
  <c r="O376" i="5" s="1"/>
  <c r="L376" i="5"/>
  <c r="H376" i="5"/>
  <c r="F376" i="5"/>
  <c r="C376" i="5"/>
  <c r="AD375" i="5"/>
  <c r="AC375" i="5"/>
  <c r="AA375" i="5"/>
  <c r="X375" i="5"/>
  <c r="W375" i="5"/>
  <c r="U375" i="5"/>
  <c r="R375" i="5"/>
  <c r="N375" i="5"/>
  <c r="O375" i="5" s="1"/>
  <c r="L375" i="5"/>
  <c r="H375" i="5"/>
  <c r="I375" i="5" s="1"/>
  <c r="F375" i="5"/>
  <c r="C375" i="5"/>
  <c r="AC374" i="5"/>
  <c r="AA374" i="5"/>
  <c r="W374" i="5"/>
  <c r="X374" i="5" s="1"/>
  <c r="U374" i="5"/>
  <c r="R374" i="5"/>
  <c r="O374" i="5"/>
  <c r="N374" i="5"/>
  <c r="L374" i="5"/>
  <c r="I374" i="5"/>
  <c r="H374" i="5"/>
  <c r="F374" i="5"/>
  <c r="C374" i="5"/>
  <c r="AC373" i="5"/>
  <c r="AD373" i="5" s="1"/>
  <c r="AA373" i="5"/>
  <c r="W373" i="5"/>
  <c r="X373" i="5" s="1"/>
  <c r="U373" i="5"/>
  <c r="R373" i="5"/>
  <c r="O373" i="5"/>
  <c r="N373" i="5"/>
  <c r="L373" i="5"/>
  <c r="H373" i="5"/>
  <c r="F373" i="5"/>
  <c r="C373" i="5"/>
  <c r="AC372" i="5"/>
  <c r="AD372" i="5" s="1"/>
  <c r="AA372" i="5"/>
  <c r="X372" i="5"/>
  <c r="W372" i="5"/>
  <c r="U372" i="5"/>
  <c r="R372" i="5"/>
  <c r="O372" i="5"/>
  <c r="N372" i="5"/>
  <c r="L372" i="5"/>
  <c r="H372" i="5"/>
  <c r="I372" i="5" s="1"/>
  <c r="F372" i="5"/>
  <c r="C372" i="5"/>
  <c r="AD371" i="5"/>
  <c r="AC371" i="5"/>
  <c r="AA371" i="5"/>
  <c r="X371" i="5"/>
  <c r="W371" i="5"/>
  <c r="U371" i="5"/>
  <c r="R371" i="5"/>
  <c r="N371" i="5"/>
  <c r="O371" i="5" s="1"/>
  <c r="L371" i="5"/>
  <c r="I371" i="5"/>
  <c r="H371" i="5"/>
  <c r="F371" i="5"/>
  <c r="C371" i="5"/>
  <c r="AC370" i="5"/>
  <c r="AA370" i="5"/>
  <c r="W370" i="5"/>
  <c r="X370" i="5" s="1"/>
  <c r="U370" i="5"/>
  <c r="R370" i="5"/>
  <c r="O370" i="5"/>
  <c r="N370" i="5"/>
  <c r="L370" i="5"/>
  <c r="I370" i="5"/>
  <c r="H370" i="5"/>
  <c r="F370" i="5"/>
  <c r="C370" i="5"/>
  <c r="AD369" i="5"/>
  <c r="AC369" i="5"/>
  <c r="AA369" i="5"/>
  <c r="W369" i="5"/>
  <c r="X369" i="5" s="1"/>
  <c r="U369" i="5"/>
  <c r="R369" i="5"/>
  <c r="O369" i="5"/>
  <c r="N369" i="5"/>
  <c r="L369" i="5"/>
  <c r="H369" i="5"/>
  <c r="F369" i="5"/>
  <c r="C369" i="5"/>
  <c r="AD368" i="5"/>
  <c r="AC368" i="5"/>
  <c r="AA368" i="5"/>
  <c r="Z368" i="5"/>
  <c r="U368" i="5"/>
  <c r="T368" i="5"/>
  <c r="R368" i="5"/>
  <c r="Q368" i="5"/>
  <c r="W368" i="5" s="1"/>
  <c r="X368" i="5" s="1"/>
  <c r="L368" i="5"/>
  <c r="K368" i="5"/>
  <c r="F368" i="5"/>
  <c r="E368" i="5"/>
  <c r="C368" i="5"/>
  <c r="B368" i="5"/>
  <c r="H368" i="5" s="1"/>
  <c r="I368" i="5" s="1"/>
  <c r="AC367" i="5"/>
  <c r="AA367" i="5"/>
  <c r="X367" i="5"/>
  <c r="W367" i="5"/>
  <c r="U367" i="5"/>
  <c r="R367" i="5"/>
  <c r="O367" i="5"/>
  <c r="N367" i="5"/>
  <c r="L367" i="5"/>
  <c r="I367" i="5"/>
  <c r="H367" i="5"/>
  <c r="F367" i="5"/>
  <c r="C367" i="5"/>
  <c r="AC366" i="5"/>
  <c r="AD366" i="5" s="1"/>
  <c r="AA366" i="5"/>
  <c r="W366" i="5"/>
  <c r="X366" i="5" s="1"/>
  <c r="U366" i="5"/>
  <c r="R366" i="5"/>
  <c r="N366" i="5"/>
  <c r="O366" i="5" s="1"/>
  <c r="L366" i="5"/>
  <c r="H366" i="5"/>
  <c r="F366" i="5"/>
  <c r="C366" i="5"/>
  <c r="AD365" i="5"/>
  <c r="AC365" i="5"/>
  <c r="AA365" i="5"/>
  <c r="X365" i="5"/>
  <c r="W365" i="5"/>
  <c r="U365" i="5"/>
  <c r="R365" i="5"/>
  <c r="O365" i="5"/>
  <c r="N365" i="5"/>
  <c r="L365" i="5"/>
  <c r="H365" i="5"/>
  <c r="I365" i="5" s="1"/>
  <c r="F365" i="5"/>
  <c r="C365" i="5"/>
  <c r="AC364" i="5"/>
  <c r="AD364" i="5" s="1"/>
  <c r="AA364" i="5"/>
  <c r="X364" i="5"/>
  <c r="W364" i="5"/>
  <c r="U364" i="5"/>
  <c r="R364" i="5"/>
  <c r="N364" i="5"/>
  <c r="O364" i="5" s="1"/>
  <c r="L364" i="5"/>
  <c r="H364" i="5"/>
  <c r="I364" i="5" s="1"/>
  <c r="F364" i="5"/>
  <c r="C364" i="5"/>
  <c r="AC363" i="5"/>
  <c r="AA363" i="5"/>
  <c r="W363" i="5"/>
  <c r="X363" i="5" s="1"/>
  <c r="U363" i="5"/>
  <c r="R363" i="5"/>
  <c r="O363" i="5"/>
  <c r="N363" i="5"/>
  <c r="L363" i="5"/>
  <c r="H363" i="5"/>
  <c r="I363" i="5" s="1"/>
  <c r="F363" i="5"/>
  <c r="C363" i="5"/>
  <c r="AD362" i="5"/>
  <c r="AC362" i="5"/>
  <c r="AA362" i="5"/>
  <c r="W362" i="5"/>
  <c r="X362" i="5" s="1"/>
  <c r="U362" i="5"/>
  <c r="R362" i="5"/>
  <c r="N362" i="5"/>
  <c r="O362" i="5" s="1"/>
  <c r="L362" i="5"/>
  <c r="H362" i="5"/>
  <c r="F362" i="5"/>
  <c r="C362" i="5"/>
  <c r="AC361" i="5"/>
  <c r="AD361" i="5" s="1"/>
  <c r="AA361" i="5"/>
  <c r="X361" i="5"/>
  <c r="W361" i="5"/>
  <c r="U361" i="5"/>
  <c r="R361" i="5"/>
  <c r="O361" i="5"/>
  <c r="N361" i="5"/>
  <c r="L361" i="5"/>
  <c r="I361" i="5"/>
  <c r="H361" i="5"/>
  <c r="F361" i="5"/>
  <c r="C361" i="5"/>
  <c r="AC360" i="5"/>
  <c r="AD360" i="5" s="1"/>
  <c r="AA360" i="5"/>
  <c r="X360" i="5"/>
  <c r="W360" i="5"/>
  <c r="U360" i="5"/>
  <c r="R360" i="5"/>
  <c r="N360" i="5"/>
  <c r="O360" i="5" s="1"/>
  <c r="L360" i="5"/>
  <c r="I360" i="5"/>
  <c r="H360" i="5"/>
  <c r="F360" i="5"/>
  <c r="C360" i="5"/>
  <c r="AA358" i="5"/>
  <c r="Z358" i="5"/>
  <c r="U358" i="5"/>
  <c r="T358" i="5"/>
  <c r="W358" i="5" s="1"/>
  <c r="X358" i="5" s="1"/>
  <c r="R358" i="5"/>
  <c r="Q358" i="5"/>
  <c r="AC358" i="5" s="1"/>
  <c r="AD358" i="5" s="1"/>
  <c r="L358" i="5"/>
  <c r="K358" i="5"/>
  <c r="I358" i="5"/>
  <c r="F358" i="5"/>
  <c r="E358" i="5"/>
  <c r="C358" i="5"/>
  <c r="B358" i="5"/>
  <c r="H358" i="5" s="1"/>
  <c r="AD357" i="5"/>
  <c r="AC357" i="5"/>
  <c r="AA357" i="5"/>
  <c r="X357" i="5"/>
  <c r="W357" i="5"/>
  <c r="U357" i="5"/>
  <c r="R357" i="5"/>
  <c r="O357" i="5"/>
  <c r="N357" i="5"/>
  <c r="L357" i="5"/>
  <c r="I357" i="5"/>
  <c r="H357" i="5"/>
  <c r="F357" i="5"/>
  <c r="C357" i="5"/>
  <c r="AD356" i="5"/>
  <c r="AC356" i="5"/>
  <c r="AA356" i="5"/>
  <c r="W356" i="5"/>
  <c r="X356" i="5" s="1"/>
  <c r="U356" i="5"/>
  <c r="R356" i="5"/>
  <c r="N356" i="5"/>
  <c r="O356" i="5" s="1"/>
  <c r="L356" i="5"/>
  <c r="I356" i="5"/>
  <c r="H356" i="5"/>
  <c r="F356" i="5"/>
  <c r="C356" i="5"/>
  <c r="AC355" i="5"/>
  <c r="AA355" i="5"/>
  <c r="W355" i="5"/>
  <c r="X355" i="5" s="1"/>
  <c r="U355" i="5"/>
  <c r="R355" i="5"/>
  <c r="O355" i="5"/>
  <c r="N355" i="5"/>
  <c r="L355" i="5"/>
  <c r="H355" i="5"/>
  <c r="I355" i="5" s="1"/>
  <c r="F355" i="5"/>
  <c r="C355" i="5"/>
  <c r="AD354" i="5"/>
  <c r="AC354" i="5"/>
  <c r="AA354" i="5"/>
  <c r="W354" i="5"/>
  <c r="X354" i="5" s="1"/>
  <c r="U354" i="5"/>
  <c r="R354" i="5"/>
  <c r="O354" i="5"/>
  <c r="N354" i="5"/>
  <c r="L354" i="5"/>
  <c r="H354" i="5"/>
  <c r="F354" i="5"/>
  <c r="C354" i="5"/>
  <c r="AC353" i="5"/>
  <c r="AD353" i="5" s="1"/>
  <c r="AA353" i="5"/>
  <c r="X353" i="5"/>
  <c r="W353" i="5"/>
  <c r="U353" i="5"/>
  <c r="R353" i="5"/>
  <c r="N353" i="5"/>
  <c r="O353" i="5" s="1"/>
  <c r="L353" i="5"/>
  <c r="H353" i="5"/>
  <c r="I353" i="5" s="1"/>
  <c r="F353" i="5"/>
  <c r="C353" i="5"/>
  <c r="AD352" i="5"/>
  <c r="AC352" i="5"/>
  <c r="AA352" i="5"/>
  <c r="W352" i="5"/>
  <c r="X352" i="5" s="1"/>
  <c r="U352" i="5"/>
  <c r="R352" i="5"/>
  <c r="N352" i="5"/>
  <c r="O352" i="5" s="1"/>
  <c r="L352" i="5"/>
  <c r="H352" i="5"/>
  <c r="I352" i="5" s="1"/>
  <c r="F352" i="5"/>
  <c r="C352" i="5"/>
  <c r="AC351" i="5"/>
  <c r="AA351" i="5"/>
  <c r="W351" i="5"/>
  <c r="X351" i="5" s="1"/>
  <c r="U351" i="5"/>
  <c r="R351" i="5"/>
  <c r="O351" i="5"/>
  <c r="N351" i="5"/>
  <c r="L351" i="5"/>
  <c r="I351" i="5"/>
  <c r="H351" i="5"/>
  <c r="F351" i="5"/>
  <c r="C351" i="5"/>
  <c r="AC350" i="5"/>
  <c r="AD350" i="5" s="1"/>
  <c r="AA350" i="5"/>
  <c r="W350" i="5"/>
  <c r="X350" i="5" s="1"/>
  <c r="U350" i="5"/>
  <c r="R350" i="5"/>
  <c r="O350" i="5"/>
  <c r="N350" i="5"/>
  <c r="L350" i="5"/>
  <c r="H350" i="5"/>
  <c r="F350" i="5"/>
  <c r="C350" i="5"/>
  <c r="AD349" i="5"/>
  <c r="AC349" i="5"/>
  <c r="AA349" i="5"/>
  <c r="X349" i="5"/>
  <c r="W349" i="5"/>
  <c r="U349" i="5"/>
  <c r="R349" i="5"/>
  <c r="O349" i="5"/>
  <c r="N349" i="5"/>
  <c r="L349" i="5"/>
  <c r="I349" i="5"/>
  <c r="H349" i="5"/>
  <c r="F349" i="5"/>
  <c r="C349" i="5"/>
  <c r="AC347" i="5"/>
  <c r="AD347" i="5" s="1"/>
  <c r="AA347" i="5"/>
  <c r="W347" i="5"/>
  <c r="X347" i="5" s="1"/>
  <c r="U347" i="5"/>
  <c r="R347" i="5"/>
  <c r="N347" i="5"/>
  <c r="O347" i="5" s="1"/>
  <c r="L347" i="5"/>
  <c r="I347" i="5"/>
  <c r="H347" i="5"/>
  <c r="F347" i="5"/>
  <c r="C347" i="5"/>
  <c r="AC344" i="5"/>
  <c r="AD344" i="5" s="1"/>
  <c r="Z344" i="5"/>
  <c r="AA344" i="5" s="1"/>
  <c r="U344" i="5"/>
  <c r="T344" i="5"/>
  <c r="R344" i="5"/>
  <c r="Q344" i="5"/>
  <c r="N344" i="5"/>
  <c r="O344" i="5" s="1"/>
  <c r="L344" i="5"/>
  <c r="K344" i="5"/>
  <c r="F344" i="5"/>
  <c r="E344" i="5"/>
  <c r="B344" i="5"/>
  <c r="C344" i="5" s="1"/>
  <c r="Z343" i="5"/>
  <c r="AA343" i="5" s="1"/>
  <c r="X343" i="5"/>
  <c r="W343" i="5"/>
  <c r="U343" i="5"/>
  <c r="T343" i="5"/>
  <c r="R343" i="5"/>
  <c r="Q343" i="5"/>
  <c r="L343" i="5"/>
  <c r="K343" i="5"/>
  <c r="N343" i="5" s="1"/>
  <c r="O343" i="5" s="1"/>
  <c r="F343" i="5"/>
  <c r="E343" i="5"/>
  <c r="B343" i="5"/>
  <c r="AC342" i="5"/>
  <c r="AD342" i="5" s="1"/>
  <c r="AA342" i="5"/>
  <c r="Z342" i="5"/>
  <c r="T342" i="5"/>
  <c r="U342" i="5" s="1"/>
  <c r="Q342" i="5"/>
  <c r="L342" i="5"/>
  <c r="K342" i="5"/>
  <c r="H342" i="5"/>
  <c r="I342" i="5" s="1"/>
  <c r="E342" i="5"/>
  <c r="F342" i="5" s="1"/>
  <c r="C342" i="5"/>
  <c r="B342" i="5"/>
  <c r="N342" i="5" s="1"/>
  <c r="O342" i="5" s="1"/>
  <c r="AC341" i="5"/>
  <c r="AA341" i="5"/>
  <c r="W341" i="5"/>
  <c r="X341" i="5" s="1"/>
  <c r="U341" i="5"/>
  <c r="R341" i="5"/>
  <c r="O341" i="5"/>
  <c r="N341" i="5"/>
  <c r="L341" i="5"/>
  <c r="I341" i="5"/>
  <c r="H341" i="5"/>
  <c r="F341" i="5"/>
  <c r="C341" i="5"/>
  <c r="AD340" i="5"/>
  <c r="AC340" i="5"/>
  <c r="AA340" i="5"/>
  <c r="W340" i="5"/>
  <c r="X340" i="5" s="1"/>
  <c r="U340" i="5"/>
  <c r="R340" i="5"/>
  <c r="O340" i="5"/>
  <c r="N340" i="5"/>
  <c r="L340" i="5"/>
  <c r="H340" i="5"/>
  <c r="F340" i="5"/>
  <c r="C340" i="5"/>
  <c r="AD339" i="5"/>
  <c r="AC339" i="5"/>
  <c r="AA339" i="5"/>
  <c r="X339" i="5"/>
  <c r="W339" i="5"/>
  <c r="U339" i="5"/>
  <c r="R339" i="5"/>
  <c r="O339" i="5"/>
  <c r="N339" i="5"/>
  <c r="L339" i="5"/>
  <c r="I339" i="5"/>
  <c r="H339" i="5"/>
  <c r="F339" i="5"/>
  <c r="C339" i="5"/>
  <c r="AD338" i="5"/>
  <c r="AC338" i="5"/>
  <c r="AA338" i="5"/>
  <c r="W338" i="5"/>
  <c r="X338" i="5" s="1"/>
  <c r="U338" i="5"/>
  <c r="R338" i="5"/>
  <c r="N338" i="5"/>
  <c r="O338" i="5" s="1"/>
  <c r="L338" i="5"/>
  <c r="I338" i="5"/>
  <c r="H338" i="5"/>
  <c r="F338" i="5"/>
  <c r="C338" i="5"/>
  <c r="AC337" i="5"/>
  <c r="AA337" i="5"/>
  <c r="X337" i="5"/>
  <c r="W337" i="5"/>
  <c r="U337" i="5"/>
  <c r="R337" i="5"/>
  <c r="O337" i="5"/>
  <c r="N337" i="5"/>
  <c r="L337" i="5"/>
  <c r="H337" i="5"/>
  <c r="I337" i="5" s="1"/>
  <c r="F337" i="5"/>
  <c r="C337" i="5"/>
  <c r="AD335" i="5"/>
  <c r="AC335" i="5"/>
  <c r="AA335" i="5"/>
  <c r="W335" i="5"/>
  <c r="X335" i="5" s="1"/>
  <c r="U335" i="5"/>
  <c r="R335" i="5"/>
  <c r="O335" i="5"/>
  <c r="N335" i="5"/>
  <c r="L335" i="5"/>
  <c r="H335" i="5"/>
  <c r="F335" i="5"/>
  <c r="C335" i="5"/>
  <c r="AC334" i="5"/>
  <c r="AD334" i="5" s="1"/>
  <c r="AA334" i="5"/>
  <c r="X334" i="5"/>
  <c r="W334" i="5"/>
  <c r="U334" i="5"/>
  <c r="R334" i="5"/>
  <c r="O334" i="5"/>
  <c r="N334" i="5"/>
  <c r="L334" i="5"/>
  <c r="I334" i="5"/>
  <c r="H334" i="5"/>
  <c r="F334" i="5"/>
  <c r="C334" i="5"/>
  <c r="AC333" i="5"/>
  <c r="AD333" i="5" s="1"/>
  <c r="AA333" i="5"/>
  <c r="X333" i="5"/>
  <c r="W333" i="5"/>
  <c r="U333" i="5"/>
  <c r="R333" i="5"/>
  <c r="N333" i="5"/>
  <c r="O333" i="5" s="1"/>
  <c r="L333" i="5"/>
  <c r="I333" i="5"/>
  <c r="H333" i="5"/>
  <c r="F333" i="5"/>
  <c r="C333" i="5"/>
  <c r="AC332" i="5"/>
  <c r="AA332" i="5"/>
  <c r="W332" i="5"/>
  <c r="X332" i="5" s="1"/>
  <c r="U332" i="5"/>
  <c r="R332" i="5"/>
  <c r="O332" i="5"/>
  <c r="N332" i="5"/>
  <c r="L332" i="5"/>
  <c r="I332" i="5"/>
  <c r="H332" i="5"/>
  <c r="F332" i="5"/>
  <c r="C332" i="5"/>
  <c r="AD331" i="5"/>
  <c r="AC331" i="5"/>
  <c r="AA331" i="5"/>
  <c r="W331" i="5"/>
  <c r="X331" i="5" s="1"/>
  <c r="U331" i="5"/>
  <c r="R331" i="5"/>
  <c r="O331" i="5"/>
  <c r="N331" i="5"/>
  <c r="L331" i="5"/>
  <c r="H331" i="5"/>
  <c r="F331" i="5"/>
  <c r="C331" i="5"/>
  <c r="AD330" i="5"/>
  <c r="AC330" i="5"/>
  <c r="AA330" i="5"/>
  <c r="X330" i="5"/>
  <c r="W330" i="5"/>
  <c r="U330" i="5"/>
  <c r="R330" i="5"/>
  <c r="O330" i="5"/>
  <c r="N330" i="5"/>
  <c r="L330" i="5"/>
  <c r="I330" i="5"/>
  <c r="H330" i="5"/>
  <c r="F330" i="5"/>
  <c r="C330" i="5"/>
  <c r="AD329" i="5"/>
  <c r="AC329" i="5"/>
  <c r="AA329" i="5"/>
  <c r="W329" i="5"/>
  <c r="X329" i="5" s="1"/>
  <c r="U329" i="5"/>
  <c r="R329" i="5"/>
  <c r="N329" i="5"/>
  <c r="O329" i="5" s="1"/>
  <c r="L329" i="5"/>
  <c r="I329" i="5"/>
  <c r="H329" i="5"/>
  <c r="F329" i="5"/>
  <c r="C329" i="5"/>
  <c r="AC328" i="5"/>
  <c r="AA328" i="5"/>
  <c r="X328" i="5"/>
  <c r="W328" i="5"/>
  <c r="U328" i="5"/>
  <c r="R328" i="5"/>
  <c r="O328" i="5"/>
  <c r="N328" i="5"/>
  <c r="L328" i="5"/>
  <c r="H328" i="5"/>
  <c r="I328" i="5" s="1"/>
  <c r="F328" i="5"/>
  <c r="C328" i="5"/>
  <c r="AA325" i="5"/>
  <c r="Z325" i="5"/>
  <c r="T325" i="5"/>
  <c r="W325" i="5" s="1"/>
  <c r="X325" i="5" s="1"/>
  <c r="R325" i="5"/>
  <c r="Q325" i="5"/>
  <c r="AC325" i="5" s="1"/>
  <c r="AD325" i="5" s="1"/>
  <c r="L325" i="5"/>
  <c r="K325" i="5"/>
  <c r="E325" i="5"/>
  <c r="H325" i="5" s="1"/>
  <c r="I325" i="5" s="1"/>
  <c r="C325" i="5"/>
  <c r="B325" i="5"/>
  <c r="AA324" i="5"/>
  <c r="Z324" i="5"/>
  <c r="W324" i="5"/>
  <c r="X324" i="5" s="1"/>
  <c r="U324" i="5"/>
  <c r="T324" i="5"/>
  <c r="R324" i="5"/>
  <c r="Q324" i="5"/>
  <c r="AC324" i="5" s="1"/>
  <c r="AD324" i="5" s="1"/>
  <c r="K324" i="5"/>
  <c r="L324" i="5" s="1"/>
  <c r="F324" i="5"/>
  <c r="E324" i="5"/>
  <c r="C324" i="5"/>
  <c r="B324" i="5"/>
  <c r="H324" i="5" s="1"/>
  <c r="I324" i="5" s="1"/>
  <c r="AD323" i="5"/>
  <c r="AC323" i="5"/>
  <c r="AA323" i="5"/>
  <c r="W323" i="5"/>
  <c r="X323" i="5" s="1"/>
  <c r="U323" i="5"/>
  <c r="R323" i="5"/>
  <c r="O323" i="5"/>
  <c r="N323" i="5"/>
  <c r="L323" i="5"/>
  <c r="H323" i="5"/>
  <c r="F323" i="5"/>
  <c r="C323" i="5"/>
  <c r="AD322" i="5"/>
  <c r="AC322" i="5"/>
  <c r="AA322" i="5"/>
  <c r="X322" i="5"/>
  <c r="W322" i="5"/>
  <c r="U322" i="5"/>
  <c r="R322" i="5"/>
  <c r="O322" i="5"/>
  <c r="N322" i="5"/>
  <c r="L322" i="5"/>
  <c r="I322" i="5"/>
  <c r="H322" i="5"/>
  <c r="F322" i="5"/>
  <c r="C322" i="5"/>
  <c r="AC321" i="5"/>
  <c r="AD321" i="5" s="1"/>
  <c r="AA321" i="5"/>
  <c r="W321" i="5"/>
  <c r="X321" i="5" s="1"/>
  <c r="U321" i="5"/>
  <c r="R321" i="5"/>
  <c r="N321" i="5"/>
  <c r="O321" i="5" s="1"/>
  <c r="L321" i="5"/>
  <c r="I321" i="5"/>
  <c r="H321" i="5"/>
  <c r="F321" i="5"/>
  <c r="C321" i="5"/>
  <c r="AD320" i="5"/>
  <c r="AC320" i="5"/>
  <c r="AA320" i="5"/>
  <c r="X320" i="5"/>
  <c r="W320" i="5"/>
  <c r="U320" i="5"/>
  <c r="R320" i="5"/>
  <c r="O320" i="5"/>
  <c r="N320" i="5"/>
  <c r="L320" i="5"/>
  <c r="I320" i="5"/>
  <c r="H320" i="5"/>
  <c r="F320" i="5"/>
  <c r="C320" i="5"/>
  <c r="AC319" i="5"/>
  <c r="AD319" i="5" s="1"/>
  <c r="AA319" i="5"/>
  <c r="W319" i="5"/>
  <c r="X319" i="5" s="1"/>
  <c r="U319" i="5"/>
  <c r="R319" i="5"/>
  <c r="O319" i="5"/>
  <c r="N319" i="5"/>
  <c r="L319" i="5"/>
  <c r="I319" i="5"/>
  <c r="H319" i="5"/>
  <c r="F319" i="5"/>
  <c r="C319" i="5"/>
  <c r="AD318" i="5"/>
  <c r="AC318" i="5"/>
  <c r="AA318" i="5"/>
  <c r="W318" i="5"/>
  <c r="X318" i="5" s="1"/>
  <c r="U318" i="5"/>
  <c r="R318" i="5"/>
  <c r="O318" i="5"/>
  <c r="N318" i="5"/>
  <c r="L318" i="5"/>
  <c r="I318" i="5"/>
  <c r="H318" i="5"/>
  <c r="F318" i="5"/>
  <c r="C318" i="5"/>
  <c r="AD317" i="5"/>
  <c r="AC317" i="5"/>
  <c r="AA317" i="5"/>
  <c r="X317" i="5"/>
  <c r="W317" i="5"/>
  <c r="U317" i="5"/>
  <c r="R317" i="5"/>
  <c r="N317" i="5"/>
  <c r="O317" i="5" s="1"/>
  <c r="L317" i="5"/>
  <c r="I317" i="5"/>
  <c r="H317" i="5"/>
  <c r="F317" i="5"/>
  <c r="C317" i="5"/>
  <c r="AD316" i="5"/>
  <c r="AC316" i="5"/>
  <c r="AA316" i="5"/>
  <c r="X316" i="5"/>
  <c r="W316" i="5"/>
  <c r="U316" i="5"/>
  <c r="R316" i="5"/>
  <c r="O316" i="5"/>
  <c r="N316" i="5"/>
  <c r="L316" i="5"/>
  <c r="H316" i="5"/>
  <c r="I316" i="5" s="1"/>
  <c r="F316" i="5"/>
  <c r="C316" i="5"/>
  <c r="AD315" i="5"/>
  <c r="AC315" i="5"/>
  <c r="AA315" i="5"/>
  <c r="W315" i="5"/>
  <c r="X315" i="5" s="1"/>
  <c r="U315" i="5"/>
  <c r="R315" i="5"/>
  <c r="O315" i="5"/>
  <c r="N315" i="5"/>
  <c r="L315" i="5"/>
  <c r="I315" i="5"/>
  <c r="H315" i="5"/>
  <c r="F315" i="5"/>
  <c r="C315" i="5"/>
  <c r="AC314" i="5"/>
  <c r="AD314" i="5" s="1"/>
  <c r="AA314" i="5"/>
  <c r="X314" i="5"/>
  <c r="W314" i="5"/>
  <c r="U314" i="5"/>
  <c r="R314" i="5"/>
  <c r="N314" i="5"/>
  <c r="O314" i="5" s="1"/>
  <c r="L314" i="5"/>
  <c r="I314" i="5"/>
  <c r="H314" i="5"/>
  <c r="F314" i="5"/>
  <c r="C314" i="5"/>
  <c r="AD313" i="5"/>
  <c r="AC313" i="5"/>
  <c r="AA313" i="5"/>
  <c r="X313" i="5"/>
  <c r="W313" i="5"/>
  <c r="U313" i="5"/>
  <c r="R313" i="5"/>
  <c r="N313" i="5"/>
  <c r="O313" i="5" s="1"/>
  <c r="L313" i="5"/>
  <c r="H313" i="5"/>
  <c r="I313" i="5" s="1"/>
  <c r="F313" i="5"/>
  <c r="C313" i="5"/>
  <c r="AD312" i="5"/>
  <c r="AC312" i="5"/>
  <c r="AA312" i="5"/>
  <c r="X312" i="5"/>
  <c r="W312" i="5"/>
  <c r="U312" i="5"/>
  <c r="R312" i="5"/>
  <c r="O312" i="5"/>
  <c r="N312" i="5"/>
  <c r="L312" i="5"/>
  <c r="H312" i="5"/>
  <c r="I312" i="5" s="1"/>
  <c r="F312" i="5"/>
  <c r="C312" i="5"/>
  <c r="AC311" i="5"/>
  <c r="AD311" i="5" s="1"/>
  <c r="AA311" i="5"/>
  <c r="W311" i="5"/>
  <c r="X311" i="5" s="1"/>
  <c r="U311" i="5"/>
  <c r="R311" i="5"/>
  <c r="O311" i="5"/>
  <c r="N311" i="5"/>
  <c r="L311" i="5"/>
  <c r="I311" i="5"/>
  <c r="H311" i="5"/>
  <c r="F311" i="5"/>
  <c r="C311" i="5"/>
  <c r="AC310" i="5"/>
  <c r="AD310" i="5" s="1"/>
  <c r="AA310" i="5"/>
  <c r="W310" i="5"/>
  <c r="X310" i="5" s="1"/>
  <c r="U310" i="5"/>
  <c r="R310" i="5"/>
  <c r="N310" i="5"/>
  <c r="O310" i="5" s="1"/>
  <c r="L310" i="5"/>
  <c r="H310" i="5"/>
  <c r="I310" i="5" s="1"/>
  <c r="F310" i="5"/>
  <c r="C310" i="5"/>
  <c r="AD309" i="5"/>
  <c r="AC309" i="5"/>
  <c r="AA309" i="5"/>
  <c r="W309" i="5"/>
  <c r="X309" i="5" s="1"/>
  <c r="U309" i="5"/>
  <c r="R309" i="5"/>
  <c r="N309" i="5"/>
  <c r="O309" i="5" s="1"/>
  <c r="L309" i="5"/>
  <c r="H309" i="5"/>
  <c r="I309" i="5" s="1"/>
  <c r="F309" i="5"/>
  <c r="C309" i="5"/>
  <c r="AD308" i="5"/>
  <c r="AC308" i="5"/>
  <c r="AA308" i="5"/>
  <c r="X308" i="5"/>
  <c r="W308" i="5"/>
  <c r="U308" i="5"/>
  <c r="R308" i="5"/>
  <c r="N308" i="5"/>
  <c r="O308" i="5" s="1"/>
  <c r="L308" i="5"/>
  <c r="I308" i="5"/>
  <c r="H308" i="5"/>
  <c r="F308" i="5"/>
  <c r="C308" i="5"/>
  <c r="AD307" i="5"/>
  <c r="AC307" i="5"/>
  <c r="AA307" i="5"/>
  <c r="X307" i="5"/>
  <c r="W307" i="5"/>
  <c r="U307" i="5"/>
  <c r="R307" i="5"/>
  <c r="O307" i="5"/>
  <c r="N307" i="5"/>
  <c r="L307" i="5"/>
  <c r="I307" i="5"/>
  <c r="H307" i="5"/>
  <c r="F307" i="5"/>
  <c r="C307" i="5"/>
  <c r="AC306" i="5"/>
  <c r="AD306" i="5" s="1"/>
  <c r="AA306" i="5"/>
  <c r="X306" i="5"/>
  <c r="W306" i="5"/>
  <c r="U306" i="5"/>
  <c r="R306" i="5"/>
  <c r="O306" i="5"/>
  <c r="N306" i="5"/>
  <c r="L306" i="5"/>
  <c r="I306" i="5"/>
  <c r="H306" i="5"/>
  <c r="F306" i="5"/>
  <c r="C306" i="5"/>
  <c r="AD305" i="5"/>
  <c r="AC305" i="5"/>
  <c r="AA305" i="5"/>
  <c r="X305" i="5"/>
  <c r="W305" i="5"/>
  <c r="U305" i="5"/>
  <c r="R305" i="5"/>
  <c r="O305" i="5"/>
  <c r="N305" i="5"/>
  <c r="L305" i="5"/>
  <c r="H305" i="5"/>
  <c r="I305" i="5" s="1"/>
  <c r="F305" i="5"/>
  <c r="C305" i="5"/>
  <c r="AD304" i="5"/>
  <c r="AC304" i="5"/>
  <c r="AA304" i="5"/>
  <c r="X304" i="5"/>
  <c r="W304" i="5"/>
  <c r="U304" i="5"/>
  <c r="R304" i="5"/>
  <c r="O304" i="5"/>
  <c r="N304" i="5"/>
  <c r="L304" i="5"/>
  <c r="I304" i="5"/>
  <c r="H304" i="5"/>
  <c r="F304" i="5"/>
  <c r="C304" i="5"/>
  <c r="AD303" i="5"/>
  <c r="AC303" i="5"/>
  <c r="AA303" i="5"/>
  <c r="W303" i="5"/>
  <c r="X303" i="5" s="1"/>
  <c r="U303" i="5"/>
  <c r="R303" i="5"/>
  <c r="O303" i="5"/>
  <c r="N303" i="5"/>
  <c r="L303" i="5"/>
  <c r="I303" i="5"/>
  <c r="H303" i="5"/>
  <c r="F303" i="5"/>
  <c r="C303" i="5"/>
  <c r="AC302" i="5"/>
  <c r="AD302" i="5" s="1"/>
  <c r="AA302" i="5"/>
  <c r="X302" i="5"/>
  <c r="W302" i="5"/>
  <c r="U302" i="5"/>
  <c r="R302" i="5"/>
  <c r="O302" i="5"/>
  <c r="N302" i="5"/>
  <c r="L302" i="5"/>
  <c r="I302" i="5"/>
  <c r="H302" i="5"/>
  <c r="F302" i="5"/>
  <c r="C302" i="5"/>
  <c r="AC301" i="5"/>
  <c r="AD301" i="5" s="1"/>
  <c r="AA301" i="5"/>
  <c r="X301" i="5"/>
  <c r="W301" i="5"/>
  <c r="U301" i="5"/>
  <c r="R301" i="5"/>
  <c r="O301" i="5"/>
  <c r="N301" i="5"/>
  <c r="L301" i="5"/>
  <c r="H301" i="5"/>
  <c r="I301" i="5" s="1"/>
  <c r="F301" i="5"/>
  <c r="C301" i="5"/>
  <c r="AD300" i="5"/>
  <c r="AC300" i="5"/>
  <c r="AA300" i="5"/>
  <c r="X300" i="5"/>
  <c r="W300" i="5"/>
  <c r="U300" i="5"/>
  <c r="R300" i="5"/>
  <c r="O300" i="5"/>
  <c r="N300" i="5"/>
  <c r="L300" i="5"/>
  <c r="I300" i="5"/>
  <c r="H300" i="5"/>
  <c r="F300" i="5"/>
  <c r="C300" i="5"/>
  <c r="AD299" i="5"/>
  <c r="AC299" i="5"/>
  <c r="AA299" i="5"/>
  <c r="X299" i="5"/>
  <c r="W299" i="5"/>
  <c r="U299" i="5"/>
  <c r="R299" i="5"/>
  <c r="N299" i="5"/>
  <c r="O299" i="5" s="1"/>
  <c r="L299" i="5"/>
  <c r="I299" i="5"/>
  <c r="H299" i="5"/>
  <c r="F299" i="5"/>
  <c r="C299" i="5"/>
  <c r="AC298" i="5"/>
  <c r="AD298" i="5" s="1"/>
  <c r="AA298" i="5"/>
  <c r="X298" i="5"/>
  <c r="W298" i="5"/>
  <c r="U298" i="5"/>
  <c r="R298" i="5"/>
  <c r="O298" i="5"/>
  <c r="N298" i="5"/>
  <c r="L298" i="5"/>
  <c r="H298" i="5"/>
  <c r="I298" i="5" s="1"/>
  <c r="F298" i="5"/>
  <c r="C298" i="5"/>
  <c r="AD297" i="5"/>
  <c r="AC297" i="5"/>
  <c r="AA297" i="5"/>
  <c r="W297" i="5"/>
  <c r="X297" i="5" s="1"/>
  <c r="U297" i="5"/>
  <c r="R297" i="5"/>
  <c r="O297" i="5"/>
  <c r="N297" i="5"/>
  <c r="L297" i="5"/>
  <c r="H297" i="5"/>
  <c r="I297" i="5" s="1"/>
  <c r="F297" i="5"/>
  <c r="C297" i="5"/>
  <c r="AD295" i="5"/>
  <c r="AC295" i="5"/>
  <c r="AA295" i="5"/>
  <c r="Z295" i="5"/>
  <c r="T295" i="5"/>
  <c r="U295" i="5" s="1"/>
  <c r="Q295" i="5"/>
  <c r="W295" i="5" s="1"/>
  <c r="X295" i="5" s="1"/>
  <c r="K295" i="5"/>
  <c r="L295" i="5" s="1"/>
  <c r="F295" i="5"/>
  <c r="E295" i="5"/>
  <c r="C295" i="5"/>
  <c r="B295" i="5"/>
  <c r="AC294" i="5"/>
  <c r="AD294" i="5" s="1"/>
  <c r="AA294" i="5"/>
  <c r="X294" i="5"/>
  <c r="W294" i="5"/>
  <c r="U294" i="5"/>
  <c r="R294" i="5"/>
  <c r="O294" i="5"/>
  <c r="N294" i="5"/>
  <c r="L294" i="5"/>
  <c r="I294" i="5"/>
  <c r="H294" i="5"/>
  <c r="F294" i="5"/>
  <c r="C294" i="5"/>
  <c r="AD293" i="5"/>
  <c r="AC293" i="5"/>
  <c r="AA293" i="5"/>
  <c r="X293" i="5"/>
  <c r="W293" i="5"/>
  <c r="U293" i="5"/>
  <c r="R293" i="5"/>
  <c r="O293" i="5"/>
  <c r="N293" i="5"/>
  <c r="L293" i="5"/>
  <c r="H293" i="5"/>
  <c r="I293" i="5" s="1"/>
  <c r="F293" i="5"/>
  <c r="C293" i="5"/>
  <c r="AD292" i="5"/>
  <c r="AC292" i="5"/>
  <c r="AA292" i="5"/>
  <c r="X292" i="5"/>
  <c r="W292" i="5"/>
  <c r="U292" i="5"/>
  <c r="R292" i="5"/>
  <c r="O292" i="5"/>
  <c r="N292" i="5"/>
  <c r="L292" i="5"/>
  <c r="I292" i="5"/>
  <c r="H292" i="5"/>
  <c r="F292" i="5"/>
  <c r="C292" i="5"/>
  <c r="AD291" i="5"/>
  <c r="AC291" i="5"/>
  <c r="AA291" i="5"/>
  <c r="W291" i="5"/>
  <c r="X291" i="5" s="1"/>
  <c r="U291" i="5"/>
  <c r="R291" i="5"/>
  <c r="O291" i="5"/>
  <c r="N291" i="5"/>
  <c r="L291" i="5"/>
  <c r="I291" i="5"/>
  <c r="H291" i="5"/>
  <c r="F291" i="5"/>
  <c r="C291" i="5"/>
  <c r="AC290" i="5"/>
  <c r="AD290" i="5" s="1"/>
  <c r="AA290" i="5"/>
  <c r="X290" i="5"/>
  <c r="W290" i="5"/>
  <c r="U290" i="5"/>
  <c r="R290" i="5"/>
  <c r="O290" i="5"/>
  <c r="N290" i="5"/>
  <c r="L290" i="5"/>
  <c r="I290" i="5"/>
  <c r="H290" i="5"/>
  <c r="F290" i="5"/>
  <c r="C290" i="5"/>
  <c r="AC289" i="5"/>
  <c r="AD289" i="5" s="1"/>
  <c r="AA289" i="5"/>
  <c r="X289" i="5"/>
  <c r="W289" i="5"/>
  <c r="U289" i="5"/>
  <c r="R289" i="5"/>
  <c r="O289" i="5"/>
  <c r="N289" i="5"/>
  <c r="L289" i="5"/>
  <c r="H289" i="5"/>
  <c r="I289" i="5" s="1"/>
  <c r="F289" i="5"/>
  <c r="C289" i="5"/>
  <c r="AD288" i="5"/>
  <c r="AC288" i="5"/>
  <c r="AA288" i="5"/>
  <c r="X288" i="5"/>
  <c r="W288" i="5"/>
  <c r="U288" i="5"/>
  <c r="R288" i="5"/>
  <c r="O288" i="5"/>
  <c r="N288" i="5"/>
  <c r="L288" i="5"/>
  <c r="I288" i="5"/>
  <c r="H288" i="5"/>
  <c r="F288" i="5"/>
  <c r="C288" i="5"/>
  <c r="AD287" i="5"/>
  <c r="AC287" i="5"/>
  <c r="AA287" i="5"/>
  <c r="X287" i="5"/>
  <c r="W287" i="5"/>
  <c r="U287" i="5"/>
  <c r="R287" i="5"/>
  <c r="N287" i="5"/>
  <c r="O287" i="5" s="1"/>
  <c r="L287" i="5"/>
  <c r="I287" i="5"/>
  <c r="H287" i="5"/>
  <c r="F287" i="5"/>
  <c r="C287" i="5"/>
  <c r="AC286" i="5"/>
  <c r="AD286" i="5" s="1"/>
  <c r="AA286" i="5"/>
  <c r="X286" i="5"/>
  <c r="W286" i="5"/>
  <c r="U286" i="5"/>
  <c r="R286" i="5"/>
  <c r="O286" i="5"/>
  <c r="N286" i="5"/>
  <c r="L286" i="5"/>
  <c r="I286" i="5"/>
  <c r="H286" i="5"/>
  <c r="F286" i="5"/>
  <c r="C286" i="5"/>
  <c r="Z284" i="5"/>
  <c r="AA284" i="5" s="1"/>
  <c r="T284" i="5"/>
  <c r="W284" i="5" s="1"/>
  <c r="X284" i="5" s="1"/>
  <c r="R284" i="5"/>
  <c r="Q284" i="5"/>
  <c r="AC284" i="5" s="1"/>
  <c r="AD284" i="5" s="1"/>
  <c r="K284" i="5"/>
  <c r="L284" i="5" s="1"/>
  <c r="I284" i="5"/>
  <c r="H284" i="5"/>
  <c r="F284" i="5"/>
  <c r="E284" i="5"/>
  <c r="B284" i="5"/>
  <c r="C284" i="5" s="1"/>
  <c r="AD283" i="5"/>
  <c r="AC283" i="5"/>
  <c r="AA283" i="5"/>
  <c r="X283" i="5"/>
  <c r="W283" i="5"/>
  <c r="U283" i="5"/>
  <c r="R283" i="5"/>
  <c r="O283" i="5"/>
  <c r="N283" i="5"/>
  <c r="L283" i="5"/>
  <c r="I283" i="5"/>
  <c r="H283" i="5"/>
  <c r="F283" i="5"/>
  <c r="C283" i="5"/>
  <c r="AC282" i="5"/>
  <c r="AD282" i="5" s="1"/>
  <c r="AA282" i="5"/>
  <c r="X282" i="5"/>
  <c r="W282" i="5"/>
  <c r="U282" i="5"/>
  <c r="R282" i="5"/>
  <c r="O282" i="5"/>
  <c r="N282" i="5"/>
  <c r="L282" i="5"/>
  <c r="I282" i="5"/>
  <c r="H282" i="5"/>
  <c r="F282" i="5"/>
  <c r="C282" i="5"/>
  <c r="AD281" i="5"/>
  <c r="AC281" i="5"/>
  <c r="AA281" i="5"/>
  <c r="X281" i="5"/>
  <c r="W281" i="5"/>
  <c r="U281" i="5"/>
  <c r="R281" i="5"/>
  <c r="O281" i="5"/>
  <c r="N281" i="5"/>
  <c r="L281" i="5"/>
  <c r="H281" i="5"/>
  <c r="I281" i="5" s="1"/>
  <c r="F281" i="5"/>
  <c r="C281" i="5"/>
  <c r="AD280" i="5"/>
  <c r="AC280" i="5"/>
  <c r="AA280" i="5"/>
  <c r="X280" i="5"/>
  <c r="W280" i="5"/>
  <c r="U280" i="5"/>
  <c r="R280" i="5"/>
  <c r="O280" i="5"/>
  <c r="N280" i="5"/>
  <c r="L280" i="5"/>
  <c r="I280" i="5"/>
  <c r="H280" i="5"/>
  <c r="F280" i="5"/>
  <c r="C280" i="5"/>
  <c r="AD279" i="5"/>
  <c r="AC279" i="5"/>
  <c r="AA279" i="5"/>
  <c r="W279" i="5"/>
  <c r="X279" i="5" s="1"/>
  <c r="U279" i="5"/>
  <c r="R279" i="5"/>
  <c r="O279" i="5"/>
  <c r="N279" i="5"/>
  <c r="L279" i="5"/>
  <c r="I279" i="5"/>
  <c r="H279" i="5"/>
  <c r="F279" i="5"/>
  <c r="C279" i="5"/>
  <c r="AC278" i="5"/>
  <c r="AD278" i="5" s="1"/>
  <c r="AA278" i="5"/>
  <c r="X278" i="5"/>
  <c r="W278" i="5"/>
  <c r="U278" i="5"/>
  <c r="R278" i="5"/>
  <c r="O278" i="5"/>
  <c r="N278" i="5"/>
  <c r="L278" i="5"/>
  <c r="I278" i="5"/>
  <c r="H278" i="5"/>
  <c r="F278" i="5"/>
  <c r="C278" i="5"/>
  <c r="AC277" i="5"/>
  <c r="AD277" i="5" s="1"/>
  <c r="AA277" i="5"/>
  <c r="X277" i="5"/>
  <c r="W277" i="5"/>
  <c r="U277" i="5"/>
  <c r="R277" i="5"/>
  <c r="O277" i="5"/>
  <c r="N277" i="5"/>
  <c r="L277" i="5"/>
  <c r="H277" i="5"/>
  <c r="I277" i="5" s="1"/>
  <c r="F277" i="5"/>
  <c r="C277" i="5"/>
  <c r="AD276" i="5"/>
  <c r="AC276" i="5"/>
  <c r="AA276" i="5"/>
  <c r="X276" i="5"/>
  <c r="W276" i="5"/>
  <c r="U276" i="5"/>
  <c r="R276" i="5"/>
  <c r="O276" i="5"/>
  <c r="N276" i="5"/>
  <c r="L276" i="5"/>
  <c r="I276" i="5"/>
  <c r="H276" i="5"/>
  <c r="F276" i="5"/>
  <c r="C276" i="5"/>
  <c r="AD275" i="5"/>
  <c r="AC275" i="5"/>
  <c r="AA275" i="5"/>
  <c r="X275" i="5"/>
  <c r="W275" i="5"/>
  <c r="U275" i="5"/>
  <c r="R275" i="5"/>
  <c r="N275" i="5"/>
  <c r="O275" i="5" s="1"/>
  <c r="L275" i="5"/>
  <c r="I275" i="5"/>
  <c r="H275" i="5"/>
  <c r="F275" i="5"/>
  <c r="C275" i="5"/>
  <c r="AC273" i="5"/>
  <c r="AD273" i="5" s="1"/>
  <c r="Z273" i="5"/>
  <c r="AA273" i="5" s="1"/>
  <c r="X273" i="5"/>
  <c r="W273" i="5"/>
  <c r="U273" i="5"/>
  <c r="T273" i="5"/>
  <c r="Q273" i="5"/>
  <c r="R273" i="5" s="1"/>
  <c r="L273" i="5"/>
  <c r="K273" i="5"/>
  <c r="E273" i="5"/>
  <c r="F273" i="5" s="1"/>
  <c r="B273" i="5"/>
  <c r="N273" i="5" s="1"/>
  <c r="O273" i="5" s="1"/>
  <c r="AC272" i="5"/>
  <c r="AD272" i="5" s="1"/>
  <c r="AA272" i="5"/>
  <c r="X272" i="5"/>
  <c r="W272" i="5"/>
  <c r="U272" i="5"/>
  <c r="R272" i="5"/>
  <c r="O272" i="5"/>
  <c r="N272" i="5"/>
  <c r="L272" i="5"/>
  <c r="I272" i="5"/>
  <c r="H272" i="5"/>
  <c r="F272" i="5"/>
  <c r="C272" i="5"/>
  <c r="AC271" i="5"/>
  <c r="AD271" i="5" s="1"/>
  <c r="AA271" i="5"/>
  <c r="W271" i="5"/>
  <c r="X271" i="5" s="1"/>
  <c r="U271" i="5"/>
  <c r="R271" i="5"/>
  <c r="O271" i="5"/>
  <c r="N271" i="5"/>
  <c r="L271" i="5"/>
  <c r="I271" i="5"/>
  <c r="H271" i="5"/>
  <c r="F271" i="5"/>
  <c r="C271" i="5"/>
  <c r="AC270" i="5"/>
  <c r="AD270" i="5" s="1"/>
  <c r="AA270" i="5"/>
  <c r="W270" i="5"/>
  <c r="X270" i="5" s="1"/>
  <c r="U270" i="5"/>
  <c r="R270" i="5"/>
  <c r="O270" i="5"/>
  <c r="N270" i="5"/>
  <c r="L270" i="5"/>
  <c r="I270" i="5"/>
  <c r="H270" i="5"/>
  <c r="F270" i="5"/>
  <c r="C270" i="5"/>
  <c r="AC269" i="5"/>
  <c r="AD269" i="5" s="1"/>
  <c r="AA269" i="5"/>
  <c r="X269" i="5"/>
  <c r="W269" i="5"/>
  <c r="U269" i="5"/>
  <c r="R269" i="5"/>
  <c r="N269" i="5"/>
  <c r="O269" i="5" s="1"/>
  <c r="L269" i="5"/>
  <c r="H269" i="5"/>
  <c r="I269" i="5" s="1"/>
  <c r="F269" i="5"/>
  <c r="C269" i="5"/>
  <c r="AC267" i="5"/>
  <c r="AD267" i="5" s="1"/>
  <c r="AA267" i="5"/>
  <c r="Z267" i="5"/>
  <c r="W267" i="5"/>
  <c r="X267" i="5" s="1"/>
  <c r="U267" i="5"/>
  <c r="T267" i="5"/>
  <c r="R267" i="5"/>
  <c r="Q267" i="5"/>
  <c r="K267" i="5"/>
  <c r="L267" i="5" s="1"/>
  <c r="F267" i="5"/>
  <c r="E267" i="5"/>
  <c r="B267" i="5"/>
  <c r="AC266" i="5"/>
  <c r="AD266" i="5" s="1"/>
  <c r="AA266" i="5"/>
  <c r="X266" i="5"/>
  <c r="W266" i="5"/>
  <c r="U266" i="5"/>
  <c r="R266" i="5"/>
  <c r="O266" i="5"/>
  <c r="N266" i="5"/>
  <c r="L266" i="5"/>
  <c r="I266" i="5"/>
  <c r="H266" i="5"/>
  <c r="F266" i="5"/>
  <c r="C266" i="5"/>
  <c r="AD265" i="5"/>
  <c r="AC265" i="5"/>
  <c r="AA265" i="5"/>
  <c r="W265" i="5"/>
  <c r="X265" i="5" s="1"/>
  <c r="U265" i="5"/>
  <c r="R265" i="5"/>
  <c r="O265" i="5"/>
  <c r="N265" i="5"/>
  <c r="L265" i="5"/>
  <c r="H265" i="5"/>
  <c r="I265" i="5" s="1"/>
  <c r="F265" i="5"/>
  <c r="C265" i="5"/>
  <c r="AA263" i="5"/>
  <c r="Z263" i="5"/>
  <c r="T263" i="5"/>
  <c r="U263" i="5" s="1"/>
  <c r="R263" i="5"/>
  <c r="Q263" i="5"/>
  <c r="K263" i="5"/>
  <c r="L263" i="5" s="1"/>
  <c r="E263" i="5"/>
  <c r="H263" i="5" s="1"/>
  <c r="I263" i="5" s="1"/>
  <c r="C263" i="5"/>
  <c r="B263" i="5"/>
  <c r="N263" i="5" s="1"/>
  <c r="O263" i="5" s="1"/>
  <c r="AA262" i="5"/>
  <c r="Z262" i="5"/>
  <c r="T262" i="5"/>
  <c r="W262" i="5" s="1"/>
  <c r="X262" i="5" s="1"/>
  <c r="Q262" i="5"/>
  <c r="R262" i="5" s="1"/>
  <c r="K262" i="5"/>
  <c r="L262" i="5" s="1"/>
  <c r="E262" i="5"/>
  <c r="F262" i="5" s="1"/>
  <c r="C262" i="5"/>
  <c r="B262" i="5"/>
  <c r="AD261" i="5"/>
  <c r="AC261" i="5"/>
  <c r="AA261" i="5"/>
  <c r="X261" i="5"/>
  <c r="W261" i="5"/>
  <c r="U261" i="5"/>
  <c r="R261" i="5"/>
  <c r="O261" i="5"/>
  <c r="N261" i="5"/>
  <c r="L261" i="5"/>
  <c r="I261" i="5"/>
  <c r="H261" i="5"/>
  <c r="F261" i="5"/>
  <c r="C261" i="5"/>
  <c r="AD260" i="5"/>
  <c r="AC260" i="5"/>
  <c r="AA260" i="5"/>
  <c r="W260" i="5"/>
  <c r="X260" i="5" s="1"/>
  <c r="U260" i="5"/>
  <c r="R260" i="5"/>
  <c r="O260" i="5"/>
  <c r="N260" i="5"/>
  <c r="L260" i="5"/>
  <c r="I260" i="5"/>
  <c r="H260" i="5"/>
  <c r="F260" i="5"/>
  <c r="C260" i="5"/>
  <c r="AC259" i="5"/>
  <c r="AD259" i="5" s="1"/>
  <c r="AA259" i="5"/>
  <c r="X259" i="5"/>
  <c r="W259" i="5"/>
  <c r="U259" i="5"/>
  <c r="R259" i="5"/>
  <c r="O259" i="5"/>
  <c r="N259" i="5"/>
  <c r="L259" i="5"/>
  <c r="I259" i="5"/>
  <c r="H259" i="5"/>
  <c r="F259" i="5"/>
  <c r="C259" i="5"/>
  <c r="AC258" i="5"/>
  <c r="AD258" i="5" s="1"/>
  <c r="AA258" i="5"/>
  <c r="X258" i="5"/>
  <c r="W258" i="5"/>
  <c r="U258" i="5"/>
  <c r="R258" i="5"/>
  <c r="O258" i="5"/>
  <c r="N258" i="5"/>
  <c r="L258" i="5"/>
  <c r="H258" i="5"/>
  <c r="I258" i="5" s="1"/>
  <c r="F258" i="5"/>
  <c r="C258" i="5"/>
  <c r="AD257" i="5"/>
  <c r="AC257" i="5"/>
  <c r="AA257" i="5"/>
  <c r="X257" i="5"/>
  <c r="W257" i="5"/>
  <c r="U257" i="5"/>
  <c r="R257" i="5"/>
  <c r="O257" i="5"/>
  <c r="N257" i="5"/>
  <c r="L257" i="5"/>
  <c r="I257" i="5"/>
  <c r="H257" i="5"/>
  <c r="F257" i="5"/>
  <c r="C257" i="5"/>
  <c r="AD256" i="5"/>
  <c r="AC256" i="5"/>
  <c r="AA256" i="5"/>
  <c r="X256" i="5"/>
  <c r="W256" i="5"/>
  <c r="U256" i="5"/>
  <c r="R256" i="5"/>
  <c r="N256" i="5"/>
  <c r="O256" i="5" s="1"/>
  <c r="L256" i="5"/>
  <c r="I256" i="5"/>
  <c r="H256" i="5"/>
  <c r="F256" i="5"/>
  <c r="C256" i="5"/>
  <c r="AC255" i="5"/>
  <c r="AD255" i="5" s="1"/>
  <c r="AA255" i="5"/>
  <c r="X255" i="5"/>
  <c r="W255" i="5"/>
  <c r="U255" i="5"/>
  <c r="R255" i="5"/>
  <c r="O255" i="5"/>
  <c r="N255" i="5"/>
  <c r="L255" i="5"/>
  <c r="H255" i="5"/>
  <c r="I255" i="5" s="1"/>
  <c r="F255" i="5"/>
  <c r="C255" i="5"/>
  <c r="AD254" i="5"/>
  <c r="AC254" i="5"/>
  <c r="AA254" i="5"/>
  <c r="W254" i="5"/>
  <c r="X254" i="5" s="1"/>
  <c r="U254" i="5"/>
  <c r="R254" i="5"/>
  <c r="O254" i="5"/>
  <c r="N254" i="5"/>
  <c r="L254" i="5"/>
  <c r="H254" i="5"/>
  <c r="I254" i="5" s="1"/>
  <c r="F254" i="5"/>
  <c r="C254" i="5"/>
  <c r="AD253" i="5"/>
  <c r="AC253" i="5"/>
  <c r="AA253" i="5"/>
  <c r="X253" i="5"/>
  <c r="W253" i="5"/>
  <c r="U253" i="5"/>
  <c r="R253" i="5"/>
  <c r="N253" i="5"/>
  <c r="O253" i="5" s="1"/>
  <c r="L253" i="5"/>
  <c r="I253" i="5"/>
  <c r="H253" i="5"/>
  <c r="F253" i="5"/>
  <c r="C253" i="5"/>
  <c r="AC252" i="5"/>
  <c r="AD252" i="5" s="1"/>
  <c r="AA252" i="5"/>
  <c r="X252" i="5"/>
  <c r="W252" i="5"/>
  <c r="U252" i="5"/>
  <c r="R252" i="5"/>
  <c r="N252" i="5"/>
  <c r="O252" i="5" s="1"/>
  <c r="L252" i="5"/>
  <c r="H252" i="5"/>
  <c r="I252" i="5" s="1"/>
  <c r="F252" i="5"/>
  <c r="C252" i="5"/>
  <c r="AC251" i="5"/>
  <c r="AD251" i="5" s="1"/>
  <c r="AA251" i="5"/>
  <c r="W251" i="5"/>
  <c r="X251" i="5" s="1"/>
  <c r="U251" i="5"/>
  <c r="R251" i="5"/>
  <c r="O251" i="5"/>
  <c r="N251" i="5"/>
  <c r="L251" i="5"/>
  <c r="H251" i="5"/>
  <c r="I251" i="5" s="1"/>
  <c r="F251" i="5"/>
  <c r="C251" i="5"/>
  <c r="AD250" i="5"/>
  <c r="AC250" i="5"/>
  <c r="AA250" i="5"/>
  <c r="X250" i="5"/>
  <c r="W250" i="5"/>
  <c r="U250" i="5"/>
  <c r="R250" i="5"/>
  <c r="N250" i="5"/>
  <c r="O250" i="5" s="1"/>
  <c r="L250" i="5"/>
  <c r="H250" i="5"/>
  <c r="I250" i="5" s="1"/>
  <c r="F250" i="5"/>
  <c r="C250" i="5"/>
  <c r="AD249" i="5"/>
  <c r="AC249" i="5"/>
  <c r="AA249" i="5"/>
  <c r="X249" i="5"/>
  <c r="W249" i="5"/>
  <c r="U249" i="5"/>
  <c r="R249" i="5"/>
  <c r="N249" i="5"/>
  <c r="O249" i="5" s="1"/>
  <c r="L249" i="5"/>
  <c r="H249" i="5"/>
  <c r="I249" i="5" s="1"/>
  <c r="F249" i="5"/>
  <c r="C249" i="5"/>
  <c r="AD248" i="5"/>
  <c r="AC248" i="5"/>
  <c r="AA248" i="5"/>
  <c r="X248" i="5"/>
  <c r="W248" i="5"/>
  <c r="U248" i="5"/>
  <c r="R248" i="5"/>
  <c r="O248" i="5"/>
  <c r="N248" i="5"/>
  <c r="L248" i="5"/>
  <c r="I248" i="5"/>
  <c r="H248" i="5"/>
  <c r="F248" i="5"/>
  <c r="C248" i="5"/>
  <c r="AC247" i="5"/>
  <c r="AD247" i="5" s="1"/>
  <c r="AA247" i="5"/>
  <c r="X247" i="5"/>
  <c r="W247" i="5"/>
  <c r="U247" i="5"/>
  <c r="R247" i="5"/>
  <c r="O247" i="5"/>
  <c r="N247" i="5"/>
  <c r="L247" i="5"/>
  <c r="I247" i="5"/>
  <c r="H247" i="5"/>
  <c r="F247" i="5"/>
  <c r="C247" i="5"/>
  <c r="AD246" i="5"/>
  <c r="AC246" i="5"/>
  <c r="AA246" i="5"/>
  <c r="X246" i="5"/>
  <c r="W246" i="5"/>
  <c r="U246" i="5"/>
  <c r="R246" i="5"/>
  <c r="O246" i="5"/>
  <c r="N246" i="5"/>
  <c r="L246" i="5"/>
  <c r="H246" i="5"/>
  <c r="I246" i="5" s="1"/>
  <c r="F246" i="5"/>
  <c r="C246" i="5"/>
  <c r="AD245" i="5"/>
  <c r="AC245" i="5"/>
  <c r="AA245" i="5"/>
  <c r="X245" i="5"/>
  <c r="W245" i="5"/>
  <c r="U245" i="5"/>
  <c r="R245" i="5"/>
  <c r="O245" i="5"/>
  <c r="N245" i="5"/>
  <c r="L245" i="5"/>
  <c r="I245" i="5"/>
  <c r="H245" i="5"/>
  <c r="F245" i="5"/>
  <c r="C245" i="5"/>
  <c r="AD244" i="5"/>
  <c r="AC244" i="5"/>
  <c r="AA244" i="5"/>
  <c r="W244" i="5"/>
  <c r="X244" i="5" s="1"/>
  <c r="U244" i="5"/>
  <c r="R244" i="5"/>
  <c r="O244" i="5"/>
  <c r="N244" i="5"/>
  <c r="L244" i="5"/>
  <c r="I244" i="5"/>
  <c r="H244" i="5"/>
  <c r="F244" i="5"/>
  <c r="C244" i="5"/>
  <c r="AC243" i="5"/>
  <c r="AD243" i="5" s="1"/>
  <c r="AA243" i="5"/>
  <c r="X243" i="5"/>
  <c r="W243" i="5"/>
  <c r="U243" i="5"/>
  <c r="R243" i="5"/>
  <c r="O243" i="5"/>
  <c r="N243" i="5"/>
  <c r="L243" i="5"/>
  <c r="I243" i="5"/>
  <c r="H243" i="5"/>
  <c r="F243" i="5"/>
  <c r="C243" i="5"/>
  <c r="AC242" i="5"/>
  <c r="AD242" i="5" s="1"/>
  <c r="AA242" i="5"/>
  <c r="X242" i="5"/>
  <c r="W242" i="5"/>
  <c r="U242" i="5"/>
  <c r="R242" i="5"/>
  <c r="O242" i="5"/>
  <c r="N242" i="5"/>
  <c r="L242" i="5"/>
  <c r="H242" i="5"/>
  <c r="I242" i="5" s="1"/>
  <c r="F242" i="5"/>
  <c r="C242" i="5"/>
  <c r="AD241" i="5"/>
  <c r="AC241" i="5"/>
  <c r="AA241" i="5"/>
  <c r="X241" i="5"/>
  <c r="W241" i="5"/>
  <c r="U241" i="5"/>
  <c r="R241" i="5"/>
  <c r="O241" i="5"/>
  <c r="N241" i="5"/>
  <c r="L241" i="5"/>
  <c r="I241" i="5"/>
  <c r="H241" i="5"/>
  <c r="F241" i="5"/>
  <c r="C241" i="5"/>
  <c r="AD240" i="5"/>
  <c r="AC240" i="5"/>
  <c r="AA240" i="5"/>
  <c r="X240" i="5"/>
  <c r="W240" i="5"/>
  <c r="U240" i="5"/>
  <c r="R240" i="5"/>
  <c r="N240" i="5"/>
  <c r="O240" i="5" s="1"/>
  <c r="L240" i="5"/>
  <c r="I240" i="5"/>
  <c r="H240" i="5"/>
  <c r="F240" i="5"/>
  <c r="C240" i="5"/>
  <c r="AC238" i="5"/>
  <c r="AD238" i="5" s="1"/>
  <c r="AA238" i="5"/>
  <c r="X238" i="5"/>
  <c r="W238" i="5"/>
  <c r="U238" i="5"/>
  <c r="R238" i="5"/>
  <c r="O238" i="5"/>
  <c r="N238" i="5"/>
  <c r="L238" i="5"/>
  <c r="H238" i="5"/>
  <c r="I238" i="5" s="1"/>
  <c r="F238" i="5"/>
  <c r="C238" i="5"/>
  <c r="Z236" i="5"/>
  <c r="AA236" i="5" s="1"/>
  <c r="W236" i="5"/>
  <c r="X236" i="5" s="1"/>
  <c r="U236" i="5"/>
  <c r="T236" i="5"/>
  <c r="R236" i="5"/>
  <c r="Q236" i="5"/>
  <c r="AC236" i="5" s="1"/>
  <c r="AD236" i="5" s="1"/>
  <c r="K236" i="5"/>
  <c r="L236" i="5" s="1"/>
  <c r="I236" i="5"/>
  <c r="H236" i="5"/>
  <c r="F236" i="5"/>
  <c r="E236" i="5"/>
  <c r="B236" i="5"/>
  <c r="C236" i="5" s="1"/>
  <c r="AD235" i="5"/>
  <c r="AC235" i="5"/>
  <c r="AA235" i="5"/>
  <c r="X235" i="5"/>
  <c r="W235" i="5"/>
  <c r="U235" i="5"/>
  <c r="R235" i="5"/>
  <c r="O235" i="5"/>
  <c r="N235" i="5"/>
  <c r="L235" i="5"/>
  <c r="H235" i="5"/>
  <c r="I235" i="5" s="1"/>
  <c r="F235" i="5"/>
  <c r="C235" i="5"/>
  <c r="AC234" i="5"/>
  <c r="AD234" i="5" s="1"/>
  <c r="AA234" i="5"/>
  <c r="X234" i="5"/>
  <c r="W234" i="5"/>
  <c r="U234" i="5"/>
  <c r="R234" i="5"/>
  <c r="O234" i="5"/>
  <c r="N234" i="5"/>
  <c r="L234" i="5"/>
  <c r="I234" i="5"/>
  <c r="H234" i="5"/>
  <c r="F234" i="5"/>
  <c r="C234" i="5"/>
  <c r="AC233" i="5"/>
  <c r="AD233" i="5" s="1"/>
  <c r="AA233" i="5"/>
  <c r="X233" i="5"/>
  <c r="W233" i="5"/>
  <c r="U233" i="5"/>
  <c r="R233" i="5"/>
  <c r="N233" i="5"/>
  <c r="O233" i="5" s="1"/>
  <c r="L233" i="5"/>
  <c r="H233" i="5"/>
  <c r="I233" i="5" s="1"/>
  <c r="F233" i="5"/>
  <c r="C233" i="5"/>
  <c r="AD232" i="5"/>
  <c r="AC232" i="5"/>
  <c r="AA232" i="5"/>
  <c r="X232" i="5"/>
  <c r="W232" i="5"/>
  <c r="U232" i="5"/>
  <c r="R232" i="5"/>
  <c r="O232" i="5"/>
  <c r="N232" i="5"/>
  <c r="L232" i="5"/>
  <c r="H232" i="5"/>
  <c r="I232" i="5" s="1"/>
  <c r="F232" i="5"/>
  <c r="C232" i="5"/>
  <c r="AD231" i="5"/>
  <c r="AC231" i="5"/>
  <c r="AA231" i="5"/>
  <c r="W231" i="5"/>
  <c r="X231" i="5" s="1"/>
  <c r="U231" i="5"/>
  <c r="R231" i="5"/>
  <c r="O231" i="5"/>
  <c r="N231" i="5"/>
  <c r="L231" i="5"/>
  <c r="I231" i="5"/>
  <c r="H231" i="5"/>
  <c r="F231" i="5"/>
  <c r="C231" i="5"/>
  <c r="AC230" i="5"/>
  <c r="AD230" i="5" s="1"/>
  <c r="AA230" i="5"/>
  <c r="X230" i="5"/>
  <c r="W230" i="5"/>
  <c r="U230" i="5"/>
  <c r="R230" i="5"/>
  <c r="O230" i="5"/>
  <c r="N230" i="5"/>
  <c r="L230" i="5"/>
  <c r="I230" i="5"/>
  <c r="H230" i="5"/>
  <c r="F230" i="5"/>
  <c r="C230" i="5"/>
  <c r="AC229" i="5"/>
  <c r="AD229" i="5" s="1"/>
  <c r="AA229" i="5"/>
  <c r="W229" i="5"/>
  <c r="X229" i="5" s="1"/>
  <c r="U229" i="5"/>
  <c r="R229" i="5"/>
  <c r="O229" i="5"/>
  <c r="N229" i="5"/>
  <c r="L229" i="5"/>
  <c r="H229" i="5"/>
  <c r="I229" i="5" s="1"/>
  <c r="F229" i="5"/>
  <c r="C229" i="5"/>
  <c r="AA227" i="5"/>
  <c r="Z227" i="5"/>
  <c r="W227" i="5"/>
  <c r="X227" i="5" s="1"/>
  <c r="T227" i="5"/>
  <c r="U227" i="5" s="1"/>
  <c r="R227" i="5"/>
  <c r="Q227" i="5"/>
  <c r="AC227" i="5" s="1"/>
  <c r="AD227" i="5" s="1"/>
  <c r="K227" i="5"/>
  <c r="L227" i="5" s="1"/>
  <c r="I227" i="5"/>
  <c r="H227" i="5"/>
  <c r="F227" i="5"/>
  <c r="E227" i="5"/>
  <c r="C227" i="5"/>
  <c r="B227" i="5"/>
  <c r="N227" i="5" s="1"/>
  <c r="O227" i="5" s="1"/>
  <c r="AC226" i="5"/>
  <c r="AD226" i="5" s="1"/>
  <c r="AA226" i="5"/>
  <c r="W226" i="5"/>
  <c r="X226" i="5" s="1"/>
  <c r="U226" i="5"/>
  <c r="R226" i="5"/>
  <c r="O226" i="5"/>
  <c r="N226" i="5"/>
  <c r="L226" i="5"/>
  <c r="H226" i="5"/>
  <c r="I226" i="5" s="1"/>
  <c r="F226" i="5"/>
  <c r="C226" i="5"/>
  <c r="AD225" i="5"/>
  <c r="AC225" i="5"/>
  <c r="AA225" i="5"/>
  <c r="X225" i="5"/>
  <c r="W225" i="5"/>
  <c r="U225" i="5"/>
  <c r="R225" i="5"/>
  <c r="O225" i="5"/>
  <c r="N225" i="5"/>
  <c r="L225" i="5"/>
  <c r="H225" i="5"/>
  <c r="I225" i="5" s="1"/>
  <c r="F225" i="5"/>
  <c r="C225" i="5"/>
  <c r="AD224" i="5"/>
  <c r="AC224" i="5"/>
  <c r="AA224" i="5"/>
  <c r="X224" i="5"/>
  <c r="W224" i="5"/>
  <c r="U224" i="5"/>
  <c r="R224" i="5"/>
  <c r="N224" i="5"/>
  <c r="O224" i="5" s="1"/>
  <c r="L224" i="5"/>
  <c r="H224" i="5"/>
  <c r="I224" i="5" s="1"/>
  <c r="F224" i="5"/>
  <c r="C224" i="5"/>
  <c r="AD223" i="5"/>
  <c r="AC223" i="5"/>
  <c r="AA223" i="5"/>
  <c r="X223" i="5"/>
  <c r="W223" i="5"/>
  <c r="U223" i="5"/>
  <c r="R223" i="5"/>
  <c r="O223" i="5"/>
  <c r="N223" i="5"/>
  <c r="L223" i="5"/>
  <c r="H223" i="5"/>
  <c r="I223" i="5" s="1"/>
  <c r="F223" i="5"/>
  <c r="C223" i="5"/>
  <c r="AC222" i="5"/>
  <c r="AD222" i="5" s="1"/>
  <c r="AA222" i="5"/>
  <c r="X222" i="5"/>
  <c r="W222" i="5"/>
  <c r="U222" i="5"/>
  <c r="R222" i="5"/>
  <c r="O222" i="5"/>
  <c r="N222" i="5"/>
  <c r="L222" i="5"/>
  <c r="I222" i="5"/>
  <c r="H222" i="5"/>
  <c r="F222" i="5"/>
  <c r="C222" i="5"/>
  <c r="AC221" i="5"/>
  <c r="AD221" i="5" s="1"/>
  <c r="AA221" i="5"/>
  <c r="X221" i="5"/>
  <c r="W221" i="5"/>
  <c r="U221" i="5"/>
  <c r="R221" i="5"/>
  <c r="N221" i="5"/>
  <c r="O221" i="5" s="1"/>
  <c r="L221" i="5"/>
  <c r="H221" i="5"/>
  <c r="I221" i="5" s="1"/>
  <c r="F221" i="5"/>
  <c r="C221" i="5"/>
  <c r="AD220" i="5"/>
  <c r="AC220" i="5"/>
  <c r="AA220" i="5"/>
  <c r="X220" i="5"/>
  <c r="W220" i="5"/>
  <c r="U220" i="5"/>
  <c r="R220" i="5"/>
  <c r="O220" i="5"/>
  <c r="N220" i="5"/>
  <c r="L220" i="5"/>
  <c r="H220" i="5"/>
  <c r="I220" i="5" s="1"/>
  <c r="F220" i="5"/>
  <c r="C220" i="5"/>
  <c r="AD219" i="5"/>
  <c r="AC219" i="5"/>
  <c r="AA219" i="5"/>
  <c r="W219" i="5"/>
  <c r="X219" i="5" s="1"/>
  <c r="U219" i="5"/>
  <c r="R219" i="5"/>
  <c r="O219" i="5"/>
  <c r="N219" i="5"/>
  <c r="L219" i="5"/>
  <c r="I219" i="5"/>
  <c r="H219" i="5"/>
  <c r="F219" i="5"/>
  <c r="C219" i="5"/>
  <c r="AC218" i="5"/>
  <c r="AD218" i="5" s="1"/>
  <c r="AA218" i="5"/>
  <c r="Z218" i="5"/>
  <c r="T218" i="5"/>
  <c r="U218" i="5" s="1"/>
  <c r="Q218" i="5"/>
  <c r="L218" i="5"/>
  <c r="K218" i="5"/>
  <c r="E218" i="5"/>
  <c r="F218" i="5" s="1"/>
  <c r="C218" i="5"/>
  <c r="B218" i="5"/>
  <c r="AD217" i="5"/>
  <c r="AC217" i="5"/>
  <c r="AA217" i="5"/>
  <c r="X217" i="5"/>
  <c r="W217" i="5"/>
  <c r="U217" i="5"/>
  <c r="R217" i="5"/>
  <c r="O217" i="5"/>
  <c r="N217" i="5"/>
  <c r="L217" i="5"/>
  <c r="I217" i="5"/>
  <c r="H217" i="5"/>
  <c r="F217" i="5"/>
  <c r="C217" i="5"/>
  <c r="AC216" i="5"/>
  <c r="AD216" i="5" s="1"/>
  <c r="AA216" i="5"/>
  <c r="X216" i="5"/>
  <c r="W216" i="5"/>
  <c r="U216" i="5"/>
  <c r="R216" i="5"/>
  <c r="N216" i="5"/>
  <c r="O216" i="5" s="1"/>
  <c r="L216" i="5"/>
  <c r="I216" i="5"/>
  <c r="H216" i="5"/>
  <c r="F216" i="5"/>
  <c r="C216" i="5"/>
  <c r="AC215" i="5"/>
  <c r="AD215" i="5" s="1"/>
  <c r="AA215" i="5"/>
  <c r="X215" i="5"/>
  <c r="W215" i="5"/>
  <c r="U215" i="5"/>
  <c r="R215" i="5"/>
  <c r="O215" i="5"/>
  <c r="N215" i="5"/>
  <c r="L215" i="5"/>
  <c r="H215" i="5"/>
  <c r="I215" i="5" s="1"/>
  <c r="F215" i="5"/>
  <c r="C215" i="5"/>
  <c r="AD214" i="5"/>
  <c r="AC214" i="5"/>
  <c r="AA214" i="5"/>
  <c r="W214" i="5"/>
  <c r="X214" i="5" s="1"/>
  <c r="U214" i="5"/>
  <c r="R214" i="5"/>
  <c r="O214" i="5"/>
  <c r="N214" i="5"/>
  <c r="L214" i="5"/>
  <c r="H214" i="5"/>
  <c r="I214" i="5" s="1"/>
  <c r="F214" i="5"/>
  <c r="C214" i="5"/>
  <c r="AC213" i="5"/>
  <c r="AD213" i="5" s="1"/>
  <c r="AA213" i="5"/>
  <c r="X213" i="5"/>
  <c r="W213" i="5"/>
  <c r="U213" i="5"/>
  <c r="R213" i="5"/>
  <c r="N213" i="5"/>
  <c r="O213" i="5" s="1"/>
  <c r="L213" i="5"/>
  <c r="I213" i="5"/>
  <c r="H213" i="5"/>
  <c r="F213" i="5"/>
  <c r="C213" i="5"/>
  <c r="AC211" i="5"/>
  <c r="AD211" i="5" s="1"/>
  <c r="AA211" i="5"/>
  <c r="W211" i="5"/>
  <c r="X211" i="5" s="1"/>
  <c r="U211" i="5"/>
  <c r="R211" i="5"/>
  <c r="O211" i="5"/>
  <c r="N211" i="5"/>
  <c r="L211" i="5"/>
  <c r="H211" i="5"/>
  <c r="I211" i="5" s="1"/>
  <c r="F211" i="5"/>
  <c r="C211" i="5"/>
  <c r="AA209" i="5"/>
  <c r="Z209" i="5"/>
  <c r="T209" i="5"/>
  <c r="W209" i="5" s="1"/>
  <c r="X209" i="5" s="1"/>
  <c r="Q209" i="5"/>
  <c r="R209" i="5" s="1"/>
  <c r="K209" i="5"/>
  <c r="L209" i="5" s="1"/>
  <c r="E209" i="5"/>
  <c r="F209" i="5" s="1"/>
  <c r="C209" i="5"/>
  <c r="B209" i="5"/>
  <c r="AD208" i="5"/>
  <c r="AC208" i="5"/>
  <c r="AA208" i="5"/>
  <c r="X208" i="5"/>
  <c r="W208" i="5"/>
  <c r="U208" i="5"/>
  <c r="R208" i="5"/>
  <c r="O208" i="5"/>
  <c r="N208" i="5"/>
  <c r="L208" i="5"/>
  <c r="I208" i="5"/>
  <c r="H208" i="5"/>
  <c r="F208" i="5"/>
  <c r="C208" i="5"/>
  <c r="AD207" i="5"/>
  <c r="AC207" i="5"/>
  <c r="AA207" i="5"/>
  <c r="W207" i="5"/>
  <c r="X207" i="5" s="1"/>
  <c r="U207" i="5"/>
  <c r="R207" i="5"/>
  <c r="O207" i="5"/>
  <c r="N207" i="5"/>
  <c r="L207" i="5"/>
  <c r="I207" i="5"/>
  <c r="H207" i="5"/>
  <c r="F207" i="5"/>
  <c r="C207" i="5"/>
  <c r="AC206" i="5"/>
  <c r="AD206" i="5" s="1"/>
  <c r="AA206" i="5"/>
  <c r="X206" i="5"/>
  <c r="W206" i="5"/>
  <c r="U206" i="5"/>
  <c r="R206" i="5"/>
  <c r="O206" i="5"/>
  <c r="N206" i="5"/>
  <c r="L206" i="5"/>
  <c r="I206" i="5"/>
  <c r="H206" i="5"/>
  <c r="F206" i="5"/>
  <c r="C206" i="5"/>
  <c r="AC205" i="5"/>
  <c r="AD205" i="5" s="1"/>
  <c r="AA205" i="5"/>
  <c r="X205" i="5"/>
  <c r="W205" i="5"/>
  <c r="U205" i="5"/>
  <c r="R205" i="5"/>
  <c r="O205" i="5"/>
  <c r="N205" i="5"/>
  <c r="L205" i="5"/>
  <c r="H205" i="5"/>
  <c r="I205" i="5" s="1"/>
  <c r="F205" i="5"/>
  <c r="C205" i="5"/>
  <c r="AD204" i="5"/>
  <c r="AC204" i="5"/>
  <c r="AA204" i="5"/>
  <c r="X204" i="5"/>
  <c r="W204" i="5"/>
  <c r="U204" i="5"/>
  <c r="R204" i="5"/>
  <c r="O204" i="5"/>
  <c r="N204" i="5"/>
  <c r="L204" i="5"/>
  <c r="I204" i="5"/>
  <c r="H204" i="5"/>
  <c r="F204" i="5"/>
  <c r="C204" i="5"/>
  <c r="AD203" i="5"/>
  <c r="AC203" i="5"/>
  <c r="AA203" i="5"/>
  <c r="X203" i="5"/>
  <c r="W203" i="5"/>
  <c r="U203" i="5"/>
  <c r="R203" i="5"/>
  <c r="O203" i="5"/>
  <c r="N203" i="5"/>
  <c r="L203" i="5"/>
  <c r="I203" i="5"/>
  <c r="H203" i="5"/>
  <c r="F203" i="5"/>
  <c r="C203" i="5"/>
  <c r="AC202" i="5"/>
  <c r="AD202" i="5" s="1"/>
  <c r="AA202" i="5"/>
  <c r="X202" i="5"/>
  <c r="W202" i="5"/>
  <c r="U202" i="5"/>
  <c r="R202" i="5"/>
  <c r="O202" i="5"/>
  <c r="N202" i="5"/>
  <c r="L202" i="5"/>
  <c r="I202" i="5"/>
  <c r="H202" i="5"/>
  <c r="F202" i="5"/>
  <c r="C202" i="5"/>
  <c r="AD201" i="5"/>
  <c r="AC201" i="5"/>
  <c r="AA201" i="5"/>
  <c r="W201" i="5"/>
  <c r="X201" i="5" s="1"/>
  <c r="U201" i="5"/>
  <c r="R201" i="5"/>
  <c r="O201" i="5"/>
  <c r="N201" i="5"/>
  <c r="L201" i="5"/>
  <c r="H201" i="5"/>
  <c r="I201" i="5" s="1"/>
  <c r="F201" i="5"/>
  <c r="C201" i="5"/>
  <c r="AC197" i="5"/>
  <c r="AD197" i="5" s="1"/>
  <c r="AA197" i="5"/>
  <c r="Z197" i="5"/>
  <c r="W197" i="5"/>
  <c r="X197" i="5" s="1"/>
  <c r="U197" i="5"/>
  <c r="T197" i="5"/>
  <c r="Q197" i="5"/>
  <c r="R197" i="5" s="1"/>
  <c r="O197" i="5"/>
  <c r="L197" i="5"/>
  <c r="K197" i="5"/>
  <c r="H197" i="5"/>
  <c r="I197" i="5" s="1"/>
  <c r="E197" i="5"/>
  <c r="F197" i="5" s="1"/>
  <c r="C197" i="5"/>
  <c r="B197" i="5"/>
  <c r="N197" i="5" s="1"/>
  <c r="Z196" i="5"/>
  <c r="AA196" i="5" s="1"/>
  <c r="T196" i="5"/>
  <c r="W196" i="5" s="1"/>
  <c r="X196" i="5" s="1"/>
  <c r="R196" i="5"/>
  <c r="Q196" i="5"/>
  <c r="AC196" i="5" s="1"/>
  <c r="AD196" i="5" s="1"/>
  <c r="K196" i="5"/>
  <c r="L196" i="5" s="1"/>
  <c r="E196" i="5"/>
  <c r="H196" i="5" s="1"/>
  <c r="I196" i="5" s="1"/>
  <c r="C196" i="5"/>
  <c r="B196" i="5"/>
  <c r="N196" i="5" s="1"/>
  <c r="O196" i="5" s="1"/>
  <c r="AC195" i="5"/>
  <c r="AD195" i="5" s="1"/>
  <c r="AA195" i="5"/>
  <c r="W195" i="5"/>
  <c r="X195" i="5" s="1"/>
  <c r="U195" i="5"/>
  <c r="R195" i="5"/>
  <c r="O195" i="5"/>
  <c r="N195" i="5"/>
  <c r="L195" i="5"/>
  <c r="I195" i="5"/>
  <c r="H195" i="5"/>
  <c r="F195" i="5"/>
  <c r="C195" i="5"/>
  <c r="AD194" i="5"/>
  <c r="AC194" i="5"/>
  <c r="AA194" i="5"/>
  <c r="W194" i="5"/>
  <c r="X194" i="5" s="1"/>
  <c r="U194" i="5"/>
  <c r="R194" i="5"/>
  <c r="O194" i="5"/>
  <c r="N194" i="5"/>
  <c r="L194" i="5"/>
  <c r="H194" i="5"/>
  <c r="I194" i="5" s="1"/>
  <c r="F194" i="5"/>
  <c r="C194" i="5"/>
  <c r="AA193" i="5"/>
  <c r="Z193" i="5"/>
  <c r="U193" i="5"/>
  <c r="T193" i="5"/>
  <c r="Q193" i="5"/>
  <c r="W193" i="5" s="1"/>
  <c r="X193" i="5" s="1"/>
  <c r="K193" i="5"/>
  <c r="L193" i="5" s="1"/>
  <c r="E193" i="5"/>
  <c r="F193" i="5" s="1"/>
  <c r="B193" i="5"/>
  <c r="H193" i="5" s="1"/>
  <c r="I193" i="5" s="1"/>
  <c r="AC192" i="5"/>
  <c r="AD192" i="5" s="1"/>
  <c r="AA192" i="5"/>
  <c r="X192" i="5"/>
  <c r="W192" i="5"/>
  <c r="U192" i="5"/>
  <c r="R192" i="5"/>
  <c r="O192" i="5"/>
  <c r="N192" i="5"/>
  <c r="L192" i="5"/>
  <c r="I192" i="5"/>
  <c r="H192" i="5"/>
  <c r="F192" i="5"/>
  <c r="C192" i="5"/>
  <c r="AC191" i="5"/>
  <c r="AD191" i="5" s="1"/>
  <c r="AA191" i="5"/>
  <c r="W191" i="5"/>
  <c r="X191" i="5" s="1"/>
  <c r="U191" i="5"/>
  <c r="R191" i="5"/>
  <c r="N191" i="5"/>
  <c r="O191" i="5" s="1"/>
  <c r="L191" i="5"/>
  <c r="H191" i="5"/>
  <c r="I191" i="5" s="1"/>
  <c r="F191" i="5"/>
  <c r="C191" i="5"/>
  <c r="AD190" i="5"/>
  <c r="AC190" i="5"/>
  <c r="AA190" i="5"/>
  <c r="X190" i="5"/>
  <c r="W190" i="5"/>
  <c r="U190" i="5"/>
  <c r="R190" i="5"/>
  <c r="O190" i="5"/>
  <c r="N190" i="5"/>
  <c r="L190" i="5"/>
  <c r="H190" i="5"/>
  <c r="I190" i="5" s="1"/>
  <c r="F190" i="5"/>
  <c r="C190" i="5"/>
  <c r="AC189" i="5"/>
  <c r="AD189" i="5" s="1"/>
  <c r="AA189" i="5"/>
  <c r="X189" i="5"/>
  <c r="W189" i="5"/>
  <c r="U189" i="5"/>
  <c r="R189" i="5"/>
  <c r="N189" i="5"/>
  <c r="O189" i="5" s="1"/>
  <c r="L189" i="5"/>
  <c r="I189" i="5"/>
  <c r="H189" i="5"/>
  <c r="F189" i="5"/>
  <c r="C189" i="5"/>
  <c r="AC188" i="5"/>
  <c r="AD188" i="5" s="1"/>
  <c r="AA188" i="5"/>
  <c r="W188" i="5"/>
  <c r="X188" i="5" s="1"/>
  <c r="U188" i="5"/>
  <c r="R188" i="5"/>
  <c r="O188" i="5"/>
  <c r="N188" i="5"/>
  <c r="L188" i="5"/>
  <c r="H188" i="5"/>
  <c r="I188" i="5" s="1"/>
  <c r="F188" i="5"/>
  <c r="C188" i="5"/>
  <c r="AD187" i="5"/>
  <c r="AC187" i="5"/>
  <c r="AA187" i="5"/>
  <c r="X187" i="5"/>
  <c r="W187" i="5"/>
  <c r="U187" i="5"/>
  <c r="R187" i="5"/>
  <c r="O187" i="5"/>
  <c r="N187" i="5"/>
  <c r="L187" i="5"/>
  <c r="H187" i="5"/>
  <c r="I187" i="5" s="1"/>
  <c r="F187" i="5"/>
  <c r="C187" i="5"/>
  <c r="AC186" i="5"/>
  <c r="AD186" i="5" s="1"/>
  <c r="AA186" i="5"/>
  <c r="X186" i="5"/>
  <c r="W186" i="5"/>
  <c r="U186" i="5"/>
  <c r="R186" i="5"/>
  <c r="N186" i="5"/>
  <c r="O186" i="5" s="1"/>
  <c r="L186" i="5"/>
  <c r="I186" i="5"/>
  <c r="H186" i="5"/>
  <c r="F186" i="5"/>
  <c r="C186" i="5"/>
  <c r="AD184" i="5"/>
  <c r="AC184" i="5"/>
  <c r="AA184" i="5"/>
  <c r="X184" i="5"/>
  <c r="W184" i="5"/>
  <c r="U184" i="5"/>
  <c r="R184" i="5"/>
  <c r="N184" i="5"/>
  <c r="O184" i="5" s="1"/>
  <c r="L184" i="5"/>
  <c r="H184" i="5"/>
  <c r="I184" i="5" s="1"/>
  <c r="F184" i="5"/>
  <c r="C184" i="5"/>
  <c r="AC183" i="5"/>
  <c r="AD183" i="5" s="1"/>
  <c r="AA183" i="5"/>
  <c r="X183" i="5"/>
  <c r="W183" i="5"/>
  <c r="U183" i="5"/>
  <c r="R183" i="5"/>
  <c r="O183" i="5"/>
  <c r="N183" i="5"/>
  <c r="L183" i="5"/>
  <c r="H183" i="5"/>
  <c r="I183" i="5" s="1"/>
  <c r="F183" i="5"/>
  <c r="C183" i="5"/>
  <c r="AD182" i="5"/>
  <c r="Z182" i="5"/>
  <c r="AA182" i="5" s="1"/>
  <c r="W182" i="5"/>
  <c r="X182" i="5" s="1"/>
  <c r="T182" i="5"/>
  <c r="U182" i="5" s="1"/>
  <c r="R182" i="5"/>
  <c r="Q182" i="5"/>
  <c r="AC182" i="5" s="1"/>
  <c r="L182" i="5"/>
  <c r="K182" i="5"/>
  <c r="H182" i="5"/>
  <c r="I182" i="5" s="1"/>
  <c r="E182" i="5"/>
  <c r="F182" i="5" s="1"/>
  <c r="B182" i="5"/>
  <c r="AD181" i="5"/>
  <c r="AC181" i="5"/>
  <c r="AA181" i="5"/>
  <c r="W181" i="5"/>
  <c r="X181" i="5" s="1"/>
  <c r="U181" i="5"/>
  <c r="R181" i="5"/>
  <c r="O181" i="5"/>
  <c r="N181" i="5"/>
  <c r="L181" i="5"/>
  <c r="H181" i="5"/>
  <c r="I181" i="5" s="1"/>
  <c r="F181" i="5"/>
  <c r="C181" i="5"/>
  <c r="AC180" i="5"/>
  <c r="AD180" i="5" s="1"/>
  <c r="AA180" i="5"/>
  <c r="X180" i="5"/>
  <c r="W180" i="5"/>
  <c r="U180" i="5"/>
  <c r="R180" i="5"/>
  <c r="O180" i="5"/>
  <c r="N180" i="5"/>
  <c r="L180" i="5"/>
  <c r="I180" i="5"/>
  <c r="H180" i="5"/>
  <c r="F180" i="5"/>
  <c r="C180" i="5"/>
  <c r="AD179" i="5"/>
  <c r="AC179" i="5"/>
  <c r="AA179" i="5"/>
  <c r="W179" i="5"/>
  <c r="X179" i="5" s="1"/>
  <c r="U179" i="5"/>
  <c r="R179" i="5"/>
  <c r="N179" i="5"/>
  <c r="O179" i="5" s="1"/>
  <c r="L179" i="5"/>
  <c r="H179" i="5"/>
  <c r="I179" i="5" s="1"/>
  <c r="F179" i="5"/>
  <c r="C179" i="5"/>
  <c r="AD178" i="5"/>
  <c r="AC178" i="5"/>
  <c r="AA178" i="5"/>
  <c r="X178" i="5"/>
  <c r="W178" i="5"/>
  <c r="U178" i="5"/>
  <c r="R178" i="5"/>
  <c r="O178" i="5"/>
  <c r="N178" i="5"/>
  <c r="L178" i="5"/>
  <c r="H178" i="5"/>
  <c r="I178" i="5" s="1"/>
  <c r="F178" i="5"/>
  <c r="C178" i="5"/>
  <c r="AC177" i="5"/>
  <c r="AD177" i="5" s="1"/>
  <c r="AA177" i="5"/>
  <c r="X177" i="5"/>
  <c r="W177" i="5"/>
  <c r="U177" i="5"/>
  <c r="R177" i="5"/>
  <c r="N177" i="5"/>
  <c r="O177" i="5" s="1"/>
  <c r="L177" i="5"/>
  <c r="I177" i="5"/>
  <c r="H177" i="5"/>
  <c r="F177" i="5"/>
  <c r="C177" i="5"/>
  <c r="AC175" i="5"/>
  <c r="AD175" i="5" s="1"/>
  <c r="AA175" i="5"/>
  <c r="W175" i="5"/>
  <c r="X175" i="5" s="1"/>
  <c r="U175" i="5"/>
  <c r="R175" i="5"/>
  <c r="O175" i="5"/>
  <c r="N175" i="5"/>
  <c r="L175" i="5"/>
  <c r="H175" i="5"/>
  <c r="I175" i="5" s="1"/>
  <c r="F175" i="5"/>
  <c r="C175" i="5"/>
  <c r="T172" i="5"/>
  <c r="T198" i="5" s="1"/>
  <c r="Z171" i="5"/>
  <c r="AC171" i="5" s="1"/>
  <c r="AD171" i="5" s="1"/>
  <c r="W171" i="5"/>
  <c r="X171" i="5" s="1"/>
  <c r="T171" i="5"/>
  <c r="U171" i="5" s="1"/>
  <c r="R171" i="5"/>
  <c r="Q171" i="5"/>
  <c r="K171" i="5"/>
  <c r="N171" i="5" s="1"/>
  <c r="O171" i="5" s="1"/>
  <c r="I171" i="5"/>
  <c r="F171" i="5"/>
  <c r="E171" i="5"/>
  <c r="C171" i="5"/>
  <c r="B171" i="5"/>
  <c r="H171" i="5" s="1"/>
  <c r="AC170" i="5"/>
  <c r="AD170" i="5" s="1"/>
  <c r="AA170" i="5"/>
  <c r="Z170" i="5"/>
  <c r="U170" i="5"/>
  <c r="T170" i="5"/>
  <c r="R170" i="5"/>
  <c r="Q170" i="5"/>
  <c r="W170" i="5" s="1"/>
  <c r="X170" i="5" s="1"/>
  <c r="L170" i="5"/>
  <c r="K170" i="5"/>
  <c r="E170" i="5"/>
  <c r="F170" i="5" s="1"/>
  <c r="C170" i="5"/>
  <c r="B170" i="5"/>
  <c r="N170" i="5" s="1"/>
  <c r="O170" i="5" s="1"/>
  <c r="AD169" i="5"/>
  <c r="AC169" i="5"/>
  <c r="AA169" i="5"/>
  <c r="X169" i="5"/>
  <c r="W169" i="5"/>
  <c r="U169" i="5"/>
  <c r="R169" i="5"/>
  <c r="O169" i="5"/>
  <c r="N169" i="5"/>
  <c r="L169" i="5"/>
  <c r="I169" i="5"/>
  <c r="H169" i="5"/>
  <c r="F169" i="5"/>
  <c r="C169" i="5"/>
  <c r="AD168" i="5"/>
  <c r="AC168" i="5"/>
  <c r="AA168" i="5"/>
  <c r="W168" i="5"/>
  <c r="X168" i="5" s="1"/>
  <c r="U168" i="5"/>
  <c r="R168" i="5"/>
  <c r="N168" i="5"/>
  <c r="O168" i="5" s="1"/>
  <c r="L168" i="5"/>
  <c r="I168" i="5"/>
  <c r="H168" i="5"/>
  <c r="F168" i="5"/>
  <c r="C168" i="5"/>
  <c r="AD167" i="5"/>
  <c r="AC167" i="5"/>
  <c r="AA167" i="5"/>
  <c r="X167" i="5"/>
  <c r="W167" i="5"/>
  <c r="U167" i="5"/>
  <c r="R167" i="5"/>
  <c r="O167" i="5"/>
  <c r="N167" i="5"/>
  <c r="L167" i="5"/>
  <c r="I167" i="5"/>
  <c r="H167" i="5"/>
  <c r="F167" i="5"/>
  <c r="C167" i="5"/>
  <c r="AA166" i="5"/>
  <c r="Z166" i="5"/>
  <c r="U166" i="5"/>
  <c r="T166" i="5"/>
  <c r="Q166" i="5"/>
  <c r="W166" i="5" s="1"/>
  <c r="X166" i="5" s="1"/>
  <c r="L166" i="5"/>
  <c r="K166" i="5"/>
  <c r="E166" i="5"/>
  <c r="F166" i="5" s="1"/>
  <c r="B166" i="5"/>
  <c r="H166" i="5" s="1"/>
  <c r="I166" i="5" s="1"/>
  <c r="AD165" i="5"/>
  <c r="AC165" i="5"/>
  <c r="AA165" i="5"/>
  <c r="W165" i="5"/>
  <c r="X165" i="5" s="1"/>
  <c r="U165" i="5"/>
  <c r="R165" i="5"/>
  <c r="N165" i="5"/>
  <c r="O165" i="5" s="1"/>
  <c r="L165" i="5"/>
  <c r="I165" i="5"/>
  <c r="H165" i="5"/>
  <c r="F165" i="5"/>
  <c r="C165" i="5"/>
  <c r="AC164" i="5"/>
  <c r="AD164" i="5" s="1"/>
  <c r="AA164" i="5"/>
  <c r="X164" i="5"/>
  <c r="W164" i="5"/>
  <c r="U164" i="5"/>
  <c r="R164" i="5"/>
  <c r="N164" i="5"/>
  <c r="O164" i="5" s="1"/>
  <c r="L164" i="5"/>
  <c r="I164" i="5"/>
  <c r="H164" i="5"/>
  <c r="F164" i="5"/>
  <c r="C164" i="5"/>
  <c r="AD163" i="5"/>
  <c r="AC163" i="5"/>
  <c r="AA163" i="5"/>
  <c r="W163" i="5"/>
  <c r="X163" i="5" s="1"/>
  <c r="U163" i="5"/>
  <c r="R163" i="5"/>
  <c r="N163" i="5"/>
  <c r="O163" i="5" s="1"/>
  <c r="L163" i="5"/>
  <c r="H163" i="5"/>
  <c r="I163" i="5" s="1"/>
  <c r="F163" i="5"/>
  <c r="C163" i="5"/>
  <c r="AD162" i="5"/>
  <c r="AC162" i="5"/>
  <c r="AA162" i="5"/>
  <c r="X162" i="5"/>
  <c r="W162" i="5"/>
  <c r="U162" i="5"/>
  <c r="R162" i="5"/>
  <c r="O162" i="5"/>
  <c r="N162" i="5"/>
  <c r="L162" i="5"/>
  <c r="H162" i="5"/>
  <c r="I162" i="5" s="1"/>
  <c r="F162" i="5"/>
  <c r="C162" i="5"/>
  <c r="AD161" i="5"/>
  <c r="AC161" i="5"/>
  <c r="AA161" i="5"/>
  <c r="W161" i="5"/>
  <c r="X161" i="5" s="1"/>
  <c r="U161" i="5"/>
  <c r="R161" i="5"/>
  <c r="N161" i="5"/>
  <c r="O161" i="5" s="1"/>
  <c r="L161" i="5"/>
  <c r="I161" i="5"/>
  <c r="H161" i="5"/>
  <c r="F161" i="5"/>
  <c r="C161" i="5"/>
  <c r="AD160" i="5"/>
  <c r="AC160" i="5"/>
  <c r="AA160" i="5"/>
  <c r="X160" i="5"/>
  <c r="W160" i="5"/>
  <c r="U160" i="5"/>
  <c r="R160" i="5"/>
  <c r="N160" i="5"/>
  <c r="O160" i="5" s="1"/>
  <c r="L160" i="5"/>
  <c r="H160" i="5"/>
  <c r="I160" i="5" s="1"/>
  <c r="F160" i="5"/>
  <c r="C160" i="5"/>
  <c r="AA158" i="5"/>
  <c r="Z158" i="5"/>
  <c r="W158" i="5"/>
  <c r="X158" i="5" s="1"/>
  <c r="U158" i="5"/>
  <c r="T158" i="5"/>
  <c r="R158" i="5"/>
  <c r="Q158" i="5"/>
  <c r="AC158" i="5" s="1"/>
  <c r="AD158" i="5" s="1"/>
  <c r="K158" i="5"/>
  <c r="N158" i="5" s="1"/>
  <c r="O158" i="5" s="1"/>
  <c r="F158" i="5"/>
  <c r="E158" i="5"/>
  <c r="C158" i="5"/>
  <c r="B158" i="5"/>
  <c r="AD157" i="5"/>
  <c r="AC157" i="5"/>
  <c r="AA157" i="5"/>
  <c r="W157" i="5"/>
  <c r="X157" i="5" s="1"/>
  <c r="U157" i="5"/>
  <c r="R157" i="5"/>
  <c r="O157" i="5"/>
  <c r="N157" i="5"/>
  <c r="L157" i="5"/>
  <c r="I157" i="5"/>
  <c r="H157" i="5"/>
  <c r="F157" i="5"/>
  <c r="C157" i="5"/>
  <c r="AD156" i="5"/>
  <c r="AC156" i="5"/>
  <c r="AA156" i="5"/>
  <c r="X156" i="5"/>
  <c r="W156" i="5"/>
  <c r="U156" i="5"/>
  <c r="R156" i="5"/>
  <c r="O156" i="5"/>
  <c r="N156" i="5"/>
  <c r="L156" i="5"/>
  <c r="H156" i="5"/>
  <c r="I156" i="5" s="1"/>
  <c r="F156" i="5"/>
  <c r="C156" i="5"/>
  <c r="AD155" i="5"/>
  <c r="AC155" i="5"/>
  <c r="AA155" i="5"/>
  <c r="X155" i="5"/>
  <c r="W155" i="5"/>
  <c r="U155" i="5"/>
  <c r="R155" i="5"/>
  <c r="N155" i="5"/>
  <c r="O155" i="5" s="1"/>
  <c r="L155" i="5"/>
  <c r="I155" i="5"/>
  <c r="H155" i="5"/>
  <c r="F155" i="5"/>
  <c r="C155" i="5"/>
  <c r="AD154" i="5"/>
  <c r="AC154" i="5"/>
  <c r="AA154" i="5"/>
  <c r="X154" i="5"/>
  <c r="W154" i="5"/>
  <c r="U154" i="5"/>
  <c r="R154" i="5"/>
  <c r="O154" i="5"/>
  <c r="N154" i="5"/>
  <c r="L154" i="5"/>
  <c r="I154" i="5"/>
  <c r="H154" i="5"/>
  <c r="F154" i="5"/>
  <c r="C154" i="5"/>
  <c r="AD153" i="5"/>
  <c r="AC153" i="5"/>
  <c r="AA153" i="5"/>
  <c r="W153" i="5"/>
  <c r="X153" i="5" s="1"/>
  <c r="U153" i="5"/>
  <c r="R153" i="5"/>
  <c r="O153" i="5"/>
  <c r="N153" i="5"/>
  <c r="L153" i="5"/>
  <c r="I153" i="5"/>
  <c r="H153" i="5"/>
  <c r="F153" i="5"/>
  <c r="C153" i="5"/>
  <c r="AD151" i="5"/>
  <c r="AC151" i="5"/>
  <c r="AA151" i="5"/>
  <c r="X151" i="5"/>
  <c r="W151" i="5"/>
  <c r="U151" i="5"/>
  <c r="R151" i="5"/>
  <c r="O151" i="5"/>
  <c r="N151" i="5"/>
  <c r="L151" i="5"/>
  <c r="I151" i="5"/>
  <c r="H151" i="5"/>
  <c r="F151" i="5"/>
  <c r="C151" i="5"/>
  <c r="AA149" i="5"/>
  <c r="Z149" i="5"/>
  <c r="U149" i="5"/>
  <c r="T149" i="5"/>
  <c r="Q149" i="5"/>
  <c r="R149" i="5" s="1"/>
  <c r="L149" i="5"/>
  <c r="K149" i="5"/>
  <c r="E149" i="5"/>
  <c r="F149" i="5" s="1"/>
  <c r="B149" i="5"/>
  <c r="AA148" i="5"/>
  <c r="Z148" i="5"/>
  <c r="T148" i="5"/>
  <c r="U148" i="5" s="1"/>
  <c r="Q148" i="5"/>
  <c r="W148" i="5" s="1"/>
  <c r="X148" i="5" s="1"/>
  <c r="L148" i="5"/>
  <c r="K148" i="5"/>
  <c r="E148" i="5"/>
  <c r="C148" i="5"/>
  <c r="B148" i="5"/>
  <c r="N148" i="5" s="1"/>
  <c r="O148" i="5" s="1"/>
  <c r="AD147" i="5"/>
  <c r="AC147" i="5"/>
  <c r="AA147" i="5"/>
  <c r="X147" i="5"/>
  <c r="W147" i="5"/>
  <c r="U147" i="5"/>
  <c r="R147" i="5"/>
  <c r="N147" i="5"/>
  <c r="O147" i="5" s="1"/>
  <c r="L147" i="5"/>
  <c r="I147" i="5"/>
  <c r="H147" i="5"/>
  <c r="F147" i="5"/>
  <c r="C147" i="5"/>
  <c r="AD146" i="5"/>
  <c r="AC146" i="5"/>
  <c r="AA146" i="5"/>
  <c r="X146" i="5"/>
  <c r="W146" i="5"/>
  <c r="U146" i="5"/>
  <c r="R146" i="5"/>
  <c r="O146" i="5"/>
  <c r="N146" i="5"/>
  <c r="L146" i="5"/>
  <c r="I146" i="5"/>
  <c r="H146" i="5"/>
  <c r="F146" i="5"/>
  <c r="C146" i="5"/>
  <c r="AD145" i="5"/>
  <c r="AC145" i="5"/>
  <c r="AA145" i="5"/>
  <c r="W145" i="5"/>
  <c r="X145" i="5" s="1"/>
  <c r="U145" i="5"/>
  <c r="R145" i="5"/>
  <c r="O145" i="5"/>
  <c r="N145" i="5"/>
  <c r="L145" i="5"/>
  <c r="I145" i="5"/>
  <c r="H145" i="5"/>
  <c r="F145" i="5"/>
  <c r="C145" i="5"/>
  <c r="AD144" i="5"/>
  <c r="AC144" i="5"/>
  <c r="AA144" i="5"/>
  <c r="X144" i="5"/>
  <c r="W144" i="5"/>
  <c r="U144" i="5"/>
  <c r="R144" i="5"/>
  <c r="O144" i="5"/>
  <c r="N144" i="5"/>
  <c r="L144" i="5"/>
  <c r="H144" i="5"/>
  <c r="I144" i="5" s="1"/>
  <c r="F144" i="5"/>
  <c r="C144" i="5"/>
  <c r="AC143" i="5"/>
  <c r="AD143" i="5" s="1"/>
  <c r="AA143" i="5"/>
  <c r="X143" i="5"/>
  <c r="W143" i="5"/>
  <c r="U143" i="5"/>
  <c r="R143" i="5"/>
  <c r="N143" i="5"/>
  <c r="O143" i="5" s="1"/>
  <c r="L143" i="5"/>
  <c r="I143" i="5"/>
  <c r="H143" i="5"/>
  <c r="F143" i="5"/>
  <c r="C143" i="5"/>
  <c r="AA141" i="5"/>
  <c r="Z141" i="5"/>
  <c r="U141" i="5"/>
  <c r="T141" i="5"/>
  <c r="W141" i="5" s="1"/>
  <c r="X141" i="5" s="1"/>
  <c r="R141" i="5"/>
  <c r="Q141" i="5"/>
  <c r="L141" i="5"/>
  <c r="K141" i="5"/>
  <c r="I141" i="5"/>
  <c r="H141" i="5"/>
  <c r="F141" i="5"/>
  <c r="E141" i="5"/>
  <c r="C141" i="5"/>
  <c r="B141" i="5"/>
  <c r="N141" i="5" s="1"/>
  <c r="O141" i="5" s="1"/>
  <c r="AD140" i="5"/>
  <c r="AC140" i="5"/>
  <c r="AA140" i="5"/>
  <c r="X140" i="5"/>
  <c r="W140" i="5"/>
  <c r="U140" i="5"/>
  <c r="R140" i="5"/>
  <c r="N140" i="5"/>
  <c r="O140" i="5" s="1"/>
  <c r="L140" i="5"/>
  <c r="I140" i="5"/>
  <c r="H140" i="5"/>
  <c r="F140" i="5"/>
  <c r="C140" i="5"/>
  <c r="AD139" i="5"/>
  <c r="AC139" i="5"/>
  <c r="AA139" i="5"/>
  <c r="W139" i="5"/>
  <c r="X139" i="5" s="1"/>
  <c r="U139" i="5"/>
  <c r="R139" i="5"/>
  <c r="N139" i="5"/>
  <c r="O139" i="5" s="1"/>
  <c r="L139" i="5"/>
  <c r="H139" i="5"/>
  <c r="I139" i="5" s="1"/>
  <c r="F139" i="5"/>
  <c r="C139" i="5"/>
  <c r="AD138" i="5"/>
  <c r="AC138" i="5"/>
  <c r="AA138" i="5"/>
  <c r="X138" i="5"/>
  <c r="W138" i="5"/>
  <c r="U138" i="5"/>
  <c r="R138" i="5"/>
  <c r="O138" i="5"/>
  <c r="N138" i="5"/>
  <c r="L138" i="5"/>
  <c r="H138" i="5"/>
  <c r="I138" i="5" s="1"/>
  <c r="F138" i="5"/>
  <c r="C138" i="5"/>
  <c r="AC137" i="5"/>
  <c r="AD137" i="5" s="1"/>
  <c r="AA137" i="5"/>
  <c r="W137" i="5"/>
  <c r="X137" i="5" s="1"/>
  <c r="U137" i="5"/>
  <c r="R137" i="5"/>
  <c r="N137" i="5"/>
  <c r="O137" i="5" s="1"/>
  <c r="L137" i="5"/>
  <c r="I137" i="5"/>
  <c r="H137" i="5"/>
  <c r="F137" i="5"/>
  <c r="C137" i="5"/>
  <c r="AD136" i="5"/>
  <c r="AC136" i="5"/>
  <c r="AA136" i="5"/>
  <c r="X136" i="5"/>
  <c r="W136" i="5"/>
  <c r="U136" i="5"/>
  <c r="R136" i="5"/>
  <c r="N136" i="5"/>
  <c r="O136" i="5" s="1"/>
  <c r="L136" i="5"/>
  <c r="H136" i="5"/>
  <c r="I136" i="5" s="1"/>
  <c r="F136" i="5"/>
  <c r="C136" i="5"/>
  <c r="AD135" i="5"/>
  <c r="AC135" i="5"/>
  <c r="AA135" i="5"/>
  <c r="W135" i="5"/>
  <c r="X135" i="5" s="1"/>
  <c r="U135" i="5"/>
  <c r="R135" i="5"/>
  <c r="N135" i="5"/>
  <c r="O135" i="5" s="1"/>
  <c r="L135" i="5"/>
  <c r="H135" i="5"/>
  <c r="I135" i="5" s="1"/>
  <c r="F135" i="5"/>
  <c r="C135" i="5"/>
  <c r="AD134" i="5"/>
  <c r="AC134" i="5"/>
  <c r="AA134" i="5"/>
  <c r="X134" i="5"/>
  <c r="W134" i="5"/>
  <c r="U134" i="5"/>
  <c r="R134" i="5"/>
  <c r="O134" i="5"/>
  <c r="N134" i="5"/>
  <c r="L134" i="5"/>
  <c r="I134" i="5"/>
  <c r="H134" i="5"/>
  <c r="F134" i="5"/>
  <c r="C134" i="5"/>
  <c r="AC133" i="5"/>
  <c r="AD133" i="5" s="1"/>
  <c r="AA133" i="5"/>
  <c r="W133" i="5"/>
  <c r="X133" i="5" s="1"/>
  <c r="U133" i="5"/>
  <c r="R133" i="5"/>
  <c r="N133" i="5"/>
  <c r="O133" i="5" s="1"/>
  <c r="L133" i="5"/>
  <c r="I133" i="5"/>
  <c r="H133" i="5"/>
  <c r="F133" i="5"/>
  <c r="C133" i="5"/>
  <c r="AD132" i="5"/>
  <c r="AC132" i="5"/>
  <c r="AA132" i="5"/>
  <c r="X132" i="5"/>
  <c r="W132" i="5"/>
  <c r="U132" i="5"/>
  <c r="R132" i="5"/>
  <c r="O132" i="5"/>
  <c r="N132" i="5"/>
  <c r="L132" i="5"/>
  <c r="I132" i="5"/>
  <c r="H132" i="5"/>
  <c r="F132" i="5"/>
  <c r="C132" i="5"/>
  <c r="AC131" i="5"/>
  <c r="AD131" i="5" s="1"/>
  <c r="AA131" i="5"/>
  <c r="W131" i="5"/>
  <c r="X131" i="5" s="1"/>
  <c r="U131" i="5"/>
  <c r="R131" i="5"/>
  <c r="N131" i="5"/>
  <c r="O131" i="5" s="1"/>
  <c r="L131" i="5"/>
  <c r="I131" i="5"/>
  <c r="H131" i="5"/>
  <c r="F131" i="5"/>
  <c r="C131" i="5"/>
  <c r="AD130" i="5"/>
  <c r="AC130" i="5"/>
  <c r="AA130" i="5"/>
  <c r="W130" i="5"/>
  <c r="X130" i="5" s="1"/>
  <c r="U130" i="5"/>
  <c r="R130" i="5"/>
  <c r="O130" i="5"/>
  <c r="N130" i="5"/>
  <c r="L130" i="5"/>
  <c r="I130" i="5"/>
  <c r="H130" i="5"/>
  <c r="F130" i="5"/>
  <c r="C130" i="5"/>
  <c r="AC129" i="5"/>
  <c r="AD129" i="5" s="1"/>
  <c r="AA129" i="5"/>
  <c r="W129" i="5"/>
  <c r="X129" i="5" s="1"/>
  <c r="U129" i="5"/>
  <c r="R129" i="5"/>
  <c r="O129" i="5"/>
  <c r="N129" i="5"/>
  <c r="L129" i="5"/>
  <c r="I129" i="5"/>
  <c r="H129" i="5"/>
  <c r="F129" i="5"/>
  <c r="C129" i="5"/>
  <c r="AD127" i="5"/>
  <c r="AC127" i="5"/>
  <c r="AA127" i="5"/>
  <c r="W127" i="5"/>
  <c r="X127" i="5" s="1"/>
  <c r="U127" i="5"/>
  <c r="R127" i="5"/>
  <c r="N127" i="5"/>
  <c r="O127" i="5" s="1"/>
  <c r="L127" i="5"/>
  <c r="I127" i="5"/>
  <c r="H127" i="5"/>
  <c r="F127" i="5"/>
  <c r="C127" i="5"/>
  <c r="Z124" i="5"/>
  <c r="Z172" i="5" s="1"/>
  <c r="U124" i="5"/>
  <c r="T124" i="5"/>
  <c r="Q124" i="5"/>
  <c r="O124" i="5"/>
  <c r="N124" i="5"/>
  <c r="L124" i="5"/>
  <c r="K124" i="5"/>
  <c r="E124" i="5"/>
  <c r="B124" i="5"/>
  <c r="AD123" i="5"/>
  <c r="AC123" i="5"/>
  <c r="AA123" i="5"/>
  <c r="W123" i="5"/>
  <c r="X123" i="5" s="1"/>
  <c r="U123" i="5"/>
  <c r="R123" i="5"/>
  <c r="N123" i="5"/>
  <c r="O123" i="5" s="1"/>
  <c r="L123" i="5"/>
  <c r="I123" i="5"/>
  <c r="H123" i="5"/>
  <c r="F123" i="5"/>
  <c r="C123" i="5"/>
  <c r="Z122" i="5"/>
  <c r="AA122" i="5" s="1"/>
  <c r="T122" i="5"/>
  <c r="U122" i="5" s="1"/>
  <c r="Q122" i="5"/>
  <c r="L122" i="5"/>
  <c r="K122" i="5"/>
  <c r="E122" i="5"/>
  <c r="F122" i="5" s="1"/>
  <c r="B122" i="5"/>
  <c r="H122" i="5" s="1"/>
  <c r="I122" i="5" s="1"/>
  <c r="AD121" i="5"/>
  <c r="AC121" i="5"/>
  <c r="AA121" i="5"/>
  <c r="X121" i="5"/>
  <c r="W121" i="5"/>
  <c r="U121" i="5"/>
  <c r="R121" i="5"/>
  <c r="O121" i="5"/>
  <c r="N121" i="5"/>
  <c r="L121" i="5"/>
  <c r="H121" i="5"/>
  <c r="I121" i="5" s="1"/>
  <c r="F121" i="5"/>
  <c r="C121" i="5"/>
  <c r="AD120" i="5"/>
  <c r="AC120" i="5"/>
  <c r="AA120" i="5"/>
  <c r="W120" i="5"/>
  <c r="X120" i="5" s="1"/>
  <c r="U120" i="5"/>
  <c r="R120" i="5"/>
  <c r="N120" i="5"/>
  <c r="O120" i="5" s="1"/>
  <c r="L120" i="5"/>
  <c r="I120" i="5"/>
  <c r="H120" i="5"/>
  <c r="F120" i="5"/>
  <c r="C120" i="5"/>
  <c r="AD119" i="5"/>
  <c r="AC119" i="5"/>
  <c r="AA119" i="5"/>
  <c r="W119" i="5"/>
  <c r="X119" i="5" s="1"/>
  <c r="U119" i="5"/>
  <c r="R119" i="5"/>
  <c r="N119" i="5"/>
  <c r="O119" i="5" s="1"/>
  <c r="L119" i="5"/>
  <c r="I119" i="5"/>
  <c r="H119" i="5"/>
  <c r="F119" i="5"/>
  <c r="C119" i="5"/>
  <c r="AA118" i="5"/>
  <c r="Z118" i="5"/>
  <c r="X118" i="5"/>
  <c r="W118" i="5"/>
  <c r="U118" i="5"/>
  <c r="T118" i="5"/>
  <c r="R118" i="5"/>
  <c r="Q118" i="5"/>
  <c r="AC118" i="5" s="1"/>
  <c r="AD118" i="5" s="1"/>
  <c r="K118" i="5"/>
  <c r="L118" i="5" s="1"/>
  <c r="I118" i="5"/>
  <c r="F118" i="5"/>
  <c r="E118" i="5"/>
  <c r="B118" i="5"/>
  <c r="H118" i="5" s="1"/>
  <c r="AC117" i="5"/>
  <c r="AD117" i="5" s="1"/>
  <c r="AA117" i="5"/>
  <c r="W117" i="5"/>
  <c r="X117" i="5" s="1"/>
  <c r="U117" i="5"/>
  <c r="R117" i="5"/>
  <c r="N117" i="5"/>
  <c r="O117" i="5" s="1"/>
  <c r="L117" i="5"/>
  <c r="I117" i="5"/>
  <c r="H117" i="5"/>
  <c r="F117" i="5"/>
  <c r="C117" i="5"/>
  <c r="AD116" i="5"/>
  <c r="AC116" i="5"/>
  <c r="AA116" i="5"/>
  <c r="W116" i="5"/>
  <c r="X116" i="5" s="1"/>
  <c r="U116" i="5"/>
  <c r="R116" i="5"/>
  <c r="O116" i="5"/>
  <c r="N116" i="5"/>
  <c r="L116" i="5"/>
  <c r="I116" i="5"/>
  <c r="H116" i="5"/>
  <c r="F116" i="5"/>
  <c r="C116" i="5"/>
  <c r="AC115" i="5"/>
  <c r="AD115" i="5" s="1"/>
  <c r="AA115" i="5"/>
  <c r="W115" i="5"/>
  <c r="X115" i="5" s="1"/>
  <c r="U115" i="5"/>
  <c r="R115" i="5"/>
  <c r="N115" i="5"/>
  <c r="O115" i="5" s="1"/>
  <c r="L115" i="5"/>
  <c r="I115" i="5"/>
  <c r="H115" i="5"/>
  <c r="F115" i="5"/>
  <c r="C115" i="5"/>
  <c r="AD114" i="5"/>
  <c r="AC114" i="5"/>
  <c r="AA114" i="5"/>
  <c r="X114" i="5"/>
  <c r="W114" i="5"/>
  <c r="U114" i="5"/>
  <c r="R114" i="5"/>
  <c r="O114" i="5"/>
  <c r="N114" i="5"/>
  <c r="L114" i="5"/>
  <c r="I114" i="5"/>
  <c r="H114" i="5"/>
  <c r="F114" i="5"/>
  <c r="C114" i="5"/>
  <c r="AC113" i="5"/>
  <c r="AD113" i="5" s="1"/>
  <c r="AA113" i="5"/>
  <c r="W113" i="5"/>
  <c r="X113" i="5" s="1"/>
  <c r="U113" i="5"/>
  <c r="R113" i="5"/>
  <c r="O113" i="5"/>
  <c r="N113" i="5"/>
  <c r="L113" i="5"/>
  <c r="I113" i="5"/>
  <c r="H113" i="5"/>
  <c r="F113" i="5"/>
  <c r="C113" i="5"/>
  <c r="AD112" i="5"/>
  <c r="AC112" i="5"/>
  <c r="AA112" i="5"/>
  <c r="W112" i="5"/>
  <c r="X112" i="5" s="1"/>
  <c r="U112" i="5"/>
  <c r="R112" i="5"/>
  <c r="N112" i="5"/>
  <c r="O112" i="5" s="1"/>
  <c r="L112" i="5"/>
  <c r="I112" i="5"/>
  <c r="H112" i="5"/>
  <c r="F112" i="5"/>
  <c r="C112" i="5"/>
  <c r="AD111" i="5"/>
  <c r="AC111" i="5"/>
  <c r="AA111" i="5"/>
  <c r="X111" i="5"/>
  <c r="W111" i="5"/>
  <c r="U111" i="5"/>
  <c r="R111" i="5"/>
  <c r="N111" i="5"/>
  <c r="O111" i="5" s="1"/>
  <c r="L111" i="5"/>
  <c r="H111" i="5"/>
  <c r="I111" i="5" s="1"/>
  <c r="F111" i="5"/>
  <c r="C111" i="5"/>
  <c r="AD110" i="5"/>
  <c r="AC110" i="5"/>
  <c r="AA110" i="5"/>
  <c r="X110" i="5"/>
  <c r="W110" i="5"/>
  <c r="U110" i="5"/>
  <c r="R110" i="5"/>
  <c r="O110" i="5"/>
  <c r="N110" i="5"/>
  <c r="L110" i="5"/>
  <c r="H110" i="5"/>
  <c r="I110" i="5" s="1"/>
  <c r="F110" i="5"/>
  <c r="C110" i="5"/>
  <c r="AD109" i="5"/>
  <c r="AC109" i="5"/>
  <c r="AA109" i="5"/>
  <c r="W109" i="5"/>
  <c r="X109" i="5" s="1"/>
  <c r="U109" i="5"/>
  <c r="R109" i="5"/>
  <c r="O109" i="5"/>
  <c r="N109" i="5"/>
  <c r="L109" i="5"/>
  <c r="I109" i="5"/>
  <c r="H109" i="5"/>
  <c r="F109" i="5"/>
  <c r="C109" i="5"/>
  <c r="AC108" i="5"/>
  <c r="AD108" i="5" s="1"/>
  <c r="AA108" i="5"/>
  <c r="X108" i="5"/>
  <c r="W108" i="5"/>
  <c r="U108" i="5"/>
  <c r="R108" i="5"/>
  <c r="N108" i="5"/>
  <c r="O108" i="5" s="1"/>
  <c r="L108" i="5"/>
  <c r="I108" i="5"/>
  <c r="H108" i="5"/>
  <c r="F108" i="5"/>
  <c r="C108" i="5"/>
  <c r="AD107" i="5"/>
  <c r="AC107" i="5"/>
  <c r="AA107" i="5"/>
  <c r="W107" i="5"/>
  <c r="X107" i="5" s="1"/>
  <c r="U107" i="5"/>
  <c r="R107" i="5"/>
  <c r="N107" i="5"/>
  <c r="O107" i="5" s="1"/>
  <c r="L107" i="5"/>
  <c r="H107" i="5"/>
  <c r="I107" i="5" s="1"/>
  <c r="F107" i="5"/>
  <c r="C107" i="5"/>
  <c r="AD106" i="5"/>
  <c r="AC106" i="5"/>
  <c r="AA106" i="5"/>
  <c r="X106" i="5"/>
  <c r="W106" i="5"/>
  <c r="U106" i="5"/>
  <c r="R106" i="5"/>
  <c r="N106" i="5"/>
  <c r="O106" i="5" s="1"/>
  <c r="L106" i="5"/>
  <c r="H106" i="5"/>
  <c r="I106" i="5" s="1"/>
  <c r="F106" i="5"/>
  <c r="C106" i="5"/>
  <c r="AC105" i="5"/>
  <c r="AD105" i="5" s="1"/>
  <c r="AA105" i="5"/>
  <c r="W105" i="5"/>
  <c r="X105" i="5" s="1"/>
  <c r="U105" i="5"/>
  <c r="R105" i="5"/>
  <c r="N105" i="5"/>
  <c r="O105" i="5" s="1"/>
  <c r="L105" i="5"/>
  <c r="I105" i="5"/>
  <c r="H105" i="5"/>
  <c r="F105" i="5"/>
  <c r="C105" i="5"/>
  <c r="AD104" i="5"/>
  <c r="AC104" i="5"/>
  <c r="AA104" i="5"/>
  <c r="X104" i="5"/>
  <c r="W104" i="5"/>
  <c r="U104" i="5"/>
  <c r="R104" i="5"/>
  <c r="N104" i="5"/>
  <c r="O104" i="5" s="1"/>
  <c r="L104" i="5"/>
  <c r="H104" i="5"/>
  <c r="I104" i="5" s="1"/>
  <c r="F104" i="5"/>
  <c r="C104" i="5"/>
  <c r="AD103" i="5"/>
  <c r="AC103" i="5"/>
  <c r="AA103" i="5"/>
  <c r="W103" i="5"/>
  <c r="X103" i="5" s="1"/>
  <c r="U103" i="5"/>
  <c r="R103" i="5"/>
  <c r="N103" i="5"/>
  <c r="O103" i="5" s="1"/>
  <c r="L103" i="5"/>
  <c r="H103" i="5"/>
  <c r="I103" i="5" s="1"/>
  <c r="F103" i="5"/>
  <c r="C103" i="5"/>
  <c r="AD102" i="5"/>
  <c r="AC102" i="5"/>
  <c r="AA102" i="5"/>
  <c r="X102" i="5"/>
  <c r="W102" i="5"/>
  <c r="U102" i="5"/>
  <c r="R102" i="5"/>
  <c r="O102" i="5"/>
  <c r="N102" i="5"/>
  <c r="L102" i="5"/>
  <c r="I102" i="5"/>
  <c r="H102" i="5"/>
  <c r="F102" i="5"/>
  <c r="C102" i="5"/>
  <c r="AC101" i="5"/>
  <c r="AD101" i="5" s="1"/>
  <c r="AA101" i="5"/>
  <c r="W101" i="5"/>
  <c r="X101" i="5" s="1"/>
  <c r="U101" i="5"/>
  <c r="R101" i="5"/>
  <c r="N101" i="5"/>
  <c r="O101" i="5" s="1"/>
  <c r="L101" i="5"/>
  <c r="I101" i="5"/>
  <c r="H101" i="5"/>
  <c r="F101" i="5"/>
  <c r="C101" i="5"/>
  <c r="AD100" i="5"/>
  <c r="AC100" i="5"/>
  <c r="AA100" i="5"/>
  <c r="W100" i="5"/>
  <c r="X100" i="5" s="1"/>
  <c r="U100" i="5"/>
  <c r="R100" i="5"/>
  <c r="O100" i="5"/>
  <c r="N100" i="5"/>
  <c r="L100" i="5"/>
  <c r="I100" i="5"/>
  <c r="H100" i="5"/>
  <c r="F100" i="5"/>
  <c r="C100" i="5"/>
  <c r="AC99" i="5"/>
  <c r="AD99" i="5" s="1"/>
  <c r="AA99" i="5"/>
  <c r="W99" i="5"/>
  <c r="X99" i="5" s="1"/>
  <c r="U99" i="5"/>
  <c r="R99" i="5"/>
  <c r="N99" i="5"/>
  <c r="O99" i="5" s="1"/>
  <c r="L99" i="5"/>
  <c r="I99" i="5"/>
  <c r="H99" i="5"/>
  <c r="F99" i="5"/>
  <c r="C99" i="5"/>
  <c r="AD98" i="5"/>
  <c r="AC98" i="5"/>
  <c r="AA98" i="5"/>
  <c r="X98" i="5"/>
  <c r="W98" i="5"/>
  <c r="U98" i="5"/>
  <c r="R98" i="5"/>
  <c r="O98" i="5"/>
  <c r="N98" i="5"/>
  <c r="L98" i="5"/>
  <c r="H98" i="5"/>
  <c r="I98" i="5" s="1"/>
  <c r="F98" i="5"/>
  <c r="C98" i="5"/>
  <c r="AC97" i="5"/>
  <c r="AD97" i="5" s="1"/>
  <c r="AA97" i="5"/>
  <c r="W97" i="5"/>
  <c r="X97" i="5" s="1"/>
  <c r="U97" i="5"/>
  <c r="R97" i="5"/>
  <c r="O97" i="5"/>
  <c r="N97" i="5"/>
  <c r="L97" i="5"/>
  <c r="I97" i="5"/>
  <c r="H97" i="5"/>
  <c r="F97" i="5"/>
  <c r="C97" i="5"/>
  <c r="AC96" i="5"/>
  <c r="AD96" i="5" s="1"/>
  <c r="AA96" i="5"/>
  <c r="W96" i="5"/>
  <c r="X96" i="5" s="1"/>
  <c r="U96" i="5"/>
  <c r="R96" i="5"/>
  <c r="O96" i="5"/>
  <c r="N96" i="5"/>
  <c r="L96" i="5"/>
  <c r="I96" i="5"/>
  <c r="H96" i="5"/>
  <c r="F96" i="5"/>
  <c r="C96" i="5"/>
  <c r="AC95" i="5"/>
  <c r="AD95" i="5" s="1"/>
  <c r="AA95" i="5"/>
  <c r="X95" i="5"/>
  <c r="W95" i="5"/>
  <c r="U95" i="5"/>
  <c r="R95" i="5"/>
  <c r="N95" i="5"/>
  <c r="O95" i="5" s="1"/>
  <c r="L95" i="5"/>
  <c r="I95" i="5"/>
  <c r="H95" i="5"/>
  <c r="F95" i="5"/>
  <c r="C95" i="5"/>
  <c r="AD94" i="5"/>
  <c r="AC94" i="5"/>
  <c r="AA94" i="5"/>
  <c r="W94" i="5"/>
  <c r="X94" i="5" s="1"/>
  <c r="U94" i="5"/>
  <c r="R94" i="5"/>
  <c r="O94" i="5"/>
  <c r="N94" i="5"/>
  <c r="L94" i="5"/>
  <c r="H94" i="5"/>
  <c r="I94" i="5" s="1"/>
  <c r="F94" i="5"/>
  <c r="C94" i="5"/>
  <c r="AD92" i="5"/>
  <c r="AC92" i="5"/>
  <c r="AA92" i="5"/>
  <c r="W92" i="5"/>
  <c r="X92" i="5" s="1"/>
  <c r="U92" i="5"/>
  <c r="R92" i="5"/>
  <c r="N92" i="5"/>
  <c r="O92" i="5" s="1"/>
  <c r="L92" i="5"/>
  <c r="I92" i="5"/>
  <c r="H92" i="5"/>
  <c r="F92" i="5"/>
  <c r="C92" i="5"/>
  <c r="AD91" i="5"/>
  <c r="AC91" i="5"/>
  <c r="AA91" i="5"/>
  <c r="X91" i="5"/>
  <c r="W91" i="5"/>
  <c r="U91" i="5"/>
  <c r="R91" i="5"/>
  <c r="N91" i="5"/>
  <c r="O91" i="5" s="1"/>
  <c r="L91" i="5"/>
  <c r="H91" i="5"/>
  <c r="I91" i="5" s="1"/>
  <c r="F91" i="5"/>
  <c r="C91" i="5"/>
  <c r="AD90" i="5"/>
  <c r="AC90" i="5"/>
  <c r="AA90" i="5"/>
  <c r="W90" i="5"/>
  <c r="X90" i="5" s="1"/>
  <c r="U90" i="5"/>
  <c r="R90" i="5"/>
  <c r="N90" i="5"/>
  <c r="O90" i="5" s="1"/>
  <c r="L90" i="5"/>
  <c r="H90" i="5"/>
  <c r="I90" i="5" s="1"/>
  <c r="F90" i="5"/>
  <c r="C90" i="5"/>
  <c r="AD89" i="5"/>
  <c r="AC89" i="5"/>
  <c r="AA89" i="5"/>
  <c r="X89" i="5"/>
  <c r="W89" i="5"/>
  <c r="U89" i="5"/>
  <c r="R89" i="5"/>
  <c r="N89" i="5"/>
  <c r="O89" i="5" s="1"/>
  <c r="L89" i="5"/>
  <c r="H89" i="5"/>
  <c r="I89" i="5" s="1"/>
  <c r="F89" i="5"/>
  <c r="C89" i="5"/>
  <c r="AC88" i="5"/>
  <c r="AD88" i="5" s="1"/>
  <c r="AA88" i="5"/>
  <c r="Z88" i="5"/>
  <c r="T88" i="5"/>
  <c r="U88" i="5" s="1"/>
  <c r="R88" i="5"/>
  <c r="Q88" i="5"/>
  <c r="O88" i="5"/>
  <c r="L88" i="5"/>
  <c r="K88" i="5"/>
  <c r="E88" i="5"/>
  <c r="H88" i="5" s="1"/>
  <c r="I88" i="5" s="1"/>
  <c r="C88" i="5"/>
  <c r="B88" i="5"/>
  <c r="N88" i="5" s="1"/>
  <c r="AD87" i="5"/>
  <c r="AC87" i="5"/>
  <c r="AA87" i="5"/>
  <c r="W87" i="5"/>
  <c r="X87" i="5" s="1"/>
  <c r="U87" i="5"/>
  <c r="R87" i="5"/>
  <c r="N87" i="5"/>
  <c r="O87" i="5" s="1"/>
  <c r="L87" i="5"/>
  <c r="H87" i="5"/>
  <c r="I87" i="5" s="1"/>
  <c r="F87" i="5"/>
  <c r="C87" i="5"/>
  <c r="AD86" i="5"/>
  <c r="AC86" i="5"/>
  <c r="AA86" i="5"/>
  <c r="X86" i="5"/>
  <c r="W86" i="5"/>
  <c r="U86" i="5"/>
  <c r="R86" i="5"/>
  <c r="N86" i="5"/>
  <c r="O86" i="5" s="1"/>
  <c r="L86" i="5"/>
  <c r="I86" i="5"/>
  <c r="H86" i="5"/>
  <c r="F86" i="5"/>
  <c r="C86" i="5"/>
  <c r="AC85" i="5"/>
  <c r="AD85" i="5" s="1"/>
  <c r="AA85" i="5"/>
  <c r="W85" i="5"/>
  <c r="X85" i="5" s="1"/>
  <c r="U85" i="5"/>
  <c r="R85" i="5"/>
  <c r="N85" i="5"/>
  <c r="O85" i="5" s="1"/>
  <c r="L85" i="5"/>
  <c r="I85" i="5"/>
  <c r="H85" i="5"/>
  <c r="F85" i="5"/>
  <c r="C85" i="5"/>
  <c r="AD84" i="5"/>
  <c r="AC84" i="5"/>
  <c r="AA84" i="5"/>
  <c r="W84" i="5"/>
  <c r="X84" i="5" s="1"/>
  <c r="U84" i="5"/>
  <c r="R84" i="5"/>
  <c r="O84" i="5"/>
  <c r="N84" i="5"/>
  <c r="L84" i="5"/>
  <c r="I84" i="5"/>
  <c r="H84" i="5"/>
  <c r="F84" i="5"/>
  <c r="C84" i="5"/>
  <c r="AD83" i="5"/>
  <c r="AC83" i="5"/>
  <c r="AA83" i="5"/>
  <c r="W83" i="5"/>
  <c r="X83" i="5" s="1"/>
  <c r="U83" i="5"/>
  <c r="R83" i="5"/>
  <c r="N83" i="5"/>
  <c r="O83" i="5" s="1"/>
  <c r="L83" i="5"/>
  <c r="I83" i="5"/>
  <c r="H83" i="5"/>
  <c r="F83" i="5"/>
  <c r="C83" i="5"/>
  <c r="AD82" i="5"/>
  <c r="AC82" i="5"/>
  <c r="AA82" i="5"/>
  <c r="W82" i="5"/>
  <c r="X82" i="5" s="1"/>
  <c r="U82" i="5"/>
  <c r="R82" i="5"/>
  <c r="O82" i="5"/>
  <c r="N82" i="5"/>
  <c r="L82" i="5"/>
  <c r="I82" i="5"/>
  <c r="H82" i="5"/>
  <c r="F82" i="5"/>
  <c r="C82" i="5"/>
  <c r="AC81" i="5"/>
  <c r="AD81" i="5" s="1"/>
  <c r="AA81" i="5"/>
  <c r="W81" i="5"/>
  <c r="X81" i="5" s="1"/>
  <c r="U81" i="5"/>
  <c r="R81" i="5"/>
  <c r="O81" i="5"/>
  <c r="N81" i="5"/>
  <c r="L81" i="5"/>
  <c r="I81" i="5"/>
  <c r="H81" i="5"/>
  <c r="F81" i="5"/>
  <c r="C81" i="5"/>
  <c r="AD80" i="5"/>
  <c r="AC80" i="5"/>
  <c r="AA80" i="5"/>
  <c r="W80" i="5"/>
  <c r="X80" i="5" s="1"/>
  <c r="U80" i="5"/>
  <c r="R80" i="5"/>
  <c r="N80" i="5"/>
  <c r="O80" i="5" s="1"/>
  <c r="L80" i="5"/>
  <c r="I80" i="5"/>
  <c r="H80" i="5"/>
  <c r="F80" i="5"/>
  <c r="C80" i="5"/>
  <c r="AC79" i="5"/>
  <c r="AD79" i="5" s="1"/>
  <c r="AA79" i="5"/>
  <c r="X79" i="5"/>
  <c r="W79" i="5"/>
  <c r="U79" i="5"/>
  <c r="R79" i="5"/>
  <c r="N79" i="5"/>
  <c r="O79" i="5" s="1"/>
  <c r="L79" i="5"/>
  <c r="H79" i="5"/>
  <c r="I79" i="5" s="1"/>
  <c r="F79" i="5"/>
  <c r="C79" i="5"/>
  <c r="AD78" i="5"/>
  <c r="AC78" i="5"/>
  <c r="AA78" i="5"/>
  <c r="W78" i="5"/>
  <c r="X78" i="5" s="1"/>
  <c r="U78" i="5"/>
  <c r="R78" i="5"/>
  <c r="O78" i="5"/>
  <c r="N78" i="5"/>
  <c r="L78" i="5"/>
  <c r="H78" i="5"/>
  <c r="I78" i="5" s="1"/>
  <c r="F78" i="5"/>
  <c r="C78" i="5"/>
  <c r="AD77" i="5"/>
  <c r="AC77" i="5"/>
  <c r="AA77" i="5"/>
  <c r="W77" i="5"/>
  <c r="X77" i="5" s="1"/>
  <c r="U77" i="5"/>
  <c r="R77" i="5"/>
  <c r="N77" i="5"/>
  <c r="O77" i="5" s="1"/>
  <c r="L77" i="5"/>
  <c r="I77" i="5"/>
  <c r="H77" i="5"/>
  <c r="F77" i="5"/>
  <c r="C77" i="5"/>
  <c r="AD76" i="5"/>
  <c r="AC76" i="5"/>
  <c r="AA76" i="5"/>
  <c r="X76" i="5"/>
  <c r="W76" i="5"/>
  <c r="U76" i="5"/>
  <c r="R76" i="5"/>
  <c r="N76" i="5"/>
  <c r="O76" i="5" s="1"/>
  <c r="L76" i="5"/>
  <c r="H76" i="5"/>
  <c r="I76" i="5" s="1"/>
  <c r="F76" i="5"/>
  <c r="C76" i="5"/>
  <c r="AD75" i="5"/>
  <c r="AC75" i="5"/>
  <c r="AA75" i="5"/>
  <c r="X75" i="5"/>
  <c r="W75" i="5"/>
  <c r="U75" i="5"/>
  <c r="R75" i="5"/>
  <c r="N75" i="5"/>
  <c r="O75" i="5" s="1"/>
  <c r="L75" i="5"/>
  <c r="H75" i="5"/>
  <c r="I75" i="5" s="1"/>
  <c r="F75" i="5"/>
  <c r="C75" i="5"/>
  <c r="AD73" i="5"/>
  <c r="AA73" i="5"/>
  <c r="Z73" i="5"/>
  <c r="U73" i="5"/>
  <c r="T73" i="5"/>
  <c r="W73" i="5" s="1"/>
  <c r="X73" i="5" s="1"/>
  <c r="R73" i="5"/>
  <c r="Q73" i="5"/>
  <c r="AC73" i="5" s="1"/>
  <c r="L73" i="5"/>
  <c r="K73" i="5"/>
  <c r="H73" i="5"/>
  <c r="I73" i="5" s="1"/>
  <c r="F73" i="5"/>
  <c r="E73" i="5"/>
  <c r="C73" i="5"/>
  <c r="B73" i="5"/>
  <c r="N73" i="5" s="1"/>
  <c r="O73" i="5" s="1"/>
  <c r="AD72" i="5"/>
  <c r="AC72" i="5"/>
  <c r="AA72" i="5"/>
  <c r="X72" i="5"/>
  <c r="W72" i="5"/>
  <c r="U72" i="5"/>
  <c r="R72" i="5"/>
  <c r="N72" i="5"/>
  <c r="O72" i="5" s="1"/>
  <c r="L72" i="5"/>
  <c r="H72" i="5"/>
  <c r="I72" i="5" s="1"/>
  <c r="F72" i="5"/>
  <c r="C72" i="5"/>
  <c r="AD71" i="5"/>
  <c r="AC71" i="5"/>
  <c r="AA71" i="5"/>
  <c r="W71" i="5"/>
  <c r="X71" i="5" s="1"/>
  <c r="U71" i="5"/>
  <c r="R71" i="5"/>
  <c r="N71" i="5"/>
  <c r="O71" i="5" s="1"/>
  <c r="L71" i="5"/>
  <c r="H71" i="5"/>
  <c r="I71" i="5" s="1"/>
  <c r="F71" i="5"/>
  <c r="C71" i="5"/>
  <c r="AD70" i="5"/>
  <c r="AC70" i="5"/>
  <c r="AA70" i="5"/>
  <c r="X70" i="5"/>
  <c r="W70" i="5"/>
  <c r="U70" i="5"/>
  <c r="R70" i="5"/>
  <c r="N70" i="5"/>
  <c r="O70" i="5" s="1"/>
  <c r="L70" i="5"/>
  <c r="I70" i="5"/>
  <c r="H70" i="5"/>
  <c r="F70" i="5"/>
  <c r="C70" i="5"/>
  <c r="AC69" i="5"/>
  <c r="AD69" i="5" s="1"/>
  <c r="AA69" i="5"/>
  <c r="W69" i="5"/>
  <c r="X69" i="5" s="1"/>
  <c r="U69" i="5"/>
  <c r="R69" i="5"/>
  <c r="N69" i="5"/>
  <c r="O69" i="5" s="1"/>
  <c r="L69" i="5"/>
  <c r="I69" i="5"/>
  <c r="H69" i="5"/>
  <c r="F69" i="5"/>
  <c r="C69" i="5"/>
  <c r="AD68" i="5"/>
  <c r="AC68" i="5"/>
  <c r="AA68" i="5"/>
  <c r="W68" i="5"/>
  <c r="X68" i="5" s="1"/>
  <c r="U68" i="5"/>
  <c r="R68" i="5"/>
  <c r="O68" i="5"/>
  <c r="N68" i="5"/>
  <c r="L68" i="5"/>
  <c r="I68" i="5"/>
  <c r="H68" i="5"/>
  <c r="F68" i="5"/>
  <c r="C68" i="5"/>
  <c r="AD67" i="5"/>
  <c r="AC67" i="5"/>
  <c r="AA67" i="5"/>
  <c r="W67" i="5"/>
  <c r="X67" i="5" s="1"/>
  <c r="U67" i="5"/>
  <c r="R67" i="5"/>
  <c r="N67" i="5"/>
  <c r="O67" i="5" s="1"/>
  <c r="L67" i="5"/>
  <c r="I67" i="5"/>
  <c r="H67" i="5"/>
  <c r="F67" i="5"/>
  <c r="C67" i="5"/>
  <c r="AD66" i="5"/>
  <c r="AC66" i="5"/>
  <c r="AA66" i="5"/>
  <c r="W66" i="5"/>
  <c r="X66" i="5" s="1"/>
  <c r="U66" i="5"/>
  <c r="R66" i="5"/>
  <c r="O66" i="5"/>
  <c r="N66" i="5"/>
  <c r="L66" i="5"/>
  <c r="I66" i="5"/>
  <c r="H66" i="5"/>
  <c r="F66" i="5"/>
  <c r="C66" i="5"/>
  <c r="AC65" i="5"/>
  <c r="AD65" i="5" s="1"/>
  <c r="AA65" i="5"/>
  <c r="W65" i="5"/>
  <c r="X65" i="5" s="1"/>
  <c r="U65" i="5"/>
  <c r="R65" i="5"/>
  <c r="O65" i="5"/>
  <c r="N65" i="5"/>
  <c r="L65" i="5"/>
  <c r="I65" i="5"/>
  <c r="H65" i="5"/>
  <c r="F65" i="5"/>
  <c r="C65" i="5"/>
  <c r="AD64" i="5"/>
  <c r="AC64" i="5"/>
  <c r="AA64" i="5"/>
  <c r="W64" i="5"/>
  <c r="X64" i="5" s="1"/>
  <c r="U64" i="5"/>
  <c r="R64" i="5"/>
  <c r="N64" i="5"/>
  <c r="O64" i="5" s="1"/>
  <c r="L64" i="5"/>
  <c r="I64" i="5"/>
  <c r="H64" i="5"/>
  <c r="F64" i="5"/>
  <c r="C64" i="5"/>
  <c r="AA62" i="5"/>
  <c r="Z62" i="5"/>
  <c r="U62" i="5"/>
  <c r="T62" i="5"/>
  <c r="Q62" i="5"/>
  <c r="W62" i="5" s="1"/>
  <c r="X62" i="5" s="1"/>
  <c r="N62" i="5"/>
  <c r="O62" i="5" s="1"/>
  <c r="L62" i="5"/>
  <c r="K62" i="5"/>
  <c r="E62" i="5"/>
  <c r="F62" i="5" s="1"/>
  <c r="C62" i="5"/>
  <c r="B62" i="5"/>
  <c r="H62" i="5" s="1"/>
  <c r="I62" i="5" s="1"/>
  <c r="AD61" i="5"/>
  <c r="AA61" i="5"/>
  <c r="Z61" i="5"/>
  <c r="W61" i="5"/>
  <c r="X61" i="5" s="1"/>
  <c r="U61" i="5"/>
  <c r="T61" i="5"/>
  <c r="R61" i="5"/>
  <c r="Q61" i="5"/>
  <c r="AC61" i="5" s="1"/>
  <c r="L61" i="5"/>
  <c r="K61" i="5"/>
  <c r="H61" i="5"/>
  <c r="I61" i="5" s="1"/>
  <c r="F61" i="5"/>
  <c r="E61" i="5"/>
  <c r="C61" i="5"/>
  <c r="B61" i="5"/>
  <c r="AD60" i="5"/>
  <c r="AC60" i="5"/>
  <c r="AA60" i="5"/>
  <c r="X60" i="5"/>
  <c r="W60" i="5"/>
  <c r="U60" i="5"/>
  <c r="R60" i="5"/>
  <c r="N60" i="5"/>
  <c r="O60" i="5" s="1"/>
  <c r="L60" i="5"/>
  <c r="H60" i="5"/>
  <c r="I60" i="5" s="1"/>
  <c r="F60" i="5"/>
  <c r="C60" i="5"/>
  <c r="AD59" i="5"/>
  <c r="AC59" i="5"/>
  <c r="AA59" i="5"/>
  <c r="X59" i="5"/>
  <c r="W59" i="5"/>
  <c r="U59" i="5"/>
  <c r="R59" i="5"/>
  <c r="O59" i="5"/>
  <c r="N59" i="5"/>
  <c r="L59" i="5"/>
  <c r="H59" i="5"/>
  <c r="I59" i="5" s="1"/>
  <c r="F59" i="5"/>
  <c r="C59" i="5"/>
  <c r="AC58" i="5"/>
  <c r="AD58" i="5" s="1"/>
  <c r="AA58" i="5"/>
  <c r="W58" i="5"/>
  <c r="X58" i="5" s="1"/>
  <c r="U58" i="5"/>
  <c r="R58" i="5"/>
  <c r="N58" i="5"/>
  <c r="O58" i="5" s="1"/>
  <c r="L58" i="5"/>
  <c r="I58" i="5"/>
  <c r="H58" i="5"/>
  <c r="F58" i="5"/>
  <c r="C58" i="5"/>
  <c r="AD57" i="5"/>
  <c r="AC57" i="5"/>
  <c r="AA57" i="5"/>
  <c r="X57" i="5"/>
  <c r="W57" i="5"/>
  <c r="U57" i="5"/>
  <c r="R57" i="5"/>
  <c r="N57" i="5"/>
  <c r="O57" i="5" s="1"/>
  <c r="L57" i="5"/>
  <c r="I57" i="5"/>
  <c r="H57" i="5"/>
  <c r="F57" i="5"/>
  <c r="C57" i="5"/>
  <c r="AD56" i="5"/>
  <c r="AC56" i="5"/>
  <c r="AA56" i="5"/>
  <c r="W56" i="5"/>
  <c r="X56" i="5" s="1"/>
  <c r="U56" i="5"/>
  <c r="R56" i="5"/>
  <c r="N56" i="5"/>
  <c r="O56" i="5" s="1"/>
  <c r="L56" i="5"/>
  <c r="H56" i="5"/>
  <c r="I56" i="5" s="1"/>
  <c r="F56" i="5"/>
  <c r="C56" i="5"/>
  <c r="AD55" i="5"/>
  <c r="AC55" i="5"/>
  <c r="AA55" i="5"/>
  <c r="X55" i="5"/>
  <c r="W55" i="5"/>
  <c r="U55" i="5"/>
  <c r="R55" i="5"/>
  <c r="O55" i="5"/>
  <c r="N55" i="5"/>
  <c r="L55" i="5"/>
  <c r="I55" i="5"/>
  <c r="H55" i="5"/>
  <c r="F55" i="5"/>
  <c r="C55" i="5"/>
  <c r="AC54" i="5"/>
  <c r="AD54" i="5" s="1"/>
  <c r="AA54" i="5"/>
  <c r="W54" i="5"/>
  <c r="X54" i="5" s="1"/>
  <c r="U54" i="5"/>
  <c r="R54" i="5"/>
  <c r="N54" i="5"/>
  <c r="O54" i="5" s="1"/>
  <c r="L54" i="5"/>
  <c r="I54" i="5"/>
  <c r="H54" i="5"/>
  <c r="F54" i="5"/>
  <c r="C54" i="5"/>
  <c r="AD53" i="5"/>
  <c r="AC53" i="5"/>
  <c r="AA53" i="5"/>
  <c r="W53" i="5"/>
  <c r="X53" i="5" s="1"/>
  <c r="U53" i="5"/>
  <c r="R53" i="5"/>
  <c r="O53" i="5"/>
  <c r="N53" i="5"/>
  <c r="L53" i="5"/>
  <c r="I53" i="5"/>
  <c r="H53" i="5"/>
  <c r="F53" i="5"/>
  <c r="C53" i="5"/>
  <c r="AD52" i="5"/>
  <c r="AC52" i="5"/>
  <c r="AA52" i="5"/>
  <c r="W52" i="5"/>
  <c r="X52" i="5" s="1"/>
  <c r="U52" i="5"/>
  <c r="R52" i="5"/>
  <c r="N52" i="5"/>
  <c r="O52" i="5" s="1"/>
  <c r="L52" i="5"/>
  <c r="I52" i="5"/>
  <c r="H52" i="5"/>
  <c r="F52" i="5"/>
  <c r="C52" i="5"/>
  <c r="AD51" i="5"/>
  <c r="AC51" i="5"/>
  <c r="AA51" i="5"/>
  <c r="W51" i="5"/>
  <c r="X51" i="5" s="1"/>
  <c r="U51" i="5"/>
  <c r="R51" i="5"/>
  <c r="O51" i="5"/>
  <c r="N51" i="5"/>
  <c r="L51" i="5"/>
  <c r="H51" i="5"/>
  <c r="I51" i="5" s="1"/>
  <c r="F51" i="5"/>
  <c r="C51" i="5"/>
  <c r="AC50" i="5"/>
  <c r="AD50" i="5" s="1"/>
  <c r="AA50" i="5"/>
  <c r="W50" i="5"/>
  <c r="X50" i="5" s="1"/>
  <c r="U50" i="5"/>
  <c r="R50" i="5"/>
  <c r="O50" i="5"/>
  <c r="N50" i="5"/>
  <c r="L50" i="5"/>
  <c r="I50" i="5"/>
  <c r="H50" i="5"/>
  <c r="F50" i="5"/>
  <c r="C50" i="5"/>
  <c r="AC49" i="5"/>
  <c r="AD49" i="5" s="1"/>
  <c r="AA49" i="5"/>
  <c r="W49" i="5"/>
  <c r="X49" i="5" s="1"/>
  <c r="U49" i="5"/>
  <c r="R49" i="5"/>
  <c r="N49" i="5"/>
  <c r="O49" i="5" s="1"/>
  <c r="L49" i="5"/>
  <c r="I49" i="5"/>
  <c r="H49" i="5"/>
  <c r="F49" i="5"/>
  <c r="C49" i="5"/>
  <c r="AD48" i="5"/>
  <c r="AC48" i="5"/>
  <c r="AA48" i="5"/>
  <c r="X48" i="5"/>
  <c r="W48" i="5"/>
  <c r="U48" i="5"/>
  <c r="R48" i="5"/>
  <c r="N48" i="5"/>
  <c r="O48" i="5" s="1"/>
  <c r="L48" i="5"/>
  <c r="H48" i="5"/>
  <c r="I48" i="5" s="1"/>
  <c r="F48" i="5"/>
  <c r="C48" i="5"/>
  <c r="AD47" i="5"/>
  <c r="AC47" i="5"/>
  <c r="AA47" i="5"/>
  <c r="X47" i="5"/>
  <c r="W47" i="5"/>
  <c r="U47" i="5"/>
  <c r="R47" i="5"/>
  <c r="O47" i="5"/>
  <c r="N47" i="5"/>
  <c r="L47" i="5"/>
  <c r="H47" i="5"/>
  <c r="I47" i="5" s="1"/>
  <c r="F47" i="5"/>
  <c r="C47" i="5"/>
  <c r="AD46" i="5"/>
  <c r="AC46" i="5"/>
  <c r="AA46" i="5"/>
  <c r="W46" i="5"/>
  <c r="X46" i="5" s="1"/>
  <c r="U46" i="5"/>
  <c r="R46" i="5"/>
  <c r="O46" i="5"/>
  <c r="N46" i="5"/>
  <c r="L46" i="5"/>
  <c r="I46" i="5"/>
  <c r="H46" i="5"/>
  <c r="F46" i="5"/>
  <c r="C46" i="5"/>
  <c r="AC44" i="5"/>
  <c r="AD44" i="5" s="1"/>
  <c r="AA44" i="5"/>
  <c r="X44" i="5"/>
  <c r="W44" i="5"/>
  <c r="U44" i="5"/>
  <c r="R44" i="5"/>
  <c r="N44" i="5"/>
  <c r="O44" i="5" s="1"/>
  <c r="L44" i="5"/>
  <c r="I44" i="5"/>
  <c r="H44" i="5"/>
  <c r="F44" i="5"/>
  <c r="C44" i="5"/>
  <c r="AD43" i="5"/>
  <c r="AC43" i="5"/>
  <c r="AA43" i="5"/>
  <c r="W43" i="5"/>
  <c r="X43" i="5" s="1"/>
  <c r="U43" i="5"/>
  <c r="R43" i="5"/>
  <c r="N43" i="5"/>
  <c r="O43" i="5" s="1"/>
  <c r="L43" i="5"/>
  <c r="H43" i="5"/>
  <c r="I43" i="5" s="1"/>
  <c r="F43" i="5"/>
  <c r="C43" i="5"/>
  <c r="AD42" i="5"/>
  <c r="AC42" i="5"/>
  <c r="AA42" i="5"/>
  <c r="X42" i="5"/>
  <c r="W42" i="5"/>
  <c r="U42" i="5"/>
  <c r="R42" i="5"/>
  <c r="N42" i="5"/>
  <c r="O42" i="5" s="1"/>
  <c r="L42" i="5"/>
  <c r="H42" i="5"/>
  <c r="I42" i="5" s="1"/>
  <c r="F42" i="5"/>
  <c r="C42" i="5"/>
  <c r="AA40" i="5"/>
  <c r="Z40" i="5"/>
  <c r="T40" i="5"/>
  <c r="U40" i="5" s="1"/>
  <c r="R40" i="5"/>
  <c r="Q40" i="5"/>
  <c r="W40" i="5" s="1"/>
  <c r="X40" i="5" s="1"/>
  <c r="O40" i="5"/>
  <c r="K40" i="5"/>
  <c r="L40" i="5" s="1"/>
  <c r="F40" i="5"/>
  <c r="E40" i="5"/>
  <c r="H40" i="5" s="1"/>
  <c r="I40" i="5" s="1"/>
  <c r="C40" i="5"/>
  <c r="B40" i="5"/>
  <c r="N40" i="5" s="1"/>
  <c r="AC39" i="5"/>
  <c r="AD39" i="5" s="1"/>
  <c r="AA39" i="5"/>
  <c r="W39" i="5"/>
  <c r="X39" i="5" s="1"/>
  <c r="U39" i="5"/>
  <c r="R39" i="5"/>
  <c r="N39" i="5"/>
  <c r="O39" i="5" s="1"/>
  <c r="L39" i="5"/>
  <c r="I39" i="5"/>
  <c r="H39" i="5"/>
  <c r="F39" i="5"/>
  <c r="C39" i="5"/>
  <c r="AD38" i="5"/>
  <c r="AC38" i="5"/>
  <c r="AA38" i="5"/>
  <c r="W38" i="5"/>
  <c r="X38" i="5" s="1"/>
  <c r="U38" i="5"/>
  <c r="R38" i="5"/>
  <c r="N38" i="5"/>
  <c r="O38" i="5" s="1"/>
  <c r="L38" i="5"/>
  <c r="I38" i="5"/>
  <c r="H38" i="5"/>
  <c r="F38" i="5"/>
  <c r="C38" i="5"/>
  <c r="AC37" i="5"/>
  <c r="AD37" i="5" s="1"/>
  <c r="AA37" i="5"/>
  <c r="W37" i="5"/>
  <c r="X37" i="5" s="1"/>
  <c r="U37" i="5"/>
  <c r="R37" i="5"/>
  <c r="O37" i="5"/>
  <c r="N37" i="5"/>
  <c r="L37" i="5"/>
  <c r="I37" i="5"/>
  <c r="H37" i="5"/>
  <c r="F37" i="5"/>
  <c r="C37" i="5"/>
  <c r="AC36" i="5"/>
  <c r="AD36" i="5" s="1"/>
  <c r="AA36" i="5"/>
  <c r="W36" i="5"/>
  <c r="X36" i="5" s="1"/>
  <c r="U36" i="5"/>
  <c r="R36" i="5"/>
  <c r="O36" i="5"/>
  <c r="N36" i="5"/>
  <c r="L36" i="5"/>
  <c r="I36" i="5"/>
  <c r="H36" i="5"/>
  <c r="F36" i="5"/>
  <c r="C36" i="5"/>
  <c r="AD35" i="5"/>
  <c r="AC35" i="5"/>
  <c r="AA35" i="5"/>
  <c r="X35" i="5"/>
  <c r="W35" i="5"/>
  <c r="U35" i="5"/>
  <c r="R35" i="5"/>
  <c r="N35" i="5"/>
  <c r="O35" i="5" s="1"/>
  <c r="L35" i="5"/>
  <c r="I35" i="5"/>
  <c r="H35" i="5"/>
  <c r="F35" i="5"/>
  <c r="C35" i="5"/>
  <c r="AD34" i="5"/>
  <c r="AC34" i="5"/>
  <c r="AA34" i="5"/>
  <c r="X34" i="5"/>
  <c r="W34" i="5"/>
  <c r="U34" i="5"/>
  <c r="R34" i="5"/>
  <c r="O34" i="5"/>
  <c r="N34" i="5"/>
  <c r="L34" i="5"/>
  <c r="H34" i="5"/>
  <c r="I34" i="5" s="1"/>
  <c r="F34" i="5"/>
  <c r="C34" i="5"/>
  <c r="AD33" i="5"/>
  <c r="AC33" i="5"/>
  <c r="AA33" i="5"/>
  <c r="W33" i="5"/>
  <c r="X33" i="5" s="1"/>
  <c r="U33" i="5"/>
  <c r="R33" i="5"/>
  <c r="O33" i="5"/>
  <c r="N33" i="5"/>
  <c r="L33" i="5"/>
  <c r="I33" i="5"/>
  <c r="H33" i="5"/>
  <c r="F33" i="5"/>
  <c r="C33" i="5"/>
  <c r="AD32" i="5"/>
  <c r="AC32" i="5"/>
  <c r="AA32" i="5"/>
  <c r="X32" i="5"/>
  <c r="W32" i="5"/>
  <c r="U32" i="5"/>
  <c r="R32" i="5"/>
  <c r="N32" i="5"/>
  <c r="O32" i="5" s="1"/>
  <c r="L32" i="5"/>
  <c r="H32" i="5"/>
  <c r="I32" i="5" s="1"/>
  <c r="F32" i="5"/>
  <c r="C32" i="5"/>
  <c r="AC31" i="5"/>
  <c r="AD31" i="5" s="1"/>
  <c r="AA31" i="5"/>
  <c r="X31" i="5"/>
  <c r="W31" i="5"/>
  <c r="U31" i="5"/>
  <c r="R31" i="5"/>
  <c r="N31" i="5"/>
  <c r="O31" i="5" s="1"/>
  <c r="L31" i="5"/>
  <c r="I31" i="5"/>
  <c r="H31" i="5"/>
  <c r="F31" i="5"/>
  <c r="C31" i="5"/>
  <c r="AA29" i="5"/>
  <c r="Z29" i="5"/>
  <c r="T29" i="5"/>
  <c r="W29" i="5" s="1"/>
  <c r="X29" i="5" s="1"/>
  <c r="R29" i="5"/>
  <c r="Q29" i="5"/>
  <c r="AC29" i="5" s="1"/>
  <c r="AD29" i="5" s="1"/>
  <c r="L29" i="5"/>
  <c r="K29" i="5"/>
  <c r="H29" i="5"/>
  <c r="I29" i="5" s="1"/>
  <c r="F29" i="5"/>
  <c r="E29" i="5"/>
  <c r="C29" i="5"/>
  <c r="B29" i="5"/>
  <c r="N29" i="5" s="1"/>
  <c r="O29" i="5" s="1"/>
  <c r="AD28" i="5"/>
  <c r="AC28" i="5"/>
  <c r="AA28" i="5"/>
  <c r="X28" i="5"/>
  <c r="W28" i="5"/>
  <c r="U28" i="5"/>
  <c r="R28" i="5"/>
  <c r="N28" i="5"/>
  <c r="O28" i="5" s="1"/>
  <c r="L28" i="5"/>
  <c r="I28" i="5"/>
  <c r="H28" i="5"/>
  <c r="F28" i="5"/>
  <c r="C28" i="5"/>
  <c r="AD27" i="5"/>
  <c r="AC27" i="5"/>
  <c r="AA27" i="5"/>
  <c r="X27" i="5"/>
  <c r="W27" i="5"/>
  <c r="U27" i="5"/>
  <c r="R27" i="5"/>
  <c r="N27" i="5"/>
  <c r="O27" i="5" s="1"/>
  <c r="L27" i="5"/>
  <c r="H27" i="5"/>
  <c r="I27" i="5" s="1"/>
  <c r="F27" i="5"/>
  <c r="C27" i="5"/>
  <c r="AD26" i="5"/>
  <c r="AC26" i="5"/>
  <c r="AA26" i="5"/>
  <c r="X26" i="5"/>
  <c r="W26" i="5"/>
  <c r="U26" i="5"/>
  <c r="R26" i="5"/>
  <c r="O26" i="5"/>
  <c r="N26" i="5"/>
  <c r="L26" i="5"/>
  <c r="I26" i="5"/>
  <c r="H26" i="5"/>
  <c r="F26" i="5"/>
  <c r="C26" i="5"/>
  <c r="AC25" i="5"/>
  <c r="AD25" i="5" s="1"/>
  <c r="AA25" i="5"/>
  <c r="W25" i="5"/>
  <c r="X25" i="5" s="1"/>
  <c r="U25" i="5"/>
  <c r="R25" i="5"/>
  <c r="N25" i="5"/>
  <c r="O25" i="5" s="1"/>
  <c r="L25" i="5"/>
  <c r="I25" i="5"/>
  <c r="H25" i="5"/>
  <c r="F25" i="5"/>
  <c r="C25" i="5"/>
  <c r="AD24" i="5"/>
  <c r="AC24" i="5"/>
  <c r="AA24" i="5"/>
  <c r="W24" i="5"/>
  <c r="X24" i="5" s="1"/>
  <c r="U24" i="5"/>
  <c r="R24" i="5"/>
  <c r="N24" i="5"/>
  <c r="O24" i="5" s="1"/>
  <c r="L24" i="5"/>
  <c r="I24" i="5"/>
  <c r="H24" i="5"/>
  <c r="F24" i="5"/>
  <c r="C24" i="5"/>
  <c r="AC23" i="5"/>
  <c r="AD23" i="5" s="1"/>
  <c r="AA23" i="5"/>
  <c r="W23" i="5"/>
  <c r="X23" i="5" s="1"/>
  <c r="U23" i="5"/>
  <c r="R23" i="5"/>
  <c r="N23" i="5"/>
  <c r="O23" i="5" s="1"/>
  <c r="L23" i="5"/>
  <c r="I23" i="5"/>
  <c r="H23" i="5"/>
  <c r="F23" i="5"/>
  <c r="C23" i="5"/>
  <c r="AD22" i="5"/>
  <c r="AC22" i="5"/>
  <c r="AA22" i="5"/>
  <c r="W22" i="5"/>
  <c r="X22" i="5" s="1"/>
  <c r="U22" i="5"/>
  <c r="R22" i="5"/>
  <c r="N22" i="5"/>
  <c r="O22" i="5" s="1"/>
  <c r="L22" i="5"/>
  <c r="I22" i="5"/>
  <c r="H22" i="5"/>
  <c r="F22" i="5"/>
  <c r="C22" i="5"/>
  <c r="AC21" i="5"/>
  <c r="AD21" i="5" s="1"/>
  <c r="AA21" i="5"/>
  <c r="W21" i="5"/>
  <c r="X21" i="5" s="1"/>
  <c r="U21" i="5"/>
  <c r="R21" i="5"/>
  <c r="N21" i="5"/>
  <c r="O21" i="5" s="1"/>
  <c r="L21" i="5"/>
  <c r="I21" i="5"/>
  <c r="H21" i="5"/>
  <c r="F21" i="5"/>
  <c r="C21" i="5"/>
  <c r="AC19" i="5"/>
  <c r="AD19" i="5" s="1"/>
  <c r="AA19" i="5"/>
  <c r="W19" i="5"/>
  <c r="X19" i="5" s="1"/>
  <c r="U19" i="5"/>
  <c r="R19" i="5"/>
  <c r="O19" i="5"/>
  <c r="N19" i="5"/>
  <c r="L19" i="5"/>
  <c r="I19" i="5"/>
  <c r="H19" i="5"/>
  <c r="F19" i="5"/>
  <c r="C19" i="5"/>
  <c r="Z18" i="5"/>
  <c r="AA18" i="5" s="1"/>
  <c r="U18" i="5"/>
  <c r="T18" i="5"/>
  <c r="R18" i="5"/>
  <c r="Q18" i="5"/>
  <c r="W18" i="5" s="1"/>
  <c r="X18" i="5" s="1"/>
  <c r="N18" i="5"/>
  <c r="O18" i="5" s="1"/>
  <c r="L18" i="5"/>
  <c r="K18" i="5"/>
  <c r="F18" i="5"/>
  <c r="E18" i="5"/>
  <c r="C18" i="5"/>
  <c r="B18" i="5"/>
  <c r="AD17" i="5"/>
  <c r="AC17" i="5"/>
  <c r="AA17" i="5"/>
  <c r="W17" i="5"/>
  <c r="X17" i="5" s="1"/>
  <c r="U17" i="5"/>
  <c r="R17" i="5"/>
  <c r="O17" i="5"/>
  <c r="N17" i="5"/>
  <c r="L17" i="5"/>
  <c r="I17" i="5"/>
  <c r="H17" i="5"/>
  <c r="F17" i="5"/>
  <c r="C17" i="5"/>
  <c r="AC16" i="5"/>
  <c r="AD16" i="5" s="1"/>
  <c r="AA16" i="5"/>
  <c r="X16" i="5"/>
  <c r="W16" i="5"/>
  <c r="U16" i="5"/>
  <c r="R16" i="5"/>
  <c r="O16" i="5"/>
  <c r="N16" i="5"/>
  <c r="L16" i="5"/>
  <c r="H16" i="5"/>
  <c r="I16" i="5" s="1"/>
  <c r="F16" i="5"/>
  <c r="C16" i="5"/>
  <c r="AD15" i="5"/>
  <c r="AC15" i="5"/>
  <c r="AA15" i="5"/>
  <c r="X15" i="5"/>
  <c r="W15" i="5"/>
  <c r="U15" i="5"/>
  <c r="R15" i="5"/>
  <c r="N15" i="5"/>
  <c r="O15" i="5" s="1"/>
  <c r="L15" i="5"/>
  <c r="H15" i="5"/>
  <c r="I15" i="5" s="1"/>
  <c r="F15" i="5"/>
  <c r="C15" i="5"/>
  <c r="AD14" i="5"/>
  <c r="AC14" i="5"/>
  <c r="AA14" i="5"/>
  <c r="X14" i="5"/>
  <c r="W14" i="5"/>
  <c r="U14" i="5"/>
  <c r="R14" i="5"/>
  <c r="N14" i="5"/>
  <c r="O14" i="5" s="1"/>
  <c r="L14" i="5"/>
  <c r="H14" i="5"/>
  <c r="I14" i="5" s="1"/>
  <c r="F14" i="5"/>
  <c r="C14" i="5"/>
  <c r="AD13" i="5"/>
  <c r="AC13" i="5"/>
  <c r="AA13" i="5"/>
  <c r="W13" i="5"/>
  <c r="X13" i="5" s="1"/>
  <c r="U13" i="5"/>
  <c r="R13" i="5"/>
  <c r="N13" i="5"/>
  <c r="O13" i="5" s="1"/>
  <c r="L13" i="5"/>
  <c r="I13" i="5"/>
  <c r="H13" i="5"/>
  <c r="F13" i="5"/>
  <c r="C13" i="5"/>
  <c r="AD12" i="5"/>
  <c r="AC12" i="5"/>
  <c r="AA12" i="5"/>
  <c r="X12" i="5"/>
  <c r="W12" i="5"/>
  <c r="U12" i="5"/>
  <c r="R12" i="5"/>
  <c r="N12" i="5"/>
  <c r="O12" i="5" s="1"/>
  <c r="L12" i="5"/>
  <c r="H12" i="5"/>
  <c r="I12" i="5" s="1"/>
  <c r="F12" i="5"/>
  <c r="C12" i="5"/>
  <c r="AD11" i="5"/>
  <c r="AC11" i="5"/>
  <c r="AA11" i="5"/>
  <c r="X11" i="5"/>
  <c r="W11" i="5"/>
  <c r="U11" i="5"/>
  <c r="R11" i="5"/>
  <c r="N11" i="5"/>
  <c r="O11" i="5" s="1"/>
  <c r="L11" i="5"/>
  <c r="H11" i="5"/>
  <c r="I11" i="5" s="1"/>
  <c r="F11" i="5"/>
  <c r="C11" i="5"/>
  <c r="AD10" i="5"/>
  <c r="AC10" i="5"/>
  <c r="AA10" i="5"/>
  <c r="X10" i="5"/>
  <c r="W10" i="5"/>
  <c r="U10" i="5"/>
  <c r="R10" i="5"/>
  <c r="O10" i="5"/>
  <c r="N10" i="5"/>
  <c r="L10" i="5"/>
  <c r="H10" i="5"/>
  <c r="I10" i="5" s="1"/>
  <c r="F10" i="5"/>
  <c r="C10" i="5"/>
  <c r="AD8" i="5"/>
  <c r="AC8" i="5"/>
  <c r="AA8" i="5"/>
  <c r="W8" i="5"/>
  <c r="X8" i="5" s="1"/>
  <c r="U8" i="5"/>
  <c r="R8" i="5"/>
  <c r="N8" i="5"/>
  <c r="O8" i="5" s="1"/>
  <c r="L8" i="5"/>
  <c r="I8" i="5"/>
  <c r="H8" i="5"/>
  <c r="F8" i="5"/>
  <c r="C8" i="5"/>
  <c r="AC444" i="4"/>
  <c r="W444" i="4"/>
  <c r="N444" i="4"/>
  <c r="O435" i="4" s="1"/>
  <c r="H444" i="4"/>
  <c r="I437" i="4" s="1"/>
  <c r="Z442" i="4"/>
  <c r="AA442" i="4" s="1"/>
  <c r="U442" i="4"/>
  <c r="T442" i="4"/>
  <c r="Q442" i="4"/>
  <c r="L442" i="4"/>
  <c r="K442" i="4"/>
  <c r="I442" i="4"/>
  <c r="H442" i="4"/>
  <c r="F442" i="4"/>
  <c r="E442" i="4"/>
  <c r="B442" i="4"/>
  <c r="C442" i="4" s="1"/>
  <c r="Z441" i="4"/>
  <c r="AA441" i="4" s="1"/>
  <c r="W441" i="4"/>
  <c r="X441" i="4" s="1"/>
  <c r="U441" i="4"/>
  <c r="T441" i="4"/>
  <c r="Q441" i="4"/>
  <c r="L441" i="4"/>
  <c r="K441" i="4"/>
  <c r="N441" i="4" s="1"/>
  <c r="O441" i="4" s="1"/>
  <c r="F441" i="4"/>
  <c r="E441" i="4"/>
  <c r="B441" i="4"/>
  <c r="AD440" i="4"/>
  <c r="AC440" i="4"/>
  <c r="AA440" i="4"/>
  <c r="W440" i="4"/>
  <c r="X440" i="4" s="1"/>
  <c r="U440" i="4"/>
  <c r="R440" i="4"/>
  <c r="N440" i="4"/>
  <c r="L440" i="4"/>
  <c r="H440" i="4"/>
  <c r="F440" i="4"/>
  <c r="C440" i="4"/>
  <c r="AC439" i="4"/>
  <c r="AD439" i="4" s="1"/>
  <c r="AA439" i="4"/>
  <c r="W439" i="4"/>
  <c r="X439" i="4" s="1"/>
  <c r="U439" i="4"/>
  <c r="R439" i="4"/>
  <c r="O439" i="4"/>
  <c r="N439" i="4"/>
  <c r="L439" i="4"/>
  <c r="H439" i="4"/>
  <c r="F439" i="4"/>
  <c r="C439" i="4"/>
  <c r="AC438" i="4"/>
  <c r="AD438" i="4" s="1"/>
  <c r="AA438" i="4"/>
  <c r="X438" i="4"/>
  <c r="W438" i="4"/>
  <c r="U438" i="4"/>
  <c r="R438" i="4"/>
  <c r="N438" i="4"/>
  <c r="L438" i="4"/>
  <c r="H438" i="4"/>
  <c r="I438" i="4" s="1"/>
  <c r="F438" i="4"/>
  <c r="C438" i="4"/>
  <c r="AD437" i="4"/>
  <c r="AC437" i="4"/>
  <c r="AA437" i="4"/>
  <c r="X437" i="4"/>
  <c r="W437" i="4"/>
  <c r="U437" i="4"/>
  <c r="R437" i="4"/>
  <c r="O437" i="4"/>
  <c r="N437" i="4"/>
  <c r="L437" i="4"/>
  <c r="H437" i="4"/>
  <c r="F437" i="4"/>
  <c r="C437" i="4"/>
  <c r="AC436" i="4"/>
  <c r="AD436" i="4" s="1"/>
  <c r="AA436" i="4"/>
  <c r="W436" i="4"/>
  <c r="X436" i="4" s="1"/>
  <c r="U436" i="4"/>
  <c r="R436" i="4"/>
  <c r="N436" i="4"/>
  <c r="O436" i="4" s="1"/>
  <c r="L436" i="4"/>
  <c r="I436" i="4"/>
  <c r="H436" i="4"/>
  <c r="F436" i="4"/>
  <c r="C436" i="4"/>
  <c r="AC435" i="4"/>
  <c r="AD435" i="4" s="1"/>
  <c r="AA435" i="4"/>
  <c r="W435" i="4"/>
  <c r="X435" i="4" s="1"/>
  <c r="U435" i="4"/>
  <c r="R435" i="4"/>
  <c r="N435" i="4"/>
  <c r="L435" i="4"/>
  <c r="H435" i="4"/>
  <c r="I435" i="4" s="1"/>
  <c r="F435" i="4"/>
  <c r="C435" i="4"/>
  <c r="AD434" i="4"/>
  <c r="AC434" i="4"/>
  <c r="AA434" i="4"/>
  <c r="W434" i="4"/>
  <c r="X434" i="4" s="1"/>
  <c r="U434" i="4"/>
  <c r="R434" i="4"/>
  <c r="N434" i="4"/>
  <c r="O434" i="4" s="1"/>
  <c r="L434" i="4"/>
  <c r="H434" i="4"/>
  <c r="F434" i="4"/>
  <c r="C434" i="4"/>
  <c r="AD433" i="4"/>
  <c r="AC433" i="4"/>
  <c r="AA433" i="4"/>
  <c r="X433" i="4"/>
  <c r="W433" i="4"/>
  <c r="U433" i="4"/>
  <c r="R433" i="4"/>
  <c r="N433" i="4"/>
  <c r="O433" i="4" s="1"/>
  <c r="L433" i="4"/>
  <c r="H433" i="4"/>
  <c r="I433" i="4" s="1"/>
  <c r="F433" i="4"/>
  <c r="C433" i="4"/>
  <c r="AD432" i="4"/>
  <c r="AC432" i="4"/>
  <c r="AA432" i="4"/>
  <c r="W432" i="4"/>
  <c r="X432" i="4" s="1"/>
  <c r="U432" i="4"/>
  <c r="R432" i="4"/>
  <c r="N432" i="4"/>
  <c r="L432" i="4"/>
  <c r="H432" i="4"/>
  <c r="F432" i="4"/>
  <c r="C432" i="4"/>
  <c r="AA429" i="4"/>
  <c r="Z429" i="4"/>
  <c r="T429" i="4"/>
  <c r="U429" i="4" s="1"/>
  <c r="Q429" i="4"/>
  <c r="AC429" i="4" s="1"/>
  <c r="AD429" i="4" s="1"/>
  <c r="L429" i="4"/>
  <c r="K429" i="4"/>
  <c r="E429" i="4"/>
  <c r="F429" i="4" s="1"/>
  <c r="B429" i="4"/>
  <c r="H429" i="4" s="1"/>
  <c r="I429" i="4" s="1"/>
  <c r="AA428" i="4"/>
  <c r="Z428" i="4"/>
  <c r="T428" i="4"/>
  <c r="W428" i="4" s="1"/>
  <c r="X428" i="4" s="1"/>
  <c r="R428" i="4"/>
  <c r="Q428" i="4"/>
  <c r="AC428" i="4" s="1"/>
  <c r="AD428" i="4" s="1"/>
  <c r="K428" i="4"/>
  <c r="L428" i="4" s="1"/>
  <c r="F428" i="4"/>
  <c r="E428" i="4"/>
  <c r="C428" i="4"/>
  <c r="B428" i="4"/>
  <c r="H428" i="4" s="1"/>
  <c r="I428" i="4" s="1"/>
  <c r="AC427" i="4"/>
  <c r="AD427" i="4" s="1"/>
  <c r="AA427" i="4"/>
  <c r="X427" i="4"/>
  <c r="W427" i="4"/>
  <c r="U427" i="4"/>
  <c r="R427" i="4"/>
  <c r="O427" i="4"/>
  <c r="N427" i="4"/>
  <c r="L427" i="4"/>
  <c r="H427" i="4"/>
  <c r="I427" i="4" s="1"/>
  <c r="F427" i="4"/>
  <c r="C427" i="4"/>
  <c r="AC426" i="4"/>
  <c r="AD426" i="4" s="1"/>
  <c r="AA426" i="4"/>
  <c r="X426" i="4"/>
  <c r="W426" i="4"/>
  <c r="U426" i="4"/>
  <c r="R426" i="4"/>
  <c r="N426" i="4"/>
  <c r="O426" i="4" s="1"/>
  <c r="L426" i="4"/>
  <c r="H426" i="4"/>
  <c r="I426" i="4" s="1"/>
  <c r="F426" i="4"/>
  <c r="C426" i="4"/>
  <c r="AD425" i="4"/>
  <c r="AC425" i="4"/>
  <c r="AA425" i="4"/>
  <c r="X425" i="4"/>
  <c r="W425" i="4"/>
  <c r="U425" i="4"/>
  <c r="R425" i="4"/>
  <c r="N425" i="4"/>
  <c r="L425" i="4"/>
  <c r="H425" i="4"/>
  <c r="I425" i="4" s="1"/>
  <c r="F425" i="4"/>
  <c r="C425" i="4"/>
  <c r="AD424" i="4"/>
  <c r="AC424" i="4"/>
  <c r="AA424" i="4"/>
  <c r="W424" i="4"/>
  <c r="X424" i="4" s="1"/>
  <c r="U424" i="4"/>
  <c r="R424" i="4"/>
  <c r="N424" i="4"/>
  <c r="O424" i="4" s="1"/>
  <c r="L424" i="4"/>
  <c r="H424" i="4"/>
  <c r="F424" i="4"/>
  <c r="C424" i="4"/>
  <c r="AC423" i="4"/>
  <c r="AD423" i="4" s="1"/>
  <c r="AA423" i="4"/>
  <c r="X423" i="4"/>
  <c r="W423" i="4"/>
  <c r="U423" i="4"/>
  <c r="R423" i="4"/>
  <c r="N423" i="4"/>
  <c r="L423" i="4"/>
  <c r="H423" i="4"/>
  <c r="I423" i="4" s="1"/>
  <c r="F423" i="4"/>
  <c r="C423" i="4"/>
  <c r="AC422" i="4"/>
  <c r="AD422" i="4" s="1"/>
  <c r="AA422" i="4"/>
  <c r="X422" i="4"/>
  <c r="W422" i="4"/>
  <c r="U422" i="4"/>
  <c r="R422" i="4"/>
  <c r="N422" i="4"/>
  <c r="L422" i="4"/>
  <c r="H422" i="4"/>
  <c r="F422" i="4"/>
  <c r="C422" i="4"/>
  <c r="AD421" i="4"/>
  <c r="AC421" i="4"/>
  <c r="AA421" i="4"/>
  <c r="X421" i="4"/>
  <c r="W421" i="4"/>
  <c r="U421" i="4"/>
  <c r="R421" i="4"/>
  <c r="O421" i="4"/>
  <c r="N421" i="4"/>
  <c r="L421" i="4"/>
  <c r="I421" i="4"/>
  <c r="H421" i="4"/>
  <c r="F421" i="4"/>
  <c r="C421" i="4"/>
  <c r="AC420" i="4"/>
  <c r="AD420" i="4" s="1"/>
  <c r="AA420" i="4"/>
  <c r="W420" i="4"/>
  <c r="X420" i="4" s="1"/>
  <c r="U420" i="4"/>
  <c r="R420" i="4"/>
  <c r="N420" i="4"/>
  <c r="O420" i="4" s="1"/>
  <c r="L420" i="4"/>
  <c r="I420" i="4"/>
  <c r="H420" i="4"/>
  <c r="F420" i="4"/>
  <c r="C420" i="4"/>
  <c r="AC419" i="4"/>
  <c r="AD419" i="4" s="1"/>
  <c r="AA419" i="4"/>
  <c r="X419" i="4"/>
  <c r="W419" i="4"/>
  <c r="U419" i="4"/>
  <c r="R419" i="4"/>
  <c r="O419" i="4"/>
  <c r="N419" i="4"/>
  <c r="L419" i="4"/>
  <c r="H419" i="4"/>
  <c r="I419" i="4" s="1"/>
  <c r="F419" i="4"/>
  <c r="C419" i="4"/>
  <c r="AC418" i="4"/>
  <c r="AD418" i="4" s="1"/>
  <c r="AA418" i="4"/>
  <c r="X418" i="4"/>
  <c r="W418" i="4"/>
  <c r="U418" i="4"/>
  <c r="R418" i="4"/>
  <c r="N418" i="4"/>
  <c r="O418" i="4" s="1"/>
  <c r="L418" i="4"/>
  <c r="H418" i="4"/>
  <c r="I418" i="4" s="1"/>
  <c r="F418" i="4"/>
  <c r="C418" i="4"/>
  <c r="AD417" i="4"/>
  <c r="AC417" i="4"/>
  <c r="AA417" i="4"/>
  <c r="X417" i="4"/>
  <c r="W417" i="4"/>
  <c r="U417" i="4"/>
  <c r="R417" i="4"/>
  <c r="N417" i="4"/>
  <c r="L417" i="4"/>
  <c r="H417" i="4"/>
  <c r="I417" i="4" s="1"/>
  <c r="F417" i="4"/>
  <c r="C417" i="4"/>
  <c r="AD416" i="4"/>
  <c r="AC416" i="4"/>
  <c r="AA416" i="4"/>
  <c r="W416" i="4"/>
  <c r="X416" i="4" s="1"/>
  <c r="U416" i="4"/>
  <c r="R416" i="4"/>
  <c r="N416" i="4"/>
  <c r="O416" i="4" s="1"/>
  <c r="L416" i="4"/>
  <c r="H416" i="4"/>
  <c r="F416" i="4"/>
  <c r="C416" i="4"/>
  <c r="AC415" i="4"/>
  <c r="AD415" i="4" s="1"/>
  <c r="AA415" i="4"/>
  <c r="X415" i="4"/>
  <c r="W415" i="4"/>
  <c r="U415" i="4"/>
  <c r="R415" i="4"/>
  <c r="N415" i="4"/>
  <c r="L415" i="4"/>
  <c r="H415" i="4"/>
  <c r="I415" i="4" s="1"/>
  <c r="F415" i="4"/>
  <c r="C415" i="4"/>
  <c r="AC414" i="4"/>
  <c r="AD414" i="4" s="1"/>
  <c r="AA414" i="4"/>
  <c r="X414" i="4"/>
  <c r="W414" i="4"/>
  <c r="U414" i="4"/>
  <c r="R414" i="4"/>
  <c r="N414" i="4"/>
  <c r="L414" i="4"/>
  <c r="H414" i="4"/>
  <c r="F414" i="4"/>
  <c r="C414" i="4"/>
  <c r="AD413" i="4"/>
  <c r="AC413" i="4"/>
  <c r="AA413" i="4"/>
  <c r="X413" i="4"/>
  <c r="W413" i="4"/>
  <c r="U413" i="4"/>
  <c r="R413" i="4"/>
  <c r="O413" i="4"/>
  <c r="N413" i="4"/>
  <c r="L413" i="4"/>
  <c r="I413" i="4"/>
  <c r="H413" i="4"/>
  <c r="F413" i="4"/>
  <c r="C413" i="4"/>
  <c r="AC412" i="4"/>
  <c r="AD412" i="4" s="1"/>
  <c r="AA412" i="4"/>
  <c r="W412" i="4"/>
  <c r="X412" i="4" s="1"/>
  <c r="U412" i="4"/>
  <c r="R412" i="4"/>
  <c r="N412" i="4"/>
  <c r="O412" i="4" s="1"/>
  <c r="L412" i="4"/>
  <c r="I412" i="4"/>
  <c r="H412" i="4"/>
  <c r="F412" i="4"/>
  <c r="C412" i="4"/>
  <c r="AC411" i="4"/>
  <c r="AD411" i="4" s="1"/>
  <c r="AA411" i="4"/>
  <c r="X411" i="4"/>
  <c r="W411" i="4"/>
  <c r="U411" i="4"/>
  <c r="R411" i="4"/>
  <c r="O411" i="4"/>
  <c r="N411" i="4"/>
  <c r="L411" i="4"/>
  <c r="H411" i="4"/>
  <c r="I411" i="4" s="1"/>
  <c r="F411" i="4"/>
  <c r="C411" i="4"/>
  <c r="AC410" i="4"/>
  <c r="AD410" i="4" s="1"/>
  <c r="AA410" i="4"/>
  <c r="X410" i="4"/>
  <c r="W410" i="4"/>
  <c r="U410" i="4"/>
  <c r="R410" i="4"/>
  <c r="N410" i="4"/>
  <c r="O410" i="4" s="1"/>
  <c r="L410" i="4"/>
  <c r="H410" i="4"/>
  <c r="I410" i="4" s="1"/>
  <c r="F410" i="4"/>
  <c r="C410" i="4"/>
  <c r="AD409" i="4"/>
  <c r="AC409" i="4"/>
  <c r="AA409" i="4"/>
  <c r="X409" i="4"/>
  <c r="W409" i="4"/>
  <c r="U409" i="4"/>
  <c r="R409" i="4"/>
  <c r="N409" i="4"/>
  <c r="L409" i="4"/>
  <c r="H409" i="4"/>
  <c r="I409" i="4" s="1"/>
  <c r="F409" i="4"/>
  <c r="C409" i="4"/>
  <c r="AD408" i="4"/>
  <c r="AC408" i="4"/>
  <c r="AA408" i="4"/>
  <c r="W408" i="4"/>
  <c r="X408" i="4" s="1"/>
  <c r="U408" i="4"/>
  <c r="R408" i="4"/>
  <c r="N408" i="4"/>
  <c r="O408" i="4" s="1"/>
  <c r="L408" i="4"/>
  <c r="H408" i="4"/>
  <c r="F408" i="4"/>
  <c r="C408" i="4"/>
  <c r="AC407" i="4"/>
  <c r="AD407" i="4" s="1"/>
  <c r="AA407" i="4"/>
  <c r="X407" i="4"/>
  <c r="W407" i="4"/>
  <c r="U407" i="4"/>
  <c r="R407" i="4"/>
  <c r="N407" i="4"/>
  <c r="L407" i="4"/>
  <c r="H407" i="4"/>
  <c r="I407" i="4" s="1"/>
  <c r="F407" i="4"/>
  <c r="C407" i="4"/>
  <c r="AA403" i="4"/>
  <c r="Z403" i="4"/>
  <c r="T403" i="4"/>
  <c r="U403" i="4" s="1"/>
  <c r="R403" i="4"/>
  <c r="Q403" i="4"/>
  <c r="AC403" i="4" s="1"/>
  <c r="AD403" i="4" s="1"/>
  <c r="L403" i="4"/>
  <c r="K403" i="4"/>
  <c r="E403" i="4"/>
  <c r="H403" i="4" s="1"/>
  <c r="I403" i="4" s="1"/>
  <c r="C403" i="4"/>
  <c r="B403" i="4"/>
  <c r="N403" i="4" s="1"/>
  <c r="O403" i="4" s="1"/>
  <c r="AC402" i="4"/>
  <c r="AD402" i="4" s="1"/>
  <c r="AA402" i="4"/>
  <c r="X402" i="4"/>
  <c r="W402" i="4"/>
  <c r="U402" i="4"/>
  <c r="R402" i="4"/>
  <c r="N402" i="4"/>
  <c r="L402" i="4"/>
  <c r="H402" i="4"/>
  <c r="F402" i="4"/>
  <c r="C402" i="4"/>
  <c r="AD401" i="4"/>
  <c r="AC401" i="4"/>
  <c r="AA401" i="4"/>
  <c r="X401" i="4"/>
  <c r="W401" i="4"/>
  <c r="U401" i="4"/>
  <c r="R401" i="4"/>
  <c r="O401" i="4"/>
  <c r="N401" i="4"/>
  <c r="L401" i="4"/>
  <c r="I401" i="4"/>
  <c r="H401" i="4"/>
  <c r="F401" i="4"/>
  <c r="C401" i="4"/>
  <c r="AC400" i="4"/>
  <c r="AD400" i="4" s="1"/>
  <c r="AA400" i="4"/>
  <c r="W400" i="4"/>
  <c r="X400" i="4" s="1"/>
  <c r="U400" i="4"/>
  <c r="R400" i="4"/>
  <c r="N400" i="4"/>
  <c r="O400" i="4" s="1"/>
  <c r="L400" i="4"/>
  <c r="I400" i="4"/>
  <c r="H400" i="4"/>
  <c r="F400" i="4"/>
  <c r="C400" i="4"/>
  <c r="AC399" i="4"/>
  <c r="AD399" i="4" s="1"/>
  <c r="AA399" i="4"/>
  <c r="X399" i="4"/>
  <c r="W399" i="4"/>
  <c r="U399" i="4"/>
  <c r="R399" i="4"/>
  <c r="O399" i="4"/>
  <c r="N399" i="4"/>
  <c r="L399" i="4"/>
  <c r="H399" i="4"/>
  <c r="I399" i="4" s="1"/>
  <c r="F399" i="4"/>
  <c r="C399" i="4"/>
  <c r="AC398" i="4"/>
  <c r="AD398" i="4" s="1"/>
  <c r="AA398" i="4"/>
  <c r="X398" i="4"/>
  <c r="W398" i="4"/>
  <c r="U398" i="4"/>
  <c r="R398" i="4"/>
  <c r="N398" i="4"/>
  <c r="O398" i="4" s="1"/>
  <c r="L398" i="4"/>
  <c r="H398" i="4"/>
  <c r="I398" i="4" s="1"/>
  <c r="F398" i="4"/>
  <c r="C398" i="4"/>
  <c r="AD397" i="4"/>
  <c r="AC397" i="4"/>
  <c r="AA397" i="4"/>
  <c r="X397" i="4"/>
  <c r="W397" i="4"/>
  <c r="U397" i="4"/>
  <c r="R397" i="4"/>
  <c r="N397" i="4"/>
  <c r="L397" i="4"/>
  <c r="H397" i="4"/>
  <c r="I397" i="4" s="1"/>
  <c r="F397" i="4"/>
  <c r="C397" i="4"/>
  <c r="AA396" i="4"/>
  <c r="Z396" i="4"/>
  <c r="W396" i="4"/>
  <c r="X396" i="4" s="1"/>
  <c r="T396" i="4"/>
  <c r="U396" i="4" s="1"/>
  <c r="R396" i="4"/>
  <c r="Q396" i="4"/>
  <c r="AC396" i="4" s="1"/>
  <c r="AD396" i="4" s="1"/>
  <c r="K396" i="4"/>
  <c r="L396" i="4" s="1"/>
  <c r="F396" i="4"/>
  <c r="E396" i="4"/>
  <c r="H396" i="4" s="1"/>
  <c r="I396" i="4" s="1"/>
  <c r="C396" i="4"/>
  <c r="B396" i="4"/>
  <c r="N396" i="4" s="1"/>
  <c r="O396" i="4" s="1"/>
  <c r="AD395" i="4"/>
  <c r="AC395" i="4"/>
  <c r="AA395" i="4"/>
  <c r="W395" i="4"/>
  <c r="X395" i="4" s="1"/>
  <c r="U395" i="4"/>
  <c r="R395" i="4"/>
  <c r="N395" i="4"/>
  <c r="O395" i="4" s="1"/>
  <c r="L395" i="4"/>
  <c r="H395" i="4"/>
  <c r="F395" i="4"/>
  <c r="C395" i="4"/>
  <c r="AD394" i="4"/>
  <c r="AC394" i="4"/>
  <c r="AA394" i="4"/>
  <c r="X394" i="4"/>
  <c r="W394" i="4"/>
  <c r="U394" i="4"/>
  <c r="R394" i="4"/>
  <c r="N394" i="4"/>
  <c r="O394" i="4" s="1"/>
  <c r="L394" i="4"/>
  <c r="I394" i="4"/>
  <c r="H394" i="4"/>
  <c r="F394" i="4"/>
  <c r="C394" i="4"/>
  <c r="AA393" i="4"/>
  <c r="Z393" i="4"/>
  <c r="X393" i="4"/>
  <c r="W393" i="4"/>
  <c r="T393" i="4"/>
  <c r="U393" i="4" s="1"/>
  <c r="Q393" i="4"/>
  <c r="R393" i="4" s="1"/>
  <c r="L393" i="4"/>
  <c r="K393" i="4"/>
  <c r="H393" i="4"/>
  <c r="I393" i="4" s="1"/>
  <c r="F393" i="4"/>
  <c r="E393" i="4"/>
  <c r="C393" i="4"/>
  <c r="B393" i="4"/>
  <c r="AC392" i="4"/>
  <c r="AD392" i="4" s="1"/>
  <c r="AA392" i="4"/>
  <c r="X392" i="4"/>
  <c r="W392" i="4"/>
  <c r="U392" i="4"/>
  <c r="R392" i="4"/>
  <c r="N392" i="4"/>
  <c r="L392" i="4"/>
  <c r="H392" i="4"/>
  <c r="I392" i="4" s="1"/>
  <c r="F392" i="4"/>
  <c r="C392" i="4"/>
  <c r="AD391" i="4"/>
  <c r="AC391" i="4"/>
  <c r="AA391" i="4"/>
  <c r="X391" i="4"/>
  <c r="W391" i="4"/>
  <c r="U391" i="4"/>
  <c r="R391" i="4"/>
  <c r="O391" i="4"/>
  <c r="N391" i="4"/>
  <c r="L391" i="4"/>
  <c r="H391" i="4"/>
  <c r="I391" i="4" s="1"/>
  <c r="F391" i="4"/>
  <c r="C391" i="4"/>
  <c r="AC390" i="4"/>
  <c r="AD390" i="4" s="1"/>
  <c r="AA390" i="4"/>
  <c r="W390" i="4"/>
  <c r="X390" i="4" s="1"/>
  <c r="U390" i="4"/>
  <c r="R390" i="4"/>
  <c r="N390" i="4"/>
  <c r="O390" i="4" s="1"/>
  <c r="L390" i="4"/>
  <c r="I390" i="4"/>
  <c r="H390" i="4"/>
  <c r="F390" i="4"/>
  <c r="C390" i="4"/>
  <c r="AC389" i="4"/>
  <c r="AD389" i="4" s="1"/>
  <c r="AA389" i="4"/>
  <c r="X389" i="4"/>
  <c r="W389" i="4"/>
  <c r="U389" i="4"/>
  <c r="R389" i="4"/>
  <c r="N389" i="4"/>
  <c r="L389" i="4"/>
  <c r="H389" i="4"/>
  <c r="I389" i="4" s="1"/>
  <c r="F389" i="4"/>
  <c r="C389" i="4"/>
  <c r="AD388" i="4"/>
  <c r="AC388" i="4"/>
  <c r="AA388" i="4"/>
  <c r="X388" i="4"/>
  <c r="W388" i="4"/>
  <c r="U388" i="4"/>
  <c r="R388" i="4"/>
  <c r="N388" i="4"/>
  <c r="O388" i="4" s="1"/>
  <c r="L388" i="4"/>
  <c r="H388" i="4"/>
  <c r="F388" i="4"/>
  <c r="C388" i="4"/>
  <c r="AD386" i="4"/>
  <c r="AC386" i="4"/>
  <c r="AA386" i="4"/>
  <c r="X386" i="4"/>
  <c r="W386" i="4"/>
  <c r="U386" i="4"/>
  <c r="R386" i="4"/>
  <c r="N386" i="4"/>
  <c r="L386" i="4"/>
  <c r="H386" i="4"/>
  <c r="I386" i="4" s="1"/>
  <c r="F386" i="4"/>
  <c r="C386" i="4"/>
  <c r="AC385" i="4"/>
  <c r="AD385" i="4" s="1"/>
  <c r="AA385" i="4"/>
  <c r="W385" i="4"/>
  <c r="X385" i="4" s="1"/>
  <c r="U385" i="4"/>
  <c r="R385" i="4"/>
  <c r="O385" i="4"/>
  <c r="N385" i="4"/>
  <c r="L385" i="4"/>
  <c r="H385" i="4"/>
  <c r="F385" i="4"/>
  <c r="C385" i="4"/>
  <c r="AC383" i="4"/>
  <c r="AD383" i="4" s="1"/>
  <c r="AA383" i="4"/>
  <c r="X383" i="4"/>
  <c r="W383" i="4"/>
  <c r="U383" i="4"/>
  <c r="R383" i="4"/>
  <c r="O383" i="4"/>
  <c r="N383" i="4"/>
  <c r="L383" i="4"/>
  <c r="I383" i="4"/>
  <c r="H383" i="4"/>
  <c r="F383" i="4"/>
  <c r="C383" i="4"/>
  <c r="AC382" i="4"/>
  <c r="AD382" i="4" s="1"/>
  <c r="AA382" i="4"/>
  <c r="X382" i="4"/>
  <c r="W382" i="4"/>
  <c r="U382" i="4"/>
  <c r="R382" i="4"/>
  <c r="N382" i="4"/>
  <c r="L382" i="4"/>
  <c r="H382" i="4"/>
  <c r="I382" i="4" s="1"/>
  <c r="F382" i="4"/>
  <c r="C382" i="4"/>
  <c r="AD381" i="4"/>
  <c r="AC381" i="4"/>
  <c r="AA381" i="4"/>
  <c r="X381" i="4"/>
  <c r="W381" i="4"/>
  <c r="U381" i="4"/>
  <c r="R381" i="4"/>
  <c r="O381" i="4"/>
  <c r="N381" i="4"/>
  <c r="L381" i="4"/>
  <c r="H381" i="4"/>
  <c r="I381" i="4" s="1"/>
  <c r="F381" i="4"/>
  <c r="C381" i="4"/>
  <c r="AC380" i="4"/>
  <c r="AD380" i="4" s="1"/>
  <c r="AA380" i="4"/>
  <c r="W380" i="4"/>
  <c r="X380" i="4" s="1"/>
  <c r="U380" i="4"/>
  <c r="R380" i="4"/>
  <c r="N380" i="4"/>
  <c r="O380" i="4" s="1"/>
  <c r="L380" i="4"/>
  <c r="I380" i="4"/>
  <c r="H380" i="4"/>
  <c r="F380" i="4"/>
  <c r="C380" i="4"/>
  <c r="AC379" i="4"/>
  <c r="AD379" i="4" s="1"/>
  <c r="AA379" i="4"/>
  <c r="X379" i="4"/>
  <c r="W379" i="4"/>
  <c r="U379" i="4"/>
  <c r="R379" i="4"/>
  <c r="N379" i="4"/>
  <c r="L379" i="4"/>
  <c r="H379" i="4"/>
  <c r="I379" i="4" s="1"/>
  <c r="F379" i="4"/>
  <c r="C379" i="4"/>
  <c r="AD378" i="4"/>
  <c r="AC378" i="4"/>
  <c r="AA378" i="4"/>
  <c r="X378" i="4"/>
  <c r="W378" i="4"/>
  <c r="U378" i="4"/>
  <c r="R378" i="4"/>
  <c r="N378" i="4"/>
  <c r="O378" i="4" s="1"/>
  <c r="L378" i="4"/>
  <c r="H378" i="4"/>
  <c r="F378" i="4"/>
  <c r="C378" i="4"/>
  <c r="AD377" i="4"/>
  <c r="AC377" i="4"/>
  <c r="AA377" i="4"/>
  <c r="X377" i="4"/>
  <c r="W377" i="4"/>
  <c r="U377" i="4"/>
  <c r="R377" i="4"/>
  <c r="N377" i="4"/>
  <c r="L377" i="4"/>
  <c r="H377" i="4"/>
  <c r="I377" i="4" s="1"/>
  <c r="F377" i="4"/>
  <c r="C377" i="4"/>
  <c r="AC376" i="4"/>
  <c r="AD376" i="4" s="1"/>
  <c r="AA376" i="4"/>
  <c r="W376" i="4"/>
  <c r="X376" i="4" s="1"/>
  <c r="U376" i="4"/>
  <c r="R376" i="4"/>
  <c r="O376" i="4"/>
  <c r="N376" i="4"/>
  <c r="L376" i="4"/>
  <c r="H376" i="4"/>
  <c r="F376" i="4"/>
  <c r="C376" i="4"/>
  <c r="AC375" i="4"/>
  <c r="AD375" i="4" s="1"/>
  <c r="AA375" i="4"/>
  <c r="X375" i="4"/>
  <c r="W375" i="4"/>
  <c r="U375" i="4"/>
  <c r="R375" i="4"/>
  <c r="O375" i="4"/>
  <c r="N375" i="4"/>
  <c r="L375" i="4"/>
  <c r="I375" i="4"/>
  <c r="H375" i="4"/>
  <c r="F375" i="4"/>
  <c r="C375" i="4"/>
  <c r="AC374" i="4"/>
  <c r="AD374" i="4" s="1"/>
  <c r="AA374" i="4"/>
  <c r="X374" i="4"/>
  <c r="W374" i="4"/>
  <c r="U374" i="4"/>
  <c r="R374" i="4"/>
  <c r="N374" i="4"/>
  <c r="L374" i="4"/>
  <c r="H374" i="4"/>
  <c r="I374" i="4" s="1"/>
  <c r="F374" i="4"/>
  <c r="C374" i="4"/>
  <c r="AD373" i="4"/>
  <c r="AC373" i="4"/>
  <c r="AA373" i="4"/>
  <c r="X373" i="4"/>
  <c r="W373" i="4"/>
  <c r="U373" i="4"/>
  <c r="R373" i="4"/>
  <c r="O373" i="4"/>
  <c r="N373" i="4"/>
  <c r="L373" i="4"/>
  <c r="H373" i="4"/>
  <c r="I373" i="4" s="1"/>
  <c r="F373" i="4"/>
  <c r="C373" i="4"/>
  <c r="AC372" i="4"/>
  <c r="AD372" i="4" s="1"/>
  <c r="AA372" i="4"/>
  <c r="W372" i="4"/>
  <c r="X372" i="4" s="1"/>
  <c r="U372" i="4"/>
  <c r="R372" i="4"/>
  <c r="N372" i="4"/>
  <c r="O372" i="4" s="1"/>
  <c r="L372" i="4"/>
  <c r="I372" i="4"/>
  <c r="H372" i="4"/>
  <c r="F372" i="4"/>
  <c r="C372" i="4"/>
  <c r="AC371" i="4"/>
  <c r="AD371" i="4" s="1"/>
  <c r="AA371" i="4"/>
  <c r="X371" i="4"/>
  <c r="W371" i="4"/>
  <c r="U371" i="4"/>
  <c r="R371" i="4"/>
  <c r="N371" i="4"/>
  <c r="L371" i="4"/>
  <c r="H371" i="4"/>
  <c r="I371" i="4" s="1"/>
  <c r="F371" i="4"/>
  <c r="C371" i="4"/>
  <c r="AD370" i="4"/>
  <c r="AC370" i="4"/>
  <c r="AA370" i="4"/>
  <c r="X370" i="4"/>
  <c r="W370" i="4"/>
  <c r="U370" i="4"/>
  <c r="R370" i="4"/>
  <c r="N370" i="4"/>
  <c r="O370" i="4" s="1"/>
  <c r="L370" i="4"/>
  <c r="H370" i="4"/>
  <c r="F370" i="4"/>
  <c r="C370" i="4"/>
  <c r="AC369" i="4"/>
  <c r="AD369" i="4" s="1"/>
  <c r="AA369" i="4"/>
  <c r="X369" i="4"/>
  <c r="W369" i="4"/>
  <c r="U369" i="4"/>
  <c r="R369" i="4"/>
  <c r="N369" i="4"/>
  <c r="L369" i="4"/>
  <c r="H369" i="4"/>
  <c r="I369" i="4" s="1"/>
  <c r="F369" i="4"/>
  <c r="C369" i="4"/>
  <c r="Z368" i="4"/>
  <c r="AC368" i="4" s="1"/>
  <c r="AD368" i="4" s="1"/>
  <c r="W368" i="4"/>
  <c r="X368" i="4" s="1"/>
  <c r="T368" i="4"/>
  <c r="U368" i="4" s="1"/>
  <c r="R368" i="4"/>
  <c r="Q368" i="4"/>
  <c r="L368" i="4"/>
  <c r="K368" i="4"/>
  <c r="H368" i="4"/>
  <c r="I368" i="4" s="1"/>
  <c r="F368" i="4"/>
  <c r="E368" i="4"/>
  <c r="B368" i="4"/>
  <c r="C368" i="4" s="1"/>
  <c r="AC367" i="4"/>
  <c r="AD367" i="4" s="1"/>
  <c r="AA367" i="4"/>
  <c r="X367" i="4"/>
  <c r="W367" i="4"/>
  <c r="U367" i="4"/>
  <c r="R367" i="4"/>
  <c r="N367" i="4"/>
  <c r="L367" i="4"/>
  <c r="H367" i="4"/>
  <c r="I367" i="4" s="1"/>
  <c r="F367" i="4"/>
  <c r="C367" i="4"/>
  <c r="AC366" i="4"/>
  <c r="AD366" i="4" s="1"/>
  <c r="AA366" i="4"/>
  <c r="X366" i="4"/>
  <c r="W366" i="4"/>
  <c r="U366" i="4"/>
  <c r="R366" i="4"/>
  <c r="N366" i="4"/>
  <c r="L366" i="4"/>
  <c r="H366" i="4"/>
  <c r="I366" i="4" s="1"/>
  <c r="F366" i="4"/>
  <c r="C366" i="4"/>
  <c r="AD365" i="4"/>
  <c r="AC365" i="4"/>
  <c r="AA365" i="4"/>
  <c r="X365" i="4"/>
  <c r="W365" i="4"/>
  <c r="U365" i="4"/>
  <c r="R365" i="4"/>
  <c r="O365" i="4"/>
  <c r="N365" i="4"/>
  <c r="L365" i="4"/>
  <c r="H365" i="4"/>
  <c r="I365" i="4" s="1"/>
  <c r="F365" i="4"/>
  <c r="C365" i="4"/>
  <c r="AC364" i="4"/>
  <c r="AD364" i="4" s="1"/>
  <c r="AA364" i="4"/>
  <c r="X364" i="4"/>
  <c r="W364" i="4"/>
  <c r="U364" i="4"/>
  <c r="R364" i="4"/>
  <c r="O364" i="4"/>
  <c r="N364" i="4"/>
  <c r="L364" i="4"/>
  <c r="I364" i="4"/>
  <c r="H364" i="4"/>
  <c r="F364" i="4"/>
  <c r="C364" i="4"/>
  <c r="AC363" i="4"/>
  <c r="AD363" i="4" s="1"/>
  <c r="AA363" i="4"/>
  <c r="X363" i="4"/>
  <c r="W363" i="4"/>
  <c r="U363" i="4"/>
  <c r="R363" i="4"/>
  <c r="N363" i="4"/>
  <c r="L363" i="4"/>
  <c r="H363" i="4"/>
  <c r="I363" i="4" s="1"/>
  <c r="F363" i="4"/>
  <c r="C363" i="4"/>
  <c r="AC362" i="4"/>
  <c r="AD362" i="4" s="1"/>
  <c r="AA362" i="4"/>
  <c r="X362" i="4"/>
  <c r="W362" i="4"/>
  <c r="U362" i="4"/>
  <c r="R362" i="4"/>
  <c r="N362" i="4"/>
  <c r="L362" i="4"/>
  <c r="H362" i="4"/>
  <c r="I362" i="4" s="1"/>
  <c r="F362" i="4"/>
  <c r="C362" i="4"/>
  <c r="AD361" i="4"/>
  <c r="AC361" i="4"/>
  <c r="AA361" i="4"/>
  <c r="X361" i="4"/>
  <c r="W361" i="4"/>
  <c r="U361" i="4"/>
  <c r="R361" i="4"/>
  <c r="O361" i="4"/>
  <c r="N361" i="4"/>
  <c r="L361" i="4"/>
  <c r="H361" i="4"/>
  <c r="I361" i="4" s="1"/>
  <c r="F361" i="4"/>
  <c r="C361" i="4"/>
  <c r="AC360" i="4"/>
  <c r="AD360" i="4" s="1"/>
  <c r="AA360" i="4"/>
  <c r="X360" i="4"/>
  <c r="W360" i="4"/>
  <c r="U360" i="4"/>
  <c r="R360" i="4"/>
  <c r="O360" i="4"/>
  <c r="N360" i="4"/>
  <c r="L360" i="4"/>
  <c r="I360" i="4"/>
  <c r="H360" i="4"/>
  <c r="F360" i="4"/>
  <c r="C360" i="4"/>
  <c r="Z358" i="4"/>
  <c r="AA358" i="4" s="1"/>
  <c r="T358" i="4"/>
  <c r="U358" i="4" s="1"/>
  <c r="Q358" i="4"/>
  <c r="R358" i="4" s="1"/>
  <c r="L358" i="4"/>
  <c r="K358" i="4"/>
  <c r="E358" i="4"/>
  <c r="F358" i="4" s="1"/>
  <c r="B358" i="4"/>
  <c r="H358" i="4" s="1"/>
  <c r="I358" i="4" s="1"/>
  <c r="AD357" i="4"/>
  <c r="AC357" i="4"/>
  <c r="AA357" i="4"/>
  <c r="X357" i="4"/>
  <c r="W357" i="4"/>
  <c r="U357" i="4"/>
  <c r="R357" i="4"/>
  <c r="O357" i="4"/>
  <c r="N357" i="4"/>
  <c r="L357" i="4"/>
  <c r="H357" i="4"/>
  <c r="I357" i="4" s="1"/>
  <c r="F357" i="4"/>
  <c r="C357" i="4"/>
  <c r="AC356" i="4"/>
  <c r="AD356" i="4" s="1"/>
  <c r="AA356" i="4"/>
  <c r="X356" i="4"/>
  <c r="W356" i="4"/>
  <c r="U356" i="4"/>
  <c r="R356" i="4"/>
  <c r="O356" i="4"/>
  <c r="N356" i="4"/>
  <c r="L356" i="4"/>
  <c r="I356" i="4"/>
  <c r="H356" i="4"/>
  <c r="F356" i="4"/>
  <c r="C356" i="4"/>
  <c r="AC355" i="4"/>
  <c r="AD355" i="4" s="1"/>
  <c r="AA355" i="4"/>
  <c r="X355" i="4"/>
  <c r="W355" i="4"/>
  <c r="U355" i="4"/>
  <c r="R355" i="4"/>
  <c r="N355" i="4"/>
  <c r="L355" i="4"/>
  <c r="H355" i="4"/>
  <c r="I355" i="4" s="1"/>
  <c r="F355" i="4"/>
  <c r="C355" i="4"/>
  <c r="AC354" i="4"/>
  <c r="AD354" i="4" s="1"/>
  <c r="AA354" i="4"/>
  <c r="X354" i="4"/>
  <c r="W354" i="4"/>
  <c r="U354" i="4"/>
  <c r="R354" i="4"/>
  <c r="N354" i="4"/>
  <c r="L354" i="4"/>
  <c r="H354" i="4"/>
  <c r="I354" i="4" s="1"/>
  <c r="F354" i="4"/>
  <c r="C354" i="4"/>
  <c r="AD353" i="4"/>
  <c r="AC353" i="4"/>
  <c r="AA353" i="4"/>
  <c r="X353" i="4"/>
  <c r="W353" i="4"/>
  <c r="U353" i="4"/>
  <c r="R353" i="4"/>
  <c r="O353" i="4"/>
  <c r="N353" i="4"/>
  <c r="L353" i="4"/>
  <c r="H353" i="4"/>
  <c r="I353" i="4" s="1"/>
  <c r="F353" i="4"/>
  <c r="C353" i="4"/>
  <c r="AC352" i="4"/>
  <c r="AD352" i="4" s="1"/>
  <c r="AA352" i="4"/>
  <c r="X352" i="4"/>
  <c r="W352" i="4"/>
  <c r="U352" i="4"/>
  <c r="R352" i="4"/>
  <c r="O352" i="4"/>
  <c r="N352" i="4"/>
  <c r="L352" i="4"/>
  <c r="I352" i="4"/>
  <c r="H352" i="4"/>
  <c r="F352" i="4"/>
  <c r="C352" i="4"/>
  <c r="AC351" i="4"/>
  <c r="AD351" i="4" s="1"/>
  <c r="AA351" i="4"/>
  <c r="X351" i="4"/>
  <c r="W351" i="4"/>
  <c r="U351" i="4"/>
  <c r="R351" i="4"/>
  <c r="N351" i="4"/>
  <c r="L351" i="4"/>
  <c r="H351" i="4"/>
  <c r="I351" i="4" s="1"/>
  <c r="F351" i="4"/>
  <c r="C351" i="4"/>
  <c r="AC350" i="4"/>
  <c r="AD350" i="4" s="1"/>
  <c r="AA350" i="4"/>
  <c r="X350" i="4"/>
  <c r="W350" i="4"/>
  <c r="U350" i="4"/>
  <c r="R350" i="4"/>
  <c r="N350" i="4"/>
  <c r="L350" i="4"/>
  <c r="H350" i="4"/>
  <c r="I350" i="4" s="1"/>
  <c r="F350" i="4"/>
  <c r="C350" i="4"/>
  <c r="AD349" i="4"/>
  <c r="AC349" i="4"/>
  <c r="AA349" i="4"/>
  <c r="X349" i="4"/>
  <c r="W349" i="4"/>
  <c r="U349" i="4"/>
  <c r="R349" i="4"/>
  <c r="O349" i="4"/>
  <c r="N349" i="4"/>
  <c r="L349" i="4"/>
  <c r="H349" i="4"/>
  <c r="I349" i="4" s="1"/>
  <c r="F349" i="4"/>
  <c r="C349" i="4"/>
  <c r="AC347" i="4"/>
  <c r="AD347" i="4" s="1"/>
  <c r="AA347" i="4"/>
  <c r="X347" i="4"/>
  <c r="W347" i="4"/>
  <c r="U347" i="4"/>
  <c r="R347" i="4"/>
  <c r="O347" i="4"/>
  <c r="N347" i="4"/>
  <c r="L347" i="4"/>
  <c r="I347" i="4"/>
  <c r="H347" i="4"/>
  <c r="F347" i="4"/>
  <c r="C347" i="4"/>
  <c r="Z344" i="4"/>
  <c r="AA344" i="4" s="1"/>
  <c r="T344" i="4"/>
  <c r="W344" i="4" s="1"/>
  <c r="X344" i="4" s="1"/>
  <c r="R344" i="4"/>
  <c r="Q344" i="4"/>
  <c r="AC344" i="4" s="1"/>
  <c r="AD344" i="4" s="1"/>
  <c r="K344" i="4"/>
  <c r="L344" i="4" s="1"/>
  <c r="H344" i="4"/>
  <c r="I344" i="4" s="1"/>
  <c r="F344" i="4"/>
  <c r="E344" i="4"/>
  <c r="B344" i="4"/>
  <c r="C344" i="4" s="1"/>
  <c r="Z343" i="4"/>
  <c r="AA343" i="4" s="1"/>
  <c r="T343" i="4"/>
  <c r="U343" i="4" s="1"/>
  <c r="Q343" i="4"/>
  <c r="R343" i="4" s="1"/>
  <c r="N343" i="4"/>
  <c r="O343" i="4" s="1"/>
  <c r="L343" i="4"/>
  <c r="K343" i="4"/>
  <c r="E343" i="4"/>
  <c r="F343" i="4" s="1"/>
  <c r="B343" i="4"/>
  <c r="Z342" i="4"/>
  <c r="AA342" i="4" s="1"/>
  <c r="T342" i="4"/>
  <c r="R342" i="4"/>
  <c r="Q342" i="4"/>
  <c r="AC342" i="4" s="1"/>
  <c r="AD342" i="4" s="1"/>
  <c r="K342" i="4"/>
  <c r="L342" i="4" s="1"/>
  <c r="H342" i="4"/>
  <c r="I342" i="4" s="1"/>
  <c r="F342" i="4"/>
  <c r="E342" i="4"/>
  <c r="B342" i="4"/>
  <c r="C342" i="4" s="1"/>
  <c r="AC341" i="4"/>
  <c r="AD341" i="4" s="1"/>
  <c r="AA341" i="4"/>
  <c r="X341" i="4"/>
  <c r="W341" i="4"/>
  <c r="U341" i="4"/>
  <c r="R341" i="4"/>
  <c r="N341" i="4"/>
  <c r="L341" i="4"/>
  <c r="H341" i="4"/>
  <c r="I341" i="4" s="1"/>
  <c r="F341" i="4"/>
  <c r="C341" i="4"/>
  <c r="AC340" i="4"/>
  <c r="AD340" i="4" s="1"/>
  <c r="AA340" i="4"/>
  <c r="X340" i="4"/>
  <c r="W340" i="4"/>
  <c r="U340" i="4"/>
  <c r="R340" i="4"/>
  <c r="N340" i="4"/>
  <c r="L340" i="4"/>
  <c r="H340" i="4"/>
  <c r="I340" i="4" s="1"/>
  <c r="F340" i="4"/>
  <c r="C340" i="4"/>
  <c r="AD339" i="4"/>
  <c r="AC339" i="4"/>
  <c r="AA339" i="4"/>
  <c r="X339" i="4"/>
  <c r="W339" i="4"/>
  <c r="U339" i="4"/>
  <c r="R339" i="4"/>
  <c r="O339" i="4"/>
  <c r="N339" i="4"/>
  <c r="L339" i="4"/>
  <c r="H339" i="4"/>
  <c r="I339" i="4" s="1"/>
  <c r="F339" i="4"/>
  <c r="C339" i="4"/>
  <c r="AC338" i="4"/>
  <c r="AD338" i="4" s="1"/>
  <c r="AA338" i="4"/>
  <c r="X338" i="4"/>
  <c r="W338" i="4"/>
  <c r="U338" i="4"/>
  <c r="R338" i="4"/>
  <c r="O338" i="4"/>
  <c r="N338" i="4"/>
  <c r="L338" i="4"/>
  <c r="I338" i="4"/>
  <c r="H338" i="4"/>
  <c r="F338" i="4"/>
  <c r="C338" i="4"/>
  <c r="AC337" i="4"/>
  <c r="AD337" i="4" s="1"/>
  <c r="AA337" i="4"/>
  <c r="X337" i="4"/>
  <c r="W337" i="4"/>
  <c r="U337" i="4"/>
  <c r="R337" i="4"/>
  <c r="N337" i="4"/>
  <c r="L337" i="4"/>
  <c r="H337" i="4"/>
  <c r="I337" i="4" s="1"/>
  <c r="F337" i="4"/>
  <c r="C337" i="4"/>
  <c r="AC335" i="4"/>
  <c r="AD335" i="4" s="1"/>
  <c r="AA335" i="4"/>
  <c r="X335" i="4"/>
  <c r="W335" i="4"/>
  <c r="U335" i="4"/>
  <c r="R335" i="4"/>
  <c r="N335" i="4"/>
  <c r="L335" i="4"/>
  <c r="H335" i="4"/>
  <c r="I335" i="4" s="1"/>
  <c r="F335" i="4"/>
  <c r="C335" i="4"/>
  <c r="AD334" i="4"/>
  <c r="AC334" i="4"/>
  <c r="AA334" i="4"/>
  <c r="X334" i="4"/>
  <c r="W334" i="4"/>
  <c r="U334" i="4"/>
  <c r="R334" i="4"/>
  <c r="O334" i="4"/>
  <c r="N334" i="4"/>
  <c r="L334" i="4"/>
  <c r="H334" i="4"/>
  <c r="I334" i="4" s="1"/>
  <c r="F334" i="4"/>
  <c r="C334" i="4"/>
  <c r="AC333" i="4"/>
  <c r="AD333" i="4" s="1"/>
  <c r="AA333" i="4"/>
  <c r="X333" i="4"/>
  <c r="W333" i="4"/>
  <c r="U333" i="4"/>
  <c r="R333" i="4"/>
  <c r="O333" i="4"/>
  <c r="N333" i="4"/>
  <c r="L333" i="4"/>
  <c r="I333" i="4"/>
  <c r="H333" i="4"/>
  <c r="F333" i="4"/>
  <c r="C333" i="4"/>
  <c r="AC332" i="4"/>
  <c r="AD332" i="4" s="1"/>
  <c r="AA332" i="4"/>
  <c r="X332" i="4"/>
  <c r="W332" i="4"/>
  <c r="U332" i="4"/>
  <c r="R332" i="4"/>
  <c r="N332" i="4"/>
  <c r="L332" i="4"/>
  <c r="H332" i="4"/>
  <c r="I332" i="4" s="1"/>
  <c r="F332" i="4"/>
  <c r="C332" i="4"/>
  <c r="AC331" i="4"/>
  <c r="AD331" i="4" s="1"/>
  <c r="AA331" i="4"/>
  <c r="X331" i="4"/>
  <c r="W331" i="4"/>
  <c r="U331" i="4"/>
  <c r="R331" i="4"/>
  <c r="N331" i="4"/>
  <c r="L331" i="4"/>
  <c r="H331" i="4"/>
  <c r="I331" i="4" s="1"/>
  <c r="F331" i="4"/>
  <c r="C331" i="4"/>
  <c r="AD330" i="4"/>
  <c r="AC330" i="4"/>
  <c r="AA330" i="4"/>
  <c r="X330" i="4"/>
  <c r="W330" i="4"/>
  <c r="U330" i="4"/>
  <c r="R330" i="4"/>
  <c r="O330" i="4"/>
  <c r="N330" i="4"/>
  <c r="L330" i="4"/>
  <c r="H330" i="4"/>
  <c r="I330" i="4" s="1"/>
  <c r="F330" i="4"/>
  <c r="C330" i="4"/>
  <c r="AC329" i="4"/>
  <c r="AD329" i="4" s="1"/>
  <c r="AA329" i="4"/>
  <c r="X329" i="4"/>
  <c r="W329" i="4"/>
  <c r="U329" i="4"/>
  <c r="R329" i="4"/>
  <c r="O329" i="4"/>
  <c r="N329" i="4"/>
  <c r="L329" i="4"/>
  <c r="I329" i="4"/>
  <c r="H329" i="4"/>
  <c r="F329" i="4"/>
  <c r="C329" i="4"/>
  <c r="AC328" i="4"/>
  <c r="AD328" i="4" s="1"/>
  <c r="AA328" i="4"/>
  <c r="X328" i="4"/>
  <c r="W328" i="4"/>
  <c r="U328" i="4"/>
  <c r="R328" i="4"/>
  <c r="O328" i="4"/>
  <c r="N328" i="4"/>
  <c r="L328" i="4"/>
  <c r="H328" i="4"/>
  <c r="I328" i="4" s="1"/>
  <c r="F328" i="4"/>
  <c r="C328" i="4"/>
  <c r="Z325" i="4"/>
  <c r="AA325" i="4" s="1"/>
  <c r="W325" i="4"/>
  <c r="X325" i="4" s="1"/>
  <c r="U325" i="4"/>
  <c r="T325" i="4"/>
  <c r="Q325" i="4"/>
  <c r="R325" i="4" s="1"/>
  <c r="K325" i="4"/>
  <c r="L325" i="4" s="1"/>
  <c r="E325" i="4"/>
  <c r="F325" i="4" s="1"/>
  <c r="B325" i="4"/>
  <c r="AA324" i="4"/>
  <c r="Z324" i="4"/>
  <c r="T324" i="4"/>
  <c r="U324" i="4" s="1"/>
  <c r="Q324" i="4"/>
  <c r="K324" i="4"/>
  <c r="L324" i="4" s="1"/>
  <c r="H324" i="4"/>
  <c r="I324" i="4" s="1"/>
  <c r="E324" i="4"/>
  <c r="F324" i="4" s="1"/>
  <c r="C324" i="4"/>
  <c r="B324" i="4"/>
  <c r="N324" i="4" s="1"/>
  <c r="O324" i="4" s="1"/>
  <c r="AC323" i="4"/>
  <c r="AD323" i="4" s="1"/>
  <c r="AA323" i="4"/>
  <c r="X323" i="4"/>
  <c r="W323" i="4"/>
  <c r="U323" i="4"/>
  <c r="R323" i="4"/>
  <c r="N323" i="4"/>
  <c r="L323" i="4"/>
  <c r="H323" i="4"/>
  <c r="I323" i="4" s="1"/>
  <c r="F323" i="4"/>
  <c r="C323" i="4"/>
  <c r="AD322" i="4"/>
  <c r="AC322" i="4"/>
  <c r="AA322" i="4"/>
  <c r="X322" i="4"/>
  <c r="W322" i="4"/>
  <c r="U322" i="4"/>
  <c r="R322" i="4"/>
  <c r="O322" i="4"/>
  <c r="N322" i="4"/>
  <c r="L322" i="4"/>
  <c r="H322" i="4"/>
  <c r="I322" i="4" s="1"/>
  <c r="F322" i="4"/>
  <c r="C322" i="4"/>
  <c r="AC321" i="4"/>
  <c r="AD321" i="4" s="1"/>
  <c r="AA321" i="4"/>
  <c r="X321" i="4"/>
  <c r="W321" i="4"/>
  <c r="U321" i="4"/>
  <c r="R321" i="4"/>
  <c r="O321" i="4"/>
  <c r="N321" i="4"/>
  <c r="L321" i="4"/>
  <c r="I321" i="4"/>
  <c r="H321" i="4"/>
  <c r="F321" i="4"/>
  <c r="C321" i="4"/>
  <c r="AC320" i="4"/>
  <c r="AD320" i="4" s="1"/>
  <c r="AA320" i="4"/>
  <c r="X320" i="4"/>
  <c r="W320" i="4"/>
  <c r="U320" i="4"/>
  <c r="R320" i="4"/>
  <c r="O320" i="4"/>
  <c r="N320" i="4"/>
  <c r="L320" i="4"/>
  <c r="H320" i="4"/>
  <c r="I320" i="4" s="1"/>
  <c r="F320" i="4"/>
  <c r="C320" i="4"/>
  <c r="AC319" i="4"/>
  <c r="AD319" i="4" s="1"/>
  <c r="AA319" i="4"/>
  <c r="W319" i="4"/>
  <c r="X319" i="4" s="1"/>
  <c r="U319" i="4"/>
  <c r="R319" i="4"/>
  <c r="N319" i="4"/>
  <c r="L319" i="4"/>
  <c r="H319" i="4"/>
  <c r="I319" i="4" s="1"/>
  <c r="F319" i="4"/>
  <c r="C319" i="4"/>
  <c r="AD318" i="4"/>
  <c r="AC318" i="4"/>
  <c r="AA318" i="4"/>
  <c r="X318" i="4"/>
  <c r="W318" i="4"/>
  <c r="U318" i="4"/>
  <c r="R318" i="4"/>
  <c r="N318" i="4"/>
  <c r="O318" i="4" s="1"/>
  <c r="L318" i="4"/>
  <c r="H318" i="4"/>
  <c r="I318" i="4" s="1"/>
  <c r="F318" i="4"/>
  <c r="C318" i="4"/>
  <c r="AD317" i="4"/>
  <c r="AC317" i="4"/>
  <c r="AA317" i="4"/>
  <c r="X317" i="4"/>
  <c r="W317" i="4"/>
  <c r="U317" i="4"/>
  <c r="R317" i="4"/>
  <c r="N317" i="4"/>
  <c r="O317" i="4" s="1"/>
  <c r="L317" i="4"/>
  <c r="I317" i="4"/>
  <c r="H317" i="4"/>
  <c r="F317" i="4"/>
  <c r="C317" i="4"/>
  <c r="AC316" i="4"/>
  <c r="AD316" i="4" s="1"/>
  <c r="AA316" i="4"/>
  <c r="W316" i="4"/>
  <c r="X316" i="4" s="1"/>
  <c r="U316" i="4"/>
  <c r="R316" i="4"/>
  <c r="O316" i="4"/>
  <c r="N316" i="4"/>
  <c r="L316" i="4"/>
  <c r="H316" i="4"/>
  <c r="I316" i="4" s="1"/>
  <c r="F316" i="4"/>
  <c r="C316" i="4"/>
  <c r="AC315" i="4"/>
  <c r="AD315" i="4" s="1"/>
  <c r="AA315" i="4"/>
  <c r="X315" i="4"/>
  <c r="W315" i="4"/>
  <c r="U315" i="4"/>
  <c r="R315" i="4"/>
  <c r="N315" i="4"/>
  <c r="L315" i="4"/>
  <c r="H315" i="4"/>
  <c r="I315" i="4" s="1"/>
  <c r="F315" i="4"/>
  <c r="C315" i="4"/>
  <c r="AD314" i="4"/>
  <c r="AC314" i="4"/>
  <c r="AA314" i="4"/>
  <c r="X314" i="4"/>
  <c r="W314" i="4"/>
  <c r="U314" i="4"/>
  <c r="R314" i="4"/>
  <c r="O314" i="4"/>
  <c r="N314" i="4"/>
  <c r="L314" i="4"/>
  <c r="H314" i="4"/>
  <c r="I314" i="4" s="1"/>
  <c r="F314" i="4"/>
  <c r="C314" i="4"/>
  <c r="AD313" i="4"/>
  <c r="AC313" i="4"/>
  <c r="AA313" i="4"/>
  <c r="X313" i="4"/>
  <c r="W313" i="4"/>
  <c r="U313" i="4"/>
  <c r="R313" i="4"/>
  <c r="N313" i="4"/>
  <c r="O313" i="4" s="1"/>
  <c r="L313" i="4"/>
  <c r="I313" i="4"/>
  <c r="H313" i="4"/>
  <c r="F313" i="4"/>
  <c r="C313" i="4"/>
  <c r="AC312" i="4"/>
  <c r="AD312" i="4" s="1"/>
  <c r="AA312" i="4"/>
  <c r="X312" i="4"/>
  <c r="W312" i="4"/>
  <c r="U312" i="4"/>
  <c r="R312" i="4"/>
  <c r="O312" i="4"/>
  <c r="N312" i="4"/>
  <c r="L312" i="4"/>
  <c r="H312" i="4"/>
  <c r="I312" i="4" s="1"/>
  <c r="F312" i="4"/>
  <c r="C312" i="4"/>
  <c r="AC311" i="4"/>
  <c r="AD311" i="4" s="1"/>
  <c r="AA311" i="4"/>
  <c r="W311" i="4"/>
  <c r="X311" i="4" s="1"/>
  <c r="U311" i="4"/>
  <c r="R311" i="4"/>
  <c r="N311" i="4"/>
  <c r="L311" i="4"/>
  <c r="H311" i="4"/>
  <c r="I311" i="4" s="1"/>
  <c r="F311" i="4"/>
  <c r="C311" i="4"/>
  <c r="AD310" i="4"/>
  <c r="AC310" i="4"/>
  <c r="AA310" i="4"/>
  <c r="X310" i="4"/>
  <c r="W310" i="4"/>
  <c r="U310" i="4"/>
  <c r="R310" i="4"/>
  <c r="N310" i="4"/>
  <c r="O310" i="4" s="1"/>
  <c r="L310" i="4"/>
  <c r="H310" i="4"/>
  <c r="I310" i="4" s="1"/>
  <c r="F310" i="4"/>
  <c r="C310" i="4"/>
  <c r="AD309" i="4"/>
  <c r="AC309" i="4"/>
  <c r="AA309" i="4"/>
  <c r="X309" i="4"/>
  <c r="W309" i="4"/>
  <c r="U309" i="4"/>
  <c r="R309" i="4"/>
  <c r="O309" i="4"/>
  <c r="N309" i="4"/>
  <c r="L309" i="4"/>
  <c r="I309" i="4"/>
  <c r="H309" i="4"/>
  <c r="F309" i="4"/>
  <c r="C309" i="4"/>
  <c r="AC308" i="4"/>
  <c r="AD308" i="4" s="1"/>
  <c r="AA308" i="4"/>
  <c r="X308" i="4"/>
  <c r="W308" i="4"/>
  <c r="U308" i="4"/>
  <c r="R308" i="4"/>
  <c r="O308" i="4"/>
  <c r="N308" i="4"/>
  <c r="L308" i="4"/>
  <c r="I308" i="4"/>
  <c r="H308" i="4"/>
  <c r="F308" i="4"/>
  <c r="C308" i="4"/>
  <c r="AC307" i="4"/>
  <c r="AD307" i="4" s="1"/>
  <c r="AA307" i="4"/>
  <c r="X307" i="4"/>
  <c r="W307" i="4"/>
  <c r="U307" i="4"/>
  <c r="R307" i="4"/>
  <c r="N307" i="4"/>
  <c r="L307" i="4"/>
  <c r="H307" i="4"/>
  <c r="I307" i="4" s="1"/>
  <c r="F307" i="4"/>
  <c r="C307" i="4"/>
  <c r="AD306" i="4"/>
  <c r="AC306" i="4"/>
  <c r="AA306" i="4"/>
  <c r="X306" i="4"/>
  <c r="W306" i="4"/>
  <c r="U306" i="4"/>
  <c r="R306" i="4"/>
  <c r="O306" i="4"/>
  <c r="N306" i="4"/>
  <c r="L306" i="4"/>
  <c r="H306" i="4"/>
  <c r="I306" i="4" s="1"/>
  <c r="F306" i="4"/>
  <c r="C306" i="4"/>
  <c r="AD305" i="4"/>
  <c r="AC305" i="4"/>
  <c r="AA305" i="4"/>
  <c r="X305" i="4"/>
  <c r="W305" i="4"/>
  <c r="U305" i="4"/>
  <c r="R305" i="4"/>
  <c r="N305" i="4"/>
  <c r="O305" i="4" s="1"/>
  <c r="L305" i="4"/>
  <c r="I305" i="4"/>
  <c r="H305" i="4"/>
  <c r="F305" i="4"/>
  <c r="C305" i="4"/>
  <c r="AC304" i="4"/>
  <c r="AD304" i="4" s="1"/>
  <c r="AA304" i="4"/>
  <c r="X304" i="4"/>
  <c r="W304" i="4"/>
  <c r="U304" i="4"/>
  <c r="R304" i="4"/>
  <c r="O304" i="4"/>
  <c r="N304" i="4"/>
  <c r="L304" i="4"/>
  <c r="H304" i="4"/>
  <c r="I304" i="4" s="1"/>
  <c r="F304" i="4"/>
  <c r="C304" i="4"/>
  <c r="AC303" i="4"/>
  <c r="AD303" i="4" s="1"/>
  <c r="AA303" i="4"/>
  <c r="X303" i="4"/>
  <c r="W303" i="4"/>
  <c r="U303" i="4"/>
  <c r="R303" i="4"/>
  <c r="O303" i="4"/>
  <c r="N303" i="4"/>
  <c r="L303" i="4"/>
  <c r="H303" i="4"/>
  <c r="I303" i="4" s="1"/>
  <c r="F303" i="4"/>
  <c r="C303" i="4"/>
  <c r="AD302" i="4"/>
  <c r="AC302" i="4"/>
  <c r="AA302" i="4"/>
  <c r="X302" i="4"/>
  <c r="W302" i="4"/>
  <c r="U302" i="4"/>
  <c r="R302" i="4"/>
  <c r="N302" i="4"/>
  <c r="O302" i="4" s="1"/>
  <c r="L302" i="4"/>
  <c r="H302" i="4"/>
  <c r="I302" i="4" s="1"/>
  <c r="F302" i="4"/>
  <c r="C302" i="4"/>
  <c r="AD301" i="4"/>
  <c r="AC301" i="4"/>
  <c r="AA301" i="4"/>
  <c r="X301" i="4"/>
  <c r="W301" i="4"/>
  <c r="U301" i="4"/>
  <c r="R301" i="4"/>
  <c r="O301" i="4"/>
  <c r="N301" i="4"/>
  <c r="L301" i="4"/>
  <c r="I301" i="4"/>
  <c r="H301" i="4"/>
  <c r="F301" i="4"/>
  <c r="C301" i="4"/>
  <c r="AC300" i="4"/>
  <c r="AD300" i="4" s="1"/>
  <c r="AA300" i="4"/>
  <c r="X300" i="4"/>
  <c r="W300" i="4"/>
  <c r="U300" i="4"/>
  <c r="R300" i="4"/>
  <c r="O300" i="4"/>
  <c r="N300" i="4"/>
  <c r="L300" i="4"/>
  <c r="I300" i="4"/>
  <c r="H300" i="4"/>
  <c r="F300" i="4"/>
  <c r="C300" i="4"/>
  <c r="AC299" i="4"/>
  <c r="AD299" i="4" s="1"/>
  <c r="AA299" i="4"/>
  <c r="W299" i="4"/>
  <c r="X299" i="4" s="1"/>
  <c r="U299" i="4"/>
  <c r="R299" i="4"/>
  <c r="O299" i="4"/>
  <c r="N299" i="4"/>
  <c r="L299" i="4"/>
  <c r="H299" i="4"/>
  <c r="I299" i="4" s="1"/>
  <c r="F299" i="4"/>
  <c r="C299" i="4"/>
  <c r="AD298" i="4"/>
  <c r="AC298" i="4"/>
  <c r="AA298" i="4"/>
  <c r="X298" i="4"/>
  <c r="W298" i="4"/>
  <c r="U298" i="4"/>
  <c r="R298" i="4"/>
  <c r="O298" i="4"/>
  <c r="N298" i="4"/>
  <c r="L298" i="4"/>
  <c r="H298" i="4"/>
  <c r="I298" i="4" s="1"/>
  <c r="F298" i="4"/>
  <c r="C298" i="4"/>
  <c r="AD297" i="4"/>
  <c r="AC297" i="4"/>
  <c r="AA297" i="4"/>
  <c r="X297" i="4"/>
  <c r="W297" i="4"/>
  <c r="U297" i="4"/>
  <c r="R297" i="4"/>
  <c r="N297" i="4"/>
  <c r="O297" i="4" s="1"/>
  <c r="L297" i="4"/>
  <c r="I297" i="4"/>
  <c r="H297" i="4"/>
  <c r="F297" i="4"/>
  <c r="C297" i="4"/>
  <c r="Z295" i="4"/>
  <c r="AA295" i="4" s="1"/>
  <c r="T295" i="4"/>
  <c r="U295" i="4" s="1"/>
  <c r="Q295" i="4"/>
  <c r="L295" i="4"/>
  <c r="K295" i="4"/>
  <c r="E295" i="4"/>
  <c r="F295" i="4" s="1"/>
  <c r="B295" i="4"/>
  <c r="H295" i="4" s="1"/>
  <c r="I295" i="4" s="1"/>
  <c r="AD294" i="4"/>
  <c r="AC294" i="4"/>
  <c r="AA294" i="4"/>
  <c r="X294" i="4"/>
  <c r="W294" i="4"/>
  <c r="U294" i="4"/>
  <c r="R294" i="4"/>
  <c r="O294" i="4"/>
  <c r="N294" i="4"/>
  <c r="L294" i="4"/>
  <c r="H294" i="4"/>
  <c r="I294" i="4" s="1"/>
  <c r="F294" i="4"/>
  <c r="C294" i="4"/>
  <c r="AD293" i="4"/>
  <c r="AC293" i="4"/>
  <c r="AA293" i="4"/>
  <c r="X293" i="4"/>
  <c r="W293" i="4"/>
  <c r="U293" i="4"/>
  <c r="R293" i="4"/>
  <c r="N293" i="4"/>
  <c r="O293" i="4" s="1"/>
  <c r="L293" i="4"/>
  <c r="I293" i="4"/>
  <c r="H293" i="4"/>
  <c r="F293" i="4"/>
  <c r="C293" i="4"/>
  <c r="AC292" i="4"/>
  <c r="AD292" i="4" s="1"/>
  <c r="AA292" i="4"/>
  <c r="X292" i="4"/>
  <c r="W292" i="4"/>
  <c r="U292" i="4"/>
  <c r="R292" i="4"/>
  <c r="O292" i="4"/>
  <c r="N292" i="4"/>
  <c r="L292" i="4"/>
  <c r="H292" i="4"/>
  <c r="I292" i="4" s="1"/>
  <c r="F292" i="4"/>
  <c r="C292" i="4"/>
  <c r="AC291" i="4"/>
  <c r="AD291" i="4" s="1"/>
  <c r="AA291" i="4"/>
  <c r="X291" i="4"/>
  <c r="W291" i="4"/>
  <c r="U291" i="4"/>
  <c r="R291" i="4"/>
  <c r="O291" i="4"/>
  <c r="N291" i="4"/>
  <c r="L291" i="4"/>
  <c r="H291" i="4"/>
  <c r="I291" i="4" s="1"/>
  <c r="F291" i="4"/>
  <c r="C291" i="4"/>
  <c r="AD290" i="4"/>
  <c r="AC290" i="4"/>
  <c r="AA290" i="4"/>
  <c r="X290" i="4"/>
  <c r="W290" i="4"/>
  <c r="U290" i="4"/>
  <c r="R290" i="4"/>
  <c r="N290" i="4"/>
  <c r="O290" i="4" s="1"/>
  <c r="L290" i="4"/>
  <c r="H290" i="4"/>
  <c r="I290" i="4" s="1"/>
  <c r="F290" i="4"/>
  <c r="C290" i="4"/>
  <c r="AC289" i="4"/>
  <c r="AD289" i="4" s="1"/>
  <c r="AA289" i="4"/>
  <c r="X289" i="4"/>
  <c r="W289" i="4"/>
  <c r="U289" i="4"/>
  <c r="R289" i="4"/>
  <c r="O289" i="4"/>
  <c r="N289" i="4"/>
  <c r="L289" i="4"/>
  <c r="I289" i="4"/>
  <c r="H289" i="4"/>
  <c r="F289" i="4"/>
  <c r="C289" i="4"/>
  <c r="AC288" i="4"/>
  <c r="AD288" i="4" s="1"/>
  <c r="AA288" i="4"/>
  <c r="W288" i="4"/>
  <c r="X288" i="4" s="1"/>
  <c r="U288" i="4"/>
  <c r="R288" i="4"/>
  <c r="O288" i="4"/>
  <c r="N288" i="4"/>
  <c r="L288" i="4"/>
  <c r="I288" i="4"/>
  <c r="H288" i="4"/>
  <c r="F288" i="4"/>
  <c r="C288" i="4"/>
  <c r="AC287" i="4"/>
  <c r="AD287" i="4" s="1"/>
  <c r="AA287" i="4"/>
  <c r="W287" i="4"/>
  <c r="X287" i="4" s="1"/>
  <c r="U287" i="4"/>
  <c r="R287" i="4"/>
  <c r="O287" i="4"/>
  <c r="N287" i="4"/>
  <c r="L287" i="4"/>
  <c r="H287" i="4"/>
  <c r="I287" i="4" s="1"/>
  <c r="F287" i="4"/>
  <c r="C287" i="4"/>
  <c r="AD286" i="4"/>
  <c r="AC286" i="4"/>
  <c r="AA286" i="4"/>
  <c r="X286" i="4"/>
  <c r="W286" i="4"/>
  <c r="U286" i="4"/>
  <c r="R286" i="4"/>
  <c r="O286" i="4"/>
  <c r="N286" i="4"/>
  <c r="L286" i="4"/>
  <c r="H286" i="4"/>
  <c r="I286" i="4" s="1"/>
  <c r="F286" i="4"/>
  <c r="C286" i="4"/>
  <c r="AD284" i="4"/>
  <c r="AC284" i="4"/>
  <c r="AA284" i="4"/>
  <c r="Z284" i="4"/>
  <c r="T284" i="4"/>
  <c r="U284" i="4" s="1"/>
  <c r="R284" i="4"/>
  <c r="Q284" i="4"/>
  <c r="O284" i="4"/>
  <c r="K284" i="4"/>
  <c r="L284" i="4" s="1"/>
  <c r="H284" i="4"/>
  <c r="I284" i="4" s="1"/>
  <c r="F284" i="4"/>
  <c r="E284" i="4"/>
  <c r="C284" i="4"/>
  <c r="B284" i="4"/>
  <c r="N284" i="4" s="1"/>
  <c r="AC283" i="4"/>
  <c r="AD283" i="4" s="1"/>
  <c r="AA283" i="4"/>
  <c r="W283" i="4"/>
  <c r="X283" i="4" s="1"/>
  <c r="U283" i="4"/>
  <c r="R283" i="4"/>
  <c r="O283" i="4"/>
  <c r="N283" i="4"/>
  <c r="L283" i="4"/>
  <c r="H283" i="4"/>
  <c r="I283" i="4" s="1"/>
  <c r="F283" i="4"/>
  <c r="C283" i="4"/>
  <c r="AD282" i="4"/>
  <c r="AC282" i="4"/>
  <c r="AA282" i="4"/>
  <c r="X282" i="4"/>
  <c r="W282" i="4"/>
  <c r="U282" i="4"/>
  <c r="R282" i="4"/>
  <c r="N282" i="4"/>
  <c r="O282" i="4" s="1"/>
  <c r="L282" i="4"/>
  <c r="H282" i="4"/>
  <c r="I282" i="4" s="1"/>
  <c r="F282" i="4"/>
  <c r="C282" i="4"/>
  <c r="AC281" i="4"/>
  <c r="AD281" i="4" s="1"/>
  <c r="AA281" i="4"/>
  <c r="X281" i="4"/>
  <c r="W281" i="4"/>
  <c r="U281" i="4"/>
  <c r="R281" i="4"/>
  <c r="N281" i="4"/>
  <c r="O281" i="4" s="1"/>
  <c r="L281" i="4"/>
  <c r="I281" i="4"/>
  <c r="H281" i="4"/>
  <c r="F281" i="4"/>
  <c r="C281" i="4"/>
  <c r="AC280" i="4"/>
  <c r="AD280" i="4" s="1"/>
  <c r="AA280" i="4"/>
  <c r="W280" i="4"/>
  <c r="X280" i="4" s="1"/>
  <c r="U280" i="4"/>
  <c r="R280" i="4"/>
  <c r="O280" i="4"/>
  <c r="N280" i="4"/>
  <c r="L280" i="4"/>
  <c r="H280" i="4"/>
  <c r="I280" i="4" s="1"/>
  <c r="F280" i="4"/>
  <c r="C280" i="4"/>
  <c r="AC279" i="4"/>
  <c r="AD279" i="4" s="1"/>
  <c r="AA279" i="4"/>
  <c r="W279" i="4"/>
  <c r="X279" i="4" s="1"/>
  <c r="U279" i="4"/>
  <c r="R279" i="4"/>
  <c r="O279" i="4"/>
  <c r="N279" i="4"/>
  <c r="L279" i="4"/>
  <c r="H279" i="4"/>
  <c r="I279" i="4" s="1"/>
  <c r="F279" i="4"/>
  <c r="C279" i="4"/>
  <c r="AD278" i="4"/>
  <c r="AC278" i="4"/>
  <c r="AA278" i="4"/>
  <c r="X278" i="4"/>
  <c r="W278" i="4"/>
  <c r="U278" i="4"/>
  <c r="R278" i="4"/>
  <c r="O278" i="4"/>
  <c r="N278" i="4"/>
  <c r="L278" i="4"/>
  <c r="H278" i="4"/>
  <c r="I278" i="4" s="1"/>
  <c r="F278" i="4"/>
  <c r="C278" i="4"/>
  <c r="AD277" i="4"/>
  <c r="AC277" i="4"/>
  <c r="AA277" i="4"/>
  <c r="X277" i="4"/>
  <c r="W277" i="4"/>
  <c r="U277" i="4"/>
  <c r="R277" i="4"/>
  <c r="O277" i="4"/>
  <c r="N277" i="4"/>
  <c r="L277" i="4"/>
  <c r="I277" i="4"/>
  <c r="H277" i="4"/>
  <c r="F277" i="4"/>
  <c r="C277" i="4"/>
  <c r="AC276" i="4"/>
  <c r="AD276" i="4" s="1"/>
  <c r="AA276" i="4"/>
  <c r="X276" i="4"/>
  <c r="W276" i="4"/>
  <c r="U276" i="4"/>
  <c r="R276" i="4"/>
  <c r="O276" i="4"/>
  <c r="N276" i="4"/>
  <c r="L276" i="4"/>
  <c r="I276" i="4"/>
  <c r="H276" i="4"/>
  <c r="F276" i="4"/>
  <c r="C276" i="4"/>
  <c r="AC275" i="4"/>
  <c r="AD275" i="4" s="1"/>
  <c r="AA275" i="4"/>
  <c r="W275" i="4"/>
  <c r="X275" i="4" s="1"/>
  <c r="U275" i="4"/>
  <c r="R275" i="4"/>
  <c r="O275" i="4"/>
  <c r="N275" i="4"/>
  <c r="L275" i="4"/>
  <c r="H275" i="4"/>
  <c r="I275" i="4" s="1"/>
  <c r="F275" i="4"/>
  <c r="C275" i="4"/>
  <c r="AD273" i="4"/>
  <c r="Z273" i="4"/>
  <c r="AA273" i="4" s="1"/>
  <c r="W273" i="4"/>
  <c r="X273" i="4" s="1"/>
  <c r="U273" i="4"/>
  <c r="T273" i="4"/>
  <c r="R273" i="4"/>
  <c r="Q273" i="4"/>
  <c r="AC273" i="4" s="1"/>
  <c r="K273" i="4"/>
  <c r="L273" i="4" s="1"/>
  <c r="I273" i="4"/>
  <c r="H273" i="4"/>
  <c r="F273" i="4"/>
  <c r="E273" i="4"/>
  <c r="B273" i="4"/>
  <c r="C273" i="4" s="1"/>
  <c r="AC272" i="4"/>
  <c r="AD272" i="4" s="1"/>
  <c r="AA272" i="4"/>
  <c r="X272" i="4"/>
  <c r="W272" i="4"/>
  <c r="U272" i="4"/>
  <c r="R272" i="4"/>
  <c r="O272" i="4"/>
  <c r="N272" i="4"/>
  <c r="L272" i="4"/>
  <c r="H272" i="4"/>
  <c r="I272" i="4" s="1"/>
  <c r="F272" i="4"/>
  <c r="C272" i="4"/>
  <c r="AC271" i="4"/>
  <c r="AD271" i="4" s="1"/>
  <c r="AA271" i="4"/>
  <c r="W271" i="4"/>
  <c r="X271" i="4" s="1"/>
  <c r="U271" i="4"/>
  <c r="R271" i="4"/>
  <c r="O271" i="4"/>
  <c r="N271" i="4"/>
  <c r="L271" i="4"/>
  <c r="H271" i="4"/>
  <c r="I271" i="4" s="1"/>
  <c r="F271" i="4"/>
  <c r="C271" i="4"/>
  <c r="AD270" i="4"/>
  <c r="AC270" i="4"/>
  <c r="AA270" i="4"/>
  <c r="X270" i="4"/>
  <c r="W270" i="4"/>
  <c r="U270" i="4"/>
  <c r="R270" i="4"/>
  <c r="O270" i="4"/>
  <c r="N270" i="4"/>
  <c r="L270" i="4"/>
  <c r="H270" i="4"/>
  <c r="I270" i="4" s="1"/>
  <c r="F270" i="4"/>
  <c r="C270" i="4"/>
  <c r="AD269" i="4"/>
  <c r="AC269" i="4"/>
  <c r="AA269" i="4"/>
  <c r="X269" i="4"/>
  <c r="W269" i="4"/>
  <c r="U269" i="4"/>
  <c r="R269" i="4"/>
  <c r="N269" i="4"/>
  <c r="O269" i="4" s="1"/>
  <c r="L269" i="4"/>
  <c r="I269" i="4"/>
  <c r="H269" i="4"/>
  <c r="F269" i="4"/>
  <c r="C269" i="4"/>
  <c r="Z267" i="4"/>
  <c r="AA267" i="4" s="1"/>
  <c r="T267" i="4"/>
  <c r="U267" i="4" s="1"/>
  <c r="Q267" i="4"/>
  <c r="AC267" i="4" s="1"/>
  <c r="AD267" i="4" s="1"/>
  <c r="L267" i="4"/>
  <c r="K267" i="4"/>
  <c r="E267" i="4"/>
  <c r="F267" i="4" s="1"/>
  <c r="B267" i="4"/>
  <c r="H267" i="4" s="1"/>
  <c r="I267" i="4" s="1"/>
  <c r="AD266" i="4"/>
  <c r="AC266" i="4"/>
  <c r="AA266" i="4"/>
  <c r="X266" i="4"/>
  <c r="W266" i="4"/>
  <c r="U266" i="4"/>
  <c r="R266" i="4"/>
  <c r="O266" i="4"/>
  <c r="N266" i="4"/>
  <c r="L266" i="4"/>
  <c r="H266" i="4"/>
  <c r="I266" i="4" s="1"/>
  <c r="F266" i="4"/>
  <c r="C266" i="4"/>
  <c r="AD265" i="4"/>
  <c r="AC265" i="4"/>
  <c r="AA265" i="4"/>
  <c r="X265" i="4"/>
  <c r="W265" i="4"/>
  <c r="U265" i="4"/>
  <c r="R265" i="4"/>
  <c r="N265" i="4"/>
  <c r="O265" i="4" s="1"/>
  <c r="L265" i="4"/>
  <c r="I265" i="4"/>
  <c r="H265" i="4"/>
  <c r="F265" i="4"/>
  <c r="C265" i="4"/>
  <c r="Z263" i="4"/>
  <c r="AA263" i="4" s="1"/>
  <c r="T263" i="4"/>
  <c r="U263" i="4" s="1"/>
  <c r="Q263" i="4"/>
  <c r="AC263" i="4" s="1"/>
  <c r="AD263" i="4" s="1"/>
  <c r="L263" i="4"/>
  <c r="K263" i="4"/>
  <c r="E263" i="4"/>
  <c r="F263" i="4" s="1"/>
  <c r="B263" i="4"/>
  <c r="H263" i="4" s="1"/>
  <c r="I263" i="4" s="1"/>
  <c r="AD262" i="4"/>
  <c r="Z262" i="4"/>
  <c r="AA262" i="4" s="1"/>
  <c r="W262" i="4"/>
  <c r="X262" i="4" s="1"/>
  <c r="T262" i="4"/>
  <c r="U262" i="4" s="1"/>
  <c r="R262" i="4"/>
  <c r="Q262" i="4"/>
  <c r="AC262" i="4" s="1"/>
  <c r="K262" i="4"/>
  <c r="L262" i="4" s="1"/>
  <c r="I262" i="4"/>
  <c r="H262" i="4"/>
  <c r="F262" i="4"/>
  <c r="E262" i="4"/>
  <c r="B262" i="4"/>
  <c r="C262" i="4" s="1"/>
  <c r="AC261" i="4"/>
  <c r="AD261" i="4" s="1"/>
  <c r="AA261" i="4"/>
  <c r="X261" i="4"/>
  <c r="W261" i="4"/>
  <c r="U261" i="4"/>
  <c r="R261" i="4"/>
  <c r="O261" i="4"/>
  <c r="N261" i="4"/>
  <c r="L261" i="4"/>
  <c r="H261" i="4"/>
  <c r="I261" i="4" s="1"/>
  <c r="F261" i="4"/>
  <c r="C261" i="4"/>
  <c r="AC260" i="4"/>
  <c r="AD260" i="4" s="1"/>
  <c r="AA260" i="4"/>
  <c r="W260" i="4"/>
  <c r="X260" i="4" s="1"/>
  <c r="U260" i="4"/>
  <c r="R260" i="4"/>
  <c r="O260" i="4"/>
  <c r="N260" i="4"/>
  <c r="L260" i="4"/>
  <c r="H260" i="4"/>
  <c r="I260" i="4" s="1"/>
  <c r="F260" i="4"/>
  <c r="C260" i="4"/>
  <c r="AD259" i="4"/>
  <c r="AC259" i="4"/>
  <c r="AA259" i="4"/>
  <c r="X259" i="4"/>
  <c r="W259" i="4"/>
  <c r="U259" i="4"/>
  <c r="R259" i="4"/>
  <c r="O259" i="4"/>
  <c r="N259" i="4"/>
  <c r="L259" i="4"/>
  <c r="H259" i="4"/>
  <c r="I259" i="4" s="1"/>
  <c r="F259" i="4"/>
  <c r="C259" i="4"/>
  <c r="AC258" i="4"/>
  <c r="AD258" i="4" s="1"/>
  <c r="AA258" i="4"/>
  <c r="X258" i="4"/>
  <c r="W258" i="4"/>
  <c r="U258" i="4"/>
  <c r="R258" i="4"/>
  <c r="O258" i="4"/>
  <c r="N258" i="4"/>
  <c r="L258" i="4"/>
  <c r="I258" i="4"/>
  <c r="H258" i="4"/>
  <c r="F258" i="4"/>
  <c r="C258" i="4"/>
  <c r="AC257" i="4"/>
  <c r="AD257" i="4" s="1"/>
  <c r="AA257" i="4"/>
  <c r="W257" i="4"/>
  <c r="X257" i="4" s="1"/>
  <c r="U257" i="4"/>
  <c r="R257" i="4"/>
  <c r="O257" i="4"/>
  <c r="N257" i="4"/>
  <c r="L257" i="4"/>
  <c r="I257" i="4"/>
  <c r="H257" i="4"/>
  <c r="F257" i="4"/>
  <c r="C257" i="4"/>
  <c r="AC256" i="4"/>
  <c r="AD256" i="4" s="1"/>
  <c r="AA256" i="4"/>
  <c r="W256" i="4"/>
  <c r="X256" i="4" s="1"/>
  <c r="U256" i="4"/>
  <c r="R256" i="4"/>
  <c r="O256" i="4"/>
  <c r="N256" i="4"/>
  <c r="L256" i="4"/>
  <c r="H256" i="4"/>
  <c r="I256" i="4" s="1"/>
  <c r="F256" i="4"/>
  <c r="C256" i="4"/>
  <c r="AD255" i="4"/>
  <c r="AC255" i="4"/>
  <c r="AA255" i="4"/>
  <c r="X255" i="4"/>
  <c r="W255" i="4"/>
  <c r="U255" i="4"/>
  <c r="R255" i="4"/>
  <c r="N255" i="4"/>
  <c r="O255" i="4" s="1"/>
  <c r="L255" i="4"/>
  <c r="H255" i="4"/>
  <c r="I255" i="4" s="1"/>
  <c r="F255" i="4"/>
  <c r="C255" i="4"/>
  <c r="AD254" i="4"/>
  <c r="AC254" i="4"/>
  <c r="AA254" i="4"/>
  <c r="X254" i="4"/>
  <c r="W254" i="4"/>
  <c r="U254" i="4"/>
  <c r="R254" i="4"/>
  <c r="N254" i="4"/>
  <c r="O254" i="4" s="1"/>
  <c r="L254" i="4"/>
  <c r="I254" i="4"/>
  <c r="H254" i="4"/>
  <c r="F254" i="4"/>
  <c r="C254" i="4"/>
  <c r="AC253" i="4"/>
  <c r="AD253" i="4" s="1"/>
  <c r="AA253" i="4"/>
  <c r="X253" i="4"/>
  <c r="W253" i="4"/>
  <c r="U253" i="4"/>
  <c r="R253" i="4"/>
  <c r="O253" i="4"/>
  <c r="N253" i="4"/>
  <c r="L253" i="4"/>
  <c r="H253" i="4"/>
  <c r="I253" i="4" s="1"/>
  <c r="F253" i="4"/>
  <c r="C253" i="4"/>
  <c r="AC252" i="4"/>
  <c r="AD252" i="4" s="1"/>
  <c r="AA252" i="4"/>
  <c r="W252" i="4"/>
  <c r="X252" i="4" s="1"/>
  <c r="U252" i="4"/>
  <c r="R252" i="4"/>
  <c r="O252" i="4"/>
  <c r="N252" i="4"/>
  <c r="L252" i="4"/>
  <c r="H252" i="4"/>
  <c r="I252" i="4" s="1"/>
  <c r="F252" i="4"/>
  <c r="C252" i="4"/>
  <c r="AD251" i="4"/>
  <c r="AC251" i="4"/>
  <c r="AA251" i="4"/>
  <c r="X251" i="4"/>
  <c r="W251" i="4"/>
  <c r="U251" i="4"/>
  <c r="R251" i="4"/>
  <c r="O251" i="4"/>
  <c r="N251" i="4"/>
  <c r="L251" i="4"/>
  <c r="H251" i="4"/>
  <c r="I251" i="4" s="1"/>
  <c r="F251" i="4"/>
  <c r="C251" i="4"/>
  <c r="AC250" i="4"/>
  <c r="AD250" i="4" s="1"/>
  <c r="AA250" i="4"/>
  <c r="X250" i="4"/>
  <c r="W250" i="4"/>
  <c r="U250" i="4"/>
  <c r="R250" i="4"/>
  <c r="O250" i="4"/>
  <c r="N250" i="4"/>
  <c r="L250" i="4"/>
  <c r="I250" i="4"/>
  <c r="H250" i="4"/>
  <c r="F250" i="4"/>
  <c r="C250" i="4"/>
  <c r="AC249" i="4"/>
  <c r="AD249" i="4" s="1"/>
  <c r="AA249" i="4"/>
  <c r="W249" i="4"/>
  <c r="X249" i="4" s="1"/>
  <c r="U249" i="4"/>
  <c r="R249" i="4"/>
  <c r="O249" i="4"/>
  <c r="N249" i="4"/>
  <c r="L249" i="4"/>
  <c r="I249" i="4"/>
  <c r="H249" i="4"/>
  <c r="F249" i="4"/>
  <c r="C249" i="4"/>
  <c r="AC248" i="4"/>
  <c r="AD248" i="4" s="1"/>
  <c r="AA248" i="4"/>
  <c r="W248" i="4"/>
  <c r="X248" i="4" s="1"/>
  <c r="U248" i="4"/>
  <c r="R248" i="4"/>
  <c r="O248" i="4"/>
  <c r="N248" i="4"/>
  <c r="L248" i="4"/>
  <c r="H248" i="4"/>
  <c r="I248" i="4" s="1"/>
  <c r="F248" i="4"/>
  <c r="C248" i="4"/>
  <c r="AD247" i="4"/>
  <c r="AC247" i="4"/>
  <c r="AA247" i="4"/>
  <c r="X247" i="4"/>
  <c r="W247" i="4"/>
  <c r="U247" i="4"/>
  <c r="R247" i="4"/>
  <c r="O247" i="4"/>
  <c r="N247" i="4"/>
  <c r="L247" i="4"/>
  <c r="H247" i="4"/>
  <c r="I247" i="4" s="1"/>
  <c r="F247" i="4"/>
  <c r="C247" i="4"/>
  <c r="AD246" i="4"/>
  <c r="AC246" i="4"/>
  <c r="AA246" i="4"/>
  <c r="X246" i="4"/>
  <c r="W246" i="4"/>
  <c r="U246" i="4"/>
  <c r="R246" i="4"/>
  <c r="N246" i="4"/>
  <c r="O246" i="4" s="1"/>
  <c r="L246" i="4"/>
  <c r="I246" i="4"/>
  <c r="H246" i="4"/>
  <c r="F246" i="4"/>
  <c r="C246" i="4"/>
  <c r="AC245" i="4"/>
  <c r="AD245" i="4" s="1"/>
  <c r="AA245" i="4"/>
  <c r="X245" i="4"/>
  <c r="W245" i="4"/>
  <c r="U245" i="4"/>
  <c r="R245" i="4"/>
  <c r="O245" i="4"/>
  <c r="N245" i="4"/>
  <c r="L245" i="4"/>
  <c r="H245" i="4"/>
  <c r="I245" i="4" s="1"/>
  <c r="F245" i="4"/>
  <c r="C245" i="4"/>
  <c r="AC244" i="4"/>
  <c r="AD244" i="4" s="1"/>
  <c r="AA244" i="4"/>
  <c r="W244" i="4"/>
  <c r="X244" i="4" s="1"/>
  <c r="U244" i="4"/>
  <c r="R244" i="4"/>
  <c r="O244" i="4"/>
  <c r="N244" i="4"/>
  <c r="L244" i="4"/>
  <c r="H244" i="4"/>
  <c r="I244" i="4" s="1"/>
  <c r="F244" i="4"/>
  <c r="C244" i="4"/>
  <c r="AD243" i="4"/>
  <c r="AC243" i="4"/>
  <c r="AA243" i="4"/>
  <c r="X243" i="4"/>
  <c r="W243" i="4"/>
  <c r="U243" i="4"/>
  <c r="R243" i="4"/>
  <c r="O243" i="4"/>
  <c r="N243" i="4"/>
  <c r="L243" i="4"/>
  <c r="H243" i="4"/>
  <c r="I243" i="4" s="1"/>
  <c r="F243" i="4"/>
  <c r="C243" i="4"/>
  <c r="AC242" i="4"/>
  <c r="AD242" i="4" s="1"/>
  <c r="AA242" i="4"/>
  <c r="X242" i="4"/>
  <c r="W242" i="4"/>
  <c r="U242" i="4"/>
  <c r="R242" i="4"/>
  <c r="O242" i="4"/>
  <c r="N242" i="4"/>
  <c r="L242" i="4"/>
  <c r="I242" i="4"/>
  <c r="H242" i="4"/>
  <c r="F242" i="4"/>
  <c r="C242" i="4"/>
  <c r="AC241" i="4"/>
  <c r="AD241" i="4" s="1"/>
  <c r="AA241" i="4"/>
  <c r="W241" i="4"/>
  <c r="X241" i="4" s="1"/>
  <c r="U241" i="4"/>
  <c r="R241" i="4"/>
  <c r="O241" i="4"/>
  <c r="N241" i="4"/>
  <c r="L241" i="4"/>
  <c r="I241" i="4"/>
  <c r="H241" i="4"/>
  <c r="F241" i="4"/>
  <c r="C241" i="4"/>
  <c r="AC240" i="4"/>
  <c r="AD240" i="4" s="1"/>
  <c r="AA240" i="4"/>
  <c r="X240" i="4"/>
  <c r="W240" i="4"/>
  <c r="U240" i="4"/>
  <c r="R240" i="4"/>
  <c r="O240" i="4"/>
  <c r="N240" i="4"/>
  <c r="L240" i="4"/>
  <c r="H240" i="4"/>
  <c r="I240" i="4" s="1"/>
  <c r="F240" i="4"/>
  <c r="C240" i="4"/>
  <c r="AD238" i="4"/>
  <c r="AC238" i="4"/>
  <c r="AA238" i="4"/>
  <c r="X238" i="4"/>
  <c r="W238" i="4"/>
  <c r="U238" i="4"/>
  <c r="R238" i="4"/>
  <c r="O238" i="4"/>
  <c r="N238" i="4"/>
  <c r="L238" i="4"/>
  <c r="H238" i="4"/>
  <c r="I238" i="4" s="1"/>
  <c r="F238" i="4"/>
  <c r="C238" i="4"/>
  <c r="AC236" i="4"/>
  <c r="AD236" i="4" s="1"/>
  <c r="AA236" i="4"/>
  <c r="Z236" i="4"/>
  <c r="T236" i="4"/>
  <c r="U236" i="4" s="1"/>
  <c r="Q236" i="4"/>
  <c r="W236" i="4" s="1"/>
  <c r="X236" i="4" s="1"/>
  <c r="K236" i="4"/>
  <c r="L236" i="4" s="1"/>
  <c r="H236" i="4"/>
  <c r="I236" i="4" s="1"/>
  <c r="F236" i="4"/>
  <c r="E236" i="4"/>
  <c r="C236" i="4"/>
  <c r="B236" i="4"/>
  <c r="N236" i="4" s="1"/>
  <c r="O236" i="4" s="1"/>
  <c r="AC235" i="4"/>
  <c r="AD235" i="4" s="1"/>
  <c r="AA235" i="4"/>
  <c r="W235" i="4"/>
  <c r="X235" i="4" s="1"/>
  <c r="U235" i="4"/>
  <c r="R235" i="4"/>
  <c r="O235" i="4"/>
  <c r="N235" i="4"/>
  <c r="L235" i="4"/>
  <c r="H235" i="4"/>
  <c r="I235" i="4" s="1"/>
  <c r="F235" i="4"/>
  <c r="C235" i="4"/>
  <c r="AD234" i="4"/>
  <c r="AC234" i="4"/>
  <c r="AA234" i="4"/>
  <c r="X234" i="4"/>
  <c r="W234" i="4"/>
  <c r="U234" i="4"/>
  <c r="R234" i="4"/>
  <c r="O234" i="4"/>
  <c r="N234" i="4"/>
  <c r="L234" i="4"/>
  <c r="H234" i="4"/>
  <c r="I234" i="4" s="1"/>
  <c r="F234" i="4"/>
  <c r="C234" i="4"/>
  <c r="AC233" i="4"/>
  <c r="AD233" i="4" s="1"/>
  <c r="AA233" i="4"/>
  <c r="X233" i="4"/>
  <c r="W233" i="4"/>
  <c r="U233" i="4"/>
  <c r="R233" i="4"/>
  <c r="O233" i="4"/>
  <c r="N233" i="4"/>
  <c r="L233" i="4"/>
  <c r="I233" i="4"/>
  <c r="H233" i="4"/>
  <c r="F233" i="4"/>
  <c r="C233" i="4"/>
  <c r="AC232" i="4"/>
  <c r="AD232" i="4" s="1"/>
  <c r="AA232" i="4"/>
  <c r="W232" i="4"/>
  <c r="X232" i="4" s="1"/>
  <c r="U232" i="4"/>
  <c r="R232" i="4"/>
  <c r="O232" i="4"/>
  <c r="N232" i="4"/>
  <c r="L232" i="4"/>
  <c r="I232" i="4"/>
  <c r="H232" i="4"/>
  <c r="F232" i="4"/>
  <c r="C232" i="4"/>
  <c r="AC231" i="4"/>
  <c r="AD231" i="4" s="1"/>
  <c r="AA231" i="4"/>
  <c r="W231" i="4"/>
  <c r="X231" i="4" s="1"/>
  <c r="U231" i="4"/>
  <c r="R231" i="4"/>
  <c r="O231" i="4"/>
  <c r="N231" i="4"/>
  <c r="L231" i="4"/>
  <c r="H231" i="4"/>
  <c r="I231" i="4" s="1"/>
  <c r="F231" i="4"/>
  <c r="C231" i="4"/>
  <c r="AD230" i="4"/>
  <c r="AC230" i="4"/>
  <c r="AA230" i="4"/>
  <c r="X230" i="4"/>
  <c r="W230" i="4"/>
  <c r="U230" i="4"/>
  <c r="R230" i="4"/>
  <c r="N230" i="4"/>
  <c r="O230" i="4" s="1"/>
  <c r="L230" i="4"/>
  <c r="H230" i="4"/>
  <c r="I230" i="4" s="1"/>
  <c r="F230" i="4"/>
  <c r="C230" i="4"/>
  <c r="AD229" i="4"/>
  <c r="AC229" i="4"/>
  <c r="AA229" i="4"/>
  <c r="X229" i="4"/>
  <c r="W229" i="4"/>
  <c r="U229" i="4"/>
  <c r="R229" i="4"/>
  <c r="N229" i="4"/>
  <c r="O229" i="4" s="1"/>
  <c r="L229" i="4"/>
  <c r="I229" i="4"/>
  <c r="H229" i="4"/>
  <c r="F229" i="4"/>
  <c r="C229" i="4"/>
  <c r="AC227" i="4"/>
  <c r="AD227" i="4" s="1"/>
  <c r="Z227" i="4"/>
  <c r="AA227" i="4" s="1"/>
  <c r="T227" i="4"/>
  <c r="U227" i="4" s="1"/>
  <c r="Q227" i="4"/>
  <c r="N227" i="4"/>
  <c r="O227" i="4" s="1"/>
  <c r="L227" i="4"/>
  <c r="K227" i="4"/>
  <c r="E227" i="4"/>
  <c r="F227" i="4" s="1"/>
  <c r="B227" i="4"/>
  <c r="C227" i="4" s="1"/>
  <c r="AD226" i="4"/>
  <c r="AC226" i="4"/>
  <c r="AA226" i="4"/>
  <c r="X226" i="4"/>
  <c r="W226" i="4"/>
  <c r="U226" i="4"/>
  <c r="R226" i="4"/>
  <c r="N226" i="4"/>
  <c r="O226" i="4" s="1"/>
  <c r="L226" i="4"/>
  <c r="H226" i="4"/>
  <c r="I226" i="4" s="1"/>
  <c r="F226" i="4"/>
  <c r="C226" i="4"/>
  <c r="AD225" i="4"/>
  <c r="AC225" i="4"/>
  <c r="AA225" i="4"/>
  <c r="X225" i="4"/>
  <c r="W225" i="4"/>
  <c r="U225" i="4"/>
  <c r="R225" i="4"/>
  <c r="N225" i="4"/>
  <c r="O225" i="4" s="1"/>
  <c r="L225" i="4"/>
  <c r="I225" i="4"/>
  <c r="H225" i="4"/>
  <c r="F225" i="4"/>
  <c r="C225" i="4"/>
  <c r="AC224" i="4"/>
  <c r="AD224" i="4" s="1"/>
  <c r="AA224" i="4"/>
  <c r="X224" i="4"/>
  <c r="W224" i="4"/>
  <c r="U224" i="4"/>
  <c r="R224" i="4"/>
  <c r="O224" i="4"/>
  <c r="N224" i="4"/>
  <c r="L224" i="4"/>
  <c r="H224" i="4"/>
  <c r="I224" i="4" s="1"/>
  <c r="F224" i="4"/>
  <c r="C224" i="4"/>
  <c r="AC223" i="4"/>
  <c r="AD223" i="4" s="1"/>
  <c r="AA223" i="4"/>
  <c r="W223" i="4"/>
  <c r="X223" i="4" s="1"/>
  <c r="U223" i="4"/>
  <c r="R223" i="4"/>
  <c r="O223" i="4"/>
  <c r="N223" i="4"/>
  <c r="L223" i="4"/>
  <c r="H223" i="4"/>
  <c r="I223" i="4" s="1"/>
  <c r="F223" i="4"/>
  <c r="C223" i="4"/>
  <c r="AD222" i="4"/>
  <c r="AC222" i="4"/>
  <c r="AA222" i="4"/>
  <c r="X222" i="4"/>
  <c r="W222" i="4"/>
  <c r="U222" i="4"/>
  <c r="R222" i="4"/>
  <c r="O222" i="4"/>
  <c r="N222" i="4"/>
  <c r="L222" i="4"/>
  <c r="H222" i="4"/>
  <c r="I222" i="4" s="1"/>
  <c r="F222" i="4"/>
  <c r="C222" i="4"/>
  <c r="AC221" i="4"/>
  <c r="AD221" i="4" s="1"/>
  <c r="AA221" i="4"/>
  <c r="X221" i="4"/>
  <c r="W221" i="4"/>
  <c r="U221" i="4"/>
  <c r="R221" i="4"/>
  <c r="O221" i="4"/>
  <c r="N221" i="4"/>
  <c r="L221" i="4"/>
  <c r="I221" i="4"/>
  <c r="H221" i="4"/>
  <c r="F221" i="4"/>
  <c r="C221" i="4"/>
  <c r="AC220" i="4"/>
  <c r="AD220" i="4" s="1"/>
  <c r="AA220" i="4"/>
  <c r="W220" i="4"/>
  <c r="X220" i="4" s="1"/>
  <c r="U220" i="4"/>
  <c r="R220" i="4"/>
  <c r="O220" i="4"/>
  <c r="N220" i="4"/>
  <c r="L220" i="4"/>
  <c r="I220" i="4"/>
  <c r="H220" i="4"/>
  <c r="F220" i="4"/>
  <c r="C220" i="4"/>
  <c r="AC219" i="4"/>
  <c r="AD219" i="4" s="1"/>
  <c r="AA219" i="4"/>
  <c r="W219" i="4"/>
  <c r="X219" i="4" s="1"/>
  <c r="U219" i="4"/>
  <c r="R219" i="4"/>
  <c r="O219" i="4"/>
  <c r="N219" i="4"/>
  <c r="L219" i="4"/>
  <c r="H219" i="4"/>
  <c r="I219" i="4" s="1"/>
  <c r="F219" i="4"/>
  <c r="C219" i="4"/>
  <c r="AD218" i="4"/>
  <c r="Z218" i="4"/>
  <c r="AA218" i="4" s="1"/>
  <c r="W218" i="4"/>
  <c r="X218" i="4" s="1"/>
  <c r="U218" i="4"/>
  <c r="T218" i="4"/>
  <c r="R218" i="4"/>
  <c r="Q218" i="4"/>
  <c r="AC218" i="4" s="1"/>
  <c r="K218" i="4"/>
  <c r="L218" i="4" s="1"/>
  <c r="I218" i="4"/>
  <c r="H218" i="4"/>
  <c r="F218" i="4"/>
  <c r="E218" i="4"/>
  <c r="B218" i="4"/>
  <c r="C218" i="4" s="1"/>
  <c r="AC217" i="4"/>
  <c r="AD217" i="4" s="1"/>
  <c r="AA217" i="4"/>
  <c r="W217" i="4"/>
  <c r="X217" i="4" s="1"/>
  <c r="U217" i="4"/>
  <c r="R217" i="4"/>
  <c r="O217" i="4"/>
  <c r="N217" i="4"/>
  <c r="L217" i="4"/>
  <c r="H217" i="4"/>
  <c r="I217" i="4" s="1"/>
  <c r="F217" i="4"/>
  <c r="C217" i="4"/>
  <c r="AC216" i="4"/>
  <c r="AD216" i="4" s="1"/>
  <c r="AA216" i="4"/>
  <c r="W216" i="4"/>
  <c r="X216" i="4" s="1"/>
  <c r="U216" i="4"/>
  <c r="R216" i="4"/>
  <c r="O216" i="4"/>
  <c r="N216" i="4"/>
  <c r="L216" i="4"/>
  <c r="H216" i="4"/>
  <c r="I216" i="4" s="1"/>
  <c r="F216" i="4"/>
  <c r="C216" i="4"/>
  <c r="AD215" i="4"/>
  <c r="AC215" i="4"/>
  <c r="AA215" i="4"/>
  <c r="X215" i="4"/>
  <c r="W215" i="4"/>
  <c r="U215" i="4"/>
  <c r="R215" i="4"/>
  <c r="O215" i="4"/>
  <c r="N215" i="4"/>
  <c r="L215" i="4"/>
  <c r="H215" i="4"/>
  <c r="I215" i="4" s="1"/>
  <c r="F215" i="4"/>
  <c r="C215" i="4"/>
  <c r="AD214" i="4"/>
  <c r="AC214" i="4"/>
  <c r="AA214" i="4"/>
  <c r="X214" i="4"/>
  <c r="W214" i="4"/>
  <c r="U214" i="4"/>
  <c r="R214" i="4"/>
  <c r="N214" i="4"/>
  <c r="O214" i="4" s="1"/>
  <c r="L214" i="4"/>
  <c r="I214" i="4"/>
  <c r="H214" i="4"/>
  <c r="F214" i="4"/>
  <c r="C214" i="4"/>
  <c r="AC213" i="4"/>
  <c r="AD213" i="4" s="1"/>
  <c r="AA213" i="4"/>
  <c r="X213" i="4"/>
  <c r="W213" i="4"/>
  <c r="U213" i="4"/>
  <c r="R213" i="4"/>
  <c r="O213" i="4"/>
  <c r="N213" i="4"/>
  <c r="L213" i="4"/>
  <c r="H213" i="4"/>
  <c r="I213" i="4" s="1"/>
  <c r="F213" i="4"/>
  <c r="C213" i="4"/>
  <c r="AC211" i="4"/>
  <c r="AD211" i="4" s="1"/>
  <c r="AA211" i="4"/>
  <c r="X211" i="4"/>
  <c r="W211" i="4"/>
  <c r="U211" i="4"/>
  <c r="R211" i="4"/>
  <c r="O211" i="4"/>
  <c r="N211" i="4"/>
  <c r="L211" i="4"/>
  <c r="H211" i="4"/>
  <c r="I211" i="4" s="1"/>
  <c r="F211" i="4"/>
  <c r="C211" i="4"/>
  <c r="AD209" i="4"/>
  <c r="Z209" i="4"/>
  <c r="AA209" i="4" s="1"/>
  <c r="W209" i="4"/>
  <c r="X209" i="4" s="1"/>
  <c r="U209" i="4"/>
  <c r="T209" i="4"/>
  <c r="R209" i="4"/>
  <c r="Q209" i="4"/>
  <c r="AC209" i="4" s="1"/>
  <c r="K209" i="4"/>
  <c r="L209" i="4" s="1"/>
  <c r="H209" i="4"/>
  <c r="I209" i="4" s="1"/>
  <c r="F209" i="4"/>
  <c r="E209" i="4"/>
  <c r="B209" i="4"/>
  <c r="C209" i="4" s="1"/>
  <c r="AC208" i="4"/>
  <c r="AD208" i="4" s="1"/>
  <c r="AA208" i="4"/>
  <c r="W208" i="4"/>
  <c r="X208" i="4" s="1"/>
  <c r="U208" i="4"/>
  <c r="R208" i="4"/>
  <c r="O208" i="4"/>
  <c r="N208" i="4"/>
  <c r="L208" i="4"/>
  <c r="I208" i="4"/>
  <c r="H208" i="4"/>
  <c r="F208" i="4"/>
  <c r="C208" i="4"/>
  <c r="AC207" i="4"/>
  <c r="AD207" i="4" s="1"/>
  <c r="AA207" i="4"/>
  <c r="W207" i="4"/>
  <c r="X207" i="4" s="1"/>
  <c r="U207" i="4"/>
  <c r="R207" i="4"/>
  <c r="O207" i="4"/>
  <c r="N207" i="4"/>
  <c r="L207" i="4"/>
  <c r="H207" i="4"/>
  <c r="I207" i="4" s="1"/>
  <c r="F207" i="4"/>
  <c r="C207" i="4"/>
  <c r="AD206" i="4"/>
  <c r="AC206" i="4"/>
  <c r="AA206" i="4"/>
  <c r="X206" i="4"/>
  <c r="W206" i="4"/>
  <c r="U206" i="4"/>
  <c r="R206" i="4"/>
  <c r="N206" i="4"/>
  <c r="O206" i="4" s="1"/>
  <c r="L206" i="4"/>
  <c r="H206" i="4"/>
  <c r="I206" i="4" s="1"/>
  <c r="F206" i="4"/>
  <c r="C206" i="4"/>
  <c r="AD205" i="4"/>
  <c r="AC205" i="4"/>
  <c r="AA205" i="4"/>
  <c r="X205" i="4"/>
  <c r="W205" i="4"/>
  <c r="U205" i="4"/>
  <c r="R205" i="4"/>
  <c r="N205" i="4"/>
  <c r="O205" i="4" s="1"/>
  <c r="L205" i="4"/>
  <c r="I205" i="4"/>
  <c r="H205" i="4"/>
  <c r="F205" i="4"/>
  <c r="C205" i="4"/>
  <c r="AC204" i="4"/>
  <c r="AD204" i="4" s="1"/>
  <c r="AA204" i="4"/>
  <c r="X204" i="4"/>
  <c r="W204" i="4"/>
  <c r="U204" i="4"/>
  <c r="R204" i="4"/>
  <c r="O204" i="4"/>
  <c r="N204" i="4"/>
  <c r="L204" i="4"/>
  <c r="H204" i="4"/>
  <c r="I204" i="4" s="1"/>
  <c r="F204" i="4"/>
  <c r="C204" i="4"/>
  <c r="AC203" i="4"/>
  <c r="AD203" i="4" s="1"/>
  <c r="AA203" i="4"/>
  <c r="W203" i="4"/>
  <c r="X203" i="4" s="1"/>
  <c r="U203" i="4"/>
  <c r="R203" i="4"/>
  <c r="O203" i="4"/>
  <c r="N203" i="4"/>
  <c r="L203" i="4"/>
  <c r="H203" i="4"/>
  <c r="I203" i="4" s="1"/>
  <c r="F203" i="4"/>
  <c r="C203" i="4"/>
  <c r="AD202" i="4"/>
  <c r="AC202" i="4"/>
  <c r="AA202" i="4"/>
  <c r="X202" i="4"/>
  <c r="W202" i="4"/>
  <c r="U202" i="4"/>
  <c r="R202" i="4"/>
  <c r="O202" i="4"/>
  <c r="N202" i="4"/>
  <c r="L202" i="4"/>
  <c r="H202" i="4"/>
  <c r="I202" i="4" s="1"/>
  <c r="F202" i="4"/>
  <c r="C202" i="4"/>
  <c r="AC201" i="4"/>
  <c r="AD201" i="4" s="1"/>
  <c r="AA201" i="4"/>
  <c r="X201" i="4"/>
  <c r="W201" i="4"/>
  <c r="U201" i="4"/>
  <c r="R201" i="4"/>
  <c r="O201" i="4"/>
  <c r="N201" i="4"/>
  <c r="L201" i="4"/>
  <c r="I201" i="4"/>
  <c r="H201" i="4"/>
  <c r="F201" i="4"/>
  <c r="C201" i="4"/>
  <c r="AD197" i="4"/>
  <c r="Z197" i="4"/>
  <c r="AA197" i="4" s="1"/>
  <c r="W197" i="4"/>
  <c r="X197" i="4" s="1"/>
  <c r="U197" i="4"/>
  <c r="T197" i="4"/>
  <c r="R197" i="4"/>
  <c r="Q197" i="4"/>
  <c r="AC197" i="4" s="1"/>
  <c r="K197" i="4"/>
  <c r="L197" i="4" s="1"/>
  <c r="H197" i="4"/>
  <c r="I197" i="4" s="1"/>
  <c r="F197" i="4"/>
  <c r="E197" i="4"/>
  <c r="B197" i="4"/>
  <c r="C197" i="4" s="1"/>
  <c r="AA196" i="4"/>
  <c r="Z196" i="4"/>
  <c r="T196" i="4"/>
  <c r="U196" i="4" s="1"/>
  <c r="Q196" i="4"/>
  <c r="L196" i="4"/>
  <c r="K196" i="4"/>
  <c r="E196" i="4"/>
  <c r="F196" i="4" s="1"/>
  <c r="B196" i="4"/>
  <c r="H196" i="4" s="1"/>
  <c r="I196" i="4" s="1"/>
  <c r="AD195" i="4"/>
  <c r="AC195" i="4"/>
  <c r="AA195" i="4"/>
  <c r="X195" i="4"/>
  <c r="W195" i="4"/>
  <c r="U195" i="4"/>
  <c r="R195" i="4"/>
  <c r="O195" i="4"/>
  <c r="N195" i="4"/>
  <c r="L195" i="4"/>
  <c r="H195" i="4"/>
  <c r="I195" i="4" s="1"/>
  <c r="F195" i="4"/>
  <c r="C195" i="4"/>
  <c r="AC194" i="4"/>
  <c r="AD194" i="4" s="1"/>
  <c r="AA194" i="4"/>
  <c r="X194" i="4"/>
  <c r="W194" i="4"/>
  <c r="U194" i="4"/>
  <c r="R194" i="4"/>
  <c r="O194" i="4"/>
  <c r="N194" i="4"/>
  <c r="L194" i="4"/>
  <c r="I194" i="4"/>
  <c r="H194" i="4"/>
  <c r="F194" i="4"/>
  <c r="C194" i="4"/>
  <c r="AA193" i="4"/>
  <c r="Z193" i="4"/>
  <c r="T193" i="4"/>
  <c r="U193" i="4" s="1"/>
  <c r="Q193" i="4"/>
  <c r="L193" i="4"/>
  <c r="K193" i="4"/>
  <c r="E193" i="4"/>
  <c r="F193" i="4" s="1"/>
  <c r="B193" i="4"/>
  <c r="H193" i="4" s="1"/>
  <c r="I193" i="4" s="1"/>
  <c r="AD192" i="4"/>
  <c r="AC192" i="4"/>
  <c r="AA192" i="4"/>
  <c r="X192" i="4"/>
  <c r="W192" i="4"/>
  <c r="U192" i="4"/>
  <c r="R192" i="4"/>
  <c r="O192" i="4"/>
  <c r="N192" i="4"/>
  <c r="L192" i="4"/>
  <c r="H192" i="4"/>
  <c r="I192" i="4" s="1"/>
  <c r="F192" i="4"/>
  <c r="C192" i="4"/>
  <c r="AC191" i="4"/>
  <c r="AD191" i="4" s="1"/>
  <c r="AA191" i="4"/>
  <c r="X191" i="4"/>
  <c r="W191" i="4"/>
  <c r="U191" i="4"/>
  <c r="R191" i="4"/>
  <c r="O191" i="4"/>
  <c r="N191" i="4"/>
  <c r="L191" i="4"/>
  <c r="I191" i="4"/>
  <c r="H191" i="4"/>
  <c r="F191" i="4"/>
  <c r="C191" i="4"/>
  <c r="AC190" i="4"/>
  <c r="AD190" i="4" s="1"/>
  <c r="AA190" i="4"/>
  <c r="W190" i="4"/>
  <c r="X190" i="4" s="1"/>
  <c r="U190" i="4"/>
  <c r="R190" i="4"/>
  <c r="O190" i="4"/>
  <c r="N190" i="4"/>
  <c r="L190" i="4"/>
  <c r="I190" i="4"/>
  <c r="H190" i="4"/>
  <c r="F190" i="4"/>
  <c r="C190" i="4"/>
  <c r="AC189" i="4"/>
  <c r="AD189" i="4" s="1"/>
  <c r="AA189" i="4"/>
  <c r="W189" i="4"/>
  <c r="X189" i="4" s="1"/>
  <c r="U189" i="4"/>
  <c r="R189" i="4"/>
  <c r="O189" i="4"/>
  <c r="N189" i="4"/>
  <c r="L189" i="4"/>
  <c r="H189" i="4"/>
  <c r="I189" i="4" s="1"/>
  <c r="F189" i="4"/>
  <c r="C189" i="4"/>
  <c r="AD188" i="4"/>
  <c r="AC188" i="4"/>
  <c r="AA188" i="4"/>
  <c r="X188" i="4"/>
  <c r="W188" i="4"/>
  <c r="U188" i="4"/>
  <c r="R188" i="4"/>
  <c r="N188" i="4"/>
  <c r="O188" i="4" s="1"/>
  <c r="L188" i="4"/>
  <c r="H188" i="4"/>
  <c r="I188" i="4" s="1"/>
  <c r="F188" i="4"/>
  <c r="C188" i="4"/>
  <c r="AD187" i="4"/>
  <c r="AC187" i="4"/>
  <c r="AA187" i="4"/>
  <c r="X187" i="4"/>
  <c r="W187" i="4"/>
  <c r="U187" i="4"/>
  <c r="R187" i="4"/>
  <c r="O187" i="4"/>
  <c r="N187" i="4"/>
  <c r="L187" i="4"/>
  <c r="I187" i="4"/>
  <c r="H187" i="4"/>
  <c r="F187" i="4"/>
  <c r="C187" i="4"/>
  <c r="AC186" i="4"/>
  <c r="AD186" i="4" s="1"/>
  <c r="AA186" i="4"/>
  <c r="X186" i="4"/>
  <c r="W186" i="4"/>
  <c r="U186" i="4"/>
  <c r="R186" i="4"/>
  <c r="O186" i="4"/>
  <c r="N186" i="4"/>
  <c r="L186" i="4"/>
  <c r="I186" i="4"/>
  <c r="H186" i="4"/>
  <c r="F186" i="4"/>
  <c r="C186" i="4"/>
  <c r="AC184" i="4"/>
  <c r="AD184" i="4" s="1"/>
  <c r="AA184" i="4"/>
  <c r="W184" i="4"/>
  <c r="X184" i="4" s="1"/>
  <c r="U184" i="4"/>
  <c r="R184" i="4"/>
  <c r="O184" i="4"/>
  <c r="N184" i="4"/>
  <c r="L184" i="4"/>
  <c r="H184" i="4"/>
  <c r="I184" i="4" s="1"/>
  <c r="F184" i="4"/>
  <c r="C184" i="4"/>
  <c r="AD183" i="4"/>
  <c r="AC183" i="4"/>
  <c r="AA183" i="4"/>
  <c r="X183" i="4"/>
  <c r="W183" i="4"/>
  <c r="U183" i="4"/>
  <c r="R183" i="4"/>
  <c r="O183" i="4"/>
  <c r="N183" i="4"/>
  <c r="L183" i="4"/>
  <c r="H183" i="4"/>
  <c r="I183" i="4" s="1"/>
  <c r="F183" i="4"/>
  <c r="C183" i="4"/>
  <c r="AC182" i="4"/>
  <c r="AD182" i="4" s="1"/>
  <c r="AA182" i="4"/>
  <c r="Z182" i="4"/>
  <c r="T182" i="4"/>
  <c r="U182" i="4" s="1"/>
  <c r="Q182" i="4"/>
  <c r="R182" i="4" s="1"/>
  <c r="O182" i="4"/>
  <c r="K182" i="4"/>
  <c r="L182" i="4" s="1"/>
  <c r="F182" i="4"/>
  <c r="E182" i="4"/>
  <c r="H182" i="4" s="1"/>
  <c r="I182" i="4" s="1"/>
  <c r="C182" i="4"/>
  <c r="B182" i="4"/>
  <c r="N182" i="4" s="1"/>
  <c r="AC181" i="4"/>
  <c r="AD181" i="4" s="1"/>
  <c r="AA181" i="4"/>
  <c r="W181" i="4"/>
  <c r="X181" i="4" s="1"/>
  <c r="U181" i="4"/>
  <c r="R181" i="4"/>
  <c r="O181" i="4"/>
  <c r="N181" i="4"/>
  <c r="L181" i="4"/>
  <c r="H181" i="4"/>
  <c r="I181" i="4" s="1"/>
  <c r="F181" i="4"/>
  <c r="C181" i="4"/>
  <c r="AD180" i="4"/>
  <c r="AC180" i="4"/>
  <c r="AA180" i="4"/>
  <c r="X180" i="4"/>
  <c r="W180" i="4"/>
  <c r="U180" i="4"/>
  <c r="R180" i="4"/>
  <c r="N180" i="4"/>
  <c r="O180" i="4" s="1"/>
  <c r="L180" i="4"/>
  <c r="H180" i="4"/>
  <c r="I180" i="4" s="1"/>
  <c r="F180" i="4"/>
  <c r="C180" i="4"/>
  <c r="AD179" i="4"/>
  <c r="AC179" i="4"/>
  <c r="AA179" i="4"/>
  <c r="X179" i="4"/>
  <c r="W179" i="4"/>
  <c r="U179" i="4"/>
  <c r="R179" i="4"/>
  <c r="N179" i="4"/>
  <c r="O179" i="4" s="1"/>
  <c r="L179" i="4"/>
  <c r="I179" i="4"/>
  <c r="H179" i="4"/>
  <c r="F179" i="4"/>
  <c r="C179" i="4"/>
  <c r="AC178" i="4"/>
  <c r="AD178" i="4" s="1"/>
  <c r="AA178" i="4"/>
  <c r="X178" i="4"/>
  <c r="W178" i="4"/>
  <c r="U178" i="4"/>
  <c r="R178" i="4"/>
  <c r="O178" i="4"/>
  <c r="N178" i="4"/>
  <c r="L178" i="4"/>
  <c r="H178" i="4"/>
  <c r="I178" i="4" s="1"/>
  <c r="F178" i="4"/>
  <c r="C178" i="4"/>
  <c r="AC177" i="4"/>
  <c r="AD177" i="4" s="1"/>
  <c r="AA177" i="4"/>
  <c r="X177" i="4"/>
  <c r="W177" i="4"/>
  <c r="U177" i="4"/>
  <c r="R177" i="4"/>
  <c r="O177" i="4"/>
  <c r="N177" i="4"/>
  <c r="L177" i="4"/>
  <c r="H177" i="4"/>
  <c r="I177" i="4" s="1"/>
  <c r="F177" i="4"/>
  <c r="C177" i="4"/>
  <c r="AD175" i="4"/>
  <c r="AC175" i="4"/>
  <c r="AA175" i="4"/>
  <c r="X175" i="4"/>
  <c r="W175" i="4"/>
  <c r="U175" i="4"/>
  <c r="R175" i="4"/>
  <c r="N175" i="4"/>
  <c r="O175" i="4" s="1"/>
  <c r="L175" i="4"/>
  <c r="H175" i="4"/>
  <c r="I175" i="4" s="1"/>
  <c r="F175" i="4"/>
  <c r="C175" i="4"/>
  <c r="Z171" i="4"/>
  <c r="AA171" i="4" s="1"/>
  <c r="X171" i="4"/>
  <c r="W171" i="4"/>
  <c r="U171" i="4"/>
  <c r="T171" i="4"/>
  <c r="Q171" i="4"/>
  <c r="R171" i="4" s="1"/>
  <c r="K171" i="4"/>
  <c r="K172" i="4" s="1"/>
  <c r="E171" i="4"/>
  <c r="F171" i="4" s="1"/>
  <c r="B171" i="4"/>
  <c r="N171" i="4" s="1"/>
  <c r="O171" i="4" s="1"/>
  <c r="AD170" i="4"/>
  <c r="AC170" i="4"/>
  <c r="AA170" i="4"/>
  <c r="Z170" i="4"/>
  <c r="T170" i="4"/>
  <c r="U170" i="4" s="1"/>
  <c r="R170" i="4"/>
  <c r="Q170" i="4"/>
  <c r="O170" i="4"/>
  <c r="K170" i="4"/>
  <c r="L170" i="4" s="1"/>
  <c r="H170" i="4"/>
  <c r="I170" i="4" s="1"/>
  <c r="F170" i="4"/>
  <c r="E170" i="4"/>
  <c r="C170" i="4"/>
  <c r="B170" i="4"/>
  <c r="N170" i="4" s="1"/>
  <c r="AC169" i="4"/>
  <c r="AD169" i="4" s="1"/>
  <c r="AA169" i="4"/>
  <c r="X169" i="4"/>
  <c r="W169" i="4"/>
  <c r="U169" i="4"/>
  <c r="R169" i="4"/>
  <c r="O169" i="4"/>
  <c r="N169" i="4"/>
  <c r="L169" i="4"/>
  <c r="H169" i="4"/>
  <c r="I169" i="4" s="1"/>
  <c r="F169" i="4"/>
  <c r="C169" i="4"/>
  <c r="AD168" i="4"/>
  <c r="AC168" i="4"/>
  <c r="AA168" i="4"/>
  <c r="X168" i="4"/>
  <c r="W168" i="4"/>
  <c r="U168" i="4"/>
  <c r="R168" i="4"/>
  <c r="O168" i="4"/>
  <c r="N168" i="4"/>
  <c r="L168" i="4"/>
  <c r="H168" i="4"/>
  <c r="I168" i="4" s="1"/>
  <c r="F168" i="4"/>
  <c r="C168" i="4"/>
  <c r="AC167" i="4"/>
  <c r="AD167" i="4" s="1"/>
  <c r="AA167" i="4"/>
  <c r="X167" i="4"/>
  <c r="W167" i="4"/>
  <c r="U167" i="4"/>
  <c r="R167" i="4"/>
  <c r="N167" i="4"/>
  <c r="O167" i="4" s="1"/>
  <c r="L167" i="4"/>
  <c r="I167" i="4"/>
  <c r="H167" i="4"/>
  <c r="F167" i="4"/>
  <c r="C167" i="4"/>
  <c r="Z166" i="4"/>
  <c r="AA166" i="4" s="1"/>
  <c r="T166" i="4"/>
  <c r="U166" i="4" s="1"/>
  <c r="Q166" i="4"/>
  <c r="L166" i="4"/>
  <c r="K166" i="4"/>
  <c r="E166" i="4"/>
  <c r="F166" i="4" s="1"/>
  <c r="C166" i="4"/>
  <c r="B166" i="4"/>
  <c r="AD165" i="4"/>
  <c r="AC165" i="4"/>
  <c r="AA165" i="4"/>
  <c r="X165" i="4"/>
  <c r="W165" i="4"/>
  <c r="U165" i="4"/>
  <c r="R165" i="4"/>
  <c r="O165" i="4"/>
  <c r="N165" i="4"/>
  <c r="L165" i="4"/>
  <c r="H165" i="4"/>
  <c r="I165" i="4" s="1"/>
  <c r="F165" i="4"/>
  <c r="C165" i="4"/>
  <c r="AC164" i="4"/>
  <c r="AD164" i="4" s="1"/>
  <c r="AA164" i="4"/>
  <c r="X164" i="4"/>
  <c r="W164" i="4"/>
  <c r="U164" i="4"/>
  <c r="R164" i="4"/>
  <c r="N164" i="4"/>
  <c r="O164" i="4" s="1"/>
  <c r="L164" i="4"/>
  <c r="I164" i="4"/>
  <c r="H164" i="4"/>
  <c r="F164" i="4"/>
  <c r="C164" i="4"/>
  <c r="AC163" i="4"/>
  <c r="AD163" i="4" s="1"/>
  <c r="AA163" i="4"/>
  <c r="W163" i="4"/>
  <c r="X163" i="4" s="1"/>
  <c r="U163" i="4"/>
  <c r="R163" i="4"/>
  <c r="O163" i="4"/>
  <c r="N163" i="4"/>
  <c r="L163" i="4"/>
  <c r="H163" i="4"/>
  <c r="I163" i="4" s="1"/>
  <c r="F163" i="4"/>
  <c r="C163" i="4"/>
  <c r="AC162" i="4"/>
  <c r="AD162" i="4" s="1"/>
  <c r="AA162" i="4"/>
  <c r="W162" i="4"/>
  <c r="X162" i="4" s="1"/>
  <c r="U162" i="4"/>
  <c r="R162" i="4"/>
  <c r="O162" i="4"/>
  <c r="N162" i="4"/>
  <c r="L162" i="4"/>
  <c r="H162" i="4"/>
  <c r="I162" i="4" s="1"/>
  <c r="F162" i="4"/>
  <c r="C162" i="4"/>
  <c r="AD161" i="4"/>
  <c r="AC161" i="4"/>
  <c r="AA161" i="4"/>
  <c r="X161" i="4"/>
  <c r="W161" i="4"/>
  <c r="U161" i="4"/>
  <c r="R161" i="4"/>
  <c r="O161" i="4"/>
  <c r="N161" i="4"/>
  <c r="L161" i="4"/>
  <c r="H161" i="4"/>
  <c r="I161" i="4" s="1"/>
  <c r="F161" i="4"/>
  <c r="C161" i="4"/>
  <c r="AC160" i="4"/>
  <c r="AD160" i="4" s="1"/>
  <c r="AA160" i="4"/>
  <c r="X160" i="4"/>
  <c r="W160" i="4"/>
  <c r="U160" i="4"/>
  <c r="R160" i="4"/>
  <c r="O160" i="4"/>
  <c r="N160" i="4"/>
  <c r="L160" i="4"/>
  <c r="I160" i="4"/>
  <c r="H160" i="4"/>
  <c r="F160" i="4"/>
  <c r="C160" i="4"/>
  <c r="AC158" i="4"/>
  <c r="AD158" i="4" s="1"/>
  <c r="AA158" i="4"/>
  <c r="Z158" i="4"/>
  <c r="T158" i="4"/>
  <c r="U158" i="4" s="1"/>
  <c r="Q158" i="4"/>
  <c r="N158" i="4"/>
  <c r="O158" i="4" s="1"/>
  <c r="L158" i="4"/>
  <c r="K158" i="4"/>
  <c r="E158" i="4"/>
  <c r="F158" i="4" s="1"/>
  <c r="B158" i="4"/>
  <c r="H158" i="4" s="1"/>
  <c r="I158" i="4" s="1"/>
  <c r="AD157" i="4"/>
  <c r="AC157" i="4"/>
  <c r="AA157" i="4"/>
  <c r="X157" i="4"/>
  <c r="W157" i="4"/>
  <c r="U157" i="4"/>
  <c r="R157" i="4"/>
  <c r="O157" i="4"/>
  <c r="N157" i="4"/>
  <c r="L157" i="4"/>
  <c r="H157" i="4"/>
  <c r="I157" i="4" s="1"/>
  <c r="F157" i="4"/>
  <c r="C157" i="4"/>
  <c r="AC156" i="4"/>
  <c r="AD156" i="4" s="1"/>
  <c r="AA156" i="4"/>
  <c r="X156" i="4"/>
  <c r="W156" i="4"/>
  <c r="U156" i="4"/>
  <c r="R156" i="4"/>
  <c r="O156" i="4"/>
  <c r="N156" i="4"/>
  <c r="L156" i="4"/>
  <c r="I156" i="4"/>
  <c r="H156" i="4"/>
  <c r="F156" i="4"/>
  <c r="C156" i="4"/>
  <c r="AC155" i="4"/>
  <c r="AD155" i="4" s="1"/>
  <c r="AA155" i="4"/>
  <c r="W155" i="4"/>
  <c r="X155" i="4" s="1"/>
  <c r="U155" i="4"/>
  <c r="R155" i="4"/>
  <c r="O155" i="4"/>
  <c r="N155" i="4"/>
  <c r="L155" i="4"/>
  <c r="I155" i="4"/>
  <c r="H155" i="4"/>
  <c r="F155" i="4"/>
  <c r="C155" i="4"/>
  <c r="AC154" i="4"/>
  <c r="AD154" i="4" s="1"/>
  <c r="AA154" i="4"/>
  <c r="X154" i="4"/>
  <c r="W154" i="4"/>
  <c r="U154" i="4"/>
  <c r="R154" i="4"/>
  <c r="O154" i="4"/>
  <c r="N154" i="4"/>
  <c r="L154" i="4"/>
  <c r="H154" i="4"/>
  <c r="I154" i="4" s="1"/>
  <c r="F154" i="4"/>
  <c r="C154" i="4"/>
  <c r="AD153" i="4"/>
  <c r="AC153" i="4"/>
  <c r="AA153" i="4"/>
  <c r="X153" i="4"/>
  <c r="W153" i="4"/>
  <c r="U153" i="4"/>
  <c r="R153" i="4"/>
  <c r="O153" i="4"/>
  <c r="N153" i="4"/>
  <c r="L153" i="4"/>
  <c r="H153" i="4"/>
  <c r="I153" i="4" s="1"/>
  <c r="F153" i="4"/>
  <c r="C153" i="4"/>
  <c r="AC151" i="4"/>
  <c r="AD151" i="4" s="1"/>
  <c r="AA151" i="4"/>
  <c r="X151" i="4"/>
  <c r="W151" i="4"/>
  <c r="U151" i="4"/>
  <c r="R151" i="4"/>
  <c r="N151" i="4"/>
  <c r="O151" i="4" s="1"/>
  <c r="L151" i="4"/>
  <c r="I151" i="4"/>
  <c r="H151" i="4"/>
  <c r="F151" i="4"/>
  <c r="C151" i="4"/>
  <c r="Z149" i="4"/>
  <c r="AA149" i="4" s="1"/>
  <c r="T149" i="4"/>
  <c r="U149" i="4" s="1"/>
  <c r="Q149" i="4"/>
  <c r="L149" i="4"/>
  <c r="K149" i="4"/>
  <c r="E149" i="4"/>
  <c r="F149" i="4" s="1"/>
  <c r="C149" i="4"/>
  <c r="B149" i="4"/>
  <c r="H149" i="4" s="1"/>
  <c r="I149" i="4" s="1"/>
  <c r="Z148" i="4"/>
  <c r="AA148" i="4" s="1"/>
  <c r="W148" i="4"/>
  <c r="X148" i="4" s="1"/>
  <c r="U148" i="4"/>
  <c r="T148" i="4"/>
  <c r="R148" i="4"/>
  <c r="Q148" i="4"/>
  <c r="AC148" i="4" s="1"/>
  <c r="AD148" i="4" s="1"/>
  <c r="K148" i="4"/>
  <c r="L148" i="4" s="1"/>
  <c r="I148" i="4"/>
  <c r="H148" i="4"/>
  <c r="F148" i="4"/>
  <c r="E148" i="4"/>
  <c r="B148" i="4"/>
  <c r="C148" i="4" s="1"/>
  <c r="AC147" i="4"/>
  <c r="AD147" i="4" s="1"/>
  <c r="AA147" i="4"/>
  <c r="X147" i="4"/>
  <c r="W147" i="4"/>
  <c r="U147" i="4"/>
  <c r="R147" i="4"/>
  <c r="O147" i="4"/>
  <c r="N147" i="4"/>
  <c r="L147" i="4"/>
  <c r="I147" i="4"/>
  <c r="H147" i="4"/>
  <c r="F147" i="4"/>
  <c r="C147" i="4"/>
  <c r="AC146" i="4"/>
  <c r="AD146" i="4" s="1"/>
  <c r="AA146" i="4"/>
  <c r="W146" i="4"/>
  <c r="X146" i="4" s="1"/>
  <c r="U146" i="4"/>
  <c r="R146" i="4"/>
  <c r="O146" i="4"/>
  <c r="N146" i="4"/>
  <c r="L146" i="4"/>
  <c r="H146" i="4"/>
  <c r="I146" i="4" s="1"/>
  <c r="F146" i="4"/>
  <c r="C146" i="4"/>
  <c r="AD145" i="4"/>
  <c r="AC145" i="4"/>
  <c r="AA145" i="4"/>
  <c r="X145" i="4"/>
  <c r="W145" i="4"/>
  <c r="U145" i="4"/>
  <c r="R145" i="4"/>
  <c r="N145" i="4"/>
  <c r="O145" i="4" s="1"/>
  <c r="L145" i="4"/>
  <c r="H145" i="4"/>
  <c r="I145" i="4" s="1"/>
  <c r="F145" i="4"/>
  <c r="C145" i="4"/>
  <c r="AD144" i="4"/>
  <c r="AC144" i="4"/>
  <c r="AA144" i="4"/>
  <c r="X144" i="4"/>
  <c r="W144" i="4"/>
  <c r="U144" i="4"/>
  <c r="R144" i="4"/>
  <c r="N144" i="4"/>
  <c r="O144" i="4" s="1"/>
  <c r="L144" i="4"/>
  <c r="I144" i="4"/>
  <c r="H144" i="4"/>
  <c r="F144" i="4"/>
  <c r="C144" i="4"/>
  <c r="AC143" i="4"/>
  <c r="AD143" i="4" s="1"/>
  <c r="AA143" i="4"/>
  <c r="X143" i="4"/>
  <c r="W143" i="4"/>
  <c r="U143" i="4"/>
  <c r="R143" i="4"/>
  <c r="O143" i="4"/>
  <c r="N143" i="4"/>
  <c r="L143" i="4"/>
  <c r="H143" i="4"/>
  <c r="I143" i="4" s="1"/>
  <c r="F143" i="4"/>
  <c r="C143" i="4"/>
  <c r="Z141" i="4"/>
  <c r="AA141" i="4" s="1"/>
  <c r="X141" i="4"/>
  <c r="W141" i="4"/>
  <c r="U141" i="4"/>
  <c r="T141" i="4"/>
  <c r="Q141" i="4"/>
  <c r="R141" i="4" s="1"/>
  <c r="K141" i="4"/>
  <c r="L141" i="4" s="1"/>
  <c r="E141" i="4"/>
  <c r="F141" i="4" s="1"/>
  <c r="B141" i="4"/>
  <c r="AC140" i="4"/>
  <c r="AD140" i="4" s="1"/>
  <c r="AA140" i="4"/>
  <c r="X140" i="4"/>
  <c r="W140" i="4"/>
  <c r="U140" i="4"/>
  <c r="R140" i="4"/>
  <c r="N140" i="4"/>
  <c r="O140" i="4" s="1"/>
  <c r="L140" i="4"/>
  <c r="I140" i="4"/>
  <c r="H140" i="4"/>
  <c r="F140" i="4"/>
  <c r="C140" i="4"/>
  <c r="AC139" i="4"/>
  <c r="AD139" i="4" s="1"/>
  <c r="AA139" i="4"/>
  <c r="W139" i="4"/>
  <c r="X139" i="4" s="1"/>
  <c r="U139" i="4"/>
  <c r="R139" i="4"/>
  <c r="O139" i="4"/>
  <c r="N139" i="4"/>
  <c r="L139" i="4"/>
  <c r="H139" i="4"/>
  <c r="I139" i="4" s="1"/>
  <c r="F139" i="4"/>
  <c r="C139" i="4"/>
  <c r="AC138" i="4"/>
  <c r="AD138" i="4" s="1"/>
  <c r="AA138" i="4"/>
  <c r="X138" i="4"/>
  <c r="W138" i="4"/>
  <c r="U138" i="4"/>
  <c r="R138" i="4"/>
  <c r="O138" i="4"/>
  <c r="N138" i="4"/>
  <c r="L138" i="4"/>
  <c r="H138" i="4"/>
  <c r="I138" i="4" s="1"/>
  <c r="F138" i="4"/>
  <c r="C138" i="4"/>
  <c r="AD137" i="4"/>
  <c r="AC137" i="4"/>
  <c r="AA137" i="4"/>
  <c r="X137" i="4"/>
  <c r="W137" i="4"/>
  <c r="U137" i="4"/>
  <c r="R137" i="4"/>
  <c r="O137" i="4"/>
  <c r="N137" i="4"/>
  <c r="L137" i="4"/>
  <c r="H137" i="4"/>
  <c r="I137" i="4" s="1"/>
  <c r="F137" i="4"/>
  <c r="C137" i="4"/>
  <c r="AD136" i="4"/>
  <c r="AC136" i="4"/>
  <c r="AA136" i="4"/>
  <c r="X136" i="4"/>
  <c r="W136" i="4"/>
  <c r="U136" i="4"/>
  <c r="R136" i="4"/>
  <c r="N136" i="4"/>
  <c r="O136" i="4" s="1"/>
  <c r="L136" i="4"/>
  <c r="I136" i="4"/>
  <c r="H136" i="4"/>
  <c r="F136" i="4"/>
  <c r="C136" i="4"/>
  <c r="AC135" i="4"/>
  <c r="AD135" i="4" s="1"/>
  <c r="AA135" i="4"/>
  <c r="X135" i="4"/>
  <c r="W135" i="4"/>
  <c r="U135" i="4"/>
  <c r="R135" i="4"/>
  <c r="O135" i="4"/>
  <c r="N135" i="4"/>
  <c r="L135" i="4"/>
  <c r="H135" i="4"/>
  <c r="I135" i="4" s="1"/>
  <c r="F135" i="4"/>
  <c r="C135" i="4"/>
  <c r="AC134" i="4"/>
  <c r="AD134" i="4" s="1"/>
  <c r="AA134" i="4"/>
  <c r="X134" i="4"/>
  <c r="W134" i="4"/>
  <c r="U134" i="4"/>
  <c r="R134" i="4"/>
  <c r="O134" i="4"/>
  <c r="N134" i="4"/>
  <c r="L134" i="4"/>
  <c r="H134" i="4"/>
  <c r="I134" i="4" s="1"/>
  <c r="F134" i="4"/>
  <c r="C134" i="4"/>
  <c r="AD133" i="4"/>
  <c r="AC133" i="4"/>
  <c r="AA133" i="4"/>
  <c r="X133" i="4"/>
  <c r="W133" i="4"/>
  <c r="U133" i="4"/>
  <c r="R133" i="4"/>
  <c r="N133" i="4"/>
  <c r="O133" i="4" s="1"/>
  <c r="L133" i="4"/>
  <c r="H133" i="4"/>
  <c r="I133" i="4" s="1"/>
  <c r="F133" i="4"/>
  <c r="C133" i="4"/>
  <c r="AC132" i="4"/>
  <c r="AD132" i="4" s="1"/>
  <c r="AA132" i="4"/>
  <c r="X132" i="4"/>
  <c r="W132" i="4"/>
  <c r="U132" i="4"/>
  <c r="R132" i="4"/>
  <c r="N132" i="4"/>
  <c r="O132" i="4" s="1"/>
  <c r="L132" i="4"/>
  <c r="I132" i="4"/>
  <c r="H132" i="4"/>
  <c r="F132" i="4"/>
  <c r="C132" i="4"/>
  <c r="AC131" i="4"/>
  <c r="AD131" i="4" s="1"/>
  <c r="AA131" i="4"/>
  <c r="W131" i="4"/>
  <c r="X131" i="4" s="1"/>
  <c r="U131" i="4"/>
  <c r="R131" i="4"/>
  <c r="O131" i="4"/>
  <c r="N131" i="4"/>
  <c r="L131" i="4"/>
  <c r="H131" i="4"/>
  <c r="I131" i="4" s="1"/>
  <c r="F131" i="4"/>
  <c r="C131" i="4"/>
  <c r="AC130" i="4"/>
  <c r="AD130" i="4" s="1"/>
  <c r="AA130" i="4"/>
  <c r="X130" i="4"/>
  <c r="W130" i="4"/>
  <c r="U130" i="4"/>
  <c r="R130" i="4"/>
  <c r="O130" i="4"/>
  <c r="N130" i="4"/>
  <c r="L130" i="4"/>
  <c r="H130" i="4"/>
  <c r="I130" i="4" s="1"/>
  <c r="F130" i="4"/>
  <c r="C130" i="4"/>
  <c r="AD129" i="4"/>
  <c r="AC129" i="4"/>
  <c r="AA129" i="4"/>
  <c r="X129" i="4"/>
  <c r="W129" i="4"/>
  <c r="U129" i="4"/>
  <c r="R129" i="4"/>
  <c r="O129" i="4"/>
  <c r="N129" i="4"/>
  <c r="L129" i="4"/>
  <c r="H129" i="4"/>
  <c r="I129" i="4" s="1"/>
  <c r="F129" i="4"/>
  <c r="C129" i="4"/>
  <c r="AD127" i="4"/>
  <c r="AC127" i="4"/>
  <c r="AA127" i="4"/>
  <c r="X127" i="4"/>
  <c r="W127" i="4"/>
  <c r="U127" i="4"/>
  <c r="R127" i="4"/>
  <c r="N127" i="4"/>
  <c r="O127" i="4" s="1"/>
  <c r="L127" i="4"/>
  <c r="I127" i="4"/>
  <c r="H127" i="4"/>
  <c r="F127" i="4"/>
  <c r="C127" i="4"/>
  <c r="Z124" i="4"/>
  <c r="Z172" i="4" s="1"/>
  <c r="Z198" i="4" s="1"/>
  <c r="T124" i="4"/>
  <c r="U124" i="4" s="1"/>
  <c r="Q124" i="4"/>
  <c r="N124" i="4"/>
  <c r="O124" i="4" s="1"/>
  <c r="L124" i="4"/>
  <c r="K124" i="4"/>
  <c r="H124" i="4"/>
  <c r="I124" i="4" s="1"/>
  <c r="E124" i="4"/>
  <c r="F124" i="4" s="1"/>
  <c r="C124" i="4"/>
  <c r="B124" i="4"/>
  <c r="AD123" i="4"/>
  <c r="AC123" i="4"/>
  <c r="AA123" i="4"/>
  <c r="X123" i="4"/>
  <c r="W123" i="4"/>
  <c r="U123" i="4"/>
  <c r="R123" i="4"/>
  <c r="N123" i="4"/>
  <c r="O123" i="4" s="1"/>
  <c r="L123" i="4"/>
  <c r="H123" i="4"/>
  <c r="I123" i="4" s="1"/>
  <c r="F123" i="4"/>
  <c r="C123" i="4"/>
  <c r="AA122" i="4"/>
  <c r="Z122" i="4"/>
  <c r="T122" i="4"/>
  <c r="U122" i="4" s="1"/>
  <c r="Q122" i="4"/>
  <c r="W122" i="4" s="1"/>
  <c r="X122" i="4" s="1"/>
  <c r="K122" i="4"/>
  <c r="L122" i="4" s="1"/>
  <c r="E122" i="4"/>
  <c r="F122" i="4" s="1"/>
  <c r="C122" i="4"/>
  <c r="B122" i="4"/>
  <c r="AC121" i="4"/>
  <c r="AD121" i="4" s="1"/>
  <c r="AA121" i="4"/>
  <c r="X121" i="4"/>
  <c r="W121" i="4"/>
  <c r="U121" i="4"/>
  <c r="R121" i="4"/>
  <c r="O121" i="4"/>
  <c r="N121" i="4"/>
  <c r="L121" i="4"/>
  <c r="H121" i="4"/>
  <c r="I121" i="4" s="1"/>
  <c r="F121" i="4"/>
  <c r="C121" i="4"/>
  <c r="AD120" i="4"/>
  <c r="AC120" i="4"/>
  <c r="AA120" i="4"/>
  <c r="X120" i="4"/>
  <c r="W120" i="4"/>
  <c r="U120" i="4"/>
  <c r="R120" i="4"/>
  <c r="N120" i="4"/>
  <c r="O120" i="4" s="1"/>
  <c r="L120" i="4"/>
  <c r="H120" i="4"/>
  <c r="I120" i="4" s="1"/>
  <c r="F120" i="4"/>
  <c r="C120" i="4"/>
  <c r="AC119" i="4"/>
  <c r="AD119" i="4" s="1"/>
  <c r="AA119" i="4"/>
  <c r="X119" i="4"/>
  <c r="W119" i="4"/>
  <c r="U119" i="4"/>
  <c r="R119" i="4"/>
  <c r="O119" i="4"/>
  <c r="N119" i="4"/>
  <c r="L119" i="4"/>
  <c r="I119" i="4"/>
  <c r="H119" i="4"/>
  <c r="F119" i="4"/>
  <c r="C119" i="4"/>
  <c r="AA118" i="4"/>
  <c r="Z118" i="4"/>
  <c r="AC118" i="4" s="1"/>
  <c r="AD118" i="4" s="1"/>
  <c r="T118" i="4"/>
  <c r="U118" i="4" s="1"/>
  <c r="Q118" i="4"/>
  <c r="L118" i="4"/>
  <c r="K118" i="4"/>
  <c r="E118" i="4"/>
  <c r="F118" i="4" s="1"/>
  <c r="B118" i="4"/>
  <c r="N118" i="4" s="1"/>
  <c r="O118" i="4" s="1"/>
  <c r="AD117" i="4"/>
  <c r="AC117" i="4"/>
  <c r="AA117" i="4"/>
  <c r="X117" i="4"/>
  <c r="W117" i="4"/>
  <c r="U117" i="4"/>
  <c r="R117" i="4"/>
  <c r="N117" i="4"/>
  <c r="O117" i="4" s="1"/>
  <c r="L117" i="4"/>
  <c r="H117" i="4"/>
  <c r="I117" i="4" s="1"/>
  <c r="F117" i="4"/>
  <c r="C117" i="4"/>
  <c r="AD116" i="4"/>
  <c r="AC116" i="4"/>
  <c r="AA116" i="4"/>
  <c r="X116" i="4"/>
  <c r="W116" i="4"/>
  <c r="U116" i="4"/>
  <c r="R116" i="4"/>
  <c r="N116" i="4"/>
  <c r="O116" i="4" s="1"/>
  <c r="L116" i="4"/>
  <c r="I116" i="4"/>
  <c r="H116" i="4"/>
  <c r="F116" i="4"/>
  <c r="C116" i="4"/>
  <c r="AC115" i="4"/>
  <c r="AD115" i="4" s="1"/>
  <c r="AA115" i="4"/>
  <c r="X115" i="4"/>
  <c r="W115" i="4"/>
  <c r="U115" i="4"/>
  <c r="R115" i="4"/>
  <c r="O115" i="4"/>
  <c r="N115" i="4"/>
  <c r="L115" i="4"/>
  <c r="H115" i="4"/>
  <c r="I115" i="4" s="1"/>
  <c r="F115" i="4"/>
  <c r="C115" i="4"/>
  <c r="AC114" i="4"/>
  <c r="AD114" i="4" s="1"/>
  <c r="AA114" i="4"/>
  <c r="W114" i="4"/>
  <c r="X114" i="4" s="1"/>
  <c r="U114" i="4"/>
  <c r="R114" i="4"/>
  <c r="O114" i="4"/>
  <c r="N114" i="4"/>
  <c r="L114" i="4"/>
  <c r="H114" i="4"/>
  <c r="I114" i="4" s="1"/>
  <c r="F114" i="4"/>
  <c r="C114" i="4"/>
  <c r="AD113" i="4"/>
  <c r="AC113" i="4"/>
  <c r="AA113" i="4"/>
  <c r="X113" i="4"/>
  <c r="W113" i="4"/>
  <c r="U113" i="4"/>
  <c r="R113" i="4"/>
  <c r="O113" i="4"/>
  <c r="N113" i="4"/>
  <c r="L113" i="4"/>
  <c r="H113" i="4"/>
  <c r="I113" i="4" s="1"/>
  <c r="F113" i="4"/>
  <c r="C113" i="4"/>
  <c r="AC112" i="4"/>
  <c r="AD112" i="4" s="1"/>
  <c r="AA112" i="4"/>
  <c r="X112" i="4"/>
  <c r="W112" i="4"/>
  <c r="U112" i="4"/>
  <c r="R112" i="4"/>
  <c r="O112" i="4"/>
  <c r="N112" i="4"/>
  <c r="L112" i="4"/>
  <c r="I112" i="4"/>
  <c r="H112" i="4"/>
  <c r="F112" i="4"/>
  <c r="C112" i="4"/>
  <c r="AC111" i="4"/>
  <c r="AD111" i="4" s="1"/>
  <c r="AA111" i="4"/>
  <c r="W111" i="4"/>
  <c r="X111" i="4" s="1"/>
  <c r="U111" i="4"/>
  <c r="R111" i="4"/>
  <c r="O111" i="4"/>
  <c r="N111" i="4"/>
  <c r="L111" i="4"/>
  <c r="I111" i="4"/>
  <c r="H111" i="4"/>
  <c r="F111" i="4"/>
  <c r="C111" i="4"/>
  <c r="AC110" i="4"/>
  <c r="AD110" i="4" s="1"/>
  <c r="AA110" i="4"/>
  <c r="W110" i="4"/>
  <c r="X110" i="4" s="1"/>
  <c r="U110" i="4"/>
  <c r="R110" i="4"/>
  <c r="O110" i="4"/>
  <c r="N110" i="4"/>
  <c r="L110" i="4"/>
  <c r="H110" i="4"/>
  <c r="I110" i="4" s="1"/>
  <c r="F110" i="4"/>
  <c r="C110" i="4"/>
  <c r="AD109" i="4"/>
  <c r="AC109" i="4"/>
  <c r="AA109" i="4"/>
  <c r="X109" i="4"/>
  <c r="W109" i="4"/>
  <c r="U109" i="4"/>
  <c r="R109" i="4"/>
  <c r="N109" i="4"/>
  <c r="O109" i="4" s="1"/>
  <c r="L109" i="4"/>
  <c r="H109" i="4"/>
  <c r="I109" i="4" s="1"/>
  <c r="F109" i="4"/>
  <c r="C109" i="4"/>
  <c r="AD108" i="4"/>
  <c r="AC108" i="4"/>
  <c r="AA108" i="4"/>
  <c r="X108" i="4"/>
  <c r="W108" i="4"/>
  <c r="U108" i="4"/>
  <c r="R108" i="4"/>
  <c r="N108" i="4"/>
  <c r="O108" i="4" s="1"/>
  <c r="L108" i="4"/>
  <c r="I108" i="4"/>
  <c r="H108" i="4"/>
  <c r="F108" i="4"/>
  <c r="C108" i="4"/>
  <c r="AC107" i="4"/>
  <c r="AD107" i="4" s="1"/>
  <c r="AA107" i="4"/>
  <c r="X107" i="4"/>
  <c r="W107" i="4"/>
  <c r="U107" i="4"/>
  <c r="R107" i="4"/>
  <c r="O107" i="4"/>
  <c r="N107" i="4"/>
  <c r="L107" i="4"/>
  <c r="H107" i="4"/>
  <c r="I107" i="4" s="1"/>
  <c r="F107" i="4"/>
  <c r="C107" i="4"/>
  <c r="AC106" i="4"/>
  <c r="AD106" i="4" s="1"/>
  <c r="AA106" i="4"/>
  <c r="W106" i="4"/>
  <c r="X106" i="4" s="1"/>
  <c r="U106" i="4"/>
  <c r="R106" i="4"/>
  <c r="O106" i="4"/>
  <c r="N106" i="4"/>
  <c r="L106" i="4"/>
  <c r="H106" i="4"/>
  <c r="I106" i="4" s="1"/>
  <c r="F106" i="4"/>
  <c r="C106" i="4"/>
  <c r="AD105" i="4"/>
  <c r="AC105" i="4"/>
  <c r="AA105" i="4"/>
  <c r="X105" i="4"/>
  <c r="W105" i="4"/>
  <c r="U105" i="4"/>
  <c r="R105" i="4"/>
  <c r="O105" i="4"/>
  <c r="N105" i="4"/>
  <c r="L105" i="4"/>
  <c r="H105" i="4"/>
  <c r="I105" i="4" s="1"/>
  <c r="F105" i="4"/>
  <c r="C105" i="4"/>
  <c r="AC104" i="4"/>
  <c r="AD104" i="4" s="1"/>
  <c r="AA104" i="4"/>
  <c r="X104" i="4"/>
  <c r="W104" i="4"/>
  <c r="U104" i="4"/>
  <c r="R104" i="4"/>
  <c r="O104" i="4"/>
  <c r="N104" i="4"/>
  <c r="L104" i="4"/>
  <c r="I104" i="4"/>
  <c r="H104" i="4"/>
  <c r="F104" i="4"/>
  <c r="C104" i="4"/>
  <c r="AC103" i="4"/>
  <c r="AD103" i="4" s="1"/>
  <c r="AA103" i="4"/>
  <c r="W103" i="4"/>
  <c r="X103" i="4" s="1"/>
  <c r="U103" i="4"/>
  <c r="R103" i="4"/>
  <c r="O103" i="4"/>
  <c r="N103" i="4"/>
  <c r="L103" i="4"/>
  <c r="I103" i="4"/>
  <c r="H103" i="4"/>
  <c r="F103" i="4"/>
  <c r="C103" i="4"/>
  <c r="AC102" i="4"/>
  <c r="AD102" i="4" s="1"/>
  <c r="AA102" i="4"/>
  <c r="W102" i="4"/>
  <c r="X102" i="4" s="1"/>
  <c r="U102" i="4"/>
  <c r="R102" i="4"/>
  <c r="O102" i="4"/>
  <c r="N102" i="4"/>
  <c r="L102" i="4"/>
  <c r="H102" i="4"/>
  <c r="I102" i="4" s="1"/>
  <c r="F102" i="4"/>
  <c r="C102" i="4"/>
  <c r="AD101" i="4"/>
  <c r="AC101" i="4"/>
  <c r="AA101" i="4"/>
  <c r="X101" i="4"/>
  <c r="W101" i="4"/>
  <c r="U101" i="4"/>
  <c r="R101" i="4"/>
  <c r="N101" i="4"/>
  <c r="O101" i="4" s="1"/>
  <c r="L101" i="4"/>
  <c r="H101" i="4"/>
  <c r="I101" i="4" s="1"/>
  <c r="F101" i="4"/>
  <c r="C101" i="4"/>
  <c r="AD100" i="4"/>
  <c r="AC100" i="4"/>
  <c r="AA100" i="4"/>
  <c r="X100" i="4"/>
  <c r="W100" i="4"/>
  <c r="U100" i="4"/>
  <c r="R100" i="4"/>
  <c r="N100" i="4"/>
  <c r="O100" i="4" s="1"/>
  <c r="L100" i="4"/>
  <c r="I100" i="4"/>
  <c r="H100" i="4"/>
  <c r="F100" i="4"/>
  <c r="C100" i="4"/>
  <c r="AC99" i="4"/>
  <c r="AD99" i="4" s="1"/>
  <c r="AA99" i="4"/>
  <c r="X99" i="4"/>
  <c r="W99" i="4"/>
  <c r="U99" i="4"/>
  <c r="R99" i="4"/>
  <c r="O99" i="4"/>
  <c r="N99" i="4"/>
  <c r="L99" i="4"/>
  <c r="H99" i="4"/>
  <c r="I99" i="4" s="1"/>
  <c r="F99" i="4"/>
  <c r="C99" i="4"/>
  <c r="AC98" i="4"/>
  <c r="AD98" i="4" s="1"/>
  <c r="AA98" i="4"/>
  <c r="W98" i="4"/>
  <c r="X98" i="4" s="1"/>
  <c r="U98" i="4"/>
  <c r="R98" i="4"/>
  <c r="O98" i="4"/>
  <c r="N98" i="4"/>
  <c r="L98" i="4"/>
  <c r="H98" i="4"/>
  <c r="I98" i="4" s="1"/>
  <c r="F98" i="4"/>
  <c r="C98" i="4"/>
  <c r="AD97" i="4"/>
  <c r="AC97" i="4"/>
  <c r="AA97" i="4"/>
  <c r="X97" i="4"/>
  <c r="W97" i="4"/>
  <c r="U97" i="4"/>
  <c r="R97" i="4"/>
  <c r="O97" i="4"/>
  <c r="N97" i="4"/>
  <c r="L97" i="4"/>
  <c r="H97" i="4"/>
  <c r="I97" i="4" s="1"/>
  <c r="F97" i="4"/>
  <c r="C97" i="4"/>
  <c r="AC96" i="4"/>
  <c r="AD96" i="4" s="1"/>
  <c r="AA96" i="4"/>
  <c r="X96" i="4"/>
  <c r="W96" i="4"/>
  <c r="U96" i="4"/>
  <c r="R96" i="4"/>
  <c r="O96" i="4"/>
  <c r="N96" i="4"/>
  <c r="L96" i="4"/>
  <c r="I96" i="4"/>
  <c r="H96" i="4"/>
  <c r="F96" i="4"/>
  <c r="C96" i="4"/>
  <c r="AC95" i="4"/>
  <c r="AD95" i="4" s="1"/>
  <c r="AA95" i="4"/>
  <c r="W95" i="4"/>
  <c r="X95" i="4" s="1"/>
  <c r="U95" i="4"/>
  <c r="R95" i="4"/>
  <c r="O95" i="4"/>
  <c r="N95" i="4"/>
  <c r="L95" i="4"/>
  <c r="I95" i="4"/>
  <c r="H95" i="4"/>
  <c r="F95" i="4"/>
  <c r="C95" i="4"/>
  <c r="AC94" i="4"/>
  <c r="AD94" i="4" s="1"/>
  <c r="AA94" i="4"/>
  <c r="W94" i="4"/>
  <c r="X94" i="4" s="1"/>
  <c r="U94" i="4"/>
  <c r="R94" i="4"/>
  <c r="O94" i="4"/>
  <c r="N94" i="4"/>
  <c r="L94" i="4"/>
  <c r="H94" i="4"/>
  <c r="I94" i="4" s="1"/>
  <c r="F94" i="4"/>
  <c r="C94" i="4"/>
  <c r="AD92" i="4"/>
  <c r="AC92" i="4"/>
  <c r="AA92" i="4"/>
  <c r="X92" i="4"/>
  <c r="W92" i="4"/>
  <c r="U92" i="4"/>
  <c r="R92" i="4"/>
  <c r="N92" i="4"/>
  <c r="O92" i="4" s="1"/>
  <c r="L92" i="4"/>
  <c r="H92" i="4"/>
  <c r="I92" i="4" s="1"/>
  <c r="F92" i="4"/>
  <c r="C92" i="4"/>
  <c r="AD91" i="4"/>
  <c r="AC91" i="4"/>
  <c r="AA91" i="4"/>
  <c r="X91" i="4"/>
  <c r="W91" i="4"/>
  <c r="U91" i="4"/>
  <c r="R91" i="4"/>
  <c r="N91" i="4"/>
  <c r="O91" i="4" s="1"/>
  <c r="L91" i="4"/>
  <c r="I91" i="4"/>
  <c r="H91" i="4"/>
  <c r="F91" i="4"/>
  <c r="C91" i="4"/>
  <c r="AC90" i="4"/>
  <c r="AD90" i="4" s="1"/>
  <c r="AA90" i="4"/>
  <c r="X90" i="4"/>
  <c r="W90" i="4"/>
  <c r="U90" i="4"/>
  <c r="R90" i="4"/>
  <c r="O90" i="4"/>
  <c r="N90" i="4"/>
  <c r="L90" i="4"/>
  <c r="H90" i="4"/>
  <c r="I90" i="4" s="1"/>
  <c r="F90" i="4"/>
  <c r="C90" i="4"/>
  <c r="AC89" i="4"/>
  <c r="AD89" i="4" s="1"/>
  <c r="AA89" i="4"/>
  <c r="W89" i="4"/>
  <c r="X89" i="4" s="1"/>
  <c r="U89" i="4"/>
  <c r="R89" i="4"/>
  <c r="O89" i="4"/>
  <c r="N89" i="4"/>
  <c r="L89" i="4"/>
  <c r="H89" i="4"/>
  <c r="I89" i="4" s="1"/>
  <c r="F89" i="4"/>
  <c r="C89" i="4"/>
  <c r="Z88" i="4"/>
  <c r="AA88" i="4" s="1"/>
  <c r="T88" i="4"/>
  <c r="U88" i="4" s="1"/>
  <c r="R88" i="4"/>
  <c r="Q88" i="4"/>
  <c r="N88" i="4"/>
  <c r="O88" i="4" s="1"/>
  <c r="K88" i="4"/>
  <c r="L88" i="4" s="1"/>
  <c r="I88" i="4"/>
  <c r="H88" i="4"/>
  <c r="F88" i="4"/>
  <c r="E88" i="4"/>
  <c r="B88" i="4"/>
  <c r="C88" i="4" s="1"/>
  <c r="AC87" i="4"/>
  <c r="AD87" i="4" s="1"/>
  <c r="AA87" i="4"/>
  <c r="W87" i="4"/>
  <c r="X87" i="4" s="1"/>
  <c r="U87" i="4"/>
  <c r="R87" i="4"/>
  <c r="O87" i="4"/>
  <c r="N87" i="4"/>
  <c r="L87" i="4"/>
  <c r="I87" i="4"/>
  <c r="H87" i="4"/>
  <c r="F87" i="4"/>
  <c r="C87" i="4"/>
  <c r="AC86" i="4"/>
  <c r="AD86" i="4" s="1"/>
  <c r="AA86" i="4"/>
  <c r="W86" i="4"/>
  <c r="X86" i="4" s="1"/>
  <c r="U86" i="4"/>
  <c r="R86" i="4"/>
  <c r="O86" i="4"/>
  <c r="N86" i="4"/>
  <c r="L86" i="4"/>
  <c r="H86" i="4"/>
  <c r="I86" i="4" s="1"/>
  <c r="F86" i="4"/>
  <c r="C86" i="4"/>
  <c r="AD85" i="4"/>
  <c r="AC85" i="4"/>
  <c r="AA85" i="4"/>
  <c r="X85" i="4"/>
  <c r="W85" i="4"/>
  <c r="U85" i="4"/>
  <c r="R85" i="4"/>
  <c r="N85" i="4"/>
  <c r="O85" i="4" s="1"/>
  <c r="L85" i="4"/>
  <c r="H85" i="4"/>
  <c r="I85" i="4" s="1"/>
  <c r="F85" i="4"/>
  <c r="C85" i="4"/>
  <c r="AD84" i="4"/>
  <c r="AC84" i="4"/>
  <c r="AA84" i="4"/>
  <c r="X84" i="4"/>
  <c r="W84" i="4"/>
  <c r="U84" i="4"/>
  <c r="R84" i="4"/>
  <c r="N84" i="4"/>
  <c r="O84" i="4" s="1"/>
  <c r="L84" i="4"/>
  <c r="I84" i="4"/>
  <c r="H84" i="4"/>
  <c r="F84" i="4"/>
  <c r="C84" i="4"/>
  <c r="AC83" i="4"/>
  <c r="AD83" i="4" s="1"/>
  <c r="AA83" i="4"/>
  <c r="X83" i="4"/>
  <c r="W83" i="4"/>
  <c r="U83" i="4"/>
  <c r="R83" i="4"/>
  <c r="O83" i="4"/>
  <c r="N83" i="4"/>
  <c r="L83" i="4"/>
  <c r="H83" i="4"/>
  <c r="I83" i="4" s="1"/>
  <c r="F83" i="4"/>
  <c r="C83" i="4"/>
  <c r="AC82" i="4"/>
  <c r="AD82" i="4" s="1"/>
  <c r="AA82" i="4"/>
  <c r="X82" i="4"/>
  <c r="W82" i="4"/>
  <c r="U82" i="4"/>
  <c r="R82" i="4"/>
  <c r="O82" i="4"/>
  <c r="N82" i="4"/>
  <c r="L82" i="4"/>
  <c r="H82" i="4"/>
  <c r="I82" i="4" s="1"/>
  <c r="F82" i="4"/>
  <c r="C82" i="4"/>
  <c r="AD81" i="4"/>
  <c r="AC81" i="4"/>
  <c r="AA81" i="4"/>
  <c r="X81" i="4"/>
  <c r="W81" i="4"/>
  <c r="U81" i="4"/>
  <c r="R81" i="4"/>
  <c r="N81" i="4"/>
  <c r="O81" i="4" s="1"/>
  <c r="L81" i="4"/>
  <c r="H81" i="4"/>
  <c r="I81" i="4" s="1"/>
  <c r="F81" i="4"/>
  <c r="C81" i="4"/>
  <c r="AC80" i="4"/>
  <c r="AD80" i="4" s="1"/>
  <c r="AA80" i="4"/>
  <c r="X80" i="4"/>
  <c r="W80" i="4"/>
  <c r="U80" i="4"/>
  <c r="R80" i="4"/>
  <c r="O80" i="4"/>
  <c r="N80" i="4"/>
  <c r="L80" i="4"/>
  <c r="I80" i="4"/>
  <c r="H80" i="4"/>
  <c r="F80" i="4"/>
  <c r="C80" i="4"/>
  <c r="AC79" i="4"/>
  <c r="AD79" i="4" s="1"/>
  <c r="AA79" i="4"/>
  <c r="W79" i="4"/>
  <c r="X79" i="4" s="1"/>
  <c r="U79" i="4"/>
  <c r="R79" i="4"/>
  <c r="O79" i="4"/>
  <c r="N79" i="4"/>
  <c r="L79" i="4"/>
  <c r="I79" i="4"/>
  <c r="H79" i="4"/>
  <c r="F79" i="4"/>
  <c r="C79" i="4"/>
  <c r="AC78" i="4"/>
  <c r="AD78" i="4" s="1"/>
  <c r="AA78" i="4"/>
  <c r="W78" i="4"/>
  <c r="X78" i="4" s="1"/>
  <c r="U78" i="4"/>
  <c r="R78" i="4"/>
  <c r="O78" i="4"/>
  <c r="N78" i="4"/>
  <c r="L78" i="4"/>
  <c r="H78" i="4"/>
  <c r="I78" i="4" s="1"/>
  <c r="F78" i="4"/>
  <c r="C78" i="4"/>
  <c r="AD77" i="4"/>
  <c r="AC77" i="4"/>
  <c r="AA77" i="4"/>
  <c r="X77" i="4"/>
  <c r="W77" i="4"/>
  <c r="U77" i="4"/>
  <c r="R77" i="4"/>
  <c r="N77" i="4"/>
  <c r="O77" i="4" s="1"/>
  <c r="L77" i="4"/>
  <c r="H77" i="4"/>
  <c r="I77" i="4" s="1"/>
  <c r="F77" i="4"/>
  <c r="C77" i="4"/>
  <c r="AD76" i="4"/>
  <c r="AC76" i="4"/>
  <c r="AA76" i="4"/>
  <c r="X76" i="4"/>
  <c r="W76" i="4"/>
  <c r="U76" i="4"/>
  <c r="R76" i="4"/>
  <c r="N76" i="4"/>
  <c r="O76" i="4" s="1"/>
  <c r="L76" i="4"/>
  <c r="I76" i="4"/>
  <c r="H76" i="4"/>
  <c r="F76" i="4"/>
  <c r="C76" i="4"/>
  <c r="AC75" i="4"/>
  <c r="AD75" i="4" s="1"/>
  <c r="AA75" i="4"/>
  <c r="X75" i="4"/>
  <c r="W75" i="4"/>
  <c r="U75" i="4"/>
  <c r="R75" i="4"/>
  <c r="O75" i="4"/>
  <c r="N75" i="4"/>
  <c r="L75" i="4"/>
  <c r="H75" i="4"/>
  <c r="I75" i="4" s="1"/>
  <c r="F75" i="4"/>
  <c r="C75" i="4"/>
  <c r="AC73" i="4"/>
  <c r="AD73" i="4" s="1"/>
  <c r="Z73" i="4"/>
  <c r="AA73" i="4" s="1"/>
  <c r="X73" i="4"/>
  <c r="W73" i="4"/>
  <c r="U73" i="4"/>
  <c r="T73" i="4"/>
  <c r="Q73" i="4"/>
  <c r="R73" i="4" s="1"/>
  <c r="L73" i="4"/>
  <c r="K73" i="4"/>
  <c r="N73" i="4" s="1"/>
  <c r="O73" i="4" s="1"/>
  <c r="E73" i="4"/>
  <c r="F73" i="4" s="1"/>
  <c r="B73" i="4"/>
  <c r="AD72" i="4"/>
  <c r="AC72" i="4"/>
  <c r="AA72" i="4"/>
  <c r="X72" i="4"/>
  <c r="W72" i="4"/>
  <c r="U72" i="4"/>
  <c r="R72" i="4"/>
  <c r="N72" i="4"/>
  <c r="O72" i="4" s="1"/>
  <c r="L72" i="4"/>
  <c r="I72" i="4"/>
  <c r="H72" i="4"/>
  <c r="F72" i="4"/>
  <c r="C72" i="4"/>
  <c r="AC71" i="4"/>
  <c r="AD71" i="4" s="1"/>
  <c r="AA71" i="4"/>
  <c r="X71" i="4"/>
  <c r="W71" i="4"/>
  <c r="U71" i="4"/>
  <c r="R71" i="4"/>
  <c r="O71" i="4"/>
  <c r="N71" i="4"/>
  <c r="L71" i="4"/>
  <c r="H71" i="4"/>
  <c r="I71" i="4" s="1"/>
  <c r="F71" i="4"/>
  <c r="C71" i="4"/>
  <c r="AC70" i="4"/>
  <c r="AD70" i="4" s="1"/>
  <c r="AA70" i="4"/>
  <c r="X70" i="4"/>
  <c r="W70" i="4"/>
  <c r="U70" i="4"/>
  <c r="R70" i="4"/>
  <c r="O70" i="4"/>
  <c r="N70" i="4"/>
  <c r="L70" i="4"/>
  <c r="H70" i="4"/>
  <c r="I70" i="4" s="1"/>
  <c r="F70" i="4"/>
  <c r="C70" i="4"/>
  <c r="AD69" i="4"/>
  <c r="AC69" i="4"/>
  <c r="AA69" i="4"/>
  <c r="X69" i="4"/>
  <c r="W69" i="4"/>
  <c r="U69" i="4"/>
  <c r="R69" i="4"/>
  <c r="N69" i="4"/>
  <c r="O69" i="4" s="1"/>
  <c r="L69" i="4"/>
  <c r="H69" i="4"/>
  <c r="I69" i="4" s="1"/>
  <c r="F69" i="4"/>
  <c r="C69" i="4"/>
  <c r="AC68" i="4"/>
  <c r="AD68" i="4" s="1"/>
  <c r="AA68" i="4"/>
  <c r="X68" i="4"/>
  <c r="W68" i="4"/>
  <c r="U68" i="4"/>
  <c r="R68" i="4"/>
  <c r="O68" i="4"/>
  <c r="N68" i="4"/>
  <c r="L68" i="4"/>
  <c r="I68" i="4"/>
  <c r="H68" i="4"/>
  <c r="F68" i="4"/>
  <c r="C68" i="4"/>
  <c r="AC67" i="4"/>
  <c r="AD67" i="4" s="1"/>
  <c r="AA67" i="4"/>
  <c r="W67" i="4"/>
  <c r="X67" i="4" s="1"/>
  <c r="U67" i="4"/>
  <c r="R67" i="4"/>
  <c r="O67" i="4"/>
  <c r="N67" i="4"/>
  <c r="L67" i="4"/>
  <c r="I67" i="4"/>
  <c r="H67" i="4"/>
  <c r="F67" i="4"/>
  <c r="C67" i="4"/>
  <c r="AC66" i="4"/>
  <c r="AD66" i="4" s="1"/>
  <c r="AA66" i="4"/>
  <c r="W66" i="4"/>
  <c r="X66" i="4" s="1"/>
  <c r="U66" i="4"/>
  <c r="R66" i="4"/>
  <c r="O66" i="4"/>
  <c r="N66" i="4"/>
  <c r="L66" i="4"/>
  <c r="H66" i="4"/>
  <c r="I66" i="4" s="1"/>
  <c r="F66" i="4"/>
  <c r="C66" i="4"/>
  <c r="AD65" i="4"/>
  <c r="AC65" i="4"/>
  <c r="AA65" i="4"/>
  <c r="X65" i="4"/>
  <c r="W65" i="4"/>
  <c r="U65" i="4"/>
  <c r="R65" i="4"/>
  <c r="N65" i="4"/>
  <c r="O65" i="4" s="1"/>
  <c r="L65" i="4"/>
  <c r="H65" i="4"/>
  <c r="I65" i="4" s="1"/>
  <c r="F65" i="4"/>
  <c r="C65" i="4"/>
  <c r="AD64" i="4"/>
  <c r="AC64" i="4"/>
  <c r="AA64" i="4"/>
  <c r="X64" i="4"/>
  <c r="W64" i="4"/>
  <c r="U64" i="4"/>
  <c r="R64" i="4"/>
  <c r="N64" i="4"/>
  <c r="O64" i="4" s="1"/>
  <c r="L64" i="4"/>
  <c r="I64" i="4"/>
  <c r="H64" i="4"/>
  <c r="F64" i="4"/>
  <c r="C64" i="4"/>
  <c r="Z62" i="4"/>
  <c r="AA62" i="4" s="1"/>
  <c r="T62" i="4"/>
  <c r="U62" i="4" s="1"/>
  <c r="Q62" i="4"/>
  <c r="AC62" i="4" s="1"/>
  <c r="AD62" i="4" s="1"/>
  <c r="L62" i="4"/>
  <c r="K62" i="4"/>
  <c r="E62" i="4"/>
  <c r="F62" i="4" s="1"/>
  <c r="B62" i="4"/>
  <c r="H62" i="4" s="1"/>
  <c r="I62" i="4" s="1"/>
  <c r="Z61" i="4"/>
  <c r="AA61" i="4" s="1"/>
  <c r="T61" i="4"/>
  <c r="U61" i="4" s="1"/>
  <c r="R61" i="4"/>
  <c r="Q61" i="4"/>
  <c r="N61" i="4"/>
  <c r="O61" i="4" s="1"/>
  <c r="K61" i="4"/>
  <c r="L61" i="4" s="1"/>
  <c r="I61" i="4"/>
  <c r="H61" i="4"/>
  <c r="F61" i="4"/>
  <c r="E61" i="4"/>
  <c r="B61" i="4"/>
  <c r="C61" i="4" s="1"/>
  <c r="AC60" i="4"/>
  <c r="AD60" i="4" s="1"/>
  <c r="AA60" i="4"/>
  <c r="W60" i="4"/>
  <c r="X60" i="4" s="1"/>
  <c r="U60" i="4"/>
  <c r="R60" i="4"/>
  <c r="O60" i="4"/>
  <c r="N60" i="4"/>
  <c r="L60" i="4"/>
  <c r="I60" i="4"/>
  <c r="H60" i="4"/>
  <c r="F60" i="4"/>
  <c r="C60" i="4"/>
  <c r="AC59" i="4"/>
  <c r="AD59" i="4" s="1"/>
  <c r="AA59" i="4"/>
  <c r="W59" i="4"/>
  <c r="X59" i="4" s="1"/>
  <c r="U59" i="4"/>
  <c r="R59" i="4"/>
  <c r="O59" i="4"/>
  <c r="N59" i="4"/>
  <c r="L59" i="4"/>
  <c r="H59" i="4"/>
  <c r="I59" i="4" s="1"/>
  <c r="F59" i="4"/>
  <c r="C59" i="4"/>
  <c r="AD58" i="4"/>
  <c r="AC58" i="4"/>
  <c r="AA58" i="4"/>
  <c r="X58" i="4"/>
  <c r="W58" i="4"/>
  <c r="U58" i="4"/>
  <c r="R58" i="4"/>
  <c r="N58" i="4"/>
  <c r="O58" i="4" s="1"/>
  <c r="L58" i="4"/>
  <c r="H58" i="4"/>
  <c r="I58" i="4" s="1"/>
  <c r="F58" i="4"/>
  <c r="C58" i="4"/>
  <c r="AD57" i="4"/>
  <c r="AC57" i="4"/>
  <c r="AA57" i="4"/>
  <c r="X57" i="4"/>
  <c r="W57" i="4"/>
  <c r="U57" i="4"/>
  <c r="R57" i="4"/>
  <c r="N57" i="4"/>
  <c r="O57" i="4" s="1"/>
  <c r="L57" i="4"/>
  <c r="H57" i="4"/>
  <c r="I57" i="4" s="1"/>
  <c r="F57" i="4"/>
  <c r="C57" i="4"/>
  <c r="AC56" i="4"/>
  <c r="AD56" i="4" s="1"/>
  <c r="AA56" i="4"/>
  <c r="X56" i="4"/>
  <c r="W56" i="4"/>
  <c r="U56" i="4"/>
  <c r="R56" i="4"/>
  <c r="O56" i="4"/>
  <c r="N56" i="4"/>
  <c r="L56" i="4"/>
  <c r="H56" i="4"/>
  <c r="I56" i="4" s="1"/>
  <c r="F56" i="4"/>
  <c r="C56" i="4"/>
  <c r="AC55" i="4"/>
  <c r="AD55" i="4" s="1"/>
  <c r="AA55" i="4"/>
  <c r="X55" i="4"/>
  <c r="W55" i="4"/>
  <c r="U55" i="4"/>
  <c r="R55" i="4"/>
  <c r="O55" i="4"/>
  <c r="N55" i="4"/>
  <c r="L55" i="4"/>
  <c r="H55" i="4"/>
  <c r="I55" i="4" s="1"/>
  <c r="F55" i="4"/>
  <c r="C55" i="4"/>
  <c r="AC54" i="4"/>
  <c r="AD54" i="4" s="1"/>
  <c r="AA54" i="4"/>
  <c r="X54" i="4"/>
  <c r="W54" i="4"/>
  <c r="U54" i="4"/>
  <c r="R54" i="4"/>
  <c r="N54" i="4"/>
  <c r="O54" i="4" s="1"/>
  <c r="L54" i="4"/>
  <c r="H54" i="4"/>
  <c r="I54" i="4" s="1"/>
  <c r="F54" i="4"/>
  <c r="C54" i="4"/>
  <c r="AC53" i="4"/>
  <c r="AD53" i="4" s="1"/>
  <c r="AA53" i="4"/>
  <c r="X53" i="4"/>
  <c r="W53" i="4"/>
  <c r="U53" i="4"/>
  <c r="R53" i="4"/>
  <c r="O53" i="4"/>
  <c r="N53" i="4"/>
  <c r="L53" i="4"/>
  <c r="H53" i="4"/>
  <c r="I53" i="4" s="1"/>
  <c r="F53" i="4"/>
  <c r="C53" i="4"/>
  <c r="AC52" i="4"/>
  <c r="AD52" i="4" s="1"/>
  <c r="AA52" i="4"/>
  <c r="W52" i="4"/>
  <c r="X52" i="4" s="1"/>
  <c r="U52" i="4"/>
  <c r="R52" i="4"/>
  <c r="O52" i="4"/>
  <c r="N52" i="4"/>
  <c r="L52" i="4"/>
  <c r="I52" i="4"/>
  <c r="H52" i="4"/>
  <c r="F52" i="4"/>
  <c r="C52" i="4"/>
  <c r="AC51" i="4"/>
  <c r="AD51" i="4" s="1"/>
  <c r="AA51" i="4"/>
  <c r="W51" i="4"/>
  <c r="X51" i="4" s="1"/>
  <c r="U51" i="4"/>
  <c r="R51" i="4"/>
  <c r="O51" i="4"/>
  <c r="N51" i="4"/>
  <c r="L51" i="4"/>
  <c r="H51" i="4"/>
  <c r="I51" i="4" s="1"/>
  <c r="F51" i="4"/>
  <c r="C51" i="4"/>
  <c r="AD50" i="4"/>
  <c r="AC50" i="4"/>
  <c r="AA50" i="4"/>
  <c r="X50" i="4"/>
  <c r="W50" i="4"/>
  <c r="U50" i="4"/>
  <c r="R50" i="4"/>
  <c r="N50" i="4"/>
  <c r="O50" i="4" s="1"/>
  <c r="L50" i="4"/>
  <c r="H50" i="4"/>
  <c r="I50" i="4" s="1"/>
  <c r="F50" i="4"/>
  <c r="C50" i="4"/>
  <c r="AD49" i="4"/>
  <c r="AC49" i="4"/>
  <c r="AA49" i="4"/>
  <c r="X49" i="4"/>
  <c r="W49" i="4"/>
  <c r="U49" i="4"/>
  <c r="R49" i="4"/>
  <c r="N49" i="4"/>
  <c r="O49" i="4" s="1"/>
  <c r="L49" i="4"/>
  <c r="H49" i="4"/>
  <c r="I49" i="4" s="1"/>
  <c r="F49" i="4"/>
  <c r="C49" i="4"/>
  <c r="AC48" i="4"/>
  <c r="AD48" i="4" s="1"/>
  <c r="AA48" i="4"/>
  <c r="X48" i="4"/>
  <c r="W48" i="4"/>
  <c r="U48" i="4"/>
  <c r="R48" i="4"/>
  <c r="O48" i="4"/>
  <c r="N48" i="4"/>
  <c r="L48" i="4"/>
  <c r="H48" i="4"/>
  <c r="I48" i="4" s="1"/>
  <c r="F48" i="4"/>
  <c r="C48" i="4"/>
  <c r="AC47" i="4"/>
  <c r="AD47" i="4" s="1"/>
  <c r="AA47" i="4"/>
  <c r="X47" i="4"/>
  <c r="W47" i="4"/>
  <c r="U47" i="4"/>
  <c r="R47" i="4"/>
  <c r="O47" i="4"/>
  <c r="N47" i="4"/>
  <c r="L47" i="4"/>
  <c r="H47" i="4"/>
  <c r="I47" i="4" s="1"/>
  <c r="F47" i="4"/>
  <c r="C47" i="4"/>
  <c r="AC46" i="4"/>
  <c r="AD46" i="4" s="1"/>
  <c r="AA46" i="4"/>
  <c r="X46" i="4"/>
  <c r="W46" i="4"/>
  <c r="U46" i="4"/>
  <c r="R46" i="4"/>
  <c r="N46" i="4"/>
  <c r="O46" i="4" s="1"/>
  <c r="L46" i="4"/>
  <c r="H46" i="4"/>
  <c r="I46" i="4" s="1"/>
  <c r="F46" i="4"/>
  <c r="C46" i="4"/>
  <c r="AC44" i="4"/>
  <c r="AD44" i="4" s="1"/>
  <c r="AA44" i="4"/>
  <c r="X44" i="4"/>
  <c r="W44" i="4"/>
  <c r="U44" i="4"/>
  <c r="R44" i="4"/>
  <c r="O44" i="4"/>
  <c r="N44" i="4"/>
  <c r="L44" i="4"/>
  <c r="H44" i="4"/>
  <c r="I44" i="4" s="1"/>
  <c r="F44" i="4"/>
  <c r="C44" i="4"/>
  <c r="AC43" i="4"/>
  <c r="AD43" i="4" s="1"/>
  <c r="AA43" i="4"/>
  <c r="W43" i="4"/>
  <c r="X43" i="4" s="1"/>
  <c r="U43" i="4"/>
  <c r="R43" i="4"/>
  <c r="O43" i="4"/>
  <c r="N43" i="4"/>
  <c r="L43" i="4"/>
  <c r="I43" i="4"/>
  <c r="H43" i="4"/>
  <c r="F43" i="4"/>
  <c r="C43" i="4"/>
  <c r="AC42" i="4"/>
  <c r="AD42" i="4" s="1"/>
  <c r="AA42" i="4"/>
  <c r="W42" i="4"/>
  <c r="X42" i="4" s="1"/>
  <c r="U42" i="4"/>
  <c r="R42" i="4"/>
  <c r="O42" i="4"/>
  <c r="N42" i="4"/>
  <c r="L42" i="4"/>
  <c r="H42" i="4"/>
  <c r="I42" i="4" s="1"/>
  <c r="F42" i="4"/>
  <c r="C42" i="4"/>
  <c r="Z40" i="4"/>
  <c r="AA40" i="4" s="1"/>
  <c r="T40" i="4"/>
  <c r="U40" i="4" s="1"/>
  <c r="Q40" i="4"/>
  <c r="R40" i="4" s="1"/>
  <c r="N40" i="4"/>
  <c r="O40" i="4" s="1"/>
  <c r="K40" i="4"/>
  <c r="L40" i="4" s="1"/>
  <c r="E40" i="4"/>
  <c r="F40" i="4" s="1"/>
  <c r="B40" i="4"/>
  <c r="C40" i="4" s="1"/>
  <c r="AC39" i="4"/>
  <c r="AD39" i="4" s="1"/>
  <c r="AA39" i="4"/>
  <c r="X39" i="4"/>
  <c r="W39" i="4"/>
  <c r="U39" i="4"/>
  <c r="R39" i="4"/>
  <c r="O39" i="4"/>
  <c r="N39" i="4"/>
  <c r="L39" i="4"/>
  <c r="I39" i="4"/>
  <c r="H39" i="4"/>
  <c r="F39" i="4"/>
  <c r="C39" i="4"/>
  <c r="AC38" i="4"/>
  <c r="AD38" i="4" s="1"/>
  <c r="AA38" i="4"/>
  <c r="W38" i="4"/>
  <c r="X38" i="4" s="1"/>
  <c r="U38" i="4"/>
  <c r="R38" i="4"/>
  <c r="O38" i="4"/>
  <c r="N38" i="4"/>
  <c r="L38" i="4"/>
  <c r="H38" i="4"/>
  <c r="I38" i="4" s="1"/>
  <c r="F38" i="4"/>
  <c r="C38" i="4"/>
  <c r="AD37" i="4"/>
  <c r="AC37" i="4"/>
  <c r="AA37" i="4"/>
  <c r="X37" i="4"/>
  <c r="W37" i="4"/>
  <c r="U37" i="4"/>
  <c r="R37" i="4"/>
  <c r="N37" i="4"/>
  <c r="O37" i="4" s="1"/>
  <c r="L37" i="4"/>
  <c r="H37" i="4"/>
  <c r="I37" i="4" s="1"/>
  <c r="F37" i="4"/>
  <c r="C37" i="4"/>
  <c r="AD36" i="4"/>
  <c r="AC36" i="4"/>
  <c r="AA36" i="4"/>
  <c r="X36" i="4"/>
  <c r="W36" i="4"/>
  <c r="U36" i="4"/>
  <c r="R36" i="4"/>
  <c r="N36" i="4"/>
  <c r="O36" i="4" s="1"/>
  <c r="L36" i="4"/>
  <c r="H36" i="4"/>
  <c r="I36" i="4" s="1"/>
  <c r="F36" i="4"/>
  <c r="C36" i="4"/>
  <c r="AC35" i="4"/>
  <c r="AD35" i="4" s="1"/>
  <c r="AA35" i="4"/>
  <c r="X35" i="4"/>
  <c r="W35" i="4"/>
  <c r="U35" i="4"/>
  <c r="R35" i="4"/>
  <c r="O35" i="4"/>
  <c r="N35" i="4"/>
  <c r="L35" i="4"/>
  <c r="H35" i="4"/>
  <c r="I35" i="4" s="1"/>
  <c r="F35" i="4"/>
  <c r="C35" i="4"/>
  <c r="AC34" i="4"/>
  <c r="AD34" i="4" s="1"/>
  <c r="AA34" i="4"/>
  <c r="X34" i="4"/>
  <c r="W34" i="4"/>
  <c r="U34" i="4"/>
  <c r="R34" i="4"/>
  <c r="O34" i="4"/>
  <c r="N34" i="4"/>
  <c r="L34" i="4"/>
  <c r="H34" i="4"/>
  <c r="I34" i="4" s="1"/>
  <c r="F34" i="4"/>
  <c r="C34" i="4"/>
  <c r="AC33" i="4"/>
  <c r="AD33" i="4" s="1"/>
  <c r="AA33" i="4"/>
  <c r="X33" i="4"/>
  <c r="W33" i="4"/>
  <c r="U33" i="4"/>
  <c r="R33" i="4"/>
  <c r="N33" i="4"/>
  <c r="O33" i="4" s="1"/>
  <c r="L33" i="4"/>
  <c r="H33" i="4"/>
  <c r="I33" i="4" s="1"/>
  <c r="F33" i="4"/>
  <c r="C33" i="4"/>
  <c r="AD32" i="4"/>
  <c r="AC32" i="4"/>
  <c r="AA32" i="4"/>
  <c r="X32" i="4"/>
  <c r="W32" i="4"/>
  <c r="U32" i="4"/>
  <c r="R32" i="4"/>
  <c r="O32" i="4"/>
  <c r="N32" i="4"/>
  <c r="L32" i="4"/>
  <c r="H32" i="4"/>
  <c r="I32" i="4" s="1"/>
  <c r="F32" i="4"/>
  <c r="C32" i="4"/>
  <c r="AC31" i="4"/>
  <c r="AD31" i="4" s="1"/>
  <c r="AA31" i="4"/>
  <c r="X31" i="4"/>
  <c r="W31" i="4"/>
  <c r="U31" i="4"/>
  <c r="R31" i="4"/>
  <c r="O31" i="4"/>
  <c r="N31" i="4"/>
  <c r="L31" i="4"/>
  <c r="I31" i="4"/>
  <c r="H31" i="4"/>
  <c r="F31" i="4"/>
  <c r="C31" i="4"/>
  <c r="Z29" i="4"/>
  <c r="AA29" i="4" s="1"/>
  <c r="U29" i="4"/>
  <c r="T29" i="4"/>
  <c r="Q29" i="4"/>
  <c r="R29" i="4" s="1"/>
  <c r="K29" i="4"/>
  <c r="L29" i="4" s="1"/>
  <c r="E29" i="4"/>
  <c r="F29" i="4" s="1"/>
  <c r="B29" i="4"/>
  <c r="C29" i="4" s="1"/>
  <c r="AD28" i="4"/>
  <c r="AC28" i="4"/>
  <c r="AA28" i="4"/>
  <c r="X28" i="4"/>
  <c r="W28" i="4"/>
  <c r="U28" i="4"/>
  <c r="R28" i="4"/>
  <c r="O28" i="4"/>
  <c r="N28" i="4"/>
  <c r="L28" i="4"/>
  <c r="H28" i="4"/>
  <c r="I28" i="4" s="1"/>
  <c r="F28" i="4"/>
  <c r="C28" i="4"/>
  <c r="AC27" i="4"/>
  <c r="AD27" i="4" s="1"/>
  <c r="AA27" i="4"/>
  <c r="X27" i="4"/>
  <c r="W27" i="4"/>
  <c r="U27" i="4"/>
  <c r="R27" i="4"/>
  <c r="O27" i="4"/>
  <c r="N27" i="4"/>
  <c r="L27" i="4"/>
  <c r="I27" i="4"/>
  <c r="H27" i="4"/>
  <c r="F27" i="4"/>
  <c r="C27" i="4"/>
  <c r="AC26" i="4"/>
  <c r="AD26" i="4" s="1"/>
  <c r="AA26" i="4"/>
  <c r="W26" i="4"/>
  <c r="X26" i="4" s="1"/>
  <c r="U26" i="4"/>
  <c r="R26" i="4"/>
  <c r="O26" i="4"/>
  <c r="N26" i="4"/>
  <c r="L26" i="4"/>
  <c r="H26" i="4"/>
  <c r="I26" i="4" s="1"/>
  <c r="F26" i="4"/>
  <c r="C26" i="4"/>
  <c r="AD25" i="4"/>
  <c r="AC25" i="4"/>
  <c r="AA25" i="4"/>
  <c r="X25" i="4"/>
  <c r="W25" i="4"/>
  <c r="U25" i="4"/>
  <c r="R25" i="4"/>
  <c r="N25" i="4"/>
  <c r="O25" i="4" s="1"/>
  <c r="L25" i="4"/>
  <c r="H25" i="4"/>
  <c r="I25" i="4" s="1"/>
  <c r="F25" i="4"/>
  <c r="C25" i="4"/>
  <c r="AC24" i="4"/>
  <c r="AD24" i="4" s="1"/>
  <c r="AA24" i="4"/>
  <c r="X24" i="4"/>
  <c r="W24" i="4"/>
  <c r="U24" i="4"/>
  <c r="R24" i="4"/>
  <c r="O24" i="4"/>
  <c r="N24" i="4"/>
  <c r="L24" i="4"/>
  <c r="H24" i="4"/>
  <c r="I24" i="4" s="1"/>
  <c r="F24" i="4"/>
  <c r="C24" i="4"/>
  <c r="AC23" i="4"/>
  <c r="AD23" i="4" s="1"/>
  <c r="AA23" i="4"/>
  <c r="W23" i="4"/>
  <c r="X23" i="4" s="1"/>
  <c r="U23" i="4"/>
  <c r="R23" i="4"/>
  <c r="O23" i="4"/>
  <c r="N23" i="4"/>
  <c r="L23" i="4"/>
  <c r="I23" i="4"/>
  <c r="H23" i="4"/>
  <c r="F23" i="4"/>
  <c r="C23" i="4"/>
  <c r="AC22" i="4"/>
  <c r="AD22" i="4" s="1"/>
  <c r="AA22" i="4"/>
  <c r="W22" i="4"/>
  <c r="X22" i="4" s="1"/>
  <c r="U22" i="4"/>
  <c r="R22" i="4"/>
  <c r="O22" i="4"/>
  <c r="N22" i="4"/>
  <c r="L22" i="4"/>
  <c r="H22" i="4"/>
  <c r="I22" i="4" s="1"/>
  <c r="F22" i="4"/>
  <c r="C22" i="4"/>
  <c r="AD21" i="4"/>
  <c r="AC21" i="4"/>
  <c r="AA21" i="4"/>
  <c r="X21" i="4"/>
  <c r="W21" i="4"/>
  <c r="U21" i="4"/>
  <c r="R21" i="4"/>
  <c r="N21" i="4"/>
  <c r="O21" i="4" s="1"/>
  <c r="L21" i="4"/>
  <c r="H21" i="4"/>
  <c r="I21" i="4" s="1"/>
  <c r="F21" i="4"/>
  <c r="C21" i="4"/>
  <c r="AD19" i="4"/>
  <c r="AC19" i="4"/>
  <c r="AA19" i="4"/>
  <c r="X19" i="4"/>
  <c r="W19" i="4"/>
  <c r="U19" i="4"/>
  <c r="R19" i="4"/>
  <c r="O19" i="4"/>
  <c r="N19" i="4"/>
  <c r="L19" i="4"/>
  <c r="H19" i="4"/>
  <c r="I19" i="4" s="1"/>
  <c r="F19" i="4"/>
  <c r="C19" i="4"/>
  <c r="AC18" i="4"/>
  <c r="AD18" i="4" s="1"/>
  <c r="AA18" i="4"/>
  <c r="Z18" i="4"/>
  <c r="T18" i="4"/>
  <c r="U18" i="4" s="1"/>
  <c r="Q18" i="4"/>
  <c r="R18" i="4" s="1"/>
  <c r="N18" i="4"/>
  <c r="O18" i="4" s="1"/>
  <c r="L18" i="4"/>
  <c r="K18" i="4"/>
  <c r="E18" i="4"/>
  <c r="F18" i="4" s="1"/>
  <c r="C18" i="4"/>
  <c r="B18" i="4"/>
  <c r="AC17" i="4"/>
  <c r="AD17" i="4" s="1"/>
  <c r="AA17" i="4"/>
  <c r="X17" i="4"/>
  <c r="W17" i="4"/>
  <c r="U17" i="4"/>
  <c r="R17" i="4"/>
  <c r="N17" i="4"/>
  <c r="O17" i="4" s="1"/>
  <c r="L17" i="4"/>
  <c r="H17" i="4"/>
  <c r="I17" i="4" s="1"/>
  <c r="F17" i="4"/>
  <c r="C17" i="4"/>
  <c r="AC16" i="4"/>
  <c r="AD16" i="4" s="1"/>
  <c r="AA16" i="4"/>
  <c r="X16" i="4"/>
  <c r="W16" i="4"/>
  <c r="U16" i="4"/>
  <c r="R16" i="4"/>
  <c r="N16" i="4"/>
  <c r="O16" i="4" s="1"/>
  <c r="L16" i="4"/>
  <c r="H16" i="4"/>
  <c r="I16" i="4" s="1"/>
  <c r="F16" i="4"/>
  <c r="C16" i="4"/>
  <c r="AC15" i="4"/>
  <c r="AD15" i="4" s="1"/>
  <c r="AA15" i="4"/>
  <c r="W15" i="4"/>
  <c r="X15" i="4" s="1"/>
  <c r="U15" i="4"/>
  <c r="R15" i="4"/>
  <c r="O15" i="4"/>
  <c r="N15" i="4"/>
  <c r="L15" i="4"/>
  <c r="H15" i="4"/>
  <c r="I15" i="4" s="1"/>
  <c r="F15" i="4"/>
  <c r="C15" i="4"/>
  <c r="AC14" i="4"/>
  <c r="AD14" i="4" s="1"/>
  <c r="AA14" i="4"/>
  <c r="X14" i="4"/>
  <c r="W14" i="4"/>
  <c r="U14" i="4"/>
  <c r="R14" i="4"/>
  <c r="O14" i="4"/>
  <c r="N14" i="4"/>
  <c r="L14" i="4"/>
  <c r="H14" i="4"/>
  <c r="I14" i="4" s="1"/>
  <c r="F14" i="4"/>
  <c r="C14" i="4"/>
  <c r="AC13" i="4"/>
  <c r="AD13" i="4" s="1"/>
  <c r="AA13" i="4"/>
  <c r="X13" i="4"/>
  <c r="W13" i="4"/>
  <c r="U13" i="4"/>
  <c r="R13" i="4"/>
  <c r="O13" i="4"/>
  <c r="N13" i="4"/>
  <c r="L13" i="4"/>
  <c r="H13" i="4"/>
  <c r="I13" i="4" s="1"/>
  <c r="F13" i="4"/>
  <c r="C13" i="4"/>
  <c r="AC12" i="4"/>
  <c r="AD12" i="4" s="1"/>
  <c r="AA12" i="4"/>
  <c r="X12" i="4"/>
  <c r="W12" i="4"/>
  <c r="U12" i="4"/>
  <c r="R12" i="4"/>
  <c r="N12" i="4"/>
  <c r="O12" i="4" s="1"/>
  <c r="L12" i="4"/>
  <c r="I12" i="4"/>
  <c r="H12" i="4"/>
  <c r="F12" i="4"/>
  <c r="C12" i="4"/>
  <c r="AC11" i="4"/>
  <c r="AD11" i="4" s="1"/>
  <c r="AA11" i="4"/>
  <c r="W11" i="4"/>
  <c r="X11" i="4" s="1"/>
  <c r="U11" i="4"/>
  <c r="R11" i="4"/>
  <c r="O11" i="4"/>
  <c r="N11" i="4"/>
  <c r="L11" i="4"/>
  <c r="H11" i="4"/>
  <c r="I11" i="4" s="1"/>
  <c r="F11" i="4"/>
  <c r="C11" i="4"/>
  <c r="AC10" i="4"/>
  <c r="AD10" i="4" s="1"/>
  <c r="AA10" i="4"/>
  <c r="X10" i="4"/>
  <c r="W10" i="4"/>
  <c r="U10" i="4"/>
  <c r="R10" i="4"/>
  <c r="O10" i="4"/>
  <c r="N10" i="4"/>
  <c r="L10" i="4"/>
  <c r="H10" i="4"/>
  <c r="I10" i="4" s="1"/>
  <c r="F10" i="4"/>
  <c r="C10" i="4"/>
  <c r="AC8" i="4"/>
  <c r="AD8" i="4" s="1"/>
  <c r="AA8" i="4"/>
  <c r="X8" i="4"/>
  <c r="W8" i="4"/>
  <c r="U8" i="4"/>
  <c r="R8" i="4"/>
  <c r="N8" i="4"/>
  <c r="O8" i="4" s="1"/>
  <c r="L8" i="4"/>
  <c r="H8" i="4"/>
  <c r="I8" i="4" s="1"/>
  <c r="F8" i="4"/>
  <c r="C8" i="4"/>
  <c r="AC444" i="3"/>
  <c r="W444" i="3"/>
  <c r="X437" i="3" s="1"/>
  <c r="N444" i="3"/>
  <c r="H444" i="3"/>
  <c r="Z442" i="3"/>
  <c r="AC442" i="3" s="1"/>
  <c r="AD442" i="3" s="1"/>
  <c r="W442" i="3"/>
  <c r="X442" i="3" s="1"/>
  <c r="T442" i="3"/>
  <c r="U442" i="3" s="1"/>
  <c r="Q442" i="3"/>
  <c r="R442" i="3" s="1"/>
  <c r="K442" i="3"/>
  <c r="L442" i="3" s="1"/>
  <c r="H442" i="3"/>
  <c r="I442" i="3" s="1"/>
  <c r="F442" i="3"/>
  <c r="E442" i="3"/>
  <c r="B442" i="3"/>
  <c r="C442" i="3" s="1"/>
  <c r="Z441" i="3"/>
  <c r="AA441" i="3" s="1"/>
  <c r="W441" i="3"/>
  <c r="X441" i="3" s="1"/>
  <c r="U441" i="3"/>
  <c r="T441" i="3"/>
  <c r="Q441" i="3"/>
  <c r="R441" i="3" s="1"/>
  <c r="K441" i="3"/>
  <c r="N441" i="3" s="1"/>
  <c r="O441" i="3" s="1"/>
  <c r="H441" i="3"/>
  <c r="I441" i="3" s="1"/>
  <c r="E441" i="3"/>
  <c r="F441" i="3" s="1"/>
  <c r="B441" i="3"/>
  <c r="C441" i="3" s="1"/>
  <c r="AC440" i="3"/>
  <c r="AD440" i="3" s="1"/>
  <c r="AA440" i="3"/>
  <c r="X440" i="3"/>
  <c r="W440" i="3"/>
  <c r="U440" i="3"/>
  <c r="R440" i="3"/>
  <c r="N440" i="3"/>
  <c r="O440" i="3" s="1"/>
  <c r="L440" i="3"/>
  <c r="H440" i="3"/>
  <c r="I440" i="3" s="1"/>
  <c r="F440" i="3"/>
  <c r="C440" i="3"/>
  <c r="AC439" i="3"/>
  <c r="AD439" i="3" s="1"/>
  <c r="AA439" i="3"/>
  <c r="W439" i="3"/>
  <c r="X439" i="3" s="1"/>
  <c r="U439" i="3"/>
  <c r="R439" i="3"/>
  <c r="O439" i="3"/>
  <c r="N439" i="3"/>
  <c r="L439" i="3"/>
  <c r="H439" i="3"/>
  <c r="I439" i="3" s="1"/>
  <c r="F439" i="3"/>
  <c r="C439" i="3"/>
  <c r="AC438" i="3"/>
  <c r="AD438" i="3" s="1"/>
  <c r="AA438" i="3"/>
  <c r="W438" i="3"/>
  <c r="X438" i="3" s="1"/>
  <c r="U438" i="3"/>
  <c r="R438" i="3"/>
  <c r="O438" i="3"/>
  <c r="N438" i="3"/>
  <c r="L438" i="3"/>
  <c r="H438" i="3"/>
  <c r="I438" i="3" s="1"/>
  <c r="F438" i="3"/>
  <c r="C438" i="3"/>
  <c r="AC437" i="3"/>
  <c r="AD437" i="3" s="1"/>
  <c r="AA437" i="3"/>
  <c r="W437" i="3"/>
  <c r="U437" i="3"/>
  <c r="R437" i="3"/>
  <c r="O437" i="3"/>
  <c r="N437" i="3"/>
  <c r="L437" i="3"/>
  <c r="H437" i="3"/>
  <c r="F437" i="3"/>
  <c r="C437" i="3"/>
  <c r="AC436" i="3"/>
  <c r="AD436" i="3" s="1"/>
  <c r="AA436" i="3"/>
  <c r="W436" i="3"/>
  <c r="U436" i="3"/>
  <c r="R436" i="3"/>
  <c r="O436" i="3"/>
  <c r="N436" i="3"/>
  <c r="L436" i="3"/>
  <c r="I436" i="3"/>
  <c r="H436" i="3"/>
  <c r="F436" i="3"/>
  <c r="C436" i="3"/>
  <c r="AC435" i="3"/>
  <c r="AA435" i="3"/>
  <c r="W435" i="3"/>
  <c r="X435" i="3" s="1"/>
  <c r="U435" i="3"/>
  <c r="R435" i="3"/>
  <c r="O435" i="3"/>
  <c r="N435" i="3"/>
  <c r="L435" i="3"/>
  <c r="I435" i="3"/>
  <c r="H435" i="3"/>
  <c r="F435" i="3"/>
  <c r="C435" i="3"/>
  <c r="AC434" i="3"/>
  <c r="AA434" i="3"/>
  <c r="X434" i="3"/>
  <c r="W434" i="3"/>
  <c r="U434" i="3"/>
  <c r="R434" i="3"/>
  <c r="O434" i="3"/>
  <c r="N434" i="3"/>
  <c r="L434" i="3"/>
  <c r="H434" i="3"/>
  <c r="I434" i="3" s="1"/>
  <c r="F434" i="3"/>
  <c r="C434" i="3"/>
  <c r="AC433" i="3"/>
  <c r="AD433" i="3" s="1"/>
  <c r="AA433" i="3"/>
  <c r="W433" i="3"/>
  <c r="X433" i="3" s="1"/>
  <c r="U433" i="3"/>
  <c r="R433" i="3"/>
  <c r="O433" i="3"/>
  <c r="N433" i="3"/>
  <c r="L433" i="3"/>
  <c r="I433" i="3"/>
  <c r="H433" i="3"/>
  <c r="F433" i="3"/>
  <c r="C433" i="3"/>
  <c r="AC432" i="3"/>
  <c r="AD432" i="3" s="1"/>
  <c r="AA432" i="3"/>
  <c r="W432" i="3"/>
  <c r="X432" i="3" s="1"/>
  <c r="U432" i="3"/>
  <c r="R432" i="3"/>
  <c r="O432" i="3"/>
  <c r="N432" i="3"/>
  <c r="L432" i="3"/>
  <c r="H432" i="3"/>
  <c r="I432" i="3" s="1"/>
  <c r="F432" i="3"/>
  <c r="C432" i="3"/>
  <c r="Z429" i="3"/>
  <c r="AA429" i="3" s="1"/>
  <c r="W429" i="3"/>
  <c r="X429" i="3" s="1"/>
  <c r="U429" i="3"/>
  <c r="T429" i="3"/>
  <c r="Q429" i="3"/>
  <c r="R429" i="3" s="1"/>
  <c r="K429" i="3"/>
  <c r="L429" i="3" s="1"/>
  <c r="E429" i="3"/>
  <c r="F429" i="3" s="1"/>
  <c r="B429" i="3"/>
  <c r="C429" i="3" s="1"/>
  <c r="AA428" i="3"/>
  <c r="Z428" i="3"/>
  <c r="T428" i="3"/>
  <c r="U428" i="3" s="1"/>
  <c r="Q428" i="3"/>
  <c r="W428" i="3" s="1"/>
  <c r="X428" i="3" s="1"/>
  <c r="K428" i="3"/>
  <c r="L428" i="3" s="1"/>
  <c r="E428" i="3"/>
  <c r="H428" i="3" s="1"/>
  <c r="I428" i="3" s="1"/>
  <c r="C428" i="3"/>
  <c r="B428" i="3"/>
  <c r="N428" i="3" s="1"/>
  <c r="O428" i="3" s="1"/>
  <c r="AC427" i="3"/>
  <c r="AD427" i="3" s="1"/>
  <c r="AA427" i="3"/>
  <c r="X427" i="3"/>
  <c r="W427" i="3"/>
  <c r="U427" i="3"/>
  <c r="R427" i="3"/>
  <c r="N427" i="3"/>
  <c r="O427" i="3" s="1"/>
  <c r="L427" i="3"/>
  <c r="H427" i="3"/>
  <c r="I427" i="3" s="1"/>
  <c r="F427" i="3"/>
  <c r="C427" i="3"/>
  <c r="AD426" i="3"/>
  <c r="AC426" i="3"/>
  <c r="AA426" i="3"/>
  <c r="X426" i="3"/>
  <c r="W426" i="3"/>
  <c r="U426" i="3"/>
  <c r="R426" i="3"/>
  <c r="O426" i="3"/>
  <c r="N426" i="3"/>
  <c r="L426" i="3"/>
  <c r="H426" i="3"/>
  <c r="I426" i="3" s="1"/>
  <c r="F426" i="3"/>
  <c r="C426" i="3"/>
  <c r="AC425" i="3"/>
  <c r="AD425" i="3" s="1"/>
  <c r="AA425" i="3"/>
  <c r="W425" i="3"/>
  <c r="X425" i="3" s="1"/>
  <c r="U425" i="3"/>
  <c r="R425" i="3"/>
  <c r="O425" i="3"/>
  <c r="N425" i="3"/>
  <c r="L425" i="3"/>
  <c r="I425" i="3"/>
  <c r="H425" i="3"/>
  <c r="F425" i="3"/>
  <c r="C425" i="3"/>
  <c r="AC424" i="3"/>
  <c r="AD424" i="3" s="1"/>
  <c r="AA424" i="3"/>
  <c r="X424" i="3"/>
  <c r="W424" i="3"/>
  <c r="U424" i="3"/>
  <c r="R424" i="3"/>
  <c r="O424" i="3"/>
  <c r="N424" i="3"/>
  <c r="L424" i="3"/>
  <c r="H424" i="3"/>
  <c r="I424" i="3" s="1"/>
  <c r="F424" i="3"/>
  <c r="C424" i="3"/>
  <c r="AC423" i="3"/>
  <c r="AD423" i="3" s="1"/>
  <c r="AA423" i="3"/>
  <c r="X423" i="3"/>
  <c r="W423" i="3"/>
  <c r="U423" i="3"/>
  <c r="R423" i="3"/>
  <c r="N423" i="3"/>
  <c r="O423" i="3" s="1"/>
  <c r="L423" i="3"/>
  <c r="H423" i="3"/>
  <c r="I423" i="3" s="1"/>
  <c r="F423" i="3"/>
  <c r="C423" i="3"/>
  <c r="AD422" i="3"/>
  <c r="AC422" i="3"/>
  <c r="AA422" i="3"/>
  <c r="X422" i="3"/>
  <c r="W422" i="3"/>
  <c r="U422" i="3"/>
  <c r="R422" i="3"/>
  <c r="O422" i="3"/>
  <c r="N422" i="3"/>
  <c r="L422" i="3"/>
  <c r="H422" i="3"/>
  <c r="I422" i="3" s="1"/>
  <c r="F422" i="3"/>
  <c r="C422" i="3"/>
  <c r="AC421" i="3"/>
  <c r="AD421" i="3" s="1"/>
  <c r="AA421" i="3"/>
  <c r="W421" i="3"/>
  <c r="X421" i="3" s="1"/>
  <c r="U421" i="3"/>
  <c r="R421" i="3"/>
  <c r="O421" i="3"/>
  <c r="N421" i="3"/>
  <c r="L421" i="3"/>
  <c r="I421" i="3"/>
  <c r="H421" i="3"/>
  <c r="F421" i="3"/>
  <c r="C421" i="3"/>
  <c r="AC420" i="3"/>
  <c r="AD420" i="3" s="1"/>
  <c r="AA420" i="3"/>
  <c r="X420" i="3"/>
  <c r="W420" i="3"/>
  <c r="U420" i="3"/>
  <c r="R420" i="3"/>
  <c r="O420" i="3"/>
  <c r="N420" i="3"/>
  <c r="L420" i="3"/>
  <c r="H420" i="3"/>
  <c r="I420" i="3" s="1"/>
  <c r="F420" i="3"/>
  <c r="C420" i="3"/>
  <c r="AC419" i="3"/>
  <c r="AD419" i="3" s="1"/>
  <c r="AA419" i="3"/>
  <c r="X419" i="3"/>
  <c r="W419" i="3"/>
  <c r="U419" i="3"/>
  <c r="R419" i="3"/>
  <c r="N419" i="3"/>
  <c r="O419" i="3" s="1"/>
  <c r="L419" i="3"/>
  <c r="H419" i="3"/>
  <c r="I419" i="3" s="1"/>
  <c r="F419" i="3"/>
  <c r="C419" i="3"/>
  <c r="AD418" i="3"/>
  <c r="AC418" i="3"/>
  <c r="AA418" i="3"/>
  <c r="X418" i="3"/>
  <c r="W418" i="3"/>
  <c r="U418" i="3"/>
  <c r="R418" i="3"/>
  <c r="O418" i="3"/>
  <c r="N418" i="3"/>
  <c r="L418" i="3"/>
  <c r="H418" i="3"/>
  <c r="I418" i="3" s="1"/>
  <c r="F418" i="3"/>
  <c r="C418" i="3"/>
  <c r="AC417" i="3"/>
  <c r="AD417" i="3" s="1"/>
  <c r="AA417" i="3"/>
  <c r="W417" i="3"/>
  <c r="X417" i="3" s="1"/>
  <c r="U417" i="3"/>
  <c r="R417" i="3"/>
  <c r="O417" i="3"/>
  <c r="N417" i="3"/>
  <c r="L417" i="3"/>
  <c r="I417" i="3"/>
  <c r="H417" i="3"/>
  <c r="F417" i="3"/>
  <c r="C417" i="3"/>
  <c r="AC416" i="3"/>
  <c r="AD416" i="3" s="1"/>
  <c r="AA416" i="3"/>
  <c r="X416" i="3"/>
  <c r="W416" i="3"/>
  <c r="U416" i="3"/>
  <c r="R416" i="3"/>
  <c r="O416" i="3"/>
  <c r="N416" i="3"/>
  <c r="L416" i="3"/>
  <c r="H416" i="3"/>
  <c r="I416" i="3" s="1"/>
  <c r="F416" i="3"/>
  <c r="C416" i="3"/>
  <c r="AC415" i="3"/>
  <c r="AD415" i="3" s="1"/>
  <c r="AA415" i="3"/>
  <c r="X415" i="3"/>
  <c r="W415" i="3"/>
  <c r="U415" i="3"/>
  <c r="R415" i="3"/>
  <c r="N415" i="3"/>
  <c r="O415" i="3" s="1"/>
  <c r="L415" i="3"/>
  <c r="H415" i="3"/>
  <c r="I415" i="3" s="1"/>
  <c r="F415" i="3"/>
  <c r="C415" i="3"/>
  <c r="AD414" i="3"/>
  <c r="AC414" i="3"/>
  <c r="AA414" i="3"/>
  <c r="X414" i="3"/>
  <c r="W414" i="3"/>
  <c r="U414" i="3"/>
  <c r="R414" i="3"/>
  <c r="O414" i="3"/>
  <c r="N414" i="3"/>
  <c r="L414" i="3"/>
  <c r="H414" i="3"/>
  <c r="I414" i="3" s="1"/>
  <c r="F414" i="3"/>
  <c r="C414" i="3"/>
  <c r="AC413" i="3"/>
  <c r="AD413" i="3" s="1"/>
  <c r="AA413" i="3"/>
  <c r="W413" i="3"/>
  <c r="X413" i="3" s="1"/>
  <c r="U413" i="3"/>
  <c r="R413" i="3"/>
  <c r="O413" i="3"/>
  <c r="N413" i="3"/>
  <c r="L413" i="3"/>
  <c r="I413" i="3"/>
  <c r="H413" i="3"/>
  <c r="F413" i="3"/>
  <c r="C413" i="3"/>
  <c r="AC412" i="3"/>
  <c r="AD412" i="3" s="1"/>
  <c r="AA412" i="3"/>
  <c r="X412" i="3"/>
  <c r="W412" i="3"/>
  <c r="U412" i="3"/>
  <c r="R412" i="3"/>
  <c r="O412" i="3"/>
  <c r="N412" i="3"/>
  <c r="L412" i="3"/>
  <c r="H412" i="3"/>
  <c r="I412" i="3" s="1"/>
  <c r="F412" i="3"/>
  <c r="C412" i="3"/>
  <c r="AC411" i="3"/>
  <c r="AD411" i="3" s="1"/>
  <c r="AA411" i="3"/>
  <c r="X411" i="3"/>
  <c r="W411" i="3"/>
  <c r="U411" i="3"/>
  <c r="R411" i="3"/>
  <c r="N411" i="3"/>
  <c r="O411" i="3" s="1"/>
  <c r="L411" i="3"/>
  <c r="H411" i="3"/>
  <c r="I411" i="3" s="1"/>
  <c r="F411" i="3"/>
  <c r="C411" i="3"/>
  <c r="AD410" i="3"/>
  <c r="AC410" i="3"/>
  <c r="AA410" i="3"/>
  <c r="X410" i="3"/>
  <c r="W410" i="3"/>
  <c r="U410" i="3"/>
  <c r="R410" i="3"/>
  <c r="O410" i="3"/>
  <c r="N410" i="3"/>
  <c r="L410" i="3"/>
  <c r="H410" i="3"/>
  <c r="I410" i="3" s="1"/>
  <c r="F410" i="3"/>
  <c r="C410" i="3"/>
  <c r="AC409" i="3"/>
  <c r="AD409" i="3" s="1"/>
  <c r="AA409" i="3"/>
  <c r="W409" i="3"/>
  <c r="X409" i="3" s="1"/>
  <c r="U409" i="3"/>
  <c r="R409" i="3"/>
  <c r="O409" i="3"/>
  <c r="N409" i="3"/>
  <c r="L409" i="3"/>
  <c r="I409" i="3"/>
  <c r="H409" i="3"/>
  <c r="F409" i="3"/>
  <c r="C409" i="3"/>
  <c r="AC408" i="3"/>
  <c r="AD408" i="3" s="1"/>
  <c r="AA408" i="3"/>
  <c r="X408" i="3"/>
  <c r="W408" i="3"/>
  <c r="U408" i="3"/>
  <c r="R408" i="3"/>
  <c r="O408" i="3"/>
  <c r="N408" i="3"/>
  <c r="L408" i="3"/>
  <c r="H408" i="3"/>
  <c r="I408" i="3" s="1"/>
  <c r="F408" i="3"/>
  <c r="C408" i="3"/>
  <c r="AC407" i="3"/>
  <c r="AD407" i="3" s="1"/>
  <c r="AA407" i="3"/>
  <c r="X407" i="3"/>
  <c r="W407" i="3"/>
  <c r="U407" i="3"/>
  <c r="R407" i="3"/>
  <c r="N407" i="3"/>
  <c r="O407" i="3" s="1"/>
  <c r="L407" i="3"/>
  <c r="H407" i="3"/>
  <c r="I407" i="3" s="1"/>
  <c r="F407" i="3"/>
  <c r="C407" i="3"/>
  <c r="Z403" i="3"/>
  <c r="AA403" i="3" s="1"/>
  <c r="T403" i="3"/>
  <c r="U403" i="3" s="1"/>
  <c r="Q403" i="3"/>
  <c r="R403" i="3" s="1"/>
  <c r="L403" i="3"/>
  <c r="K403" i="3"/>
  <c r="E403" i="3"/>
  <c r="F403" i="3" s="1"/>
  <c r="B403" i="3"/>
  <c r="H403" i="3" s="1"/>
  <c r="I403" i="3" s="1"/>
  <c r="AD402" i="3"/>
  <c r="AC402" i="3"/>
  <c r="AA402" i="3"/>
  <c r="X402" i="3"/>
  <c r="W402" i="3"/>
  <c r="U402" i="3"/>
  <c r="R402" i="3"/>
  <c r="O402" i="3"/>
  <c r="N402" i="3"/>
  <c r="L402" i="3"/>
  <c r="H402" i="3"/>
  <c r="I402" i="3" s="1"/>
  <c r="F402" i="3"/>
  <c r="C402" i="3"/>
  <c r="AC401" i="3"/>
  <c r="AD401" i="3" s="1"/>
  <c r="AA401" i="3"/>
  <c r="W401" i="3"/>
  <c r="X401" i="3" s="1"/>
  <c r="U401" i="3"/>
  <c r="R401" i="3"/>
  <c r="O401" i="3"/>
  <c r="N401" i="3"/>
  <c r="L401" i="3"/>
  <c r="I401" i="3"/>
  <c r="H401" i="3"/>
  <c r="F401" i="3"/>
  <c r="C401" i="3"/>
  <c r="AC400" i="3"/>
  <c r="AD400" i="3" s="1"/>
  <c r="AA400" i="3"/>
  <c r="X400" i="3"/>
  <c r="W400" i="3"/>
  <c r="U400" i="3"/>
  <c r="R400" i="3"/>
  <c r="O400" i="3"/>
  <c r="N400" i="3"/>
  <c r="L400" i="3"/>
  <c r="H400" i="3"/>
  <c r="I400" i="3" s="1"/>
  <c r="F400" i="3"/>
  <c r="C400" i="3"/>
  <c r="AC399" i="3"/>
  <c r="AD399" i="3" s="1"/>
  <c r="AA399" i="3"/>
  <c r="X399" i="3"/>
  <c r="W399" i="3"/>
  <c r="U399" i="3"/>
  <c r="R399" i="3"/>
  <c r="N399" i="3"/>
  <c r="O399" i="3" s="1"/>
  <c r="L399" i="3"/>
  <c r="H399" i="3"/>
  <c r="I399" i="3" s="1"/>
  <c r="F399" i="3"/>
  <c r="C399" i="3"/>
  <c r="AD398" i="3"/>
  <c r="AC398" i="3"/>
  <c r="AA398" i="3"/>
  <c r="X398" i="3"/>
  <c r="W398" i="3"/>
  <c r="U398" i="3"/>
  <c r="R398" i="3"/>
  <c r="O398" i="3"/>
  <c r="N398" i="3"/>
  <c r="L398" i="3"/>
  <c r="H398" i="3"/>
  <c r="I398" i="3" s="1"/>
  <c r="F398" i="3"/>
  <c r="C398" i="3"/>
  <c r="AC397" i="3"/>
  <c r="AD397" i="3" s="1"/>
  <c r="AA397" i="3"/>
  <c r="W397" i="3"/>
  <c r="X397" i="3" s="1"/>
  <c r="U397" i="3"/>
  <c r="R397" i="3"/>
  <c r="O397" i="3"/>
  <c r="N397" i="3"/>
  <c r="L397" i="3"/>
  <c r="I397" i="3"/>
  <c r="H397" i="3"/>
  <c r="F397" i="3"/>
  <c r="C397" i="3"/>
  <c r="Z396" i="3"/>
  <c r="AA396" i="3" s="1"/>
  <c r="T396" i="3"/>
  <c r="U396" i="3" s="1"/>
  <c r="Q396" i="3"/>
  <c r="R396" i="3" s="1"/>
  <c r="L396" i="3"/>
  <c r="K396" i="3"/>
  <c r="E396" i="3"/>
  <c r="F396" i="3" s="1"/>
  <c r="B396" i="3"/>
  <c r="H396" i="3" s="1"/>
  <c r="I396" i="3" s="1"/>
  <c r="AD395" i="3"/>
  <c r="AC395" i="3"/>
  <c r="AA395" i="3"/>
  <c r="X395" i="3"/>
  <c r="W395" i="3"/>
  <c r="U395" i="3"/>
  <c r="R395" i="3"/>
  <c r="O395" i="3"/>
  <c r="N395" i="3"/>
  <c r="L395" i="3"/>
  <c r="H395" i="3"/>
  <c r="I395" i="3" s="1"/>
  <c r="F395" i="3"/>
  <c r="C395" i="3"/>
  <c r="AC394" i="3"/>
  <c r="AD394" i="3" s="1"/>
  <c r="AA394" i="3"/>
  <c r="W394" i="3"/>
  <c r="X394" i="3" s="1"/>
  <c r="U394" i="3"/>
  <c r="R394" i="3"/>
  <c r="O394" i="3"/>
  <c r="N394" i="3"/>
  <c r="L394" i="3"/>
  <c r="I394" i="3"/>
  <c r="H394" i="3"/>
  <c r="F394" i="3"/>
  <c r="C394" i="3"/>
  <c r="Z393" i="3"/>
  <c r="AA393" i="3" s="1"/>
  <c r="T393" i="3"/>
  <c r="U393" i="3" s="1"/>
  <c r="Q393" i="3"/>
  <c r="R393" i="3" s="1"/>
  <c r="L393" i="3"/>
  <c r="K393" i="3"/>
  <c r="E393" i="3"/>
  <c r="F393" i="3" s="1"/>
  <c r="B393" i="3"/>
  <c r="H393" i="3" s="1"/>
  <c r="I393" i="3" s="1"/>
  <c r="AD392" i="3"/>
  <c r="AC392" i="3"/>
  <c r="AA392" i="3"/>
  <c r="X392" i="3"/>
  <c r="W392" i="3"/>
  <c r="U392" i="3"/>
  <c r="R392" i="3"/>
  <c r="O392" i="3"/>
  <c r="N392" i="3"/>
  <c r="L392" i="3"/>
  <c r="H392" i="3"/>
  <c r="I392" i="3" s="1"/>
  <c r="F392" i="3"/>
  <c r="C392" i="3"/>
  <c r="AC391" i="3"/>
  <c r="AD391" i="3" s="1"/>
  <c r="AA391" i="3"/>
  <c r="W391" i="3"/>
  <c r="X391" i="3" s="1"/>
  <c r="U391" i="3"/>
  <c r="R391" i="3"/>
  <c r="O391" i="3"/>
  <c r="N391" i="3"/>
  <c r="L391" i="3"/>
  <c r="I391" i="3"/>
  <c r="H391" i="3"/>
  <c r="F391" i="3"/>
  <c r="C391" i="3"/>
  <c r="AC390" i="3"/>
  <c r="AD390" i="3" s="1"/>
  <c r="AA390" i="3"/>
  <c r="X390" i="3"/>
  <c r="W390" i="3"/>
  <c r="U390" i="3"/>
  <c r="R390" i="3"/>
  <c r="O390" i="3"/>
  <c r="N390" i="3"/>
  <c r="L390" i="3"/>
  <c r="H390" i="3"/>
  <c r="I390" i="3" s="1"/>
  <c r="F390" i="3"/>
  <c r="C390" i="3"/>
  <c r="AC389" i="3"/>
  <c r="AD389" i="3" s="1"/>
  <c r="AA389" i="3"/>
  <c r="X389" i="3"/>
  <c r="W389" i="3"/>
  <c r="U389" i="3"/>
  <c r="R389" i="3"/>
  <c r="N389" i="3"/>
  <c r="O389" i="3" s="1"/>
  <c r="L389" i="3"/>
  <c r="H389" i="3"/>
  <c r="I389" i="3" s="1"/>
  <c r="F389" i="3"/>
  <c r="C389" i="3"/>
  <c r="AD388" i="3"/>
  <c r="AC388" i="3"/>
  <c r="AA388" i="3"/>
  <c r="X388" i="3"/>
  <c r="W388" i="3"/>
  <c r="U388" i="3"/>
  <c r="R388" i="3"/>
  <c r="O388" i="3"/>
  <c r="N388" i="3"/>
  <c r="L388" i="3"/>
  <c r="H388" i="3"/>
  <c r="I388" i="3" s="1"/>
  <c r="F388" i="3"/>
  <c r="C388" i="3"/>
  <c r="AC386" i="3"/>
  <c r="AD386" i="3" s="1"/>
  <c r="AA386" i="3"/>
  <c r="W386" i="3"/>
  <c r="X386" i="3" s="1"/>
  <c r="U386" i="3"/>
  <c r="R386" i="3"/>
  <c r="O386" i="3"/>
  <c r="N386" i="3"/>
  <c r="L386" i="3"/>
  <c r="I386" i="3"/>
  <c r="H386" i="3"/>
  <c r="F386" i="3"/>
  <c r="C386" i="3"/>
  <c r="AC385" i="3"/>
  <c r="AD385" i="3" s="1"/>
  <c r="AA385" i="3"/>
  <c r="X385" i="3"/>
  <c r="W385" i="3"/>
  <c r="U385" i="3"/>
  <c r="R385" i="3"/>
  <c r="O385" i="3"/>
  <c r="N385" i="3"/>
  <c r="L385" i="3"/>
  <c r="H385" i="3"/>
  <c r="I385" i="3" s="1"/>
  <c r="F385" i="3"/>
  <c r="C385" i="3"/>
  <c r="AC383" i="3"/>
  <c r="AD383" i="3" s="1"/>
  <c r="AA383" i="3"/>
  <c r="X383" i="3"/>
  <c r="W383" i="3"/>
  <c r="U383" i="3"/>
  <c r="R383" i="3"/>
  <c r="N383" i="3"/>
  <c r="O383" i="3" s="1"/>
  <c r="L383" i="3"/>
  <c r="H383" i="3"/>
  <c r="I383" i="3" s="1"/>
  <c r="F383" i="3"/>
  <c r="C383" i="3"/>
  <c r="AD382" i="3"/>
  <c r="AC382" i="3"/>
  <c r="AA382" i="3"/>
  <c r="X382" i="3"/>
  <c r="W382" i="3"/>
  <c r="U382" i="3"/>
  <c r="R382" i="3"/>
  <c r="O382" i="3"/>
  <c r="N382" i="3"/>
  <c r="L382" i="3"/>
  <c r="H382" i="3"/>
  <c r="I382" i="3" s="1"/>
  <c r="F382" i="3"/>
  <c r="C382" i="3"/>
  <c r="AC381" i="3"/>
  <c r="AD381" i="3" s="1"/>
  <c r="AA381" i="3"/>
  <c r="W381" i="3"/>
  <c r="X381" i="3" s="1"/>
  <c r="U381" i="3"/>
  <c r="R381" i="3"/>
  <c r="O381" i="3"/>
  <c r="N381" i="3"/>
  <c r="L381" i="3"/>
  <c r="I381" i="3"/>
  <c r="H381" i="3"/>
  <c r="F381" i="3"/>
  <c r="C381" i="3"/>
  <c r="AC380" i="3"/>
  <c r="AD380" i="3" s="1"/>
  <c r="AA380" i="3"/>
  <c r="X380" i="3"/>
  <c r="W380" i="3"/>
  <c r="U380" i="3"/>
  <c r="R380" i="3"/>
  <c r="O380" i="3"/>
  <c r="N380" i="3"/>
  <c r="L380" i="3"/>
  <c r="H380" i="3"/>
  <c r="I380" i="3" s="1"/>
  <c r="F380" i="3"/>
  <c r="C380" i="3"/>
  <c r="AC379" i="3"/>
  <c r="AD379" i="3" s="1"/>
  <c r="AA379" i="3"/>
  <c r="X379" i="3"/>
  <c r="W379" i="3"/>
  <c r="U379" i="3"/>
  <c r="R379" i="3"/>
  <c r="N379" i="3"/>
  <c r="O379" i="3" s="1"/>
  <c r="L379" i="3"/>
  <c r="H379" i="3"/>
  <c r="I379" i="3" s="1"/>
  <c r="F379" i="3"/>
  <c r="C379" i="3"/>
  <c r="AD378" i="3"/>
  <c r="AC378" i="3"/>
  <c r="AA378" i="3"/>
  <c r="X378" i="3"/>
  <c r="W378" i="3"/>
  <c r="U378" i="3"/>
  <c r="R378" i="3"/>
  <c r="O378" i="3"/>
  <c r="N378" i="3"/>
  <c r="L378" i="3"/>
  <c r="H378" i="3"/>
  <c r="I378" i="3" s="1"/>
  <c r="F378" i="3"/>
  <c r="C378" i="3"/>
  <c r="AC377" i="3"/>
  <c r="AD377" i="3" s="1"/>
  <c r="AA377" i="3"/>
  <c r="W377" i="3"/>
  <c r="X377" i="3" s="1"/>
  <c r="U377" i="3"/>
  <c r="R377" i="3"/>
  <c r="O377" i="3"/>
  <c r="N377" i="3"/>
  <c r="L377" i="3"/>
  <c r="I377" i="3"/>
  <c r="H377" i="3"/>
  <c r="F377" i="3"/>
  <c r="C377" i="3"/>
  <c r="AC376" i="3"/>
  <c r="AD376" i="3" s="1"/>
  <c r="AA376" i="3"/>
  <c r="X376" i="3"/>
  <c r="W376" i="3"/>
  <c r="U376" i="3"/>
  <c r="R376" i="3"/>
  <c r="O376" i="3"/>
  <c r="N376" i="3"/>
  <c r="L376" i="3"/>
  <c r="H376" i="3"/>
  <c r="I376" i="3" s="1"/>
  <c r="F376" i="3"/>
  <c r="C376" i="3"/>
  <c r="AC375" i="3"/>
  <c r="AD375" i="3" s="1"/>
  <c r="AA375" i="3"/>
  <c r="X375" i="3"/>
  <c r="W375" i="3"/>
  <c r="U375" i="3"/>
  <c r="R375" i="3"/>
  <c r="N375" i="3"/>
  <c r="O375" i="3" s="1"/>
  <c r="L375" i="3"/>
  <c r="H375" i="3"/>
  <c r="I375" i="3" s="1"/>
  <c r="F375" i="3"/>
  <c r="C375" i="3"/>
  <c r="AD374" i="3"/>
  <c r="AC374" i="3"/>
  <c r="AA374" i="3"/>
  <c r="X374" i="3"/>
  <c r="W374" i="3"/>
  <c r="U374" i="3"/>
  <c r="R374" i="3"/>
  <c r="O374" i="3"/>
  <c r="N374" i="3"/>
  <c r="L374" i="3"/>
  <c r="H374" i="3"/>
  <c r="I374" i="3" s="1"/>
  <c r="F374" i="3"/>
  <c r="C374" i="3"/>
  <c r="AC373" i="3"/>
  <c r="AD373" i="3" s="1"/>
  <c r="AA373" i="3"/>
  <c r="W373" i="3"/>
  <c r="X373" i="3" s="1"/>
  <c r="U373" i="3"/>
  <c r="R373" i="3"/>
  <c r="O373" i="3"/>
  <c r="N373" i="3"/>
  <c r="L373" i="3"/>
  <c r="I373" i="3"/>
  <c r="H373" i="3"/>
  <c r="F373" i="3"/>
  <c r="C373" i="3"/>
  <c r="AC372" i="3"/>
  <c r="AD372" i="3" s="1"/>
  <c r="AA372" i="3"/>
  <c r="X372" i="3"/>
  <c r="W372" i="3"/>
  <c r="U372" i="3"/>
  <c r="R372" i="3"/>
  <c r="O372" i="3"/>
  <c r="N372" i="3"/>
  <c r="L372" i="3"/>
  <c r="H372" i="3"/>
  <c r="I372" i="3" s="1"/>
  <c r="F372" i="3"/>
  <c r="C372" i="3"/>
  <c r="AC371" i="3"/>
  <c r="AD371" i="3" s="1"/>
  <c r="AA371" i="3"/>
  <c r="X371" i="3"/>
  <c r="W371" i="3"/>
  <c r="U371" i="3"/>
  <c r="R371" i="3"/>
  <c r="N371" i="3"/>
  <c r="O371" i="3" s="1"/>
  <c r="L371" i="3"/>
  <c r="H371" i="3"/>
  <c r="I371" i="3" s="1"/>
  <c r="F371" i="3"/>
  <c r="C371" i="3"/>
  <c r="AD370" i="3"/>
  <c r="AC370" i="3"/>
  <c r="AA370" i="3"/>
  <c r="X370" i="3"/>
  <c r="W370" i="3"/>
  <c r="U370" i="3"/>
  <c r="R370" i="3"/>
  <c r="O370" i="3"/>
  <c r="N370" i="3"/>
  <c r="L370" i="3"/>
  <c r="H370" i="3"/>
  <c r="I370" i="3" s="1"/>
  <c r="F370" i="3"/>
  <c r="C370" i="3"/>
  <c r="AC369" i="3"/>
  <c r="AD369" i="3" s="1"/>
  <c r="AA369" i="3"/>
  <c r="W369" i="3"/>
  <c r="X369" i="3" s="1"/>
  <c r="U369" i="3"/>
  <c r="R369" i="3"/>
  <c r="O369" i="3"/>
  <c r="N369" i="3"/>
  <c r="L369" i="3"/>
  <c r="I369" i="3"/>
  <c r="H369" i="3"/>
  <c r="F369" i="3"/>
  <c r="C369" i="3"/>
  <c r="Z368" i="3"/>
  <c r="AA368" i="3" s="1"/>
  <c r="T368" i="3"/>
  <c r="U368" i="3" s="1"/>
  <c r="Q368" i="3"/>
  <c r="R368" i="3" s="1"/>
  <c r="L368" i="3"/>
  <c r="K368" i="3"/>
  <c r="E368" i="3"/>
  <c r="F368" i="3" s="1"/>
  <c r="B368" i="3"/>
  <c r="H368" i="3" s="1"/>
  <c r="I368" i="3" s="1"/>
  <c r="AD367" i="3"/>
  <c r="AC367" i="3"/>
  <c r="AA367" i="3"/>
  <c r="X367" i="3"/>
  <c r="W367" i="3"/>
  <c r="U367" i="3"/>
  <c r="R367" i="3"/>
  <c r="O367" i="3"/>
  <c r="N367" i="3"/>
  <c r="L367" i="3"/>
  <c r="H367" i="3"/>
  <c r="I367" i="3" s="1"/>
  <c r="F367" i="3"/>
  <c r="C367" i="3"/>
  <c r="AC366" i="3"/>
  <c r="AD366" i="3" s="1"/>
  <c r="AA366" i="3"/>
  <c r="W366" i="3"/>
  <c r="X366" i="3" s="1"/>
  <c r="U366" i="3"/>
  <c r="R366" i="3"/>
  <c r="O366" i="3"/>
  <c r="N366" i="3"/>
  <c r="L366" i="3"/>
  <c r="I366" i="3"/>
  <c r="H366" i="3"/>
  <c r="F366" i="3"/>
  <c r="C366" i="3"/>
  <c r="AC365" i="3"/>
  <c r="AD365" i="3" s="1"/>
  <c r="AA365" i="3"/>
  <c r="X365" i="3"/>
  <c r="W365" i="3"/>
  <c r="U365" i="3"/>
  <c r="R365" i="3"/>
  <c r="O365" i="3"/>
  <c r="N365" i="3"/>
  <c r="L365" i="3"/>
  <c r="H365" i="3"/>
  <c r="I365" i="3" s="1"/>
  <c r="F365" i="3"/>
  <c r="C365" i="3"/>
  <c r="AC364" i="3"/>
  <c r="AD364" i="3" s="1"/>
  <c r="AA364" i="3"/>
  <c r="X364" i="3"/>
  <c r="W364" i="3"/>
  <c r="U364" i="3"/>
  <c r="R364" i="3"/>
  <c r="N364" i="3"/>
  <c r="O364" i="3" s="1"/>
  <c r="L364" i="3"/>
  <c r="H364" i="3"/>
  <c r="I364" i="3" s="1"/>
  <c r="F364" i="3"/>
  <c r="C364" i="3"/>
  <c r="AD363" i="3"/>
  <c r="AC363" i="3"/>
  <c r="AA363" i="3"/>
  <c r="X363" i="3"/>
  <c r="W363" i="3"/>
  <c r="U363" i="3"/>
  <c r="R363" i="3"/>
  <c r="O363" i="3"/>
  <c r="N363" i="3"/>
  <c r="L363" i="3"/>
  <c r="H363" i="3"/>
  <c r="I363" i="3" s="1"/>
  <c r="F363" i="3"/>
  <c r="C363" i="3"/>
  <c r="AC362" i="3"/>
  <c r="AD362" i="3" s="1"/>
  <c r="AA362" i="3"/>
  <c r="W362" i="3"/>
  <c r="X362" i="3" s="1"/>
  <c r="U362" i="3"/>
  <c r="R362" i="3"/>
  <c r="O362" i="3"/>
  <c r="N362" i="3"/>
  <c r="L362" i="3"/>
  <c r="I362" i="3"/>
  <c r="H362" i="3"/>
  <c r="F362" i="3"/>
  <c r="C362" i="3"/>
  <c r="AC361" i="3"/>
  <c r="AD361" i="3" s="1"/>
  <c r="AA361" i="3"/>
  <c r="X361" i="3"/>
  <c r="W361" i="3"/>
  <c r="U361" i="3"/>
  <c r="R361" i="3"/>
  <c r="O361" i="3"/>
  <c r="N361" i="3"/>
  <c r="L361" i="3"/>
  <c r="H361" i="3"/>
  <c r="I361" i="3" s="1"/>
  <c r="F361" i="3"/>
  <c r="C361" i="3"/>
  <c r="AC360" i="3"/>
  <c r="AD360" i="3" s="1"/>
  <c r="AA360" i="3"/>
  <c r="X360" i="3"/>
  <c r="W360" i="3"/>
  <c r="U360" i="3"/>
  <c r="R360" i="3"/>
  <c r="N360" i="3"/>
  <c r="O360" i="3" s="1"/>
  <c r="L360" i="3"/>
  <c r="H360" i="3"/>
  <c r="I360" i="3" s="1"/>
  <c r="F360" i="3"/>
  <c r="C360" i="3"/>
  <c r="Z358" i="3"/>
  <c r="AA358" i="3" s="1"/>
  <c r="T358" i="3"/>
  <c r="W358" i="3" s="1"/>
  <c r="X358" i="3" s="1"/>
  <c r="R358" i="3"/>
  <c r="Q358" i="3"/>
  <c r="AC358" i="3" s="1"/>
  <c r="AD358" i="3" s="1"/>
  <c r="K358" i="3"/>
  <c r="L358" i="3" s="1"/>
  <c r="H358" i="3"/>
  <c r="I358" i="3" s="1"/>
  <c r="F358" i="3"/>
  <c r="E358" i="3"/>
  <c r="B358" i="3"/>
  <c r="C358" i="3" s="1"/>
  <c r="AC357" i="3"/>
  <c r="AD357" i="3" s="1"/>
  <c r="AA357" i="3"/>
  <c r="X357" i="3"/>
  <c r="W357" i="3"/>
  <c r="U357" i="3"/>
  <c r="R357" i="3"/>
  <c r="O357" i="3"/>
  <c r="N357" i="3"/>
  <c r="L357" i="3"/>
  <c r="H357" i="3"/>
  <c r="I357" i="3" s="1"/>
  <c r="F357" i="3"/>
  <c r="C357" i="3"/>
  <c r="AC356" i="3"/>
  <c r="AD356" i="3" s="1"/>
  <c r="AA356" i="3"/>
  <c r="X356" i="3"/>
  <c r="W356" i="3"/>
  <c r="U356" i="3"/>
  <c r="R356" i="3"/>
  <c r="N356" i="3"/>
  <c r="O356" i="3" s="1"/>
  <c r="L356" i="3"/>
  <c r="H356" i="3"/>
  <c r="I356" i="3" s="1"/>
  <c r="F356" i="3"/>
  <c r="C356" i="3"/>
  <c r="AD355" i="3"/>
  <c r="AC355" i="3"/>
  <c r="AA355" i="3"/>
  <c r="X355" i="3"/>
  <c r="W355" i="3"/>
  <c r="U355" i="3"/>
  <c r="R355" i="3"/>
  <c r="O355" i="3"/>
  <c r="N355" i="3"/>
  <c r="L355" i="3"/>
  <c r="H355" i="3"/>
  <c r="I355" i="3" s="1"/>
  <c r="F355" i="3"/>
  <c r="C355" i="3"/>
  <c r="AC354" i="3"/>
  <c r="AD354" i="3" s="1"/>
  <c r="AA354" i="3"/>
  <c r="W354" i="3"/>
  <c r="X354" i="3" s="1"/>
  <c r="U354" i="3"/>
  <c r="R354" i="3"/>
  <c r="O354" i="3"/>
  <c r="N354" i="3"/>
  <c r="L354" i="3"/>
  <c r="I354" i="3"/>
  <c r="H354" i="3"/>
  <c r="F354" i="3"/>
  <c r="C354" i="3"/>
  <c r="AC353" i="3"/>
  <c r="AD353" i="3" s="1"/>
  <c r="AA353" i="3"/>
  <c r="X353" i="3"/>
  <c r="W353" i="3"/>
  <c r="U353" i="3"/>
  <c r="R353" i="3"/>
  <c r="O353" i="3"/>
  <c r="N353" i="3"/>
  <c r="L353" i="3"/>
  <c r="H353" i="3"/>
  <c r="I353" i="3" s="1"/>
  <c r="F353" i="3"/>
  <c r="C353" i="3"/>
  <c r="AC352" i="3"/>
  <c r="AD352" i="3" s="1"/>
  <c r="AA352" i="3"/>
  <c r="X352" i="3"/>
  <c r="W352" i="3"/>
  <c r="U352" i="3"/>
  <c r="R352" i="3"/>
  <c r="N352" i="3"/>
  <c r="O352" i="3" s="1"/>
  <c r="L352" i="3"/>
  <c r="H352" i="3"/>
  <c r="I352" i="3" s="1"/>
  <c r="F352" i="3"/>
  <c r="C352" i="3"/>
  <c r="AD351" i="3"/>
  <c r="AC351" i="3"/>
  <c r="AA351" i="3"/>
  <c r="X351" i="3"/>
  <c r="W351" i="3"/>
  <c r="U351" i="3"/>
  <c r="R351" i="3"/>
  <c r="O351" i="3"/>
  <c r="N351" i="3"/>
  <c r="L351" i="3"/>
  <c r="H351" i="3"/>
  <c r="I351" i="3" s="1"/>
  <c r="F351" i="3"/>
  <c r="C351" i="3"/>
  <c r="AC350" i="3"/>
  <c r="AD350" i="3" s="1"/>
  <c r="AA350" i="3"/>
  <c r="W350" i="3"/>
  <c r="X350" i="3" s="1"/>
  <c r="U350" i="3"/>
  <c r="R350" i="3"/>
  <c r="O350" i="3"/>
  <c r="N350" i="3"/>
  <c r="L350" i="3"/>
  <c r="I350" i="3"/>
  <c r="H350" i="3"/>
  <c r="F350" i="3"/>
  <c r="C350" i="3"/>
  <c r="AC349" i="3"/>
  <c r="AD349" i="3" s="1"/>
  <c r="AA349" i="3"/>
  <c r="X349" i="3"/>
  <c r="W349" i="3"/>
  <c r="U349" i="3"/>
  <c r="R349" i="3"/>
  <c r="O349" i="3"/>
  <c r="N349" i="3"/>
  <c r="L349" i="3"/>
  <c r="H349" i="3"/>
  <c r="I349" i="3" s="1"/>
  <c r="F349" i="3"/>
  <c r="C349" i="3"/>
  <c r="AC347" i="3"/>
  <c r="AD347" i="3" s="1"/>
  <c r="AA347" i="3"/>
  <c r="X347" i="3"/>
  <c r="W347" i="3"/>
  <c r="U347" i="3"/>
  <c r="R347" i="3"/>
  <c r="N347" i="3"/>
  <c r="O347" i="3" s="1"/>
  <c r="L347" i="3"/>
  <c r="H347" i="3"/>
  <c r="I347" i="3" s="1"/>
  <c r="F347" i="3"/>
  <c r="C347" i="3"/>
  <c r="Z344" i="3"/>
  <c r="AA344" i="3" s="1"/>
  <c r="T344" i="3"/>
  <c r="U344" i="3" s="1"/>
  <c r="Q344" i="3"/>
  <c r="R344" i="3" s="1"/>
  <c r="N344" i="3"/>
  <c r="O344" i="3" s="1"/>
  <c r="L344" i="3"/>
  <c r="K344" i="3"/>
  <c r="E344" i="3"/>
  <c r="F344" i="3" s="1"/>
  <c r="B344" i="3"/>
  <c r="Z343" i="3"/>
  <c r="AA343" i="3" s="1"/>
  <c r="T343" i="3"/>
  <c r="R343" i="3"/>
  <c r="Q343" i="3"/>
  <c r="AC343" i="3" s="1"/>
  <c r="AD343" i="3" s="1"/>
  <c r="K343" i="3"/>
  <c r="L343" i="3" s="1"/>
  <c r="H343" i="3"/>
  <c r="I343" i="3" s="1"/>
  <c r="F343" i="3"/>
  <c r="E343" i="3"/>
  <c r="B343" i="3"/>
  <c r="C343" i="3" s="1"/>
  <c r="Z342" i="3"/>
  <c r="AA342" i="3" s="1"/>
  <c r="T342" i="3"/>
  <c r="U342" i="3" s="1"/>
  <c r="Q342" i="3"/>
  <c r="R342" i="3" s="1"/>
  <c r="N342" i="3"/>
  <c r="O342" i="3" s="1"/>
  <c r="L342" i="3"/>
  <c r="K342" i="3"/>
  <c r="E342" i="3"/>
  <c r="F342" i="3" s="1"/>
  <c r="B342" i="3"/>
  <c r="AD341" i="3"/>
  <c r="AC341" i="3"/>
  <c r="AA341" i="3"/>
  <c r="X341" i="3"/>
  <c r="W341" i="3"/>
  <c r="U341" i="3"/>
  <c r="R341" i="3"/>
  <c r="O341" i="3"/>
  <c r="N341" i="3"/>
  <c r="L341" i="3"/>
  <c r="H341" i="3"/>
  <c r="I341" i="3" s="1"/>
  <c r="F341" i="3"/>
  <c r="C341" i="3"/>
  <c r="AC340" i="3"/>
  <c r="AD340" i="3" s="1"/>
  <c r="AA340" i="3"/>
  <c r="W340" i="3"/>
  <c r="X340" i="3" s="1"/>
  <c r="U340" i="3"/>
  <c r="R340" i="3"/>
  <c r="O340" i="3"/>
  <c r="N340" i="3"/>
  <c r="L340" i="3"/>
  <c r="I340" i="3"/>
  <c r="H340" i="3"/>
  <c r="F340" i="3"/>
  <c r="C340" i="3"/>
  <c r="AC339" i="3"/>
  <c r="AD339" i="3" s="1"/>
  <c r="AA339" i="3"/>
  <c r="X339" i="3"/>
  <c r="W339" i="3"/>
  <c r="U339" i="3"/>
  <c r="R339" i="3"/>
  <c r="O339" i="3"/>
  <c r="N339" i="3"/>
  <c r="L339" i="3"/>
  <c r="H339" i="3"/>
  <c r="I339" i="3" s="1"/>
  <c r="F339" i="3"/>
  <c r="C339" i="3"/>
  <c r="AC338" i="3"/>
  <c r="AD338" i="3" s="1"/>
  <c r="AA338" i="3"/>
  <c r="X338" i="3"/>
  <c r="W338" i="3"/>
  <c r="U338" i="3"/>
  <c r="R338" i="3"/>
  <c r="N338" i="3"/>
  <c r="O338" i="3" s="1"/>
  <c r="L338" i="3"/>
  <c r="H338" i="3"/>
  <c r="I338" i="3" s="1"/>
  <c r="F338" i="3"/>
  <c r="C338" i="3"/>
  <c r="AD337" i="3"/>
  <c r="AC337" i="3"/>
  <c r="AA337" i="3"/>
  <c r="X337" i="3"/>
  <c r="W337" i="3"/>
  <c r="U337" i="3"/>
  <c r="R337" i="3"/>
  <c r="O337" i="3"/>
  <c r="N337" i="3"/>
  <c r="L337" i="3"/>
  <c r="H337" i="3"/>
  <c r="I337" i="3" s="1"/>
  <c r="F337" i="3"/>
  <c r="C337" i="3"/>
  <c r="AC335" i="3"/>
  <c r="AD335" i="3" s="1"/>
  <c r="AA335" i="3"/>
  <c r="W335" i="3"/>
  <c r="X335" i="3" s="1"/>
  <c r="U335" i="3"/>
  <c r="R335" i="3"/>
  <c r="O335" i="3"/>
  <c r="N335" i="3"/>
  <c r="L335" i="3"/>
  <c r="I335" i="3"/>
  <c r="H335" i="3"/>
  <c r="F335" i="3"/>
  <c r="C335" i="3"/>
  <c r="AC334" i="3"/>
  <c r="AD334" i="3" s="1"/>
  <c r="AA334" i="3"/>
  <c r="X334" i="3"/>
  <c r="W334" i="3"/>
  <c r="U334" i="3"/>
  <c r="R334" i="3"/>
  <c r="O334" i="3"/>
  <c r="N334" i="3"/>
  <c r="L334" i="3"/>
  <c r="H334" i="3"/>
  <c r="I334" i="3" s="1"/>
  <c r="F334" i="3"/>
  <c r="C334" i="3"/>
  <c r="AC333" i="3"/>
  <c r="AD333" i="3" s="1"/>
  <c r="AA333" i="3"/>
  <c r="X333" i="3"/>
  <c r="W333" i="3"/>
  <c r="U333" i="3"/>
  <c r="R333" i="3"/>
  <c r="N333" i="3"/>
  <c r="O333" i="3" s="1"/>
  <c r="L333" i="3"/>
  <c r="H333" i="3"/>
  <c r="I333" i="3" s="1"/>
  <c r="F333" i="3"/>
  <c r="C333" i="3"/>
  <c r="AD332" i="3"/>
  <c r="AC332" i="3"/>
  <c r="AA332" i="3"/>
  <c r="X332" i="3"/>
  <c r="W332" i="3"/>
  <c r="U332" i="3"/>
  <c r="R332" i="3"/>
  <c r="O332" i="3"/>
  <c r="N332" i="3"/>
  <c r="L332" i="3"/>
  <c r="H332" i="3"/>
  <c r="I332" i="3" s="1"/>
  <c r="F332" i="3"/>
  <c r="C332" i="3"/>
  <c r="AC331" i="3"/>
  <c r="AD331" i="3" s="1"/>
  <c r="AA331" i="3"/>
  <c r="W331" i="3"/>
  <c r="X331" i="3" s="1"/>
  <c r="U331" i="3"/>
  <c r="R331" i="3"/>
  <c r="O331" i="3"/>
  <c r="N331" i="3"/>
  <c r="L331" i="3"/>
  <c r="I331" i="3"/>
  <c r="H331" i="3"/>
  <c r="F331" i="3"/>
  <c r="C331" i="3"/>
  <c r="AC330" i="3"/>
  <c r="AD330" i="3" s="1"/>
  <c r="AA330" i="3"/>
  <c r="X330" i="3"/>
  <c r="W330" i="3"/>
  <c r="U330" i="3"/>
  <c r="R330" i="3"/>
  <c r="O330" i="3"/>
  <c r="N330" i="3"/>
  <c r="L330" i="3"/>
  <c r="H330" i="3"/>
  <c r="I330" i="3" s="1"/>
  <c r="F330" i="3"/>
  <c r="C330" i="3"/>
  <c r="AC329" i="3"/>
  <c r="AD329" i="3" s="1"/>
  <c r="AA329" i="3"/>
  <c r="X329" i="3"/>
  <c r="W329" i="3"/>
  <c r="U329" i="3"/>
  <c r="R329" i="3"/>
  <c r="N329" i="3"/>
  <c r="O329" i="3" s="1"/>
  <c r="L329" i="3"/>
  <c r="H329" i="3"/>
  <c r="I329" i="3" s="1"/>
  <c r="F329" i="3"/>
  <c r="C329" i="3"/>
  <c r="AD328" i="3"/>
  <c r="AC328" i="3"/>
  <c r="AA328" i="3"/>
  <c r="X328" i="3"/>
  <c r="W328" i="3"/>
  <c r="U328" i="3"/>
  <c r="R328" i="3"/>
  <c r="O328" i="3"/>
  <c r="N328" i="3"/>
  <c r="L328" i="3"/>
  <c r="H328" i="3"/>
  <c r="I328" i="3" s="1"/>
  <c r="F328" i="3"/>
  <c r="C328" i="3"/>
  <c r="AA325" i="3"/>
  <c r="Z325" i="3"/>
  <c r="T325" i="3"/>
  <c r="U325" i="3" s="1"/>
  <c r="Q325" i="3"/>
  <c r="K325" i="3"/>
  <c r="L325" i="3" s="1"/>
  <c r="H325" i="3"/>
  <c r="I325" i="3" s="1"/>
  <c r="E325" i="3"/>
  <c r="F325" i="3" s="1"/>
  <c r="C325" i="3"/>
  <c r="B325" i="3"/>
  <c r="N325" i="3" s="1"/>
  <c r="O325" i="3" s="1"/>
  <c r="Z324" i="3"/>
  <c r="AA324" i="3" s="1"/>
  <c r="X324" i="3"/>
  <c r="W324" i="3"/>
  <c r="U324" i="3"/>
  <c r="T324" i="3"/>
  <c r="Q324" i="3"/>
  <c r="R324" i="3" s="1"/>
  <c r="K324" i="3"/>
  <c r="L324" i="3" s="1"/>
  <c r="E324" i="3"/>
  <c r="F324" i="3" s="1"/>
  <c r="B324" i="3"/>
  <c r="AC323" i="3"/>
  <c r="AD323" i="3" s="1"/>
  <c r="AA323" i="3"/>
  <c r="X323" i="3"/>
  <c r="W323" i="3"/>
  <c r="U323" i="3"/>
  <c r="R323" i="3"/>
  <c r="O323" i="3"/>
  <c r="N323" i="3"/>
  <c r="L323" i="3"/>
  <c r="I323" i="3"/>
  <c r="H323" i="3"/>
  <c r="F323" i="3"/>
  <c r="C323" i="3"/>
  <c r="AC322" i="3"/>
  <c r="AD322" i="3" s="1"/>
  <c r="AA322" i="3"/>
  <c r="W322" i="3"/>
  <c r="X322" i="3" s="1"/>
  <c r="U322" i="3"/>
  <c r="R322" i="3"/>
  <c r="O322" i="3"/>
  <c r="N322" i="3"/>
  <c r="L322" i="3"/>
  <c r="I322" i="3"/>
  <c r="H322" i="3"/>
  <c r="F322" i="3"/>
  <c r="C322" i="3"/>
  <c r="AC321" i="3"/>
  <c r="AD321" i="3" s="1"/>
  <c r="AA321" i="3"/>
  <c r="X321" i="3"/>
  <c r="W321" i="3"/>
  <c r="U321" i="3"/>
  <c r="R321" i="3"/>
  <c r="O321" i="3"/>
  <c r="N321" i="3"/>
  <c r="L321" i="3"/>
  <c r="H321" i="3"/>
  <c r="I321" i="3" s="1"/>
  <c r="F321" i="3"/>
  <c r="C321" i="3"/>
  <c r="AD320" i="3"/>
  <c r="AC320" i="3"/>
  <c r="AA320" i="3"/>
  <c r="X320" i="3"/>
  <c r="W320" i="3"/>
  <c r="U320" i="3"/>
  <c r="R320" i="3"/>
  <c r="N320" i="3"/>
  <c r="O320" i="3" s="1"/>
  <c r="L320" i="3"/>
  <c r="H320" i="3"/>
  <c r="I320" i="3" s="1"/>
  <c r="F320" i="3"/>
  <c r="C320" i="3"/>
  <c r="AC319" i="3"/>
  <c r="AD319" i="3" s="1"/>
  <c r="AA319" i="3"/>
  <c r="X319" i="3"/>
  <c r="W319" i="3"/>
  <c r="U319" i="3"/>
  <c r="R319" i="3"/>
  <c r="N319" i="3"/>
  <c r="O319" i="3" s="1"/>
  <c r="L319" i="3"/>
  <c r="I319" i="3"/>
  <c r="H319" i="3"/>
  <c r="F319" i="3"/>
  <c r="C319" i="3"/>
  <c r="AC318" i="3"/>
  <c r="AD318" i="3" s="1"/>
  <c r="AA318" i="3"/>
  <c r="X318" i="3"/>
  <c r="W318" i="3"/>
  <c r="U318" i="3"/>
  <c r="R318" i="3"/>
  <c r="O318" i="3"/>
  <c r="N318" i="3"/>
  <c r="L318" i="3"/>
  <c r="H318" i="3"/>
  <c r="I318" i="3" s="1"/>
  <c r="F318" i="3"/>
  <c r="C318" i="3"/>
  <c r="AC317" i="3"/>
  <c r="AD317" i="3" s="1"/>
  <c r="AA317" i="3"/>
  <c r="X317" i="3"/>
  <c r="W317" i="3"/>
  <c r="U317" i="3"/>
  <c r="R317" i="3"/>
  <c r="O317" i="3"/>
  <c r="N317" i="3"/>
  <c r="L317" i="3"/>
  <c r="H317" i="3"/>
  <c r="I317" i="3" s="1"/>
  <c r="F317" i="3"/>
  <c r="C317" i="3"/>
  <c r="AD316" i="3"/>
  <c r="AC316" i="3"/>
  <c r="AA316" i="3"/>
  <c r="X316" i="3"/>
  <c r="W316" i="3"/>
  <c r="U316" i="3"/>
  <c r="R316" i="3"/>
  <c r="N316" i="3"/>
  <c r="O316" i="3" s="1"/>
  <c r="L316" i="3"/>
  <c r="H316" i="3"/>
  <c r="I316" i="3" s="1"/>
  <c r="F316" i="3"/>
  <c r="C316" i="3"/>
  <c r="AC315" i="3"/>
  <c r="AD315" i="3" s="1"/>
  <c r="AA315" i="3"/>
  <c r="X315" i="3"/>
  <c r="W315" i="3"/>
  <c r="U315" i="3"/>
  <c r="R315" i="3"/>
  <c r="O315" i="3"/>
  <c r="N315" i="3"/>
  <c r="L315" i="3"/>
  <c r="I315" i="3"/>
  <c r="H315" i="3"/>
  <c r="F315" i="3"/>
  <c r="C315" i="3"/>
  <c r="AC314" i="3"/>
  <c r="AD314" i="3" s="1"/>
  <c r="AA314" i="3"/>
  <c r="W314" i="3"/>
  <c r="X314" i="3" s="1"/>
  <c r="U314" i="3"/>
  <c r="R314" i="3"/>
  <c r="O314" i="3"/>
  <c r="N314" i="3"/>
  <c r="L314" i="3"/>
  <c r="I314" i="3"/>
  <c r="H314" i="3"/>
  <c r="F314" i="3"/>
  <c r="C314" i="3"/>
  <c r="AC313" i="3"/>
  <c r="AD313" i="3" s="1"/>
  <c r="AA313" i="3"/>
  <c r="X313" i="3"/>
  <c r="W313" i="3"/>
  <c r="U313" i="3"/>
  <c r="R313" i="3"/>
  <c r="O313" i="3"/>
  <c r="N313" i="3"/>
  <c r="L313" i="3"/>
  <c r="H313" i="3"/>
  <c r="I313" i="3" s="1"/>
  <c r="F313" i="3"/>
  <c r="C313" i="3"/>
  <c r="AD312" i="3"/>
  <c r="AC312" i="3"/>
  <c r="AA312" i="3"/>
  <c r="X312" i="3"/>
  <c r="W312" i="3"/>
  <c r="U312" i="3"/>
  <c r="R312" i="3"/>
  <c r="O312" i="3"/>
  <c r="N312" i="3"/>
  <c r="L312" i="3"/>
  <c r="H312" i="3"/>
  <c r="I312" i="3" s="1"/>
  <c r="F312" i="3"/>
  <c r="C312" i="3"/>
  <c r="AD311" i="3"/>
  <c r="AC311" i="3"/>
  <c r="AA311" i="3"/>
  <c r="X311" i="3"/>
  <c r="W311" i="3"/>
  <c r="U311" i="3"/>
  <c r="R311" i="3"/>
  <c r="N311" i="3"/>
  <c r="O311" i="3" s="1"/>
  <c r="L311" i="3"/>
  <c r="I311" i="3"/>
  <c r="H311" i="3"/>
  <c r="F311" i="3"/>
  <c r="C311" i="3"/>
  <c r="AC310" i="3"/>
  <c r="AD310" i="3" s="1"/>
  <c r="AA310" i="3"/>
  <c r="X310" i="3"/>
  <c r="W310" i="3"/>
  <c r="U310" i="3"/>
  <c r="R310" i="3"/>
  <c r="O310" i="3"/>
  <c r="N310" i="3"/>
  <c r="L310" i="3"/>
  <c r="H310" i="3"/>
  <c r="I310" i="3" s="1"/>
  <c r="F310" i="3"/>
  <c r="C310" i="3"/>
  <c r="AC309" i="3"/>
  <c r="AD309" i="3" s="1"/>
  <c r="AA309" i="3"/>
  <c r="X309" i="3"/>
  <c r="W309" i="3"/>
  <c r="U309" i="3"/>
  <c r="R309" i="3"/>
  <c r="O309" i="3"/>
  <c r="N309" i="3"/>
  <c r="L309" i="3"/>
  <c r="H309" i="3"/>
  <c r="I309" i="3" s="1"/>
  <c r="F309" i="3"/>
  <c r="C309" i="3"/>
  <c r="AD308" i="3"/>
  <c r="AC308" i="3"/>
  <c r="AA308" i="3"/>
  <c r="X308" i="3"/>
  <c r="W308" i="3"/>
  <c r="U308" i="3"/>
  <c r="R308" i="3"/>
  <c r="N308" i="3"/>
  <c r="O308" i="3" s="1"/>
  <c r="L308" i="3"/>
  <c r="H308" i="3"/>
  <c r="I308" i="3" s="1"/>
  <c r="F308" i="3"/>
  <c r="C308" i="3"/>
  <c r="AC307" i="3"/>
  <c r="AD307" i="3" s="1"/>
  <c r="AA307" i="3"/>
  <c r="X307" i="3"/>
  <c r="W307" i="3"/>
  <c r="U307" i="3"/>
  <c r="R307" i="3"/>
  <c r="O307" i="3"/>
  <c r="N307" i="3"/>
  <c r="L307" i="3"/>
  <c r="I307" i="3"/>
  <c r="H307" i="3"/>
  <c r="F307" i="3"/>
  <c r="C307" i="3"/>
  <c r="AC306" i="3"/>
  <c r="AD306" i="3" s="1"/>
  <c r="AA306" i="3"/>
  <c r="W306" i="3"/>
  <c r="X306" i="3" s="1"/>
  <c r="U306" i="3"/>
  <c r="R306" i="3"/>
  <c r="O306" i="3"/>
  <c r="N306" i="3"/>
  <c r="L306" i="3"/>
  <c r="I306" i="3"/>
  <c r="H306" i="3"/>
  <c r="F306" i="3"/>
  <c r="C306" i="3"/>
  <c r="AC305" i="3"/>
  <c r="AD305" i="3" s="1"/>
  <c r="AA305" i="3"/>
  <c r="W305" i="3"/>
  <c r="X305" i="3" s="1"/>
  <c r="U305" i="3"/>
  <c r="R305" i="3"/>
  <c r="O305" i="3"/>
  <c r="N305" i="3"/>
  <c r="L305" i="3"/>
  <c r="H305" i="3"/>
  <c r="I305" i="3" s="1"/>
  <c r="F305" i="3"/>
  <c r="C305" i="3"/>
  <c r="AD304" i="3"/>
  <c r="AC304" i="3"/>
  <c r="AA304" i="3"/>
  <c r="X304" i="3"/>
  <c r="W304" i="3"/>
  <c r="U304" i="3"/>
  <c r="R304" i="3"/>
  <c r="O304" i="3"/>
  <c r="N304" i="3"/>
  <c r="L304" i="3"/>
  <c r="H304" i="3"/>
  <c r="I304" i="3" s="1"/>
  <c r="F304" i="3"/>
  <c r="C304" i="3"/>
  <c r="AC303" i="3"/>
  <c r="AD303" i="3" s="1"/>
  <c r="AA303" i="3"/>
  <c r="X303" i="3"/>
  <c r="W303" i="3"/>
  <c r="U303" i="3"/>
  <c r="R303" i="3"/>
  <c r="N303" i="3"/>
  <c r="O303" i="3" s="1"/>
  <c r="L303" i="3"/>
  <c r="I303" i="3"/>
  <c r="H303" i="3"/>
  <c r="F303" i="3"/>
  <c r="C303" i="3"/>
  <c r="AC302" i="3"/>
  <c r="AD302" i="3" s="1"/>
  <c r="AA302" i="3"/>
  <c r="W302" i="3"/>
  <c r="X302" i="3" s="1"/>
  <c r="U302" i="3"/>
  <c r="R302" i="3"/>
  <c r="O302" i="3"/>
  <c r="N302" i="3"/>
  <c r="L302" i="3"/>
  <c r="H302" i="3"/>
  <c r="I302" i="3" s="1"/>
  <c r="F302" i="3"/>
  <c r="C302" i="3"/>
  <c r="AC301" i="3"/>
  <c r="AD301" i="3" s="1"/>
  <c r="AA301" i="3"/>
  <c r="X301" i="3"/>
  <c r="W301" i="3"/>
  <c r="U301" i="3"/>
  <c r="R301" i="3"/>
  <c r="O301" i="3"/>
  <c r="N301" i="3"/>
  <c r="L301" i="3"/>
  <c r="H301" i="3"/>
  <c r="I301" i="3" s="1"/>
  <c r="F301" i="3"/>
  <c r="C301" i="3"/>
  <c r="AD300" i="3"/>
  <c r="AC300" i="3"/>
  <c r="AA300" i="3"/>
  <c r="X300" i="3"/>
  <c r="W300" i="3"/>
  <c r="U300" i="3"/>
  <c r="R300" i="3"/>
  <c r="N300" i="3"/>
  <c r="O300" i="3" s="1"/>
  <c r="L300" i="3"/>
  <c r="H300" i="3"/>
  <c r="I300" i="3" s="1"/>
  <c r="F300" i="3"/>
  <c r="C300" i="3"/>
  <c r="AC299" i="3"/>
  <c r="AD299" i="3" s="1"/>
  <c r="AA299" i="3"/>
  <c r="X299" i="3"/>
  <c r="W299" i="3"/>
  <c r="U299" i="3"/>
  <c r="R299" i="3"/>
  <c r="O299" i="3"/>
  <c r="N299" i="3"/>
  <c r="L299" i="3"/>
  <c r="I299" i="3"/>
  <c r="H299" i="3"/>
  <c r="F299" i="3"/>
  <c r="C299" i="3"/>
  <c r="AC298" i="3"/>
  <c r="AD298" i="3" s="1"/>
  <c r="AA298" i="3"/>
  <c r="W298" i="3"/>
  <c r="X298" i="3" s="1"/>
  <c r="U298" i="3"/>
  <c r="R298" i="3"/>
  <c r="O298" i="3"/>
  <c r="N298" i="3"/>
  <c r="L298" i="3"/>
  <c r="I298" i="3"/>
  <c r="H298" i="3"/>
  <c r="F298" i="3"/>
  <c r="C298" i="3"/>
  <c r="AC297" i="3"/>
  <c r="AD297" i="3" s="1"/>
  <c r="AA297" i="3"/>
  <c r="W297" i="3"/>
  <c r="X297" i="3" s="1"/>
  <c r="U297" i="3"/>
  <c r="R297" i="3"/>
  <c r="O297" i="3"/>
  <c r="N297" i="3"/>
  <c r="L297" i="3"/>
  <c r="H297" i="3"/>
  <c r="I297" i="3" s="1"/>
  <c r="F297" i="3"/>
  <c r="C297" i="3"/>
  <c r="Z295" i="3"/>
  <c r="AA295" i="3" s="1"/>
  <c r="W295" i="3"/>
  <c r="X295" i="3" s="1"/>
  <c r="T295" i="3"/>
  <c r="U295" i="3" s="1"/>
  <c r="R295" i="3"/>
  <c r="Q295" i="3"/>
  <c r="AC295" i="3" s="1"/>
  <c r="AD295" i="3" s="1"/>
  <c r="K295" i="3"/>
  <c r="L295" i="3" s="1"/>
  <c r="I295" i="3"/>
  <c r="H295" i="3"/>
  <c r="F295" i="3"/>
  <c r="E295" i="3"/>
  <c r="B295" i="3"/>
  <c r="C295" i="3" s="1"/>
  <c r="AC294" i="3"/>
  <c r="AD294" i="3" s="1"/>
  <c r="AA294" i="3"/>
  <c r="X294" i="3"/>
  <c r="W294" i="3"/>
  <c r="U294" i="3"/>
  <c r="R294" i="3"/>
  <c r="O294" i="3"/>
  <c r="N294" i="3"/>
  <c r="L294" i="3"/>
  <c r="H294" i="3"/>
  <c r="I294" i="3" s="1"/>
  <c r="F294" i="3"/>
  <c r="C294" i="3"/>
  <c r="AC293" i="3"/>
  <c r="AD293" i="3" s="1"/>
  <c r="AA293" i="3"/>
  <c r="W293" i="3"/>
  <c r="X293" i="3" s="1"/>
  <c r="U293" i="3"/>
  <c r="R293" i="3"/>
  <c r="O293" i="3"/>
  <c r="N293" i="3"/>
  <c r="L293" i="3"/>
  <c r="H293" i="3"/>
  <c r="I293" i="3" s="1"/>
  <c r="F293" i="3"/>
  <c r="C293" i="3"/>
  <c r="AD292" i="3"/>
  <c r="AC292" i="3"/>
  <c r="AA292" i="3"/>
  <c r="X292" i="3"/>
  <c r="W292" i="3"/>
  <c r="U292" i="3"/>
  <c r="R292" i="3"/>
  <c r="N292" i="3"/>
  <c r="O292" i="3" s="1"/>
  <c r="L292" i="3"/>
  <c r="H292" i="3"/>
  <c r="I292" i="3" s="1"/>
  <c r="F292" i="3"/>
  <c r="C292" i="3"/>
  <c r="AC291" i="3"/>
  <c r="AD291" i="3" s="1"/>
  <c r="AA291" i="3"/>
  <c r="X291" i="3"/>
  <c r="W291" i="3"/>
  <c r="U291" i="3"/>
  <c r="R291" i="3"/>
  <c r="O291" i="3"/>
  <c r="N291" i="3"/>
  <c r="L291" i="3"/>
  <c r="I291" i="3"/>
  <c r="H291" i="3"/>
  <c r="F291" i="3"/>
  <c r="C291" i="3"/>
  <c r="AC290" i="3"/>
  <c r="AD290" i="3" s="1"/>
  <c r="AA290" i="3"/>
  <c r="W290" i="3"/>
  <c r="X290" i="3" s="1"/>
  <c r="U290" i="3"/>
  <c r="R290" i="3"/>
  <c r="O290" i="3"/>
  <c r="N290" i="3"/>
  <c r="L290" i="3"/>
  <c r="I290" i="3"/>
  <c r="H290" i="3"/>
  <c r="F290" i="3"/>
  <c r="C290" i="3"/>
  <c r="AC289" i="3"/>
  <c r="AD289" i="3" s="1"/>
  <c r="AA289" i="3"/>
  <c r="X289" i="3"/>
  <c r="W289" i="3"/>
  <c r="U289" i="3"/>
  <c r="R289" i="3"/>
  <c r="O289" i="3"/>
  <c r="N289" i="3"/>
  <c r="L289" i="3"/>
  <c r="H289" i="3"/>
  <c r="I289" i="3" s="1"/>
  <c r="F289" i="3"/>
  <c r="C289" i="3"/>
  <c r="AD288" i="3"/>
  <c r="AC288" i="3"/>
  <c r="AA288" i="3"/>
  <c r="X288" i="3"/>
  <c r="W288" i="3"/>
  <c r="U288" i="3"/>
  <c r="R288" i="3"/>
  <c r="N288" i="3"/>
  <c r="O288" i="3" s="1"/>
  <c r="L288" i="3"/>
  <c r="H288" i="3"/>
  <c r="I288" i="3" s="1"/>
  <c r="F288" i="3"/>
  <c r="C288" i="3"/>
  <c r="AD287" i="3"/>
  <c r="AC287" i="3"/>
  <c r="AA287" i="3"/>
  <c r="X287" i="3"/>
  <c r="W287" i="3"/>
  <c r="U287" i="3"/>
  <c r="R287" i="3"/>
  <c r="N287" i="3"/>
  <c r="O287" i="3" s="1"/>
  <c r="L287" i="3"/>
  <c r="I287" i="3"/>
  <c r="H287" i="3"/>
  <c r="F287" i="3"/>
  <c r="C287" i="3"/>
  <c r="AC286" i="3"/>
  <c r="AD286" i="3" s="1"/>
  <c r="AA286" i="3"/>
  <c r="W286" i="3"/>
  <c r="X286" i="3" s="1"/>
  <c r="U286" i="3"/>
  <c r="R286" i="3"/>
  <c r="O286" i="3"/>
  <c r="N286" i="3"/>
  <c r="L286" i="3"/>
  <c r="H286" i="3"/>
  <c r="I286" i="3" s="1"/>
  <c r="F286" i="3"/>
  <c r="C286" i="3"/>
  <c r="Z284" i="3"/>
  <c r="AA284" i="3" s="1"/>
  <c r="W284" i="3"/>
  <c r="X284" i="3" s="1"/>
  <c r="U284" i="3"/>
  <c r="T284" i="3"/>
  <c r="Q284" i="3"/>
  <c r="R284" i="3" s="1"/>
  <c r="K284" i="3"/>
  <c r="L284" i="3" s="1"/>
  <c r="E284" i="3"/>
  <c r="F284" i="3" s="1"/>
  <c r="B284" i="3"/>
  <c r="N284" i="3" s="1"/>
  <c r="O284" i="3" s="1"/>
  <c r="AC283" i="3"/>
  <c r="AD283" i="3" s="1"/>
  <c r="AA283" i="3"/>
  <c r="X283" i="3"/>
  <c r="W283" i="3"/>
  <c r="U283" i="3"/>
  <c r="R283" i="3"/>
  <c r="O283" i="3"/>
  <c r="N283" i="3"/>
  <c r="L283" i="3"/>
  <c r="I283" i="3"/>
  <c r="H283" i="3"/>
  <c r="F283" i="3"/>
  <c r="C283" i="3"/>
  <c r="AC282" i="3"/>
  <c r="AD282" i="3" s="1"/>
  <c r="AA282" i="3"/>
  <c r="W282" i="3"/>
  <c r="X282" i="3" s="1"/>
  <c r="U282" i="3"/>
  <c r="R282" i="3"/>
  <c r="O282" i="3"/>
  <c r="N282" i="3"/>
  <c r="L282" i="3"/>
  <c r="H282" i="3"/>
  <c r="I282" i="3" s="1"/>
  <c r="F282" i="3"/>
  <c r="C282" i="3"/>
  <c r="AC281" i="3"/>
  <c r="AD281" i="3" s="1"/>
  <c r="AA281" i="3"/>
  <c r="W281" i="3"/>
  <c r="X281" i="3" s="1"/>
  <c r="U281" i="3"/>
  <c r="R281" i="3"/>
  <c r="O281" i="3"/>
  <c r="N281" i="3"/>
  <c r="L281" i="3"/>
  <c r="H281" i="3"/>
  <c r="I281" i="3" s="1"/>
  <c r="F281" i="3"/>
  <c r="C281" i="3"/>
  <c r="AD280" i="3"/>
  <c r="AC280" i="3"/>
  <c r="AA280" i="3"/>
  <c r="X280" i="3"/>
  <c r="W280" i="3"/>
  <c r="U280" i="3"/>
  <c r="R280" i="3"/>
  <c r="N280" i="3"/>
  <c r="O280" i="3" s="1"/>
  <c r="L280" i="3"/>
  <c r="H280" i="3"/>
  <c r="I280" i="3" s="1"/>
  <c r="F280" i="3"/>
  <c r="C280" i="3"/>
  <c r="AD279" i="3"/>
  <c r="AC279" i="3"/>
  <c r="AA279" i="3"/>
  <c r="X279" i="3"/>
  <c r="W279" i="3"/>
  <c r="U279" i="3"/>
  <c r="R279" i="3"/>
  <c r="N279" i="3"/>
  <c r="O279" i="3" s="1"/>
  <c r="L279" i="3"/>
  <c r="I279" i="3"/>
  <c r="H279" i="3"/>
  <c r="F279" i="3"/>
  <c r="C279" i="3"/>
  <c r="AC278" i="3"/>
  <c r="AD278" i="3" s="1"/>
  <c r="AA278" i="3"/>
  <c r="X278" i="3"/>
  <c r="W278" i="3"/>
  <c r="U278" i="3"/>
  <c r="R278" i="3"/>
  <c r="O278" i="3"/>
  <c r="N278" i="3"/>
  <c r="L278" i="3"/>
  <c r="H278" i="3"/>
  <c r="I278" i="3" s="1"/>
  <c r="F278" i="3"/>
  <c r="C278" i="3"/>
  <c r="AC277" i="3"/>
  <c r="AD277" i="3" s="1"/>
  <c r="AA277" i="3"/>
  <c r="X277" i="3"/>
  <c r="W277" i="3"/>
  <c r="U277" i="3"/>
  <c r="R277" i="3"/>
  <c r="O277" i="3"/>
  <c r="N277" i="3"/>
  <c r="L277" i="3"/>
  <c r="H277" i="3"/>
  <c r="I277" i="3" s="1"/>
  <c r="F277" i="3"/>
  <c r="C277" i="3"/>
  <c r="AD276" i="3"/>
  <c r="AC276" i="3"/>
  <c r="AA276" i="3"/>
  <c r="X276" i="3"/>
  <c r="W276" i="3"/>
  <c r="U276" i="3"/>
  <c r="R276" i="3"/>
  <c r="O276" i="3"/>
  <c r="N276" i="3"/>
  <c r="L276" i="3"/>
  <c r="H276" i="3"/>
  <c r="I276" i="3" s="1"/>
  <c r="F276" i="3"/>
  <c r="C276" i="3"/>
  <c r="AC275" i="3"/>
  <c r="AD275" i="3" s="1"/>
  <c r="AA275" i="3"/>
  <c r="X275" i="3"/>
  <c r="W275" i="3"/>
  <c r="U275" i="3"/>
  <c r="R275" i="3"/>
  <c r="N275" i="3"/>
  <c r="O275" i="3" s="1"/>
  <c r="L275" i="3"/>
  <c r="I275" i="3"/>
  <c r="H275" i="3"/>
  <c r="F275" i="3"/>
  <c r="C275" i="3"/>
  <c r="Z273" i="3"/>
  <c r="AC273" i="3" s="1"/>
  <c r="AD273" i="3" s="1"/>
  <c r="T273" i="3"/>
  <c r="U273" i="3" s="1"/>
  <c r="Q273" i="3"/>
  <c r="L273" i="3"/>
  <c r="K273" i="3"/>
  <c r="E273" i="3"/>
  <c r="F273" i="3" s="1"/>
  <c r="B273" i="3"/>
  <c r="AD272" i="3"/>
  <c r="AC272" i="3"/>
  <c r="AA272" i="3"/>
  <c r="X272" i="3"/>
  <c r="W272" i="3"/>
  <c r="U272" i="3"/>
  <c r="R272" i="3"/>
  <c r="O272" i="3"/>
  <c r="N272" i="3"/>
  <c r="L272" i="3"/>
  <c r="H272" i="3"/>
  <c r="I272" i="3" s="1"/>
  <c r="F272" i="3"/>
  <c r="C272" i="3"/>
  <c r="AD271" i="3"/>
  <c r="AC271" i="3"/>
  <c r="AA271" i="3"/>
  <c r="X271" i="3"/>
  <c r="W271" i="3"/>
  <c r="U271" i="3"/>
  <c r="R271" i="3"/>
  <c r="N271" i="3"/>
  <c r="O271" i="3" s="1"/>
  <c r="L271" i="3"/>
  <c r="I271" i="3"/>
  <c r="H271" i="3"/>
  <c r="F271" i="3"/>
  <c r="C271" i="3"/>
  <c r="AC270" i="3"/>
  <c r="AD270" i="3" s="1"/>
  <c r="AA270" i="3"/>
  <c r="X270" i="3"/>
  <c r="W270" i="3"/>
  <c r="U270" i="3"/>
  <c r="R270" i="3"/>
  <c r="O270" i="3"/>
  <c r="N270" i="3"/>
  <c r="L270" i="3"/>
  <c r="H270" i="3"/>
  <c r="I270" i="3" s="1"/>
  <c r="F270" i="3"/>
  <c r="C270" i="3"/>
  <c r="AC269" i="3"/>
  <c r="AD269" i="3" s="1"/>
  <c r="AA269" i="3"/>
  <c r="W269" i="3"/>
  <c r="X269" i="3" s="1"/>
  <c r="U269" i="3"/>
  <c r="R269" i="3"/>
  <c r="O269" i="3"/>
  <c r="N269" i="3"/>
  <c r="L269" i="3"/>
  <c r="H269" i="3"/>
  <c r="I269" i="3" s="1"/>
  <c r="F269" i="3"/>
  <c r="C269" i="3"/>
  <c r="AD267" i="3"/>
  <c r="Z267" i="3"/>
  <c r="AA267" i="3" s="1"/>
  <c r="W267" i="3"/>
  <c r="X267" i="3" s="1"/>
  <c r="U267" i="3"/>
  <c r="T267" i="3"/>
  <c r="R267" i="3"/>
  <c r="Q267" i="3"/>
  <c r="AC267" i="3" s="1"/>
  <c r="K267" i="3"/>
  <c r="L267" i="3" s="1"/>
  <c r="H267" i="3"/>
  <c r="I267" i="3" s="1"/>
  <c r="F267" i="3"/>
  <c r="E267" i="3"/>
  <c r="B267" i="3"/>
  <c r="C267" i="3" s="1"/>
  <c r="AC266" i="3"/>
  <c r="AD266" i="3" s="1"/>
  <c r="AA266" i="3"/>
  <c r="W266" i="3"/>
  <c r="X266" i="3" s="1"/>
  <c r="U266" i="3"/>
  <c r="R266" i="3"/>
  <c r="O266" i="3"/>
  <c r="N266" i="3"/>
  <c r="L266" i="3"/>
  <c r="H266" i="3"/>
  <c r="I266" i="3" s="1"/>
  <c r="F266" i="3"/>
  <c r="C266" i="3"/>
  <c r="AC265" i="3"/>
  <c r="AD265" i="3" s="1"/>
  <c r="AA265" i="3"/>
  <c r="W265" i="3"/>
  <c r="X265" i="3" s="1"/>
  <c r="U265" i="3"/>
  <c r="R265" i="3"/>
  <c r="O265" i="3"/>
  <c r="N265" i="3"/>
  <c r="L265" i="3"/>
  <c r="H265" i="3"/>
  <c r="I265" i="3" s="1"/>
  <c r="F265" i="3"/>
  <c r="C265" i="3"/>
  <c r="Z263" i="3"/>
  <c r="AA263" i="3" s="1"/>
  <c r="T263" i="3"/>
  <c r="W263" i="3" s="1"/>
  <c r="X263" i="3" s="1"/>
  <c r="R263" i="3"/>
  <c r="Q263" i="3"/>
  <c r="AC263" i="3" s="1"/>
  <c r="AD263" i="3" s="1"/>
  <c r="K263" i="3"/>
  <c r="L263" i="3" s="1"/>
  <c r="H263" i="3"/>
  <c r="I263" i="3" s="1"/>
  <c r="F263" i="3"/>
  <c r="E263" i="3"/>
  <c r="B263" i="3"/>
  <c r="C263" i="3" s="1"/>
  <c r="Z262" i="3"/>
  <c r="AA262" i="3" s="1"/>
  <c r="T262" i="3"/>
  <c r="U262" i="3" s="1"/>
  <c r="Q262" i="3"/>
  <c r="AC262" i="3" s="1"/>
  <c r="AD262" i="3" s="1"/>
  <c r="N262" i="3"/>
  <c r="O262" i="3" s="1"/>
  <c r="L262" i="3"/>
  <c r="K262" i="3"/>
  <c r="E262" i="3"/>
  <c r="F262" i="3" s="1"/>
  <c r="B262" i="3"/>
  <c r="AD261" i="3"/>
  <c r="AC261" i="3"/>
  <c r="AA261" i="3"/>
  <c r="X261" i="3"/>
  <c r="W261" i="3"/>
  <c r="U261" i="3"/>
  <c r="R261" i="3"/>
  <c r="N261" i="3"/>
  <c r="O261" i="3" s="1"/>
  <c r="L261" i="3"/>
  <c r="H261" i="3"/>
  <c r="I261" i="3" s="1"/>
  <c r="F261" i="3"/>
  <c r="C261" i="3"/>
  <c r="AD260" i="3"/>
  <c r="AC260" i="3"/>
  <c r="AA260" i="3"/>
  <c r="X260" i="3"/>
  <c r="W260" i="3"/>
  <c r="U260" i="3"/>
  <c r="R260" i="3"/>
  <c r="N260" i="3"/>
  <c r="O260" i="3" s="1"/>
  <c r="L260" i="3"/>
  <c r="I260" i="3"/>
  <c r="H260" i="3"/>
  <c r="F260" i="3"/>
  <c r="C260" i="3"/>
  <c r="AC259" i="3"/>
  <c r="AD259" i="3" s="1"/>
  <c r="AA259" i="3"/>
  <c r="X259" i="3"/>
  <c r="W259" i="3"/>
  <c r="U259" i="3"/>
  <c r="R259" i="3"/>
  <c r="O259" i="3"/>
  <c r="N259" i="3"/>
  <c r="L259" i="3"/>
  <c r="H259" i="3"/>
  <c r="I259" i="3" s="1"/>
  <c r="F259" i="3"/>
  <c r="C259" i="3"/>
  <c r="AC258" i="3"/>
  <c r="AD258" i="3" s="1"/>
  <c r="AA258" i="3"/>
  <c r="X258" i="3"/>
  <c r="W258" i="3"/>
  <c r="U258" i="3"/>
  <c r="R258" i="3"/>
  <c r="O258" i="3"/>
  <c r="N258" i="3"/>
  <c r="L258" i="3"/>
  <c r="H258" i="3"/>
  <c r="I258" i="3" s="1"/>
  <c r="F258" i="3"/>
  <c r="C258" i="3"/>
  <c r="AD257" i="3"/>
  <c r="AC257" i="3"/>
  <c r="AA257" i="3"/>
  <c r="X257" i="3"/>
  <c r="W257" i="3"/>
  <c r="U257" i="3"/>
  <c r="R257" i="3"/>
  <c r="O257" i="3"/>
  <c r="N257" i="3"/>
  <c r="L257" i="3"/>
  <c r="H257" i="3"/>
  <c r="I257" i="3" s="1"/>
  <c r="F257" i="3"/>
  <c r="C257" i="3"/>
  <c r="AC256" i="3"/>
  <c r="AD256" i="3" s="1"/>
  <c r="AA256" i="3"/>
  <c r="X256" i="3"/>
  <c r="W256" i="3"/>
  <c r="U256" i="3"/>
  <c r="R256" i="3"/>
  <c r="N256" i="3"/>
  <c r="O256" i="3" s="1"/>
  <c r="L256" i="3"/>
  <c r="I256" i="3"/>
  <c r="H256" i="3"/>
  <c r="F256" i="3"/>
  <c r="C256" i="3"/>
  <c r="AC255" i="3"/>
  <c r="AD255" i="3" s="1"/>
  <c r="AA255" i="3"/>
  <c r="W255" i="3"/>
  <c r="X255" i="3" s="1"/>
  <c r="U255" i="3"/>
  <c r="R255" i="3"/>
  <c r="O255" i="3"/>
  <c r="N255" i="3"/>
  <c r="L255" i="3"/>
  <c r="H255" i="3"/>
  <c r="I255" i="3" s="1"/>
  <c r="F255" i="3"/>
  <c r="C255" i="3"/>
  <c r="AC254" i="3"/>
  <c r="AD254" i="3" s="1"/>
  <c r="AA254" i="3"/>
  <c r="W254" i="3"/>
  <c r="X254" i="3" s="1"/>
  <c r="U254" i="3"/>
  <c r="R254" i="3"/>
  <c r="O254" i="3"/>
  <c r="N254" i="3"/>
  <c r="L254" i="3"/>
  <c r="H254" i="3"/>
  <c r="I254" i="3" s="1"/>
  <c r="F254" i="3"/>
  <c r="C254" i="3"/>
  <c r="AD253" i="3"/>
  <c r="AC253" i="3"/>
  <c r="AA253" i="3"/>
  <c r="X253" i="3"/>
  <c r="W253" i="3"/>
  <c r="U253" i="3"/>
  <c r="R253" i="3"/>
  <c r="N253" i="3"/>
  <c r="O253" i="3" s="1"/>
  <c r="L253" i="3"/>
  <c r="H253" i="3"/>
  <c r="I253" i="3" s="1"/>
  <c r="F253" i="3"/>
  <c r="C253" i="3"/>
  <c r="AD252" i="3"/>
  <c r="AC252" i="3"/>
  <c r="AA252" i="3"/>
  <c r="X252" i="3"/>
  <c r="W252" i="3"/>
  <c r="U252" i="3"/>
  <c r="R252" i="3"/>
  <c r="N252" i="3"/>
  <c r="O252" i="3" s="1"/>
  <c r="L252" i="3"/>
  <c r="I252" i="3"/>
  <c r="H252" i="3"/>
  <c r="F252" i="3"/>
  <c r="C252" i="3"/>
  <c r="AC251" i="3"/>
  <c r="AD251" i="3" s="1"/>
  <c r="AA251" i="3"/>
  <c r="X251" i="3"/>
  <c r="W251" i="3"/>
  <c r="U251" i="3"/>
  <c r="R251" i="3"/>
  <c r="O251" i="3"/>
  <c r="N251" i="3"/>
  <c r="L251" i="3"/>
  <c r="H251" i="3"/>
  <c r="I251" i="3" s="1"/>
  <c r="F251" i="3"/>
  <c r="C251" i="3"/>
  <c r="AC250" i="3"/>
  <c r="AD250" i="3" s="1"/>
  <c r="AA250" i="3"/>
  <c r="X250" i="3"/>
  <c r="W250" i="3"/>
  <c r="U250" i="3"/>
  <c r="R250" i="3"/>
  <c r="O250" i="3"/>
  <c r="N250" i="3"/>
  <c r="L250" i="3"/>
  <c r="H250" i="3"/>
  <c r="I250" i="3" s="1"/>
  <c r="F250" i="3"/>
  <c r="C250" i="3"/>
  <c r="AD249" i="3"/>
  <c r="AC249" i="3"/>
  <c r="AA249" i="3"/>
  <c r="X249" i="3"/>
  <c r="W249" i="3"/>
  <c r="U249" i="3"/>
  <c r="R249" i="3"/>
  <c r="O249" i="3"/>
  <c r="N249" i="3"/>
  <c r="L249" i="3"/>
  <c r="H249" i="3"/>
  <c r="I249" i="3" s="1"/>
  <c r="F249" i="3"/>
  <c r="C249" i="3"/>
  <c r="AC248" i="3"/>
  <c r="AD248" i="3" s="1"/>
  <c r="AA248" i="3"/>
  <c r="X248" i="3"/>
  <c r="W248" i="3"/>
  <c r="U248" i="3"/>
  <c r="R248" i="3"/>
  <c r="N248" i="3"/>
  <c r="O248" i="3" s="1"/>
  <c r="L248" i="3"/>
  <c r="I248" i="3"/>
  <c r="H248" i="3"/>
  <c r="F248" i="3"/>
  <c r="C248" i="3"/>
  <c r="AC247" i="3"/>
  <c r="AD247" i="3" s="1"/>
  <c r="AA247" i="3"/>
  <c r="W247" i="3"/>
  <c r="X247" i="3" s="1"/>
  <c r="U247" i="3"/>
  <c r="R247" i="3"/>
  <c r="O247" i="3"/>
  <c r="N247" i="3"/>
  <c r="L247" i="3"/>
  <c r="H247" i="3"/>
  <c r="I247" i="3" s="1"/>
  <c r="F247" i="3"/>
  <c r="C247" i="3"/>
  <c r="AC246" i="3"/>
  <c r="AD246" i="3" s="1"/>
  <c r="AA246" i="3"/>
  <c r="W246" i="3"/>
  <c r="X246" i="3" s="1"/>
  <c r="U246" i="3"/>
  <c r="R246" i="3"/>
  <c r="O246" i="3"/>
  <c r="N246" i="3"/>
  <c r="L246" i="3"/>
  <c r="H246" i="3"/>
  <c r="I246" i="3" s="1"/>
  <c r="F246" i="3"/>
  <c r="C246" i="3"/>
  <c r="AD245" i="3"/>
  <c r="AC245" i="3"/>
  <c r="AA245" i="3"/>
  <c r="X245" i="3"/>
  <c r="W245" i="3"/>
  <c r="U245" i="3"/>
  <c r="R245" i="3"/>
  <c r="N245" i="3"/>
  <c r="O245" i="3" s="1"/>
  <c r="L245" i="3"/>
  <c r="H245" i="3"/>
  <c r="I245" i="3" s="1"/>
  <c r="F245" i="3"/>
  <c r="C245" i="3"/>
  <c r="AD244" i="3"/>
  <c r="AC244" i="3"/>
  <c r="AA244" i="3"/>
  <c r="X244" i="3"/>
  <c r="W244" i="3"/>
  <c r="U244" i="3"/>
  <c r="R244" i="3"/>
  <c r="N244" i="3"/>
  <c r="O244" i="3" s="1"/>
  <c r="L244" i="3"/>
  <c r="I244" i="3"/>
  <c r="H244" i="3"/>
  <c r="F244" i="3"/>
  <c r="C244" i="3"/>
  <c r="AC243" i="3"/>
  <c r="AD243" i="3" s="1"/>
  <c r="AA243" i="3"/>
  <c r="X243" i="3"/>
  <c r="W243" i="3"/>
  <c r="U243" i="3"/>
  <c r="R243" i="3"/>
  <c r="O243" i="3"/>
  <c r="N243" i="3"/>
  <c r="L243" i="3"/>
  <c r="H243" i="3"/>
  <c r="I243" i="3" s="1"/>
  <c r="F243" i="3"/>
  <c r="C243" i="3"/>
  <c r="AC242" i="3"/>
  <c r="AD242" i="3" s="1"/>
  <c r="AA242" i="3"/>
  <c r="X242" i="3"/>
  <c r="W242" i="3"/>
  <c r="U242" i="3"/>
  <c r="R242" i="3"/>
  <c r="O242" i="3"/>
  <c r="N242" i="3"/>
  <c r="L242" i="3"/>
  <c r="H242" i="3"/>
  <c r="I242" i="3" s="1"/>
  <c r="F242" i="3"/>
  <c r="C242" i="3"/>
  <c r="AD241" i="3"/>
  <c r="AC241" i="3"/>
  <c r="AA241" i="3"/>
  <c r="X241" i="3"/>
  <c r="W241" i="3"/>
  <c r="U241" i="3"/>
  <c r="R241" i="3"/>
  <c r="O241" i="3"/>
  <c r="N241" i="3"/>
  <c r="L241" i="3"/>
  <c r="H241" i="3"/>
  <c r="I241" i="3" s="1"/>
  <c r="F241" i="3"/>
  <c r="C241" i="3"/>
  <c r="AC240" i="3"/>
  <c r="AD240" i="3" s="1"/>
  <c r="AA240" i="3"/>
  <c r="X240" i="3"/>
  <c r="W240" i="3"/>
  <c r="U240" i="3"/>
  <c r="R240" i="3"/>
  <c r="N240" i="3"/>
  <c r="O240" i="3" s="1"/>
  <c r="L240" i="3"/>
  <c r="I240" i="3"/>
  <c r="H240" i="3"/>
  <c r="F240" i="3"/>
  <c r="C240" i="3"/>
  <c r="AC238" i="3"/>
  <c r="AD238" i="3" s="1"/>
  <c r="AA238" i="3"/>
  <c r="W238" i="3"/>
  <c r="X238" i="3" s="1"/>
  <c r="U238" i="3"/>
  <c r="R238" i="3"/>
  <c r="O238" i="3"/>
  <c r="N238" i="3"/>
  <c r="L238" i="3"/>
  <c r="H238" i="3"/>
  <c r="I238" i="3" s="1"/>
  <c r="F238" i="3"/>
  <c r="C238" i="3"/>
  <c r="Z236" i="3"/>
  <c r="AA236" i="3" s="1"/>
  <c r="X236" i="3"/>
  <c r="W236" i="3"/>
  <c r="U236" i="3"/>
  <c r="T236" i="3"/>
  <c r="Q236" i="3"/>
  <c r="R236" i="3" s="1"/>
  <c r="N236" i="3"/>
  <c r="O236" i="3" s="1"/>
  <c r="L236" i="3"/>
  <c r="K236" i="3"/>
  <c r="E236" i="3"/>
  <c r="F236" i="3" s="1"/>
  <c r="B236" i="3"/>
  <c r="AC235" i="3"/>
  <c r="AD235" i="3" s="1"/>
  <c r="AA235" i="3"/>
  <c r="X235" i="3"/>
  <c r="W235" i="3"/>
  <c r="U235" i="3"/>
  <c r="R235" i="3"/>
  <c r="N235" i="3"/>
  <c r="O235" i="3" s="1"/>
  <c r="L235" i="3"/>
  <c r="I235" i="3"/>
  <c r="H235" i="3"/>
  <c r="F235" i="3"/>
  <c r="C235" i="3"/>
  <c r="AC234" i="3"/>
  <c r="AD234" i="3" s="1"/>
  <c r="AA234" i="3"/>
  <c r="W234" i="3"/>
  <c r="X234" i="3" s="1"/>
  <c r="U234" i="3"/>
  <c r="R234" i="3"/>
  <c r="O234" i="3"/>
  <c r="N234" i="3"/>
  <c r="L234" i="3"/>
  <c r="H234" i="3"/>
  <c r="I234" i="3" s="1"/>
  <c r="F234" i="3"/>
  <c r="C234" i="3"/>
  <c r="AC233" i="3"/>
  <c r="AD233" i="3" s="1"/>
  <c r="AA233" i="3"/>
  <c r="X233" i="3"/>
  <c r="W233" i="3"/>
  <c r="U233" i="3"/>
  <c r="R233" i="3"/>
  <c r="O233" i="3"/>
  <c r="N233" i="3"/>
  <c r="L233" i="3"/>
  <c r="H233" i="3"/>
  <c r="I233" i="3" s="1"/>
  <c r="F233" i="3"/>
  <c r="C233" i="3"/>
  <c r="AD232" i="3"/>
  <c r="AC232" i="3"/>
  <c r="AA232" i="3"/>
  <c r="X232" i="3"/>
  <c r="W232" i="3"/>
  <c r="U232" i="3"/>
  <c r="R232" i="3"/>
  <c r="N232" i="3"/>
  <c r="O232" i="3" s="1"/>
  <c r="L232" i="3"/>
  <c r="H232" i="3"/>
  <c r="I232" i="3" s="1"/>
  <c r="F232" i="3"/>
  <c r="C232" i="3"/>
  <c r="AC231" i="3"/>
  <c r="AD231" i="3" s="1"/>
  <c r="AA231" i="3"/>
  <c r="X231" i="3"/>
  <c r="W231" i="3"/>
  <c r="U231" i="3"/>
  <c r="R231" i="3"/>
  <c r="O231" i="3"/>
  <c r="N231" i="3"/>
  <c r="L231" i="3"/>
  <c r="I231" i="3"/>
  <c r="H231" i="3"/>
  <c r="F231" i="3"/>
  <c r="C231" i="3"/>
  <c r="AC230" i="3"/>
  <c r="AD230" i="3" s="1"/>
  <c r="AA230" i="3"/>
  <c r="W230" i="3"/>
  <c r="X230" i="3" s="1"/>
  <c r="U230" i="3"/>
  <c r="R230" i="3"/>
  <c r="O230" i="3"/>
  <c r="N230" i="3"/>
  <c r="L230" i="3"/>
  <c r="I230" i="3"/>
  <c r="H230" i="3"/>
  <c r="F230" i="3"/>
  <c r="C230" i="3"/>
  <c r="AC229" i="3"/>
  <c r="AD229" i="3" s="1"/>
  <c r="AA229" i="3"/>
  <c r="W229" i="3"/>
  <c r="X229" i="3" s="1"/>
  <c r="U229" i="3"/>
  <c r="R229" i="3"/>
  <c r="O229" i="3"/>
  <c r="N229" i="3"/>
  <c r="L229" i="3"/>
  <c r="H229" i="3"/>
  <c r="I229" i="3" s="1"/>
  <c r="F229" i="3"/>
  <c r="C229" i="3"/>
  <c r="Z227" i="3"/>
  <c r="AA227" i="3" s="1"/>
  <c r="W227" i="3"/>
  <c r="X227" i="3" s="1"/>
  <c r="T227" i="3"/>
  <c r="U227" i="3" s="1"/>
  <c r="R227" i="3"/>
  <c r="Q227" i="3"/>
  <c r="AC227" i="3" s="1"/>
  <c r="AD227" i="3" s="1"/>
  <c r="K227" i="3"/>
  <c r="L227" i="3" s="1"/>
  <c r="I227" i="3"/>
  <c r="H227" i="3"/>
  <c r="F227" i="3"/>
  <c r="E227" i="3"/>
  <c r="B227" i="3"/>
  <c r="C227" i="3" s="1"/>
  <c r="AC226" i="3"/>
  <c r="AD226" i="3" s="1"/>
  <c r="AA226" i="3"/>
  <c r="X226" i="3"/>
  <c r="W226" i="3"/>
  <c r="U226" i="3"/>
  <c r="R226" i="3"/>
  <c r="O226" i="3"/>
  <c r="N226" i="3"/>
  <c r="L226" i="3"/>
  <c r="H226" i="3"/>
  <c r="I226" i="3" s="1"/>
  <c r="F226" i="3"/>
  <c r="C226" i="3"/>
  <c r="AC225" i="3"/>
  <c r="AD225" i="3" s="1"/>
  <c r="AA225" i="3"/>
  <c r="W225" i="3"/>
  <c r="X225" i="3" s="1"/>
  <c r="U225" i="3"/>
  <c r="R225" i="3"/>
  <c r="O225" i="3"/>
  <c r="N225" i="3"/>
  <c r="L225" i="3"/>
  <c r="H225" i="3"/>
  <c r="I225" i="3" s="1"/>
  <c r="F225" i="3"/>
  <c r="C225" i="3"/>
  <c r="AD224" i="3"/>
  <c r="AC224" i="3"/>
  <c r="AA224" i="3"/>
  <c r="X224" i="3"/>
  <c r="W224" i="3"/>
  <c r="U224" i="3"/>
  <c r="R224" i="3"/>
  <c r="O224" i="3"/>
  <c r="N224" i="3"/>
  <c r="L224" i="3"/>
  <c r="H224" i="3"/>
  <c r="I224" i="3" s="1"/>
  <c r="F224" i="3"/>
  <c r="C224" i="3"/>
  <c r="AC223" i="3"/>
  <c r="AD223" i="3" s="1"/>
  <c r="AA223" i="3"/>
  <c r="X223" i="3"/>
  <c r="W223" i="3"/>
  <c r="U223" i="3"/>
  <c r="R223" i="3"/>
  <c r="O223" i="3"/>
  <c r="N223" i="3"/>
  <c r="L223" i="3"/>
  <c r="I223" i="3"/>
  <c r="H223" i="3"/>
  <c r="F223" i="3"/>
  <c r="C223" i="3"/>
  <c r="AC222" i="3"/>
  <c r="AD222" i="3" s="1"/>
  <c r="AA222" i="3"/>
  <c r="W222" i="3"/>
  <c r="X222" i="3" s="1"/>
  <c r="U222" i="3"/>
  <c r="R222" i="3"/>
  <c r="O222" i="3"/>
  <c r="N222" i="3"/>
  <c r="L222" i="3"/>
  <c r="I222" i="3"/>
  <c r="H222" i="3"/>
  <c r="F222" i="3"/>
  <c r="C222" i="3"/>
  <c r="AC221" i="3"/>
  <c r="AD221" i="3" s="1"/>
  <c r="AA221" i="3"/>
  <c r="X221" i="3"/>
  <c r="W221" i="3"/>
  <c r="U221" i="3"/>
  <c r="R221" i="3"/>
  <c r="O221" i="3"/>
  <c r="N221" i="3"/>
  <c r="L221" i="3"/>
  <c r="H221" i="3"/>
  <c r="I221" i="3" s="1"/>
  <c r="F221" i="3"/>
  <c r="C221" i="3"/>
  <c r="AD220" i="3"/>
  <c r="AC220" i="3"/>
  <c r="AA220" i="3"/>
  <c r="X220" i="3"/>
  <c r="W220" i="3"/>
  <c r="U220" i="3"/>
  <c r="R220" i="3"/>
  <c r="N220" i="3"/>
  <c r="O220" i="3" s="1"/>
  <c r="L220" i="3"/>
  <c r="H220" i="3"/>
  <c r="I220" i="3" s="1"/>
  <c r="F220" i="3"/>
  <c r="C220" i="3"/>
  <c r="AD219" i="3"/>
  <c r="AC219" i="3"/>
  <c r="AA219" i="3"/>
  <c r="X219" i="3"/>
  <c r="W219" i="3"/>
  <c r="U219" i="3"/>
  <c r="R219" i="3"/>
  <c r="N219" i="3"/>
  <c r="O219" i="3" s="1"/>
  <c r="L219" i="3"/>
  <c r="I219" i="3"/>
  <c r="H219" i="3"/>
  <c r="F219" i="3"/>
  <c r="C219" i="3"/>
  <c r="Z218" i="3"/>
  <c r="AC218" i="3" s="1"/>
  <c r="AD218" i="3" s="1"/>
  <c r="T218" i="3"/>
  <c r="U218" i="3" s="1"/>
  <c r="Q218" i="3"/>
  <c r="N218" i="3"/>
  <c r="O218" i="3" s="1"/>
  <c r="L218" i="3"/>
  <c r="K218" i="3"/>
  <c r="E218" i="3"/>
  <c r="F218" i="3" s="1"/>
  <c r="C218" i="3"/>
  <c r="B218" i="3"/>
  <c r="AD217" i="3"/>
  <c r="AC217" i="3"/>
  <c r="AA217" i="3"/>
  <c r="X217" i="3"/>
  <c r="W217" i="3"/>
  <c r="U217" i="3"/>
  <c r="R217" i="3"/>
  <c r="N217" i="3"/>
  <c r="O217" i="3" s="1"/>
  <c r="L217" i="3"/>
  <c r="H217" i="3"/>
  <c r="I217" i="3" s="1"/>
  <c r="F217" i="3"/>
  <c r="C217" i="3"/>
  <c r="AD216" i="3"/>
  <c r="AC216" i="3"/>
  <c r="AA216" i="3"/>
  <c r="X216" i="3"/>
  <c r="W216" i="3"/>
  <c r="U216" i="3"/>
  <c r="R216" i="3"/>
  <c r="N216" i="3"/>
  <c r="O216" i="3" s="1"/>
  <c r="L216" i="3"/>
  <c r="I216" i="3"/>
  <c r="H216" i="3"/>
  <c r="F216" i="3"/>
  <c r="C216" i="3"/>
  <c r="AC215" i="3"/>
  <c r="AD215" i="3" s="1"/>
  <c r="AA215" i="3"/>
  <c r="X215" i="3"/>
  <c r="W215" i="3"/>
  <c r="U215" i="3"/>
  <c r="R215" i="3"/>
  <c r="O215" i="3"/>
  <c r="N215" i="3"/>
  <c r="L215" i="3"/>
  <c r="H215" i="3"/>
  <c r="I215" i="3" s="1"/>
  <c r="F215" i="3"/>
  <c r="C215" i="3"/>
  <c r="AC214" i="3"/>
  <c r="AD214" i="3" s="1"/>
  <c r="AA214" i="3"/>
  <c r="W214" i="3"/>
  <c r="X214" i="3" s="1"/>
  <c r="U214" i="3"/>
  <c r="R214" i="3"/>
  <c r="O214" i="3"/>
  <c r="N214" i="3"/>
  <c r="L214" i="3"/>
  <c r="H214" i="3"/>
  <c r="I214" i="3" s="1"/>
  <c r="F214" i="3"/>
  <c r="C214" i="3"/>
  <c r="AD213" i="3"/>
  <c r="AC213" i="3"/>
  <c r="AA213" i="3"/>
  <c r="X213" i="3"/>
  <c r="W213" i="3"/>
  <c r="U213" i="3"/>
  <c r="R213" i="3"/>
  <c r="N213" i="3"/>
  <c r="O213" i="3" s="1"/>
  <c r="L213" i="3"/>
  <c r="H213" i="3"/>
  <c r="I213" i="3" s="1"/>
  <c r="F213" i="3"/>
  <c r="C213" i="3"/>
  <c r="AC211" i="3"/>
  <c r="AD211" i="3" s="1"/>
  <c r="AA211" i="3"/>
  <c r="X211" i="3"/>
  <c r="W211" i="3"/>
  <c r="U211" i="3"/>
  <c r="R211" i="3"/>
  <c r="O211" i="3"/>
  <c r="N211" i="3"/>
  <c r="L211" i="3"/>
  <c r="I211" i="3"/>
  <c r="H211" i="3"/>
  <c r="F211" i="3"/>
  <c r="C211" i="3"/>
  <c r="AA209" i="3"/>
  <c r="Z209" i="3"/>
  <c r="T209" i="3"/>
  <c r="U209" i="3" s="1"/>
  <c r="Q209" i="3"/>
  <c r="AC209" i="3" s="1"/>
  <c r="AD209" i="3" s="1"/>
  <c r="L209" i="3"/>
  <c r="K209" i="3"/>
  <c r="E209" i="3"/>
  <c r="F209" i="3" s="1"/>
  <c r="B209" i="3"/>
  <c r="H209" i="3" s="1"/>
  <c r="I209" i="3" s="1"/>
  <c r="AD208" i="3"/>
  <c r="AC208" i="3"/>
  <c r="AA208" i="3"/>
  <c r="X208" i="3"/>
  <c r="W208" i="3"/>
  <c r="U208" i="3"/>
  <c r="R208" i="3"/>
  <c r="O208" i="3"/>
  <c r="N208" i="3"/>
  <c r="L208" i="3"/>
  <c r="H208" i="3"/>
  <c r="I208" i="3" s="1"/>
  <c r="F208" i="3"/>
  <c r="C208" i="3"/>
  <c r="AC207" i="3"/>
  <c r="AD207" i="3" s="1"/>
  <c r="AA207" i="3"/>
  <c r="X207" i="3"/>
  <c r="W207" i="3"/>
  <c r="U207" i="3"/>
  <c r="R207" i="3"/>
  <c r="O207" i="3"/>
  <c r="N207" i="3"/>
  <c r="L207" i="3"/>
  <c r="I207" i="3"/>
  <c r="H207" i="3"/>
  <c r="F207" i="3"/>
  <c r="C207" i="3"/>
  <c r="AC206" i="3"/>
  <c r="AD206" i="3" s="1"/>
  <c r="AA206" i="3"/>
  <c r="W206" i="3"/>
  <c r="X206" i="3" s="1"/>
  <c r="U206" i="3"/>
  <c r="R206" i="3"/>
  <c r="O206" i="3"/>
  <c r="N206" i="3"/>
  <c r="L206" i="3"/>
  <c r="I206" i="3"/>
  <c r="H206" i="3"/>
  <c r="F206" i="3"/>
  <c r="C206" i="3"/>
  <c r="AC205" i="3"/>
  <c r="AD205" i="3" s="1"/>
  <c r="AA205" i="3"/>
  <c r="X205" i="3"/>
  <c r="W205" i="3"/>
  <c r="U205" i="3"/>
  <c r="R205" i="3"/>
  <c r="O205" i="3"/>
  <c r="N205" i="3"/>
  <c r="L205" i="3"/>
  <c r="H205" i="3"/>
  <c r="I205" i="3" s="1"/>
  <c r="F205" i="3"/>
  <c r="C205" i="3"/>
  <c r="AD204" i="3"/>
  <c r="AC204" i="3"/>
  <c r="AA204" i="3"/>
  <c r="X204" i="3"/>
  <c r="W204" i="3"/>
  <c r="U204" i="3"/>
  <c r="R204" i="3"/>
  <c r="N204" i="3"/>
  <c r="O204" i="3" s="1"/>
  <c r="L204" i="3"/>
  <c r="H204" i="3"/>
  <c r="I204" i="3" s="1"/>
  <c r="F204" i="3"/>
  <c r="C204" i="3"/>
  <c r="AD203" i="3"/>
  <c r="AC203" i="3"/>
  <c r="AA203" i="3"/>
  <c r="X203" i="3"/>
  <c r="W203" i="3"/>
  <c r="U203" i="3"/>
  <c r="R203" i="3"/>
  <c r="N203" i="3"/>
  <c r="O203" i="3" s="1"/>
  <c r="L203" i="3"/>
  <c r="I203" i="3"/>
  <c r="H203" i="3"/>
  <c r="F203" i="3"/>
  <c r="C203" i="3"/>
  <c r="AC202" i="3"/>
  <c r="AD202" i="3" s="1"/>
  <c r="AA202" i="3"/>
  <c r="X202" i="3"/>
  <c r="W202" i="3"/>
  <c r="U202" i="3"/>
  <c r="R202" i="3"/>
  <c r="O202" i="3"/>
  <c r="N202" i="3"/>
  <c r="L202" i="3"/>
  <c r="H202" i="3"/>
  <c r="I202" i="3" s="1"/>
  <c r="F202" i="3"/>
  <c r="C202" i="3"/>
  <c r="AC201" i="3"/>
  <c r="AD201" i="3" s="1"/>
  <c r="AA201" i="3"/>
  <c r="W201" i="3"/>
  <c r="X201" i="3" s="1"/>
  <c r="U201" i="3"/>
  <c r="R201" i="3"/>
  <c r="O201" i="3"/>
  <c r="N201" i="3"/>
  <c r="L201" i="3"/>
  <c r="H201" i="3"/>
  <c r="I201" i="3" s="1"/>
  <c r="F201" i="3"/>
  <c r="C201" i="3"/>
  <c r="AC197" i="3"/>
  <c r="AD197" i="3" s="1"/>
  <c r="AA197" i="3"/>
  <c r="Z197" i="3"/>
  <c r="T197" i="3"/>
  <c r="U197" i="3" s="1"/>
  <c r="Q197" i="3"/>
  <c r="O197" i="3"/>
  <c r="N197" i="3"/>
  <c r="L197" i="3"/>
  <c r="K197" i="3"/>
  <c r="E197" i="3"/>
  <c r="F197" i="3" s="1"/>
  <c r="C197" i="3"/>
  <c r="B197" i="3"/>
  <c r="Z196" i="3"/>
  <c r="AA196" i="3" s="1"/>
  <c r="U196" i="3"/>
  <c r="T196" i="3"/>
  <c r="W196" i="3" s="1"/>
  <c r="X196" i="3" s="1"/>
  <c r="R196" i="3"/>
  <c r="Q196" i="3"/>
  <c r="AC196" i="3" s="1"/>
  <c r="AD196" i="3" s="1"/>
  <c r="K196" i="3"/>
  <c r="L196" i="3" s="1"/>
  <c r="H196" i="3"/>
  <c r="I196" i="3" s="1"/>
  <c r="F196" i="3"/>
  <c r="E196" i="3"/>
  <c r="B196" i="3"/>
  <c r="C196" i="3" s="1"/>
  <c r="AC195" i="3"/>
  <c r="AD195" i="3" s="1"/>
  <c r="AA195" i="3"/>
  <c r="W195" i="3"/>
  <c r="X195" i="3" s="1"/>
  <c r="U195" i="3"/>
  <c r="R195" i="3"/>
  <c r="O195" i="3"/>
  <c r="N195" i="3"/>
  <c r="L195" i="3"/>
  <c r="I195" i="3"/>
  <c r="H195" i="3"/>
  <c r="F195" i="3"/>
  <c r="C195" i="3"/>
  <c r="AC194" i="3"/>
  <c r="AD194" i="3" s="1"/>
  <c r="AA194" i="3"/>
  <c r="X194" i="3"/>
  <c r="W194" i="3"/>
  <c r="U194" i="3"/>
  <c r="R194" i="3"/>
  <c r="O194" i="3"/>
  <c r="N194" i="3"/>
  <c r="L194" i="3"/>
  <c r="H194" i="3"/>
  <c r="I194" i="3" s="1"/>
  <c r="F194" i="3"/>
  <c r="C194" i="3"/>
  <c r="Z193" i="3"/>
  <c r="AA193" i="3" s="1"/>
  <c r="T193" i="3"/>
  <c r="W193" i="3" s="1"/>
  <c r="X193" i="3" s="1"/>
  <c r="R193" i="3"/>
  <c r="Q193" i="3"/>
  <c r="AC193" i="3" s="1"/>
  <c r="AD193" i="3" s="1"/>
  <c r="K193" i="3"/>
  <c r="L193" i="3" s="1"/>
  <c r="I193" i="3"/>
  <c r="H193" i="3"/>
  <c r="F193" i="3"/>
  <c r="E193" i="3"/>
  <c r="B193" i="3"/>
  <c r="C193" i="3" s="1"/>
  <c r="AC192" i="3"/>
  <c r="AD192" i="3" s="1"/>
  <c r="AA192" i="3"/>
  <c r="W192" i="3"/>
  <c r="X192" i="3" s="1"/>
  <c r="U192" i="3"/>
  <c r="R192" i="3"/>
  <c r="O192" i="3"/>
  <c r="N192" i="3"/>
  <c r="L192" i="3"/>
  <c r="I192" i="3"/>
  <c r="H192" i="3"/>
  <c r="F192" i="3"/>
  <c r="C192" i="3"/>
  <c r="AC191" i="3"/>
  <c r="AD191" i="3" s="1"/>
  <c r="AA191" i="3"/>
  <c r="W191" i="3"/>
  <c r="X191" i="3" s="1"/>
  <c r="U191" i="3"/>
  <c r="R191" i="3"/>
  <c r="O191" i="3"/>
  <c r="N191" i="3"/>
  <c r="L191" i="3"/>
  <c r="H191" i="3"/>
  <c r="I191" i="3" s="1"/>
  <c r="F191" i="3"/>
  <c r="C191" i="3"/>
  <c r="AD190" i="3"/>
  <c r="AC190" i="3"/>
  <c r="AA190" i="3"/>
  <c r="X190" i="3"/>
  <c r="W190" i="3"/>
  <c r="U190" i="3"/>
  <c r="R190" i="3"/>
  <c r="O190" i="3"/>
  <c r="N190" i="3"/>
  <c r="L190" i="3"/>
  <c r="H190" i="3"/>
  <c r="I190" i="3" s="1"/>
  <c r="F190" i="3"/>
  <c r="C190" i="3"/>
  <c r="AC189" i="3"/>
  <c r="AD189" i="3" s="1"/>
  <c r="AA189" i="3"/>
  <c r="X189" i="3"/>
  <c r="W189" i="3"/>
  <c r="U189" i="3"/>
  <c r="R189" i="3"/>
  <c r="N189" i="3"/>
  <c r="O189" i="3" s="1"/>
  <c r="L189" i="3"/>
  <c r="I189" i="3"/>
  <c r="H189" i="3"/>
  <c r="F189" i="3"/>
  <c r="C189" i="3"/>
  <c r="AC188" i="3"/>
  <c r="AD188" i="3" s="1"/>
  <c r="AA188" i="3"/>
  <c r="W188" i="3"/>
  <c r="X188" i="3" s="1"/>
  <c r="U188" i="3"/>
  <c r="R188" i="3"/>
  <c r="O188" i="3"/>
  <c r="N188" i="3"/>
  <c r="L188" i="3"/>
  <c r="H188" i="3"/>
  <c r="I188" i="3" s="1"/>
  <c r="F188" i="3"/>
  <c r="C188" i="3"/>
  <c r="AC187" i="3"/>
  <c r="AD187" i="3" s="1"/>
  <c r="AA187" i="3"/>
  <c r="X187" i="3"/>
  <c r="W187" i="3"/>
  <c r="U187" i="3"/>
  <c r="R187" i="3"/>
  <c r="O187" i="3"/>
  <c r="N187" i="3"/>
  <c r="L187" i="3"/>
  <c r="H187" i="3"/>
  <c r="I187" i="3" s="1"/>
  <c r="F187" i="3"/>
  <c r="C187" i="3"/>
  <c r="AD186" i="3"/>
  <c r="AC186" i="3"/>
  <c r="AA186" i="3"/>
  <c r="X186" i="3"/>
  <c r="W186" i="3"/>
  <c r="U186" i="3"/>
  <c r="R186" i="3"/>
  <c r="N186" i="3"/>
  <c r="O186" i="3" s="1"/>
  <c r="L186" i="3"/>
  <c r="H186" i="3"/>
  <c r="I186" i="3" s="1"/>
  <c r="F186" i="3"/>
  <c r="C186" i="3"/>
  <c r="AC184" i="3"/>
  <c r="AD184" i="3" s="1"/>
  <c r="AA184" i="3"/>
  <c r="X184" i="3"/>
  <c r="W184" i="3"/>
  <c r="U184" i="3"/>
  <c r="R184" i="3"/>
  <c r="O184" i="3"/>
  <c r="N184" i="3"/>
  <c r="L184" i="3"/>
  <c r="I184" i="3"/>
  <c r="H184" i="3"/>
  <c r="F184" i="3"/>
  <c r="C184" i="3"/>
  <c r="AC183" i="3"/>
  <c r="AD183" i="3" s="1"/>
  <c r="AA183" i="3"/>
  <c r="W183" i="3"/>
  <c r="X183" i="3" s="1"/>
  <c r="U183" i="3"/>
  <c r="R183" i="3"/>
  <c r="O183" i="3"/>
  <c r="N183" i="3"/>
  <c r="L183" i="3"/>
  <c r="I183" i="3"/>
  <c r="H183" i="3"/>
  <c r="F183" i="3"/>
  <c r="C183" i="3"/>
  <c r="Z182" i="3"/>
  <c r="AA182" i="3" s="1"/>
  <c r="W182" i="3"/>
  <c r="X182" i="3" s="1"/>
  <c r="U182" i="3"/>
  <c r="T182" i="3"/>
  <c r="Q182" i="3"/>
  <c r="R182" i="3" s="1"/>
  <c r="K182" i="3"/>
  <c r="L182" i="3" s="1"/>
  <c r="E182" i="3"/>
  <c r="F182" i="3" s="1"/>
  <c r="B182" i="3"/>
  <c r="AD181" i="3"/>
  <c r="AC181" i="3"/>
  <c r="AA181" i="3"/>
  <c r="X181" i="3"/>
  <c r="W181" i="3"/>
  <c r="U181" i="3"/>
  <c r="R181" i="3"/>
  <c r="O181" i="3"/>
  <c r="N181" i="3"/>
  <c r="L181" i="3"/>
  <c r="I181" i="3"/>
  <c r="H181" i="3"/>
  <c r="F181" i="3"/>
  <c r="C181" i="3"/>
  <c r="AC180" i="3"/>
  <c r="AD180" i="3" s="1"/>
  <c r="AA180" i="3"/>
  <c r="X180" i="3"/>
  <c r="W180" i="3"/>
  <c r="U180" i="3"/>
  <c r="R180" i="3"/>
  <c r="O180" i="3"/>
  <c r="N180" i="3"/>
  <c r="L180" i="3"/>
  <c r="I180" i="3"/>
  <c r="H180" i="3"/>
  <c r="F180" i="3"/>
  <c r="C180" i="3"/>
  <c r="AC179" i="3"/>
  <c r="AD179" i="3" s="1"/>
  <c r="AA179" i="3"/>
  <c r="W179" i="3"/>
  <c r="X179" i="3" s="1"/>
  <c r="U179" i="3"/>
  <c r="R179" i="3"/>
  <c r="O179" i="3"/>
  <c r="N179" i="3"/>
  <c r="L179" i="3"/>
  <c r="H179" i="3"/>
  <c r="I179" i="3" s="1"/>
  <c r="F179" i="3"/>
  <c r="C179" i="3"/>
  <c r="AD178" i="3"/>
  <c r="AC178" i="3"/>
  <c r="AA178" i="3"/>
  <c r="X178" i="3"/>
  <c r="W178" i="3"/>
  <c r="U178" i="3"/>
  <c r="R178" i="3"/>
  <c r="N178" i="3"/>
  <c r="O178" i="3" s="1"/>
  <c r="L178" i="3"/>
  <c r="H178" i="3"/>
  <c r="I178" i="3" s="1"/>
  <c r="F178" i="3"/>
  <c r="C178" i="3"/>
  <c r="AC177" i="3"/>
  <c r="AD177" i="3" s="1"/>
  <c r="AA177" i="3"/>
  <c r="X177" i="3"/>
  <c r="W177" i="3"/>
  <c r="U177" i="3"/>
  <c r="R177" i="3"/>
  <c r="N177" i="3"/>
  <c r="O177" i="3" s="1"/>
  <c r="L177" i="3"/>
  <c r="I177" i="3"/>
  <c r="H177" i="3"/>
  <c r="F177" i="3"/>
  <c r="C177" i="3"/>
  <c r="AC175" i="3"/>
  <c r="AD175" i="3" s="1"/>
  <c r="AA175" i="3"/>
  <c r="W175" i="3"/>
  <c r="X175" i="3" s="1"/>
  <c r="U175" i="3"/>
  <c r="R175" i="3"/>
  <c r="O175" i="3"/>
  <c r="N175" i="3"/>
  <c r="L175" i="3"/>
  <c r="H175" i="3"/>
  <c r="I175" i="3" s="1"/>
  <c r="F175" i="3"/>
  <c r="C175" i="3"/>
  <c r="B172" i="3"/>
  <c r="AA171" i="3"/>
  <c r="Z171" i="3"/>
  <c r="T171" i="3"/>
  <c r="U171" i="3" s="1"/>
  <c r="Q171" i="3"/>
  <c r="W171" i="3" s="1"/>
  <c r="X171" i="3" s="1"/>
  <c r="O171" i="3"/>
  <c r="K171" i="3"/>
  <c r="L171" i="3" s="1"/>
  <c r="H171" i="3"/>
  <c r="I171" i="3" s="1"/>
  <c r="F171" i="3"/>
  <c r="E171" i="3"/>
  <c r="C171" i="3"/>
  <c r="B171" i="3"/>
  <c r="N171" i="3" s="1"/>
  <c r="Z170" i="3"/>
  <c r="AA170" i="3" s="1"/>
  <c r="X170" i="3"/>
  <c r="W170" i="3"/>
  <c r="U170" i="3"/>
  <c r="T170" i="3"/>
  <c r="Q170" i="3"/>
  <c r="R170" i="3" s="1"/>
  <c r="K170" i="3"/>
  <c r="N170" i="3" s="1"/>
  <c r="O170" i="3" s="1"/>
  <c r="E170" i="3"/>
  <c r="F170" i="3" s="1"/>
  <c r="B170" i="3"/>
  <c r="AD169" i="3"/>
  <c r="AC169" i="3"/>
  <c r="AA169" i="3"/>
  <c r="X169" i="3"/>
  <c r="W169" i="3"/>
  <c r="U169" i="3"/>
  <c r="R169" i="3"/>
  <c r="N169" i="3"/>
  <c r="O169" i="3" s="1"/>
  <c r="L169" i="3"/>
  <c r="I169" i="3"/>
  <c r="H169" i="3"/>
  <c r="F169" i="3"/>
  <c r="C169" i="3"/>
  <c r="AC168" i="3"/>
  <c r="AD168" i="3" s="1"/>
  <c r="AA168" i="3"/>
  <c r="X168" i="3"/>
  <c r="W168" i="3"/>
  <c r="U168" i="3"/>
  <c r="R168" i="3"/>
  <c r="O168" i="3"/>
  <c r="N168" i="3"/>
  <c r="L168" i="3"/>
  <c r="H168" i="3"/>
  <c r="I168" i="3" s="1"/>
  <c r="F168" i="3"/>
  <c r="C168" i="3"/>
  <c r="AC167" i="3"/>
  <c r="AD167" i="3" s="1"/>
  <c r="AA167" i="3"/>
  <c r="W167" i="3"/>
  <c r="X167" i="3" s="1"/>
  <c r="U167" i="3"/>
  <c r="R167" i="3"/>
  <c r="O167" i="3"/>
  <c r="N167" i="3"/>
  <c r="L167" i="3"/>
  <c r="H167" i="3"/>
  <c r="I167" i="3" s="1"/>
  <c r="F167" i="3"/>
  <c r="C167" i="3"/>
  <c r="Z166" i="3"/>
  <c r="AA166" i="3" s="1"/>
  <c r="T166" i="3"/>
  <c r="W166" i="3" s="1"/>
  <c r="X166" i="3" s="1"/>
  <c r="R166" i="3"/>
  <c r="Q166" i="3"/>
  <c r="AC166" i="3" s="1"/>
  <c r="AD166" i="3" s="1"/>
  <c r="K166" i="3"/>
  <c r="L166" i="3" s="1"/>
  <c r="H166" i="3"/>
  <c r="I166" i="3" s="1"/>
  <c r="F166" i="3"/>
  <c r="E166" i="3"/>
  <c r="B166" i="3"/>
  <c r="C166" i="3" s="1"/>
  <c r="AC165" i="3"/>
  <c r="AD165" i="3" s="1"/>
  <c r="AA165" i="3"/>
  <c r="X165" i="3"/>
  <c r="W165" i="3"/>
  <c r="U165" i="3"/>
  <c r="R165" i="3"/>
  <c r="O165" i="3"/>
  <c r="N165" i="3"/>
  <c r="L165" i="3"/>
  <c r="H165" i="3"/>
  <c r="I165" i="3" s="1"/>
  <c r="F165" i="3"/>
  <c r="C165" i="3"/>
  <c r="AC164" i="3"/>
  <c r="AD164" i="3" s="1"/>
  <c r="AA164" i="3"/>
  <c r="W164" i="3"/>
  <c r="X164" i="3" s="1"/>
  <c r="U164" i="3"/>
  <c r="R164" i="3"/>
  <c r="O164" i="3"/>
  <c r="N164" i="3"/>
  <c r="L164" i="3"/>
  <c r="H164" i="3"/>
  <c r="I164" i="3" s="1"/>
  <c r="F164" i="3"/>
  <c r="C164" i="3"/>
  <c r="AD163" i="3"/>
  <c r="AC163" i="3"/>
  <c r="AA163" i="3"/>
  <c r="X163" i="3"/>
  <c r="W163" i="3"/>
  <c r="U163" i="3"/>
  <c r="R163" i="3"/>
  <c r="O163" i="3"/>
  <c r="N163" i="3"/>
  <c r="L163" i="3"/>
  <c r="H163" i="3"/>
  <c r="I163" i="3" s="1"/>
  <c r="F163" i="3"/>
  <c r="C163" i="3"/>
  <c r="AC162" i="3"/>
  <c r="AD162" i="3" s="1"/>
  <c r="AA162" i="3"/>
  <c r="X162" i="3"/>
  <c r="W162" i="3"/>
  <c r="U162" i="3"/>
  <c r="R162" i="3"/>
  <c r="N162" i="3"/>
  <c r="O162" i="3" s="1"/>
  <c r="L162" i="3"/>
  <c r="I162" i="3"/>
  <c r="H162" i="3"/>
  <c r="F162" i="3"/>
  <c r="C162" i="3"/>
  <c r="AC161" i="3"/>
  <c r="AD161" i="3" s="1"/>
  <c r="AA161" i="3"/>
  <c r="W161" i="3"/>
  <c r="X161" i="3" s="1"/>
  <c r="U161" i="3"/>
  <c r="R161" i="3"/>
  <c r="O161" i="3"/>
  <c r="N161" i="3"/>
  <c r="L161" i="3"/>
  <c r="H161" i="3"/>
  <c r="I161" i="3" s="1"/>
  <c r="F161" i="3"/>
  <c r="C161" i="3"/>
  <c r="AC160" i="3"/>
  <c r="AD160" i="3" s="1"/>
  <c r="AA160" i="3"/>
  <c r="W160" i="3"/>
  <c r="X160" i="3" s="1"/>
  <c r="U160" i="3"/>
  <c r="R160" i="3"/>
  <c r="O160" i="3"/>
  <c r="N160" i="3"/>
  <c r="L160" i="3"/>
  <c r="H160" i="3"/>
  <c r="I160" i="3" s="1"/>
  <c r="F160" i="3"/>
  <c r="C160" i="3"/>
  <c r="Z158" i="3"/>
  <c r="AA158" i="3" s="1"/>
  <c r="U158" i="3"/>
  <c r="T158" i="3"/>
  <c r="W158" i="3" s="1"/>
  <c r="X158" i="3" s="1"/>
  <c r="R158" i="3"/>
  <c r="Q158" i="3"/>
  <c r="AC158" i="3" s="1"/>
  <c r="AD158" i="3" s="1"/>
  <c r="K158" i="3"/>
  <c r="L158" i="3" s="1"/>
  <c r="H158" i="3"/>
  <c r="I158" i="3" s="1"/>
  <c r="F158" i="3"/>
  <c r="E158" i="3"/>
  <c r="B158" i="3"/>
  <c r="C158" i="3" s="1"/>
  <c r="AC157" i="3"/>
  <c r="AD157" i="3" s="1"/>
  <c r="AA157" i="3"/>
  <c r="X157" i="3"/>
  <c r="W157" i="3"/>
  <c r="U157" i="3"/>
  <c r="R157" i="3"/>
  <c r="O157" i="3"/>
  <c r="N157" i="3"/>
  <c r="L157" i="3"/>
  <c r="H157" i="3"/>
  <c r="I157" i="3" s="1"/>
  <c r="F157" i="3"/>
  <c r="C157" i="3"/>
  <c r="AC156" i="3"/>
  <c r="AD156" i="3" s="1"/>
  <c r="AA156" i="3"/>
  <c r="W156" i="3"/>
  <c r="X156" i="3" s="1"/>
  <c r="U156" i="3"/>
  <c r="R156" i="3"/>
  <c r="O156" i="3"/>
  <c r="N156" i="3"/>
  <c r="L156" i="3"/>
  <c r="H156" i="3"/>
  <c r="I156" i="3" s="1"/>
  <c r="F156" i="3"/>
  <c r="C156" i="3"/>
  <c r="AD155" i="3"/>
  <c r="AC155" i="3"/>
  <c r="AA155" i="3"/>
  <c r="X155" i="3"/>
  <c r="W155" i="3"/>
  <c r="U155" i="3"/>
  <c r="R155" i="3"/>
  <c r="O155" i="3"/>
  <c r="N155" i="3"/>
  <c r="L155" i="3"/>
  <c r="H155" i="3"/>
  <c r="I155" i="3" s="1"/>
  <c r="F155" i="3"/>
  <c r="C155" i="3"/>
  <c r="AC154" i="3"/>
  <c r="AD154" i="3" s="1"/>
  <c r="AA154" i="3"/>
  <c r="X154" i="3"/>
  <c r="W154" i="3"/>
  <c r="U154" i="3"/>
  <c r="R154" i="3"/>
  <c r="N154" i="3"/>
  <c r="O154" i="3" s="1"/>
  <c r="L154" i="3"/>
  <c r="I154" i="3"/>
  <c r="H154" i="3"/>
  <c r="F154" i="3"/>
  <c r="C154" i="3"/>
  <c r="AC153" i="3"/>
  <c r="AD153" i="3" s="1"/>
  <c r="AA153" i="3"/>
  <c r="W153" i="3"/>
  <c r="X153" i="3" s="1"/>
  <c r="U153" i="3"/>
  <c r="R153" i="3"/>
  <c r="O153" i="3"/>
  <c r="N153" i="3"/>
  <c r="L153" i="3"/>
  <c r="H153" i="3"/>
  <c r="I153" i="3" s="1"/>
  <c r="F153" i="3"/>
  <c r="C153" i="3"/>
  <c r="AC151" i="3"/>
  <c r="AD151" i="3" s="1"/>
  <c r="AA151" i="3"/>
  <c r="W151" i="3"/>
  <c r="X151" i="3" s="1"/>
  <c r="U151" i="3"/>
  <c r="R151" i="3"/>
  <c r="O151" i="3"/>
  <c r="N151" i="3"/>
  <c r="L151" i="3"/>
  <c r="H151" i="3"/>
  <c r="I151" i="3" s="1"/>
  <c r="F151" i="3"/>
  <c r="C151" i="3"/>
  <c r="Z149" i="3"/>
  <c r="AA149" i="3" s="1"/>
  <c r="W149" i="3"/>
  <c r="X149" i="3" s="1"/>
  <c r="T149" i="3"/>
  <c r="U149" i="3" s="1"/>
  <c r="Q149" i="3"/>
  <c r="R149" i="3" s="1"/>
  <c r="K149" i="3"/>
  <c r="L149" i="3" s="1"/>
  <c r="I149" i="3"/>
  <c r="H149" i="3"/>
  <c r="E149" i="3"/>
  <c r="F149" i="3" s="1"/>
  <c r="B149" i="3"/>
  <c r="C149" i="3" s="1"/>
  <c r="Z148" i="3"/>
  <c r="AA148" i="3" s="1"/>
  <c r="X148" i="3"/>
  <c r="W148" i="3"/>
  <c r="T148" i="3"/>
  <c r="U148" i="3" s="1"/>
  <c r="Q148" i="3"/>
  <c r="R148" i="3" s="1"/>
  <c r="K148" i="3"/>
  <c r="L148" i="3" s="1"/>
  <c r="H148" i="3"/>
  <c r="I148" i="3" s="1"/>
  <c r="E148" i="3"/>
  <c r="F148" i="3" s="1"/>
  <c r="B148" i="3"/>
  <c r="N148" i="3" s="1"/>
  <c r="O148" i="3" s="1"/>
  <c r="AC147" i="3"/>
  <c r="AD147" i="3" s="1"/>
  <c r="AA147" i="3"/>
  <c r="X147" i="3"/>
  <c r="W147" i="3"/>
  <c r="U147" i="3"/>
  <c r="R147" i="3"/>
  <c r="O147" i="3"/>
  <c r="N147" i="3"/>
  <c r="L147" i="3"/>
  <c r="H147" i="3"/>
  <c r="I147" i="3" s="1"/>
  <c r="F147" i="3"/>
  <c r="C147" i="3"/>
  <c r="AD146" i="3"/>
  <c r="AC146" i="3"/>
  <c r="AA146" i="3"/>
  <c r="X146" i="3"/>
  <c r="W146" i="3"/>
  <c r="U146" i="3"/>
  <c r="R146" i="3"/>
  <c r="O146" i="3"/>
  <c r="N146" i="3"/>
  <c r="L146" i="3"/>
  <c r="I146" i="3"/>
  <c r="H146" i="3"/>
  <c r="F146" i="3"/>
  <c r="C146" i="3"/>
  <c r="AC145" i="3"/>
  <c r="AD145" i="3" s="1"/>
  <c r="AA145" i="3"/>
  <c r="X145" i="3"/>
  <c r="W145" i="3"/>
  <c r="U145" i="3"/>
  <c r="R145" i="3"/>
  <c r="O145" i="3"/>
  <c r="N145" i="3"/>
  <c r="L145" i="3"/>
  <c r="I145" i="3"/>
  <c r="H145" i="3"/>
  <c r="F145" i="3"/>
  <c r="C145" i="3"/>
  <c r="AC144" i="3"/>
  <c r="AD144" i="3" s="1"/>
  <c r="AA144" i="3"/>
  <c r="W144" i="3"/>
  <c r="X144" i="3" s="1"/>
  <c r="U144" i="3"/>
  <c r="R144" i="3"/>
  <c r="O144" i="3"/>
  <c r="N144" i="3"/>
  <c r="L144" i="3"/>
  <c r="H144" i="3"/>
  <c r="I144" i="3" s="1"/>
  <c r="F144" i="3"/>
  <c r="C144" i="3"/>
  <c r="AD143" i="3"/>
  <c r="AC143" i="3"/>
  <c r="AA143" i="3"/>
  <c r="X143" i="3"/>
  <c r="W143" i="3"/>
  <c r="U143" i="3"/>
  <c r="R143" i="3"/>
  <c r="N143" i="3"/>
  <c r="O143" i="3" s="1"/>
  <c r="L143" i="3"/>
  <c r="H143" i="3"/>
  <c r="I143" i="3" s="1"/>
  <c r="F143" i="3"/>
  <c r="C143" i="3"/>
  <c r="Z141" i="3"/>
  <c r="AC141" i="3" s="1"/>
  <c r="AD141" i="3" s="1"/>
  <c r="W141" i="3"/>
  <c r="X141" i="3" s="1"/>
  <c r="T141" i="3"/>
  <c r="U141" i="3" s="1"/>
  <c r="R141" i="3"/>
  <c r="Q141" i="3"/>
  <c r="K141" i="3"/>
  <c r="L141" i="3" s="1"/>
  <c r="H141" i="3"/>
  <c r="I141" i="3" s="1"/>
  <c r="F141" i="3"/>
  <c r="E141" i="3"/>
  <c r="C141" i="3"/>
  <c r="B141" i="3"/>
  <c r="AC140" i="3"/>
  <c r="AD140" i="3" s="1"/>
  <c r="AA140" i="3"/>
  <c r="W140" i="3"/>
  <c r="X140" i="3" s="1"/>
  <c r="U140" i="3"/>
  <c r="R140" i="3"/>
  <c r="O140" i="3"/>
  <c r="N140" i="3"/>
  <c r="L140" i="3"/>
  <c r="H140" i="3"/>
  <c r="I140" i="3" s="1"/>
  <c r="F140" i="3"/>
  <c r="C140" i="3"/>
  <c r="AD139" i="3"/>
  <c r="AC139" i="3"/>
  <c r="AA139" i="3"/>
  <c r="X139" i="3"/>
  <c r="W139" i="3"/>
  <c r="U139" i="3"/>
  <c r="R139" i="3"/>
  <c r="O139" i="3"/>
  <c r="N139" i="3"/>
  <c r="L139" i="3"/>
  <c r="H139" i="3"/>
  <c r="I139" i="3" s="1"/>
  <c r="F139" i="3"/>
  <c r="C139" i="3"/>
  <c r="AC138" i="3"/>
  <c r="AD138" i="3" s="1"/>
  <c r="AA138" i="3"/>
  <c r="X138" i="3"/>
  <c r="W138" i="3"/>
  <c r="U138" i="3"/>
  <c r="R138" i="3"/>
  <c r="N138" i="3"/>
  <c r="O138" i="3" s="1"/>
  <c r="L138" i="3"/>
  <c r="I138" i="3"/>
  <c r="H138" i="3"/>
  <c r="F138" i="3"/>
  <c r="C138" i="3"/>
  <c r="AC137" i="3"/>
  <c r="AD137" i="3" s="1"/>
  <c r="AA137" i="3"/>
  <c r="W137" i="3"/>
  <c r="X137" i="3" s="1"/>
  <c r="U137" i="3"/>
  <c r="R137" i="3"/>
  <c r="O137" i="3"/>
  <c r="N137" i="3"/>
  <c r="L137" i="3"/>
  <c r="H137" i="3"/>
  <c r="I137" i="3" s="1"/>
  <c r="F137" i="3"/>
  <c r="C137" i="3"/>
  <c r="AC136" i="3"/>
  <c r="AD136" i="3" s="1"/>
  <c r="AA136" i="3"/>
  <c r="X136" i="3"/>
  <c r="W136" i="3"/>
  <c r="U136" i="3"/>
  <c r="R136" i="3"/>
  <c r="O136" i="3"/>
  <c r="N136" i="3"/>
  <c r="L136" i="3"/>
  <c r="H136" i="3"/>
  <c r="I136" i="3" s="1"/>
  <c r="F136" i="3"/>
  <c r="C136" i="3"/>
  <c r="AC135" i="3"/>
  <c r="AD135" i="3" s="1"/>
  <c r="AA135" i="3"/>
  <c r="X135" i="3"/>
  <c r="W135" i="3"/>
  <c r="U135" i="3"/>
  <c r="R135" i="3"/>
  <c r="N135" i="3"/>
  <c r="O135" i="3" s="1"/>
  <c r="L135" i="3"/>
  <c r="H135" i="3"/>
  <c r="I135" i="3" s="1"/>
  <c r="F135" i="3"/>
  <c r="C135" i="3"/>
  <c r="AC134" i="3"/>
  <c r="AD134" i="3" s="1"/>
  <c r="AA134" i="3"/>
  <c r="X134" i="3"/>
  <c r="W134" i="3"/>
  <c r="U134" i="3"/>
  <c r="R134" i="3"/>
  <c r="O134" i="3"/>
  <c r="N134" i="3"/>
  <c r="L134" i="3"/>
  <c r="H134" i="3"/>
  <c r="I134" i="3" s="1"/>
  <c r="F134" i="3"/>
  <c r="C134" i="3"/>
  <c r="AC133" i="3"/>
  <c r="AD133" i="3" s="1"/>
  <c r="AA133" i="3"/>
  <c r="W133" i="3"/>
  <c r="X133" i="3" s="1"/>
  <c r="U133" i="3"/>
  <c r="R133" i="3"/>
  <c r="O133" i="3"/>
  <c r="N133" i="3"/>
  <c r="L133" i="3"/>
  <c r="I133" i="3"/>
  <c r="H133" i="3"/>
  <c r="F133" i="3"/>
  <c r="C133" i="3"/>
  <c r="AC132" i="3"/>
  <c r="AD132" i="3" s="1"/>
  <c r="AA132" i="3"/>
  <c r="W132" i="3"/>
  <c r="X132" i="3" s="1"/>
  <c r="U132" i="3"/>
  <c r="R132" i="3"/>
  <c r="O132" i="3"/>
  <c r="N132" i="3"/>
  <c r="L132" i="3"/>
  <c r="H132" i="3"/>
  <c r="I132" i="3" s="1"/>
  <c r="F132" i="3"/>
  <c r="C132" i="3"/>
  <c r="AD131" i="3"/>
  <c r="AC131" i="3"/>
  <c r="AA131" i="3"/>
  <c r="X131" i="3"/>
  <c r="W131" i="3"/>
  <c r="U131" i="3"/>
  <c r="R131" i="3"/>
  <c r="O131" i="3"/>
  <c r="N131" i="3"/>
  <c r="L131" i="3"/>
  <c r="H131" i="3"/>
  <c r="I131" i="3" s="1"/>
  <c r="F131" i="3"/>
  <c r="C131" i="3"/>
  <c r="AC130" i="3"/>
  <c r="AD130" i="3" s="1"/>
  <c r="AA130" i="3"/>
  <c r="X130" i="3"/>
  <c r="W130" i="3"/>
  <c r="U130" i="3"/>
  <c r="R130" i="3"/>
  <c r="N130" i="3"/>
  <c r="O130" i="3" s="1"/>
  <c r="L130" i="3"/>
  <c r="I130" i="3"/>
  <c r="H130" i="3"/>
  <c r="F130" i="3"/>
  <c r="C130" i="3"/>
  <c r="AC129" i="3"/>
  <c r="AD129" i="3" s="1"/>
  <c r="AA129" i="3"/>
  <c r="W129" i="3"/>
  <c r="X129" i="3" s="1"/>
  <c r="U129" i="3"/>
  <c r="R129" i="3"/>
  <c r="O129" i="3"/>
  <c r="N129" i="3"/>
  <c r="L129" i="3"/>
  <c r="H129" i="3"/>
  <c r="I129" i="3" s="1"/>
  <c r="F129" i="3"/>
  <c r="C129" i="3"/>
  <c r="AC127" i="3"/>
  <c r="AD127" i="3" s="1"/>
  <c r="AA127" i="3"/>
  <c r="X127" i="3"/>
  <c r="W127" i="3"/>
  <c r="U127" i="3"/>
  <c r="R127" i="3"/>
  <c r="O127" i="3"/>
  <c r="N127" i="3"/>
  <c r="L127" i="3"/>
  <c r="H127" i="3"/>
  <c r="I127" i="3" s="1"/>
  <c r="F127" i="3"/>
  <c r="C127" i="3"/>
  <c r="Z124" i="3"/>
  <c r="AA124" i="3" s="1"/>
  <c r="W124" i="3"/>
  <c r="X124" i="3" s="1"/>
  <c r="U124" i="3"/>
  <c r="T124" i="3"/>
  <c r="T172" i="3" s="1"/>
  <c r="U172" i="3" s="1"/>
  <c r="R124" i="3"/>
  <c r="Q124" i="3"/>
  <c r="K124" i="3"/>
  <c r="L124" i="3" s="1"/>
  <c r="I124" i="3"/>
  <c r="H124" i="3"/>
  <c r="F124" i="3"/>
  <c r="E124" i="3"/>
  <c r="E172" i="3" s="1"/>
  <c r="B124" i="3"/>
  <c r="C124" i="3" s="1"/>
  <c r="AC123" i="3"/>
  <c r="AD123" i="3" s="1"/>
  <c r="AA123" i="3"/>
  <c r="W123" i="3"/>
  <c r="X123" i="3" s="1"/>
  <c r="U123" i="3"/>
  <c r="R123" i="3"/>
  <c r="O123" i="3"/>
  <c r="N123" i="3"/>
  <c r="L123" i="3"/>
  <c r="H123" i="3"/>
  <c r="I123" i="3" s="1"/>
  <c r="F123" i="3"/>
  <c r="C123" i="3"/>
  <c r="Z122" i="3"/>
  <c r="AA122" i="3" s="1"/>
  <c r="T122" i="3"/>
  <c r="U122" i="3" s="1"/>
  <c r="Q122" i="3"/>
  <c r="R122" i="3" s="1"/>
  <c r="L122" i="3"/>
  <c r="K122" i="3"/>
  <c r="E122" i="3"/>
  <c r="F122" i="3" s="1"/>
  <c r="B122" i="3"/>
  <c r="C122" i="3" s="1"/>
  <c r="AD121" i="3"/>
  <c r="AC121" i="3"/>
  <c r="AA121" i="3"/>
  <c r="X121" i="3"/>
  <c r="W121" i="3"/>
  <c r="U121" i="3"/>
  <c r="R121" i="3"/>
  <c r="O121" i="3"/>
  <c r="N121" i="3"/>
  <c r="L121" i="3"/>
  <c r="I121" i="3"/>
  <c r="H121" i="3"/>
  <c r="F121" i="3"/>
  <c r="C121" i="3"/>
  <c r="AC120" i="3"/>
  <c r="AD120" i="3" s="1"/>
  <c r="AA120" i="3"/>
  <c r="X120" i="3"/>
  <c r="W120" i="3"/>
  <c r="U120" i="3"/>
  <c r="R120" i="3"/>
  <c r="O120" i="3"/>
  <c r="N120" i="3"/>
  <c r="L120" i="3"/>
  <c r="I120" i="3"/>
  <c r="H120" i="3"/>
  <c r="F120" i="3"/>
  <c r="C120" i="3"/>
  <c r="AC119" i="3"/>
  <c r="AD119" i="3" s="1"/>
  <c r="AA119" i="3"/>
  <c r="W119" i="3"/>
  <c r="X119" i="3" s="1"/>
  <c r="U119" i="3"/>
  <c r="R119" i="3"/>
  <c r="O119" i="3"/>
  <c r="N119" i="3"/>
  <c r="L119" i="3"/>
  <c r="H119" i="3"/>
  <c r="I119" i="3" s="1"/>
  <c r="F119" i="3"/>
  <c r="C119" i="3"/>
  <c r="AD118" i="3"/>
  <c r="AC118" i="3"/>
  <c r="Z118" i="3"/>
  <c r="AA118" i="3" s="1"/>
  <c r="W118" i="3"/>
  <c r="X118" i="3" s="1"/>
  <c r="T118" i="3"/>
  <c r="U118" i="3" s="1"/>
  <c r="Q118" i="3"/>
  <c r="R118" i="3" s="1"/>
  <c r="K118" i="3"/>
  <c r="L118" i="3" s="1"/>
  <c r="I118" i="3"/>
  <c r="H118" i="3"/>
  <c r="E118" i="3"/>
  <c r="F118" i="3" s="1"/>
  <c r="B118" i="3"/>
  <c r="C118" i="3" s="1"/>
  <c r="AC117" i="3"/>
  <c r="AD117" i="3" s="1"/>
  <c r="AA117" i="3"/>
  <c r="X117" i="3"/>
  <c r="W117" i="3"/>
  <c r="U117" i="3"/>
  <c r="R117" i="3"/>
  <c r="O117" i="3"/>
  <c r="N117" i="3"/>
  <c r="L117" i="3"/>
  <c r="H117" i="3"/>
  <c r="I117" i="3" s="1"/>
  <c r="F117" i="3"/>
  <c r="C117" i="3"/>
  <c r="AC116" i="3"/>
  <c r="AD116" i="3" s="1"/>
  <c r="AA116" i="3"/>
  <c r="W116" i="3"/>
  <c r="X116" i="3" s="1"/>
  <c r="U116" i="3"/>
  <c r="R116" i="3"/>
  <c r="O116" i="3"/>
  <c r="N116" i="3"/>
  <c r="L116" i="3"/>
  <c r="H116" i="3"/>
  <c r="I116" i="3" s="1"/>
  <c r="F116" i="3"/>
  <c r="C116" i="3"/>
  <c r="AC115" i="3"/>
  <c r="AD115" i="3" s="1"/>
  <c r="AA115" i="3"/>
  <c r="X115" i="3"/>
  <c r="W115" i="3"/>
  <c r="U115" i="3"/>
  <c r="R115" i="3"/>
  <c r="N115" i="3"/>
  <c r="O115" i="3" s="1"/>
  <c r="L115" i="3"/>
  <c r="H115" i="3"/>
  <c r="I115" i="3" s="1"/>
  <c r="F115" i="3"/>
  <c r="C115" i="3"/>
  <c r="AD114" i="3"/>
  <c r="AC114" i="3"/>
  <c r="AA114" i="3"/>
  <c r="X114" i="3"/>
  <c r="W114" i="3"/>
  <c r="U114" i="3"/>
  <c r="R114" i="3"/>
  <c r="N114" i="3"/>
  <c r="O114" i="3" s="1"/>
  <c r="L114" i="3"/>
  <c r="H114" i="3"/>
  <c r="I114" i="3" s="1"/>
  <c r="F114" i="3"/>
  <c r="C114" i="3"/>
  <c r="AC113" i="3"/>
  <c r="AD113" i="3" s="1"/>
  <c r="AA113" i="3"/>
  <c r="X113" i="3"/>
  <c r="W113" i="3"/>
  <c r="U113" i="3"/>
  <c r="R113" i="3"/>
  <c r="O113" i="3"/>
  <c r="N113" i="3"/>
  <c r="L113" i="3"/>
  <c r="H113" i="3"/>
  <c r="I113" i="3" s="1"/>
  <c r="F113" i="3"/>
  <c r="C113" i="3"/>
  <c r="AC112" i="3"/>
  <c r="AD112" i="3" s="1"/>
  <c r="AA112" i="3"/>
  <c r="X112" i="3"/>
  <c r="W112" i="3"/>
  <c r="U112" i="3"/>
  <c r="R112" i="3"/>
  <c r="O112" i="3"/>
  <c r="N112" i="3"/>
  <c r="L112" i="3"/>
  <c r="H112" i="3"/>
  <c r="I112" i="3" s="1"/>
  <c r="F112" i="3"/>
  <c r="C112" i="3"/>
  <c r="AC111" i="3"/>
  <c r="AD111" i="3" s="1"/>
  <c r="AA111" i="3"/>
  <c r="X111" i="3"/>
  <c r="W111" i="3"/>
  <c r="U111" i="3"/>
  <c r="R111" i="3"/>
  <c r="O111" i="3"/>
  <c r="N111" i="3"/>
  <c r="L111" i="3"/>
  <c r="H111" i="3"/>
  <c r="I111" i="3" s="1"/>
  <c r="F111" i="3"/>
  <c r="C111" i="3"/>
  <c r="AD110" i="3"/>
  <c r="AC110" i="3"/>
  <c r="AA110" i="3"/>
  <c r="X110" i="3"/>
  <c r="W110" i="3"/>
  <c r="U110" i="3"/>
  <c r="R110" i="3"/>
  <c r="N110" i="3"/>
  <c r="O110" i="3" s="1"/>
  <c r="L110" i="3"/>
  <c r="I110" i="3"/>
  <c r="H110" i="3"/>
  <c r="F110" i="3"/>
  <c r="C110" i="3"/>
  <c r="AC109" i="3"/>
  <c r="AD109" i="3" s="1"/>
  <c r="AA109" i="3"/>
  <c r="X109" i="3"/>
  <c r="W109" i="3"/>
  <c r="U109" i="3"/>
  <c r="R109" i="3"/>
  <c r="O109" i="3"/>
  <c r="N109" i="3"/>
  <c r="L109" i="3"/>
  <c r="H109" i="3"/>
  <c r="I109" i="3" s="1"/>
  <c r="F109" i="3"/>
  <c r="C109" i="3"/>
  <c r="AC108" i="3"/>
  <c r="AD108" i="3" s="1"/>
  <c r="AA108" i="3"/>
  <c r="W108" i="3"/>
  <c r="X108" i="3" s="1"/>
  <c r="U108" i="3"/>
  <c r="R108" i="3"/>
  <c r="O108" i="3"/>
  <c r="N108" i="3"/>
  <c r="L108" i="3"/>
  <c r="H108" i="3"/>
  <c r="I108" i="3" s="1"/>
  <c r="F108" i="3"/>
  <c r="C108" i="3"/>
  <c r="AC107" i="3"/>
  <c r="AD107" i="3" s="1"/>
  <c r="AA107" i="3"/>
  <c r="X107" i="3"/>
  <c r="W107" i="3"/>
  <c r="U107" i="3"/>
  <c r="R107" i="3"/>
  <c r="N107" i="3"/>
  <c r="O107" i="3" s="1"/>
  <c r="L107" i="3"/>
  <c r="H107" i="3"/>
  <c r="I107" i="3" s="1"/>
  <c r="F107" i="3"/>
  <c r="C107" i="3"/>
  <c r="AD106" i="3"/>
  <c r="AC106" i="3"/>
  <c r="AA106" i="3"/>
  <c r="X106" i="3"/>
  <c r="W106" i="3"/>
  <c r="U106" i="3"/>
  <c r="R106" i="3"/>
  <c r="N106" i="3"/>
  <c r="O106" i="3" s="1"/>
  <c r="L106" i="3"/>
  <c r="H106" i="3"/>
  <c r="I106" i="3" s="1"/>
  <c r="F106" i="3"/>
  <c r="C106" i="3"/>
  <c r="AC105" i="3"/>
  <c r="AD105" i="3" s="1"/>
  <c r="AA105" i="3"/>
  <c r="X105" i="3"/>
  <c r="W105" i="3"/>
  <c r="U105" i="3"/>
  <c r="R105" i="3"/>
  <c r="O105" i="3"/>
  <c r="N105" i="3"/>
  <c r="L105" i="3"/>
  <c r="H105" i="3"/>
  <c r="I105" i="3" s="1"/>
  <c r="F105" i="3"/>
  <c r="C105" i="3"/>
  <c r="AC104" i="3"/>
  <c r="AD104" i="3" s="1"/>
  <c r="AA104" i="3"/>
  <c r="X104" i="3"/>
  <c r="W104" i="3"/>
  <c r="U104" i="3"/>
  <c r="R104" i="3"/>
  <c r="O104" i="3"/>
  <c r="N104" i="3"/>
  <c r="L104" i="3"/>
  <c r="H104" i="3"/>
  <c r="I104" i="3" s="1"/>
  <c r="F104" i="3"/>
  <c r="C104" i="3"/>
  <c r="AC103" i="3"/>
  <c r="AD103" i="3" s="1"/>
  <c r="AA103" i="3"/>
  <c r="X103" i="3"/>
  <c r="W103" i="3"/>
  <c r="U103" i="3"/>
  <c r="R103" i="3"/>
  <c r="O103" i="3"/>
  <c r="N103" i="3"/>
  <c r="L103" i="3"/>
  <c r="H103" i="3"/>
  <c r="I103" i="3" s="1"/>
  <c r="F103" i="3"/>
  <c r="C103" i="3"/>
  <c r="AD102" i="3"/>
  <c r="AC102" i="3"/>
  <c r="AA102" i="3"/>
  <c r="X102" i="3"/>
  <c r="W102" i="3"/>
  <c r="U102" i="3"/>
  <c r="R102" i="3"/>
  <c r="N102" i="3"/>
  <c r="O102" i="3" s="1"/>
  <c r="L102" i="3"/>
  <c r="I102" i="3"/>
  <c r="H102" i="3"/>
  <c r="F102" i="3"/>
  <c r="C102" i="3"/>
  <c r="AC101" i="3"/>
  <c r="AD101" i="3" s="1"/>
  <c r="AA101" i="3"/>
  <c r="X101" i="3"/>
  <c r="W101" i="3"/>
  <c r="U101" i="3"/>
  <c r="R101" i="3"/>
  <c r="O101" i="3"/>
  <c r="N101" i="3"/>
  <c r="L101" i="3"/>
  <c r="H101" i="3"/>
  <c r="I101" i="3" s="1"/>
  <c r="F101" i="3"/>
  <c r="C101" i="3"/>
  <c r="AC100" i="3"/>
  <c r="AD100" i="3" s="1"/>
  <c r="AA100" i="3"/>
  <c r="W100" i="3"/>
  <c r="X100" i="3" s="1"/>
  <c r="U100" i="3"/>
  <c r="R100" i="3"/>
  <c r="O100" i="3"/>
  <c r="N100" i="3"/>
  <c r="L100" i="3"/>
  <c r="H100" i="3"/>
  <c r="I100" i="3" s="1"/>
  <c r="F100" i="3"/>
  <c r="C100" i="3"/>
  <c r="AC99" i="3"/>
  <c r="AD99" i="3" s="1"/>
  <c r="AA99" i="3"/>
  <c r="X99" i="3"/>
  <c r="W99" i="3"/>
  <c r="U99" i="3"/>
  <c r="R99" i="3"/>
  <c r="N99" i="3"/>
  <c r="O99" i="3" s="1"/>
  <c r="L99" i="3"/>
  <c r="H99" i="3"/>
  <c r="I99" i="3" s="1"/>
  <c r="F99" i="3"/>
  <c r="C99" i="3"/>
  <c r="AD98" i="3"/>
  <c r="AC98" i="3"/>
  <c r="AA98" i="3"/>
  <c r="X98" i="3"/>
  <c r="W98" i="3"/>
  <c r="U98" i="3"/>
  <c r="R98" i="3"/>
  <c r="N98" i="3"/>
  <c r="O98" i="3" s="1"/>
  <c r="L98" i="3"/>
  <c r="H98" i="3"/>
  <c r="I98" i="3" s="1"/>
  <c r="F98" i="3"/>
  <c r="C98" i="3"/>
  <c r="AC97" i="3"/>
  <c r="AD97" i="3" s="1"/>
  <c r="AA97" i="3"/>
  <c r="X97" i="3"/>
  <c r="W97" i="3"/>
  <c r="U97" i="3"/>
  <c r="R97" i="3"/>
  <c r="O97" i="3"/>
  <c r="N97" i="3"/>
  <c r="L97" i="3"/>
  <c r="H97" i="3"/>
  <c r="I97" i="3" s="1"/>
  <c r="F97" i="3"/>
  <c r="C97" i="3"/>
  <c r="AC96" i="3"/>
  <c r="AD96" i="3" s="1"/>
  <c r="AA96" i="3"/>
  <c r="X96" i="3"/>
  <c r="W96" i="3"/>
  <c r="U96" i="3"/>
  <c r="R96" i="3"/>
  <c r="O96" i="3"/>
  <c r="N96" i="3"/>
  <c r="L96" i="3"/>
  <c r="H96" i="3"/>
  <c r="I96" i="3" s="1"/>
  <c r="F96" i="3"/>
  <c r="C96" i="3"/>
  <c r="AC95" i="3"/>
  <c r="AD95" i="3" s="1"/>
  <c r="AA95" i="3"/>
  <c r="X95" i="3"/>
  <c r="W95" i="3"/>
  <c r="U95" i="3"/>
  <c r="R95" i="3"/>
  <c r="O95" i="3"/>
  <c r="N95" i="3"/>
  <c r="L95" i="3"/>
  <c r="H95" i="3"/>
  <c r="I95" i="3" s="1"/>
  <c r="F95" i="3"/>
  <c r="C95" i="3"/>
  <c r="AC94" i="3"/>
  <c r="AD94" i="3" s="1"/>
  <c r="AA94" i="3"/>
  <c r="X94" i="3"/>
  <c r="W94" i="3"/>
  <c r="U94" i="3"/>
  <c r="R94" i="3"/>
  <c r="N94" i="3"/>
  <c r="O94" i="3" s="1"/>
  <c r="L94" i="3"/>
  <c r="I94" i="3"/>
  <c r="H94" i="3"/>
  <c r="F94" i="3"/>
  <c r="C94" i="3"/>
  <c r="AC92" i="3"/>
  <c r="AD92" i="3" s="1"/>
  <c r="AA92" i="3"/>
  <c r="X92" i="3"/>
  <c r="W92" i="3"/>
  <c r="U92" i="3"/>
  <c r="R92" i="3"/>
  <c r="O92" i="3"/>
  <c r="N92" i="3"/>
  <c r="L92" i="3"/>
  <c r="H92" i="3"/>
  <c r="I92" i="3" s="1"/>
  <c r="F92" i="3"/>
  <c r="C92" i="3"/>
  <c r="AC91" i="3"/>
  <c r="AD91" i="3" s="1"/>
  <c r="AA91" i="3"/>
  <c r="W91" i="3"/>
  <c r="X91" i="3" s="1"/>
  <c r="U91" i="3"/>
  <c r="R91" i="3"/>
  <c r="O91" i="3"/>
  <c r="N91" i="3"/>
  <c r="L91" i="3"/>
  <c r="H91" i="3"/>
  <c r="I91" i="3" s="1"/>
  <c r="F91" i="3"/>
  <c r="C91" i="3"/>
  <c r="AC90" i="3"/>
  <c r="AD90" i="3" s="1"/>
  <c r="AA90" i="3"/>
  <c r="X90" i="3"/>
  <c r="W90" i="3"/>
  <c r="U90" i="3"/>
  <c r="R90" i="3"/>
  <c r="N90" i="3"/>
  <c r="O90" i="3" s="1"/>
  <c r="L90" i="3"/>
  <c r="H90" i="3"/>
  <c r="I90" i="3" s="1"/>
  <c r="F90" i="3"/>
  <c r="C90" i="3"/>
  <c r="AD89" i="3"/>
  <c r="AC89" i="3"/>
  <c r="AA89" i="3"/>
  <c r="X89" i="3"/>
  <c r="W89" i="3"/>
  <c r="U89" i="3"/>
  <c r="R89" i="3"/>
  <c r="N89" i="3"/>
  <c r="O89" i="3" s="1"/>
  <c r="L89" i="3"/>
  <c r="H89" i="3"/>
  <c r="I89" i="3" s="1"/>
  <c r="F89" i="3"/>
  <c r="C89" i="3"/>
  <c r="Z88" i="3"/>
  <c r="AA88" i="3" s="1"/>
  <c r="T88" i="3"/>
  <c r="U88" i="3" s="1"/>
  <c r="Q88" i="3"/>
  <c r="K88" i="3"/>
  <c r="L88" i="3" s="1"/>
  <c r="E88" i="3"/>
  <c r="F88" i="3" s="1"/>
  <c r="B88" i="3"/>
  <c r="H88" i="3" s="1"/>
  <c r="I88" i="3" s="1"/>
  <c r="AD87" i="3"/>
  <c r="AC87" i="3"/>
  <c r="AA87" i="3"/>
  <c r="X87" i="3"/>
  <c r="W87" i="3"/>
  <c r="U87" i="3"/>
  <c r="R87" i="3"/>
  <c r="N87" i="3"/>
  <c r="O87" i="3" s="1"/>
  <c r="L87" i="3"/>
  <c r="H87" i="3"/>
  <c r="I87" i="3" s="1"/>
  <c r="F87" i="3"/>
  <c r="C87" i="3"/>
  <c r="AC86" i="3"/>
  <c r="AD86" i="3" s="1"/>
  <c r="AA86" i="3"/>
  <c r="X86" i="3"/>
  <c r="W86" i="3"/>
  <c r="U86" i="3"/>
  <c r="R86" i="3"/>
  <c r="N86" i="3"/>
  <c r="O86" i="3" s="1"/>
  <c r="L86" i="3"/>
  <c r="I86" i="3"/>
  <c r="H86" i="3"/>
  <c r="F86" i="3"/>
  <c r="C86" i="3"/>
  <c r="AC85" i="3"/>
  <c r="AD85" i="3" s="1"/>
  <c r="AA85" i="3"/>
  <c r="W85" i="3"/>
  <c r="X85" i="3" s="1"/>
  <c r="U85" i="3"/>
  <c r="R85" i="3"/>
  <c r="O85" i="3"/>
  <c r="N85" i="3"/>
  <c r="L85" i="3"/>
  <c r="H85" i="3"/>
  <c r="I85" i="3" s="1"/>
  <c r="F85" i="3"/>
  <c r="C85" i="3"/>
  <c r="AC84" i="3"/>
  <c r="AD84" i="3" s="1"/>
  <c r="AA84" i="3"/>
  <c r="W84" i="3"/>
  <c r="X84" i="3" s="1"/>
  <c r="U84" i="3"/>
  <c r="R84" i="3"/>
  <c r="O84" i="3"/>
  <c r="N84" i="3"/>
  <c r="L84" i="3"/>
  <c r="H84" i="3"/>
  <c r="I84" i="3" s="1"/>
  <c r="F84" i="3"/>
  <c r="C84" i="3"/>
  <c r="AC83" i="3"/>
  <c r="AD83" i="3" s="1"/>
  <c r="AA83" i="3"/>
  <c r="X83" i="3"/>
  <c r="W83" i="3"/>
  <c r="U83" i="3"/>
  <c r="R83" i="3"/>
  <c r="O83" i="3"/>
  <c r="N83" i="3"/>
  <c r="L83" i="3"/>
  <c r="H83" i="3"/>
  <c r="I83" i="3" s="1"/>
  <c r="F83" i="3"/>
  <c r="C83" i="3"/>
  <c r="AD82" i="3"/>
  <c r="AC82" i="3"/>
  <c r="AA82" i="3"/>
  <c r="X82" i="3"/>
  <c r="W82" i="3"/>
  <c r="U82" i="3"/>
  <c r="R82" i="3"/>
  <c r="N82" i="3"/>
  <c r="O82" i="3" s="1"/>
  <c r="L82" i="3"/>
  <c r="I82" i="3"/>
  <c r="H82" i="3"/>
  <c r="F82" i="3"/>
  <c r="C82" i="3"/>
  <c r="AC81" i="3"/>
  <c r="AD81" i="3" s="1"/>
  <c r="AA81" i="3"/>
  <c r="X81" i="3"/>
  <c r="W81" i="3"/>
  <c r="U81" i="3"/>
  <c r="R81" i="3"/>
  <c r="O81" i="3"/>
  <c r="N81" i="3"/>
  <c r="L81" i="3"/>
  <c r="H81" i="3"/>
  <c r="I81" i="3" s="1"/>
  <c r="F81" i="3"/>
  <c r="C81" i="3"/>
  <c r="AC80" i="3"/>
  <c r="AD80" i="3" s="1"/>
  <c r="AA80" i="3"/>
  <c r="X80" i="3"/>
  <c r="W80" i="3"/>
  <c r="U80" i="3"/>
  <c r="R80" i="3"/>
  <c r="O80" i="3"/>
  <c r="N80" i="3"/>
  <c r="L80" i="3"/>
  <c r="H80" i="3"/>
  <c r="I80" i="3" s="1"/>
  <c r="F80" i="3"/>
  <c r="C80" i="3"/>
  <c r="AC79" i="3"/>
  <c r="AD79" i="3" s="1"/>
  <c r="AA79" i="3"/>
  <c r="X79" i="3"/>
  <c r="W79" i="3"/>
  <c r="U79" i="3"/>
  <c r="R79" i="3"/>
  <c r="O79" i="3"/>
  <c r="N79" i="3"/>
  <c r="L79" i="3"/>
  <c r="H79" i="3"/>
  <c r="I79" i="3" s="1"/>
  <c r="F79" i="3"/>
  <c r="C79" i="3"/>
  <c r="AC78" i="3"/>
  <c r="AD78" i="3" s="1"/>
  <c r="AA78" i="3"/>
  <c r="X78" i="3"/>
  <c r="W78" i="3"/>
  <c r="U78" i="3"/>
  <c r="R78" i="3"/>
  <c r="N78" i="3"/>
  <c r="O78" i="3" s="1"/>
  <c r="L78" i="3"/>
  <c r="H78" i="3"/>
  <c r="I78" i="3" s="1"/>
  <c r="F78" i="3"/>
  <c r="C78" i="3"/>
  <c r="AC77" i="3"/>
  <c r="AD77" i="3" s="1"/>
  <c r="AA77" i="3"/>
  <c r="W77" i="3"/>
  <c r="X77" i="3" s="1"/>
  <c r="U77" i="3"/>
  <c r="R77" i="3"/>
  <c r="O77" i="3"/>
  <c r="N77" i="3"/>
  <c r="L77" i="3"/>
  <c r="H77" i="3"/>
  <c r="I77" i="3" s="1"/>
  <c r="F77" i="3"/>
  <c r="C77" i="3"/>
  <c r="AC76" i="3"/>
  <c r="AD76" i="3" s="1"/>
  <c r="AA76" i="3"/>
  <c r="W76" i="3"/>
  <c r="X76" i="3" s="1"/>
  <c r="U76" i="3"/>
  <c r="R76" i="3"/>
  <c r="O76" i="3"/>
  <c r="N76" i="3"/>
  <c r="L76" i="3"/>
  <c r="H76" i="3"/>
  <c r="I76" i="3" s="1"/>
  <c r="F76" i="3"/>
  <c r="C76" i="3"/>
  <c r="AC75" i="3"/>
  <c r="AD75" i="3" s="1"/>
  <c r="AA75" i="3"/>
  <c r="X75" i="3"/>
  <c r="W75" i="3"/>
  <c r="U75" i="3"/>
  <c r="R75" i="3"/>
  <c r="O75" i="3"/>
  <c r="N75" i="3"/>
  <c r="L75" i="3"/>
  <c r="H75" i="3"/>
  <c r="I75" i="3" s="1"/>
  <c r="F75" i="3"/>
  <c r="C75" i="3"/>
  <c r="AA73" i="3"/>
  <c r="Z73" i="3"/>
  <c r="T73" i="3"/>
  <c r="U73" i="3" s="1"/>
  <c r="R73" i="3"/>
  <c r="Q73" i="3"/>
  <c r="K73" i="3"/>
  <c r="L73" i="3" s="1"/>
  <c r="E73" i="3"/>
  <c r="F73" i="3" s="1"/>
  <c r="B73" i="3"/>
  <c r="AC72" i="3"/>
  <c r="AD72" i="3" s="1"/>
  <c r="AA72" i="3"/>
  <c r="X72" i="3"/>
  <c r="W72" i="3"/>
  <c r="U72" i="3"/>
  <c r="R72" i="3"/>
  <c r="O72" i="3"/>
  <c r="N72" i="3"/>
  <c r="L72" i="3"/>
  <c r="H72" i="3"/>
  <c r="I72" i="3" s="1"/>
  <c r="F72" i="3"/>
  <c r="C72" i="3"/>
  <c r="AC71" i="3"/>
  <c r="AD71" i="3" s="1"/>
  <c r="AA71" i="3"/>
  <c r="X71" i="3"/>
  <c r="W71" i="3"/>
  <c r="U71" i="3"/>
  <c r="R71" i="3"/>
  <c r="N71" i="3"/>
  <c r="O71" i="3" s="1"/>
  <c r="L71" i="3"/>
  <c r="H71" i="3"/>
  <c r="I71" i="3" s="1"/>
  <c r="F71" i="3"/>
  <c r="C71" i="3"/>
  <c r="AD70" i="3"/>
  <c r="AC70" i="3"/>
  <c r="AA70" i="3"/>
  <c r="X70" i="3"/>
  <c r="W70" i="3"/>
  <c r="U70" i="3"/>
  <c r="R70" i="3"/>
  <c r="N70" i="3"/>
  <c r="O70" i="3" s="1"/>
  <c r="L70" i="3"/>
  <c r="H70" i="3"/>
  <c r="I70" i="3" s="1"/>
  <c r="F70" i="3"/>
  <c r="C70" i="3"/>
  <c r="AC69" i="3"/>
  <c r="AD69" i="3" s="1"/>
  <c r="AA69" i="3"/>
  <c r="X69" i="3"/>
  <c r="W69" i="3"/>
  <c r="U69" i="3"/>
  <c r="R69" i="3"/>
  <c r="O69" i="3"/>
  <c r="N69" i="3"/>
  <c r="L69" i="3"/>
  <c r="H69" i="3"/>
  <c r="I69" i="3" s="1"/>
  <c r="F69" i="3"/>
  <c r="C69" i="3"/>
  <c r="AD68" i="3"/>
  <c r="AC68" i="3"/>
  <c r="AA68" i="3"/>
  <c r="X68" i="3"/>
  <c r="W68" i="3"/>
  <c r="U68" i="3"/>
  <c r="R68" i="3"/>
  <c r="N68" i="3"/>
  <c r="O68" i="3" s="1"/>
  <c r="L68" i="3"/>
  <c r="H68" i="3"/>
  <c r="I68" i="3" s="1"/>
  <c r="F68" i="3"/>
  <c r="C68" i="3"/>
  <c r="AD67" i="3"/>
  <c r="AC67" i="3"/>
  <c r="AA67" i="3"/>
  <c r="X67" i="3"/>
  <c r="W67" i="3"/>
  <c r="U67" i="3"/>
  <c r="R67" i="3"/>
  <c r="N67" i="3"/>
  <c r="O67" i="3" s="1"/>
  <c r="L67" i="3"/>
  <c r="H67" i="3"/>
  <c r="I67" i="3" s="1"/>
  <c r="F67" i="3"/>
  <c r="C67" i="3"/>
  <c r="AD66" i="3"/>
  <c r="AC66" i="3"/>
  <c r="AA66" i="3"/>
  <c r="W66" i="3"/>
  <c r="X66" i="3" s="1"/>
  <c r="U66" i="3"/>
  <c r="R66" i="3"/>
  <c r="N66" i="3"/>
  <c r="O66" i="3" s="1"/>
  <c r="L66" i="3"/>
  <c r="I66" i="3"/>
  <c r="H66" i="3"/>
  <c r="F66" i="3"/>
  <c r="C66" i="3"/>
  <c r="AC65" i="3"/>
  <c r="AD65" i="3" s="1"/>
  <c r="AA65" i="3"/>
  <c r="X65" i="3"/>
  <c r="W65" i="3"/>
  <c r="U65" i="3"/>
  <c r="R65" i="3"/>
  <c r="O65" i="3"/>
  <c r="N65" i="3"/>
  <c r="L65" i="3"/>
  <c r="H65" i="3"/>
  <c r="I65" i="3" s="1"/>
  <c r="F65" i="3"/>
  <c r="C65" i="3"/>
  <c r="AC64" i="3"/>
  <c r="AD64" i="3" s="1"/>
  <c r="AA64" i="3"/>
  <c r="W64" i="3"/>
  <c r="X64" i="3" s="1"/>
  <c r="U64" i="3"/>
  <c r="R64" i="3"/>
  <c r="O64" i="3"/>
  <c r="N64" i="3"/>
  <c r="L64" i="3"/>
  <c r="H64" i="3"/>
  <c r="I64" i="3" s="1"/>
  <c r="F64" i="3"/>
  <c r="C64" i="3"/>
  <c r="AA62" i="3"/>
  <c r="Z62" i="3"/>
  <c r="U62" i="3"/>
  <c r="T62" i="3"/>
  <c r="R62" i="3"/>
  <c r="Q62" i="3"/>
  <c r="N62" i="3"/>
  <c r="O62" i="3" s="1"/>
  <c r="K62" i="3"/>
  <c r="L62" i="3" s="1"/>
  <c r="E62" i="3"/>
  <c r="H62" i="3" s="1"/>
  <c r="I62" i="3" s="1"/>
  <c r="C62" i="3"/>
  <c r="B62" i="3"/>
  <c r="AC61" i="3"/>
  <c r="AD61" i="3" s="1"/>
  <c r="Z61" i="3"/>
  <c r="AA61" i="3" s="1"/>
  <c r="T61" i="3"/>
  <c r="W61" i="3" s="1"/>
  <c r="X61" i="3" s="1"/>
  <c r="Q61" i="3"/>
  <c r="R61" i="3" s="1"/>
  <c r="K61" i="3"/>
  <c r="L61" i="3" s="1"/>
  <c r="H61" i="3"/>
  <c r="I61" i="3" s="1"/>
  <c r="E61" i="3"/>
  <c r="F61" i="3" s="1"/>
  <c r="B61" i="3"/>
  <c r="AC60" i="3"/>
  <c r="AD60" i="3" s="1"/>
  <c r="AA60" i="3"/>
  <c r="X60" i="3"/>
  <c r="W60" i="3"/>
  <c r="U60" i="3"/>
  <c r="R60" i="3"/>
  <c r="O60" i="3"/>
  <c r="N60" i="3"/>
  <c r="L60" i="3"/>
  <c r="I60" i="3"/>
  <c r="H60" i="3"/>
  <c r="F60" i="3"/>
  <c r="C60" i="3"/>
  <c r="AC59" i="3"/>
  <c r="AD59" i="3" s="1"/>
  <c r="AA59" i="3"/>
  <c r="W59" i="3"/>
  <c r="X59" i="3" s="1"/>
  <c r="U59" i="3"/>
  <c r="R59" i="3"/>
  <c r="O59" i="3"/>
  <c r="N59" i="3"/>
  <c r="L59" i="3"/>
  <c r="H59" i="3"/>
  <c r="I59" i="3" s="1"/>
  <c r="F59" i="3"/>
  <c r="C59" i="3"/>
  <c r="AC58" i="3"/>
  <c r="AD58" i="3" s="1"/>
  <c r="AA58" i="3"/>
  <c r="W58" i="3"/>
  <c r="X58" i="3" s="1"/>
  <c r="U58" i="3"/>
  <c r="R58" i="3"/>
  <c r="O58" i="3"/>
  <c r="N58" i="3"/>
  <c r="L58" i="3"/>
  <c r="I58" i="3"/>
  <c r="H58" i="3"/>
  <c r="F58" i="3"/>
  <c r="C58" i="3"/>
  <c r="AC57" i="3"/>
  <c r="AD57" i="3" s="1"/>
  <c r="AA57" i="3"/>
  <c r="W57" i="3"/>
  <c r="X57" i="3" s="1"/>
  <c r="U57" i="3"/>
  <c r="R57" i="3"/>
  <c r="N57" i="3"/>
  <c r="O57" i="3" s="1"/>
  <c r="L57" i="3"/>
  <c r="H57" i="3"/>
  <c r="I57" i="3" s="1"/>
  <c r="F57" i="3"/>
  <c r="C57" i="3"/>
  <c r="AC56" i="3"/>
  <c r="AD56" i="3" s="1"/>
  <c r="AA56" i="3"/>
  <c r="X56" i="3"/>
  <c r="W56" i="3"/>
  <c r="U56" i="3"/>
  <c r="R56" i="3"/>
  <c r="O56" i="3"/>
  <c r="N56" i="3"/>
  <c r="L56" i="3"/>
  <c r="H56" i="3"/>
  <c r="I56" i="3" s="1"/>
  <c r="F56" i="3"/>
  <c r="C56" i="3"/>
  <c r="AD55" i="3"/>
  <c r="AC55" i="3"/>
  <c r="AA55" i="3"/>
  <c r="X55" i="3"/>
  <c r="W55" i="3"/>
  <c r="U55" i="3"/>
  <c r="R55" i="3"/>
  <c r="N55" i="3"/>
  <c r="O55" i="3" s="1"/>
  <c r="L55" i="3"/>
  <c r="H55" i="3"/>
  <c r="I55" i="3" s="1"/>
  <c r="F55" i="3"/>
  <c r="C55" i="3"/>
  <c r="AC54" i="3"/>
  <c r="AD54" i="3" s="1"/>
  <c r="AA54" i="3"/>
  <c r="W54" i="3"/>
  <c r="X54" i="3" s="1"/>
  <c r="U54" i="3"/>
  <c r="R54" i="3"/>
  <c r="O54" i="3"/>
  <c r="N54" i="3"/>
  <c r="L54" i="3"/>
  <c r="I54" i="3"/>
  <c r="H54" i="3"/>
  <c r="F54" i="3"/>
  <c r="C54" i="3"/>
  <c r="AD53" i="3"/>
  <c r="AC53" i="3"/>
  <c r="AA53" i="3"/>
  <c r="W53" i="3"/>
  <c r="X53" i="3" s="1"/>
  <c r="U53" i="3"/>
  <c r="R53" i="3"/>
  <c r="N53" i="3"/>
  <c r="O53" i="3" s="1"/>
  <c r="L53" i="3"/>
  <c r="H53" i="3"/>
  <c r="I53" i="3" s="1"/>
  <c r="F53" i="3"/>
  <c r="C53" i="3"/>
  <c r="AD52" i="3"/>
  <c r="AC52" i="3"/>
  <c r="AA52" i="3"/>
  <c r="X52" i="3"/>
  <c r="W52" i="3"/>
  <c r="U52" i="3"/>
  <c r="R52" i="3"/>
  <c r="N52" i="3"/>
  <c r="O52" i="3" s="1"/>
  <c r="L52" i="3"/>
  <c r="H52" i="3"/>
  <c r="I52" i="3" s="1"/>
  <c r="F52" i="3"/>
  <c r="C52" i="3"/>
  <c r="AC51" i="3"/>
  <c r="AD51" i="3" s="1"/>
  <c r="AA51" i="3"/>
  <c r="X51" i="3"/>
  <c r="W51" i="3"/>
  <c r="U51" i="3"/>
  <c r="R51" i="3"/>
  <c r="N51" i="3"/>
  <c r="O51" i="3" s="1"/>
  <c r="L51" i="3"/>
  <c r="H51" i="3"/>
  <c r="I51" i="3" s="1"/>
  <c r="F51" i="3"/>
  <c r="C51" i="3"/>
  <c r="AC50" i="3"/>
  <c r="AD50" i="3" s="1"/>
  <c r="AA50" i="3"/>
  <c r="X50" i="3"/>
  <c r="W50" i="3"/>
  <c r="U50" i="3"/>
  <c r="R50" i="3"/>
  <c r="O50" i="3"/>
  <c r="N50" i="3"/>
  <c r="L50" i="3"/>
  <c r="H50" i="3"/>
  <c r="I50" i="3" s="1"/>
  <c r="F50" i="3"/>
  <c r="C50" i="3"/>
  <c r="AD49" i="3"/>
  <c r="AC49" i="3"/>
  <c r="AA49" i="3"/>
  <c r="X49" i="3"/>
  <c r="W49" i="3"/>
  <c r="U49" i="3"/>
  <c r="R49" i="3"/>
  <c r="N49" i="3"/>
  <c r="O49" i="3" s="1"/>
  <c r="L49" i="3"/>
  <c r="H49" i="3"/>
  <c r="I49" i="3" s="1"/>
  <c r="F49" i="3"/>
  <c r="C49" i="3"/>
  <c r="AC48" i="3"/>
  <c r="AD48" i="3" s="1"/>
  <c r="AA48" i="3"/>
  <c r="X48" i="3"/>
  <c r="W48" i="3"/>
  <c r="U48" i="3"/>
  <c r="R48" i="3"/>
  <c r="N48" i="3"/>
  <c r="O48" i="3" s="1"/>
  <c r="L48" i="3"/>
  <c r="I48" i="3"/>
  <c r="H48" i="3"/>
  <c r="F48" i="3"/>
  <c r="C48" i="3"/>
  <c r="AD47" i="3"/>
  <c r="AC47" i="3"/>
  <c r="AA47" i="3"/>
  <c r="W47" i="3"/>
  <c r="X47" i="3" s="1"/>
  <c r="U47" i="3"/>
  <c r="R47" i="3"/>
  <c r="O47" i="3"/>
  <c r="N47" i="3"/>
  <c r="L47" i="3"/>
  <c r="I47" i="3"/>
  <c r="H47" i="3"/>
  <c r="F47" i="3"/>
  <c r="C47" i="3"/>
  <c r="AC46" i="3"/>
  <c r="AD46" i="3" s="1"/>
  <c r="AA46" i="3"/>
  <c r="W46" i="3"/>
  <c r="X46" i="3" s="1"/>
  <c r="U46" i="3"/>
  <c r="R46" i="3"/>
  <c r="O46" i="3"/>
  <c r="N46" i="3"/>
  <c r="L46" i="3"/>
  <c r="I46" i="3"/>
  <c r="H46" i="3"/>
  <c r="F46" i="3"/>
  <c r="C46" i="3"/>
  <c r="AD44" i="3"/>
  <c r="AC44" i="3"/>
  <c r="AA44" i="3"/>
  <c r="X44" i="3"/>
  <c r="W44" i="3"/>
  <c r="U44" i="3"/>
  <c r="R44" i="3"/>
  <c r="N44" i="3"/>
  <c r="O44" i="3" s="1"/>
  <c r="L44" i="3"/>
  <c r="H44" i="3"/>
  <c r="I44" i="3" s="1"/>
  <c r="F44" i="3"/>
  <c r="C44" i="3"/>
  <c r="AC43" i="3"/>
  <c r="AD43" i="3" s="1"/>
  <c r="AA43" i="3"/>
  <c r="X43" i="3"/>
  <c r="W43" i="3"/>
  <c r="U43" i="3"/>
  <c r="R43" i="3"/>
  <c r="N43" i="3"/>
  <c r="O43" i="3" s="1"/>
  <c r="L43" i="3"/>
  <c r="I43" i="3"/>
  <c r="H43" i="3"/>
  <c r="F43" i="3"/>
  <c r="C43" i="3"/>
  <c r="AD42" i="3"/>
  <c r="AC42" i="3"/>
  <c r="AA42" i="3"/>
  <c r="W42" i="3"/>
  <c r="X42" i="3" s="1"/>
  <c r="U42" i="3"/>
  <c r="R42" i="3"/>
  <c r="O42" i="3"/>
  <c r="N42" i="3"/>
  <c r="L42" i="3"/>
  <c r="I42" i="3"/>
  <c r="H42" i="3"/>
  <c r="F42" i="3"/>
  <c r="C42" i="3"/>
  <c r="AA40" i="3"/>
  <c r="Z40" i="3"/>
  <c r="T40" i="3"/>
  <c r="W40" i="3" s="1"/>
  <c r="X40" i="3" s="1"/>
  <c r="Q40" i="3"/>
  <c r="AC40" i="3" s="1"/>
  <c r="AD40" i="3" s="1"/>
  <c r="K40" i="3"/>
  <c r="L40" i="3" s="1"/>
  <c r="I40" i="3"/>
  <c r="H40" i="3"/>
  <c r="E40" i="3"/>
  <c r="F40" i="3" s="1"/>
  <c r="C40" i="3"/>
  <c r="B40" i="3"/>
  <c r="AD39" i="3"/>
  <c r="AC39" i="3"/>
  <c r="AA39" i="3"/>
  <c r="X39" i="3"/>
  <c r="W39" i="3"/>
  <c r="U39" i="3"/>
  <c r="R39" i="3"/>
  <c r="N39" i="3"/>
  <c r="O39" i="3" s="1"/>
  <c r="L39" i="3"/>
  <c r="H39" i="3"/>
  <c r="I39" i="3" s="1"/>
  <c r="F39" i="3"/>
  <c r="C39" i="3"/>
  <c r="AD38" i="3"/>
  <c r="AC38" i="3"/>
  <c r="AA38" i="3"/>
  <c r="X38" i="3"/>
  <c r="W38" i="3"/>
  <c r="U38" i="3"/>
  <c r="R38" i="3"/>
  <c r="O38" i="3"/>
  <c r="N38" i="3"/>
  <c r="L38" i="3"/>
  <c r="H38" i="3"/>
  <c r="I38" i="3" s="1"/>
  <c r="F38" i="3"/>
  <c r="C38" i="3"/>
  <c r="AC37" i="3"/>
  <c r="AD37" i="3" s="1"/>
  <c r="AA37" i="3"/>
  <c r="W37" i="3"/>
  <c r="X37" i="3" s="1"/>
  <c r="U37" i="3"/>
  <c r="R37" i="3"/>
  <c r="O37" i="3"/>
  <c r="N37" i="3"/>
  <c r="L37" i="3"/>
  <c r="I37" i="3"/>
  <c r="H37" i="3"/>
  <c r="F37" i="3"/>
  <c r="C37" i="3"/>
  <c r="AC36" i="3"/>
  <c r="AD36" i="3" s="1"/>
  <c r="AA36" i="3"/>
  <c r="X36" i="3"/>
  <c r="W36" i="3"/>
  <c r="U36" i="3"/>
  <c r="R36" i="3"/>
  <c r="N36" i="3"/>
  <c r="O36" i="3" s="1"/>
  <c r="L36" i="3"/>
  <c r="H36" i="3"/>
  <c r="I36" i="3" s="1"/>
  <c r="F36" i="3"/>
  <c r="C36" i="3"/>
  <c r="AD35" i="3"/>
  <c r="AC35" i="3"/>
  <c r="AA35" i="3"/>
  <c r="X35" i="3"/>
  <c r="W35" i="3"/>
  <c r="U35" i="3"/>
  <c r="R35" i="3"/>
  <c r="N35" i="3"/>
  <c r="O35" i="3" s="1"/>
  <c r="L35" i="3"/>
  <c r="H35" i="3"/>
  <c r="I35" i="3" s="1"/>
  <c r="F35" i="3"/>
  <c r="C35" i="3"/>
  <c r="AD34" i="3"/>
  <c r="AC34" i="3"/>
  <c r="AA34" i="3"/>
  <c r="X34" i="3"/>
  <c r="W34" i="3"/>
  <c r="U34" i="3"/>
  <c r="R34" i="3"/>
  <c r="O34" i="3"/>
  <c r="N34" i="3"/>
  <c r="L34" i="3"/>
  <c r="I34" i="3"/>
  <c r="H34" i="3"/>
  <c r="F34" i="3"/>
  <c r="C34" i="3"/>
  <c r="AC33" i="3"/>
  <c r="AD33" i="3" s="1"/>
  <c r="AA33" i="3"/>
  <c r="W33" i="3"/>
  <c r="X33" i="3" s="1"/>
  <c r="U33" i="3"/>
  <c r="R33" i="3"/>
  <c r="O33" i="3"/>
  <c r="N33" i="3"/>
  <c r="L33" i="3"/>
  <c r="I33" i="3"/>
  <c r="H33" i="3"/>
  <c r="F33" i="3"/>
  <c r="C33" i="3"/>
  <c r="AD32" i="3"/>
  <c r="AC32" i="3"/>
  <c r="AA32" i="3"/>
  <c r="X32" i="3"/>
  <c r="W32" i="3"/>
  <c r="U32" i="3"/>
  <c r="R32" i="3"/>
  <c r="O32" i="3"/>
  <c r="N32" i="3"/>
  <c r="L32" i="3"/>
  <c r="H32" i="3"/>
  <c r="I32" i="3" s="1"/>
  <c r="F32" i="3"/>
  <c r="C32" i="3"/>
  <c r="AD31" i="3"/>
  <c r="AC31" i="3"/>
  <c r="AA31" i="3"/>
  <c r="X31" i="3"/>
  <c r="W31" i="3"/>
  <c r="U31" i="3"/>
  <c r="R31" i="3"/>
  <c r="N31" i="3"/>
  <c r="O31" i="3" s="1"/>
  <c r="L31" i="3"/>
  <c r="H31" i="3"/>
  <c r="I31" i="3" s="1"/>
  <c r="F31" i="3"/>
  <c r="C31" i="3"/>
  <c r="Z29" i="3"/>
  <c r="AA29" i="3" s="1"/>
  <c r="X29" i="3"/>
  <c r="W29" i="3"/>
  <c r="T29" i="3"/>
  <c r="U29" i="3" s="1"/>
  <c r="R29" i="3"/>
  <c r="Q29" i="3"/>
  <c r="K29" i="3"/>
  <c r="L29" i="3" s="1"/>
  <c r="F29" i="3"/>
  <c r="E29" i="3"/>
  <c r="C29" i="3"/>
  <c r="B29" i="3"/>
  <c r="H29" i="3" s="1"/>
  <c r="I29" i="3" s="1"/>
  <c r="AD28" i="3"/>
  <c r="AC28" i="3"/>
  <c r="AA28" i="3"/>
  <c r="X28" i="3"/>
  <c r="W28" i="3"/>
  <c r="U28" i="3"/>
  <c r="R28" i="3"/>
  <c r="O28" i="3"/>
  <c r="N28" i="3"/>
  <c r="L28" i="3"/>
  <c r="H28" i="3"/>
  <c r="I28" i="3" s="1"/>
  <c r="F28" i="3"/>
  <c r="C28" i="3"/>
  <c r="AC27" i="3"/>
  <c r="AD27" i="3" s="1"/>
  <c r="AA27" i="3"/>
  <c r="X27" i="3"/>
  <c r="W27" i="3"/>
  <c r="U27" i="3"/>
  <c r="R27" i="3"/>
  <c r="N27" i="3"/>
  <c r="O27" i="3" s="1"/>
  <c r="L27" i="3"/>
  <c r="I27" i="3"/>
  <c r="H27" i="3"/>
  <c r="F27" i="3"/>
  <c r="C27" i="3"/>
  <c r="AD26" i="3"/>
  <c r="AC26" i="3"/>
  <c r="AA26" i="3"/>
  <c r="W26" i="3"/>
  <c r="X26" i="3" s="1"/>
  <c r="U26" i="3"/>
  <c r="R26" i="3"/>
  <c r="N26" i="3"/>
  <c r="O26" i="3" s="1"/>
  <c r="L26" i="3"/>
  <c r="H26" i="3"/>
  <c r="I26" i="3" s="1"/>
  <c r="F26" i="3"/>
  <c r="C26" i="3"/>
  <c r="AC25" i="3"/>
  <c r="AD25" i="3" s="1"/>
  <c r="AA25" i="3"/>
  <c r="W25" i="3"/>
  <c r="X25" i="3" s="1"/>
  <c r="U25" i="3"/>
  <c r="R25" i="3"/>
  <c r="O25" i="3"/>
  <c r="N25" i="3"/>
  <c r="L25" i="3"/>
  <c r="I25" i="3"/>
  <c r="H25" i="3"/>
  <c r="F25" i="3"/>
  <c r="C25" i="3"/>
  <c r="AC24" i="3"/>
  <c r="AD24" i="3" s="1"/>
  <c r="AA24" i="3"/>
  <c r="W24" i="3"/>
  <c r="X24" i="3" s="1"/>
  <c r="U24" i="3"/>
  <c r="R24" i="3"/>
  <c r="N24" i="3"/>
  <c r="O24" i="3" s="1"/>
  <c r="L24" i="3"/>
  <c r="H24" i="3"/>
  <c r="I24" i="3" s="1"/>
  <c r="F24" i="3"/>
  <c r="C24" i="3"/>
  <c r="AD23" i="3"/>
  <c r="AC23" i="3"/>
  <c r="AA23" i="3"/>
  <c r="X23" i="3"/>
  <c r="W23" i="3"/>
  <c r="U23" i="3"/>
  <c r="R23" i="3"/>
  <c r="N23" i="3"/>
  <c r="O23" i="3" s="1"/>
  <c r="L23" i="3"/>
  <c r="I23" i="3"/>
  <c r="H23" i="3"/>
  <c r="F23" i="3"/>
  <c r="C23" i="3"/>
  <c r="AD22" i="3"/>
  <c r="AC22" i="3"/>
  <c r="AA22" i="3"/>
  <c r="X22" i="3"/>
  <c r="W22" i="3"/>
  <c r="U22" i="3"/>
  <c r="R22" i="3"/>
  <c r="N22" i="3"/>
  <c r="O22" i="3" s="1"/>
  <c r="L22" i="3"/>
  <c r="H22" i="3"/>
  <c r="I22" i="3" s="1"/>
  <c r="F22" i="3"/>
  <c r="C22" i="3"/>
  <c r="AC21" i="3"/>
  <c r="AD21" i="3" s="1"/>
  <c r="AA21" i="3"/>
  <c r="W21" i="3"/>
  <c r="X21" i="3" s="1"/>
  <c r="U21" i="3"/>
  <c r="R21" i="3"/>
  <c r="O21" i="3"/>
  <c r="N21" i="3"/>
  <c r="L21" i="3"/>
  <c r="I21" i="3"/>
  <c r="H21" i="3"/>
  <c r="F21" i="3"/>
  <c r="C21" i="3"/>
  <c r="AC19" i="3"/>
  <c r="AD19" i="3" s="1"/>
  <c r="AA19" i="3"/>
  <c r="W19" i="3"/>
  <c r="X19" i="3" s="1"/>
  <c r="U19" i="3"/>
  <c r="R19" i="3"/>
  <c r="N19" i="3"/>
  <c r="O19" i="3" s="1"/>
  <c r="L19" i="3"/>
  <c r="H19" i="3"/>
  <c r="I19" i="3" s="1"/>
  <c r="F19" i="3"/>
  <c r="C19" i="3"/>
  <c r="AC18" i="3"/>
  <c r="AD18" i="3" s="1"/>
  <c r="AA18" i="3"/>
  <c r="Z18" i="3"/>
  <c r="U18" i="3"/>
  <c r="T18" i="3"/>
  <c r="R18" i="3"/>
  <c r="Q18" i="3"/>
  <c r="W18" i="3" s="1"/>
  <c r="X18" i="3" s="1"/>
  <c r="N18" i="3"/>
  <c r="O18" i="3" s="1"/>
  <c r="K18" i="3"/>
  <c r="L18" i="3" s="1"/>
  <c r="F18" i="3"/>
  <c r="E18" i="3"/>
  <c r="C18" i="3"/>
  <c r="B18" i="3"/>
  <c r="H18" i="3" s="1"/>
  <c r="I18" i="3" s="1"/>
  <c r="AC17" i="3"/>
  <c r="AD17" i="3" s="1"/>
  <c r="AA17" i="3"/>
  <c r="W17" i="3"/>
  <c r="X17" i="3" s="1"/>
  <c r="U17" i="3"/>
  <c r="R17" i="3"/>
  <c r="O17" i="3"/>
  <c r="N17" i="3"/>
  <c r="L17" i="3"/>
  <c r="I17" i="3"/>
  <c r="H17" i="3"/>
  <c r="F17" i="3"/>
  <c r="C17" i="3"/>
  <c r="AD16" i="3"/>
  <c r="AC16" i="3"/>
  <c r="AA16" i="3"/>
  <c r="W16" i="3"/>
  <c r="X16" i="3" s="1"/>
  <c r="U16" i="3"/>
  <c r="R16" i="3"/>
  <c r="O16" i="3"/>
  <c r="N16" i="3"/>
  <c r="L16" i="3"/>
  <c r="H16" i="3"/>
  <c r="I16" i="3" s="1"/>
  <c r="F16" i="3"/>
  <c r="C16" i="3"/>
  <c r="AD15" i="3"/>
  <c r="AC15" i="3"/>
  <c r="AA15" i="3"/>
  <c r="X15" i="3"/>
  <c r="W15" i="3"/>
  <c r="U15" i="3"/>
  <c r="R15" i="3"/>
  <c r="N15" i="3"/>
  <c r="O15" i="3" s="1"/>
  <c r="L15" i="3"/>
  <c r="H15" i="3"/>
  <c r="I15" i="3" s="1"/>
  <c r="F15" i="3"/>
  <c r="C15" i="3"/>
  <c r="AD14" i="3"/>
  <c r="AC14" i="3"/>
  <c r="AA14" i="3"/>
  <c r="X14" i="3"/>
  <c r="W14" i="3"/>
  <c r="U14" i="3"/>
  <c r="R14" i="3"/>
  <c r="N14" i="3"/>
  <c r="O14" i="3" s="1"/>
  <c r="L14" i="3"/>
  <c r="I14" i="3"/>
  <c r="H14" i="3"/>
  <c r="F14" i="3"/>
  <c r="C14" i="3"/>
  <c r="AC13" i="3"/>
  <c r="AD13" i="3" s="1"/>
  <c r="AA13" i="3"/>
  <c r="W13" i="3"/>
  <c r="X13" i="3" s="1"/>
  <c r="U13" i="3"/>
  <c r="R13" i="3"/>
  <c r="O13" i="3"/>
  <c r="N13" i="3"/>
  <c r="L13" i="3"/>
  <c r="I13" i="3"/>
  <c r="H13" i="3"/>
  <c r="F13" i="3"/>
  <c r="C13" i="3"/>
  <c r="AD12" i="3"/>
  <c r="AC12" i="3"/>
  <c r="AA12" i="3"/>
  <c r="W12" i="3"/>
  <c r="X12" i="3" s="1"/>
  <c r="U12" i="3"/>
  <c r="R12" i="3"/>
  <c r="O12" i="3"/>
  <c r="N12" i="3"/>
  <c r="L12" i="3"/>
  <c r="H12" i="3"/>
  <c r="I12" i="3" s="1"/>
  <c r="F12" i="3"/>
  <c r="C12" i="3"/>
  <c r="AC11" i="3"/>
  <c r="AD11" i="3" s="1"/>
  <c r="AA11" i="3"/>
  <c r="X11" i="3"/>
  <c r="W11" i="3"/>
  <c r="U11" i="3"/>
  <c r="R11" i="3"/>
  <c r="N11" i="3"/>
  <c r="O11" i="3" s="1"/>
  <c r="L11" i="3"/>
  <c r="I11" i="3"/>
  <c r="H11" i="3"/>
  <c r="F11" i="3"/>
  <c r="C11" i="3"/>
  <c r="AD10" i="3"/>
  <c r="AC10" i="3"/>
  <c r="AA10" i="3"/>
  <c r="W10" i="3"/>
  <c r="X10" i="3" s="1"/>
  <c r="U10" i="3"/>
  <c r="R10" i="3"/>
  <c r="N10" i="3"/>
  <c r="O10" i="3" s="1"/>
  <c r="L10" i="3"/>
  <c r="I10" i="3"/>
  <c r="H10" i="3"/>
  <c r="F10" i="3"/>
  <c r="C10" i="3"/>
  <c r="AC8" i="3"/>
  <c r="AD8" i="3" s="1"/>
  <c r="AA8" i="3"/>
  <c r="W8" i="3"/>
  <c r="X8" i="3" s="1"/>
  <c r="U8" i="3"/>
  <c r="R8" i="3"/>
  <c r="O8" i="3"/>
  <c r="N8" i="3"/>
  <c r="L8" i="3"/>
  <c r="I8" i="3"/>
  <c r="H8" i="3"/>
  <c r="F8" i="3"/>
  <c r="C8" i="3"/>
  <c r="AC444" i="2"/>
  <c r="W444" i="2"/>
  <c r="N444" i="2"/>
  <c r="H444" i="2"/>
  <c r="Z442" i="2"/>
  <c r="AA442" i="2" s="1"/>
  <c r="T442" i="2"/>
  <c r="U442" i="2" s="1"/>
  <c r="R442" i="2"/>
  <c r="Q442" i="2"/>
  <c r="L442" i="2"/>
  <c r="K442" i="2"/>
  <c r="E442" i="2"/>
  <c r="B442" i="2"/>
  <c r="N442" i="2" s="1"/>
  <c r="O442" i="2" s="1"/>
  <c r="AA441" i="2"/>
  <c r="Z441" i="2"/>
  <c r="X441" i="2"/>
  <c r="W441" i="2"/>
  <c r="T441" i="2"/>
  <c r="U441" i="2" s="1"/>
  <c r="R441" i="2"/>
  <c r="Q441" i="2"/>
  <c r="AC441" i="2" s="1"/>
  <c r="AD441" i="2" s="1"/>
  <c r="K441" i="2"/>
  <c r="L441" i="2" s="1"/>
  <c r="F441" i="2"/>
  <c r="E441" i="2"/>
  <c r="B441" i="2"/>
  <c r="AC440" i="2"/>
  <c r="AD440" i="2" s="1"/>
  <c r="AA440" i="2"/>
  <c r="W440" i="2"/>
  <c r="X440" i="2" s="1"/>
  <c r="U440" i="2"/>
  <c r="R440" i="2"/>
  <c r="N440" i="2"/>
  <c r="O440" i="2" s="1"/>
  <c r="L440" i="2"/>
  <c r="I440" i="2"/>
  <c r="H440" i="2"/>
  <c r="F440" i="2"/>
  <c r="C440" i="2"/>
  <c r="AD439" i="2"/>
  <c r="AC439" i="2"/>
  <c r="AA439" i="2"/>
  <c r="X439" i="2"/>
  <c r="W439" i="2"/>
  <c r="U439" i="2"/>
  <c r="R439" i="2"/>
  <c r="N439" i="2"/>
  <c r="O439" i="2" s="1"/>
  <c r="L439" i="2"/>
  <c r="H439" i="2"/>
  <c r="I439" i="2" s="1"/>
  <c r="F439" i="2"/>
  <c r="C439" i="2"/>
  <c r="AC438" i="2"/>
  <c r="AA438" i="2"/>
  <c r="X438" i="2"/>
  <c r="W438" i="2"/>
  <c r="U438" i="2"/>
  <c r="R438" i="2"/>
  <c r="N438" i="2"/>
  <c r="O438" i="2" s="1"/>
  <c r="L438" i="2"/>
  <c r="H438" i="2"/>
  <c r="I438" i="2" s="1"/>
  <c r="F438" i="2"/>
  <c r="C438" i="2"/>
  <c r="AC437" i="2"/>
  <c r="AA437" i="2"/>
  <c r="W437" i="2"/>
  <c r="X437" i="2" s="1"/>
  <c r="U437" i="2"/>
  <c r="R437" i="2"/>
  <c r="O437" i="2"/>
  <c r="N437" i="2"/>
  <c r="L437" i="2"/>
  <c r="I437" i="2"/>
  <c r="H437" i="2"/>
  <c r="F437" i="2"/>
  <c r="C437" i="2"/>
  <c r="AC436" i="2"/>
  <c r="AD436" i="2" s="1"/>
  <c r="AA436" i="2"/>
  <c r="W436" i="2"/>
  <c r="X436" i="2" s="1"/>
  <c r="U436" i="2"/>
  <c r="R436" i="2"/>
  <c r="O436" i="2"/>
  <c r="N436" i="2"/>
  <c r="L436" i="2"/>
  <c r="H436" i="2"/>
  <c r="I436" i="2" s="1"/>
  <c r="F436" i="2"/>
  <c r="C436" i="2"/>
  <c r="AC435" i="2"/>
  <c r="AD435" i="2" s="1"/>
  <c r="AA435" i="2"/>
  <c r="X435" i="2"/>
  <c r="W435" i="2"/>
  <c r="U435" i="2"/>
  <c r="R435" i="2"/>
  <c r="N435" i="2"/>
  <c r="O435" i="2" s="1"/>
  <c r="L435" i="2"/>
  <c r="H435" i="2"/>
  <c r="I435" i="2" s="1"/>
  <c r="F435" i="2"/>
  <c r="C435" i="2"/>
  <c r="AC434" i="2"/>
  <c r="AA434" i="2"/>
  <c r="X434" i="2"/>
  <c r="W434" i="2"/>
  <c r="U434" i="2"/>
  <c r="R434" i="2"/>
  <c r="N434" i="2"/>
  <c r="O434" i="2" s="1"/>
  <c r="L434" i="2"/>
  <c r="I434" i="2"/>
  <c r="H434" i="2"/>
  <c r="F434" i="2"/>
  <c r="C434" i="2"/>
  <c r="AC433" i="2"/>
  <c r="AA433" i="2"/>
  <c r="W433" i="2"/>
  <c r="X433" i="2" s="1"/>
  <c r="U433" i="2"/>
  <c r="R433" i="2"/>
  <c r="O433" i="2"/>
  <c r="N433" i="2"/>
  <c r="L433" i="2"/>
  <c r="I433" i="2"/>
  <c r="H433" i="2"/>
  <c r="F433" i="2"/>
  <c r="C433" i="2"/>
  <c r="AD432" i="2"/>
  <c r="AC432" i="2"/>
  <c r="AA432" i="2"/>
  <c r="W432" i="2"/>
  <c r="X432" i="2" s="1"/>
  <c r="U432" i="2"/>
  <c r="R432" i="2"/>
  <c r="O432" i="2"/>
  <c r="N432" i="2"/>
  <c r="L432" i="2"/>
  <c r="I432" i="2"/>
  <c r="H432" i="2"/>
  <c r="F432" i="2"/>
  <c r="C432" i="2"/>
  <c r="AC429" i="2"/>
  <c r="AD429" i="2" s="1"/>
  <c r="Z429" i="2"/>
  <c r="AA429" i="2" s="1"/>
  <c r="U429" i="2"/>
  <c r="T429" i="2"/>
  <c r="Q429" i="2"/>
  <c r="N429" i="2"/>
  <c r="O429" i="2" s="1"/>
  <c r="K429" i="2"/>
  <c r="L429" i="2" s="1"/>
  <c r="F429" i="2"/>
  <c r="E429" i="2"/>
  <c r="C429" i="2"/>
  <c r="B429" i="2"/>
  <c r="AA428" i="2"/>
  <c r="Z428" i="2"/>
  <c r="U428" i="2"/>
  <c r="T428" i="2"/>
  <c r="W428" i="2" s="1"/>
  <c r="X428" i="2" s="1"/>
  <c r="Q428" i="2"/>
  <c r="AC428" i="2" s="1"/>
  <c r="AD428" i="2" s="1"/>
  <c r="K428" i="2"/>
  <c r="L428" i="2" s="1"/>
  <c r="H428" i="2"/>
  <c r="I428" i="2" s="1"/>
  <c r="E428" i="2"/>
  <c r="F428" i="2" s="1"/>
  <c r="C428" i="2"/>
  <c r="B428" i="2"/>
  <c r="AD427" i="2"/>
  <c r="AC427" i="2"/>
  <c r="AA427" i="2"/>
  <c r="X427" i="2"/>
  <c r="W427" i="2"/>
  <c r="U427" i="2"/>
  <c r="R427" i="2"/>
  <c r="N427" i="2"/>
  <c r="O427" i="2" s="1"/>
  <c r="L427" i="2"/>
  <c r="H427" i="2"/>
  <c r="I427" i="2" s="1"/>
  <c r="F427" i="2"/>
  <c r="C427" i="2"/>
  <c r="AC426" i="2"/>
  <c r="AA426" i="2"/>
  <c r="X426" i="2"/>
  <c r="W426" i="2"/>
  <c r="U426" i="2"/>
  <c r="R426" i="2"/>
  <c r="N426" i="2"/>
  <c r="O426" i="2" s="1"/>
  <c r="L426" i="2"/>
  <c r="H426" i="2"/>
  <c r="I426" i="2" s="1"/>
  <c r="F426" i="2"/>
  <c r="C426" i="2"/>
  <c r="AC425" i="2"/>
  <c r="AA425" i="2"/>
  <c r="W425" i="2"/>
  <c r="X425" i="2" s="1"/>
  <c r="U425" i="2"/>
  <c r="R425" i="2"/>
  <c r="O425" i="2"/>
  <c r="N425" i="2"/>
  <c r="L425" i="2"/>
  <c r="I425" i="2"/>
  <c r="H425" i="2"/>
  <c r="F425" i="2"/>
  <c r="C425" i="2"/>
  <c r="AC424" i="2"/>
  <c r="AD424" i="2" s="1"/>
  <c r="AA424" i="2"/>
  <c r="W424" i="2"/>
  <c r="X424" i="2" s="1"/>
  <c r="U424" i="2"/>
  <c r="R424" i="2"/>
  <c r="O424" i="2"/>
  <c r="N424" i="2"/>
  <c r="L424" i="2"/>
  <c r="H424" i="2"/>
  <c r="I424" i="2" s="1"/>
  <c r="F424" i="2"/>
  <c r="C424" i="2"/>
  <c r="AC423" i="2"/>
  <c r="AD423" i="2" s="1"/>
  <c r="AA423" i="2"/>
  <c r="X423" i="2"/>
  <c r="W423" i="2"/>
  <c r="U423" i="2"/>
  <c r="R423" i="2"/>
  <c r="N423" i="2"/>
  <c r="O423" i="2" s="1"/>
  <c r="L423" i="2"/>
  <c r="H423" i="2"/>
  <c r="I423" i="2" s="1"/>
  <c r="F423" i="2"/>
  <c r="C423" i="2"/>
  <c r="AC422" i="2"/>
  <c r="AA422" i="2"/>
  <c r="X422" i="2"/>
  <c r="W422" i="2"/>
  <c r="U422" i="2"/>
  <c r="R422" i="2"/>
  <c r="N422" i="2"/>
  <c r="O422" i="2" s="1"/>
  <c r="L422" i="2"/>
  <c r="I422" i="2"/>
  <c r="H422" i="2"/>
  <c r="F422" i="2"/>
  <c r="C422" i="2"/>
  <c r="AC421" i="2"/>
  <c r="AD421" i="2" s="1"/>
  <c r="AA421" i="2"/>
  <c r="W421" i="2"/>
  <c r="X421" i="2" s="1"/>
  <c r="U421" i="2"/>
  <c r="R421" i="2"/>
  <c r="O421" i="2"/>
  <c r="N421" i="2"/>
  <c r="L421" i="2"/>
  <c r="I421" i="2"/>
  <c r="H421" i="2"/>
  <c r="F421" i="2"/>
  <c r="C421" i="2"/>
  <c r="AD420" i="2"/>
  <c r="AC420" i="2"/>
  <c r="AA420" i="2"/>
  <c r="W420" i="2"/>
  <c r="X420" i="2" s="1"/>
  <c r="U420" i="2"/>
  <c r="R420" i="2"/>
  <c r="O420" i="2"/>
  <c r="N420" i="2"/>
  <c r="L420" i="2"/>
  <c r="H420" i="2"/>
  <c r="I420" i="2" s="1"/>
  <c r="F420" i="2"/>
  <c r="C420" i="2"/>
  <c r="AC419" i="2"/>
  <c r="AD419" i="2" s="1"/>
  <c r="AA419" i="2"/>
  <c r="X419" i="2"/>
  <c r="W419" i="2"/>
  <c r="U419" i="2"/>
  <c r="R419" i="2"/>
  <c r="N419" i="2"/>
  <c r="O419" i="2" s="1"/>
  <c r="L419" i="2"/>
  <c r="H419" i="2"/>
  <c r="I419" i="2" s="1"/>
  <c r="F419" i="2"/>
  <c r="C419" i="2"/>
  <c r="AC418" i="2"/>
  <c r="AA418" i="2"/>
  <c r="W418" i="2"/>
  <c r="X418" i="2" s="1"/>
  <c r="U418" i="2"/>
  <c r="R418" i="2"/>
  <c r="N418" i="2"/>
  <c r="O418" i="2" s="1"/>
  <c r="L418" i="2"/>
  <c r="I418" i="2"/>
  <c r="H418" i="2"/>
  <c r="F418" i="2"/>
  <c r="C418" i="2"/>
  <c r="AC417" i="2"/>
  <c r="AD417" i="2" s="1"/>
  <c r="AA417" i="2"/>
  <c r="W417" i="2"/>
  <c r="X417" i="2" s="1"/>
  <c r="U417" i="2"/>
  <c r="R417" i="2"/>
  <c r="O417" i="2"/>
  <c r="N417" i="2"/>
  <c r="L417" i="2"/>
  <c r="I417" i="2"/>
  <c r="H417" i="2"/>
  <c r="F417" i="2"/>
  <c r="C417" i="2"/>
  <c r="AD416" i="2"/>
  <c r="AC416" i="2"/>
  <c r="AA416" i="2"/>
  <c r="W416" i="2"/>
  <c r="X416" i="2" s="1"/>
  <c r="U416" i="2"/>
  <c r="R416" i="2"/>
  <c r="N416" i="2"/>
  <c r="O416" i="2" s="1"/>
  <c r="L416" i="2"/>
  <c r="I416" i="2"/>
  <c r="H416" i="2"/>
  <c r="F416" i="2"/>
  <c r="C416" i="2"/>
  <c r="AD415" i="2"/>
  <c r="AC415" i="2"/>
  <c r="AA415" i="2"/>
  <c r="X415" i="2"/>
  <c r="W415" i="2"/>
  <c r="U415" i="2"/>
  <c r="R415" i="2"/>
  <c r="N415" i="2"/>
  <c r="O415" i="2" s="1"/>
  <c r="L415" i="2"/>
  <c r="H415" i="2"/>
  <c r="I415" i="2" s="1"/>
  <c r="F415" i="2"/>
  <c r="C415" i="2"/>
  <c r="AC414" i="2"/>
  <c r="AA414" i="2"/>
  <c r="W414" i="2"/>
  <c r="X414" i="2" s="1"/>
  <c r="U414" i="2"/>
  <c r="R414" i="2"/>
  <c r="N414" i="2"/>
  <c r="O414" i="2" s="1"/>
  <c r="L414" i="2"/>
  <c r="H414" i="2"/>
  <c r="I414" i="2" s="1"/>
  <c r="F414" i="2"/>
  <c r="C414" i="2"/>
  <c r="AC413" i="2"/>
  <c r="AA413" i="2"/>
  <c r="W413" i="2"/>
  <c r="X413" i="2" s="1"/>
  <c r="U413" i="2"/>
  <c r="R413" i="2"/>
  <c r="O413" i="2"/>
  <c r="N413" i="2"/>
  <c r="L413" i="2"/>
  <c r="I413" i="2"/>
  <c r="H413" i="2"/>
  <c r="F413" i="2"/>
  <c r="C413" i="2"/>
  <c r="AC412" i="2"/>
  <c r="AD412" i="2" s="1"/>
  <c r="AA412" i="2"/>
  <c r="W412" i="2"/>
  <c r="X412" i="2" s="1"/>
  <c r="U412" i="2"/>
  <c r="R412" i="2"/>
  <c r="O412" i="2"/>
  <c r="N412" i="2"/>
  <c r="L412" i="2"/>
  <c r="I412" i="2"/>
  <c r="H412" i="2"/>
  <c r="F412" i="2"/>
  <c r="C412" i="2"/>
  <c r="AD411" i="2"/>
  <c r="AC411" i="2"/>
  <c r="AA411" i="2"/>
  <c r="X411" i="2"/>
  <c r="W411" i="2"/>
  <c r="U411" i="2"/>
  <c r="R411" i="2"/>
  <c r="N411" i="2"/>
  <c r="O411" i="2" s="1"/>
  <c r="L411" i="2"/>
  <c r="I411" i="2"/>
  <c r="H411" i="2"/>
  <c r="F411" i="2"/>
  <c r="C411" i="2"/>
  <c r="AC410" i="2"/>
  <c r="AA410" i="2"/>
  <c r="W410" i="2"/>
  <c r="X410" i="2" s="1"/>
  <c r="U410" i="2"/>
  <c r="R410" i="2"/>
  <c r="N410" i="2"/>
  <c r="O410" i="2" s="1"/>
  <c r="L410" i="2"/>
  <c r="H410" i="2"/>
  <c r="I410" i="2" s="1"/>
  <c r="F410" i="2"/>
  <c r="C410" i="2"/>
  <c r="AC409" i="2"/>
  <c r="AA409" i="2"/>
  <c r="W409" i="2"/>
  <c r="X409" i="2" s="1"/>
  <c r="U409" i="2"/>
  <c r="R409" i="2"/>
  <c r="O409" i="2"/>
  <c r="N409" i="2"/>
  <c r="L409" i="2"/>
  <c r="I409" i="2"/>
  <c r="H409" i="2"/>
  <c r="F409" i="2"/>
  <c r="C409" i="2"/>
  <c r="AC408" i="2"/>
  <c r="AD408" i="2" s="1"/>
  <c r="AA408" i="2"/>
  <c r="W408" i="2"/>
  <c r="X408" i="2" s="1"/>
  <c r="U408" i="2"/>
  <c r="R408" i="2"/>
  <c r="N408" i="2"/>
  <c r="O408" i="2" s="1"/>
  <c r="L408" i="2"/>
  <c r="I408" i="2"/>
  <c r="H408" i="2"/>
  <c r="F408" i="2"/>
  <c r="C408" i="2"/>
  <c r="AD407" i="2"/>
  <c r="AC407" i="2"/>
  <c r="AA407" i="2"/>
  <c r="X407" i="2"/>
  <c r="W407" i="2"/>
  <c r="U407" i="2"/>
  <c r="R407" i="2"/>
  <c r="N407" i="2"/>
  <c r="O407" i="2" s="1"/>
  <c r="L407" i="2"/>
  <c r="H407" i="2"/>
  <c r="I407" i="2" s="1"/>
  <c r="F407" i="2"/>
  <c r="C407" i="2"/>
  <c r="AD403" i="2"/>
  <c r="AC403" i="2"/>
  <c r="Z403" i="2"/>
  <c r="AA403" i="2" s="1"/>
  <c r="T403" i="2"/>
  <c r="U403" i="2" s="1"/>
  <c r="R403" i="2"/>
  <c r="Q403" i="2"/>
  <c r="L403" i="2"/>
  <c r="K403" i="2"/>
  <c r="E403" i="2"/>
  <c r="H403" i="2" s="1"/>
  <c r="I403" i="2" s="1"/>
  <c r="B403" i="2"/>
  <c r="N403" i="2" s="1"/>
  <c r="O403" i="2" s="1"/>
  <c r="AC402" i="2"/>
  <c r="AA402" i="2"/>
  <c r="X402" i="2"/>
  <c r="W402" i="2"/>
  <c r="U402" i="2"/>
  <c r="R402" i="2"/>
  <c r="N402" i="2"/>
  <c r="O402" i="2" s="1"/>
  <c r="L402" i="2"/>
  <c r="H402" i="2"/>
  <c r="I402" i="2" s="1"/>
  <c r="F402" i="2"/>
  <c r="C402" i="2"/>
  <c r="AC401" i="2"/>
  <c r="AD401" i="2" s="1"/>
  <c r="AA401" i="2"/>
  <c r="W401" i="2"/>
  <c r="X401" i="2" s="1"/>
  <c r="U401" i="2"/>
  <c r="R401" i="2"/>
  <c r="O401" i="2"/>
  <c r="N401" i="2"/>
  <c r="L401" i="2"/>
  <c r="I401" i="2"/>
  <c r="H401" i="2"/>
  <c r="F401" i="2"/>
  <c r="C401" i="2"/>
  <c r="AC400" i="2"/>
  <c r="AD400" i="2" s="1"/>
  <c r="AA400" i="2"/>
  <c r="W400" i="2"/>
  <c r="X400" i="2" s="1"/>
  <c r="U400" i="2"/>
  <c r="R400" i="2"/>
  <c r="N400" i="2"/>
  <c r="O400" i="2" s="1"/>
  <c r="L400" i="2"/>
  <c r="H400" i="2"/>
  <c r="I400" i="2" s="1"/>
  <c r="F400" i="2"/>
  <c r="C400" i="2"/>
  <c r="AC399" i="2"/>
  <c r="AD399" i="2" s="1"/>
  <c r="AA399" i="2"/>
  <c r="X399" i="2"/>
  <c r="W399" i="2"/>
  <c r="U399" i="2"/>
  <c r="R399" i="2"/>
  <c r="N399" i="2"/>
  <c r="O399" i="2" s="1"/>
  <c r="L399" i="2"/>
  <c r="H399" i="2"/>
  <c r="I399" i="2" s="1"/>
  <c r="F399" i="2"/>
  <c r="C399" i="2"/>
  <c r="AC398" i="2"/>
  <c r="AA398" i="2"/>
  <c r="X398" i="2"/>
  <c r="W398" i="2"/>
  <c r="U398" i="2"/>
  <c r="R398" i="2"/>
  <c r="N398" i="2"/>
  <c r="O398" i="2" s="1"/>
  <c r="L398" i="2"/>
  <c r="I398" i="2"/>
  <c r="H398" i="2"/>
  <c r="F398" i="2"/>
  <c r="C398" i="2"/>
  <c r="AC397" i="2"/>
  <c r="AD397" i="2" s="1"/>
  <c r="AA397" i="2"/>
  <c r="W397" i="2"/>
  <c r="X397" i="2" s="1"/>
  <c r="U397" i="2"/>
  <c r="R397" i="2"/>
  <c r="O397" i="2"/>
  <c r="N397" i="2"/>
  <c r="L397" i="2"/>
  <c r="I397" i="2"/>
  <c r="H397" i="2"/>
  <c r="F397" i="2"/>
  <c r="C397" i="2"/>
  <c r="Z396" i="2"/>
  <c r="AA396" i="2" s="1"/>
  <c r="T396" i="2"/>
  <c r="U396" i="2" s="1"/>
  <c r="Q396" i="2"/>
  <c r="R396" i="2" s="1"/>
  <c r="L396" i="2"/>
  <c r="K396" i="2"/>
  <c r="E396" i="2"/>
  <c r="B396" i="2"/>
  <c r="N396" i="2" s="1"/>
  <c r="O396" i="2" s="1"/>
  <c r="AC395" i="2"/>
  <c r="AA395" i="2"/>
  <c r="X395" i="2"/>
  <c r="W395" i="2"/>
  <c r="U395" i="2"/>
  <c r="R395" i="2"/>
  <c r="N395" i="2"/>
  <c r="O395" i="2" s="1"/>
  <c r="L395" i="2"/>
  <c r="I395" i="2"/>
  <c r="H395" i="2"/>
  <c r="F395" i="2"/>
  <c r="C395" i="2"/>
  <c r="AC394" i="2"/>
  <c r="AD394" i="2" s="1"/>
  <c r="AA394" i="2"/>
  <c r="W394" i="2"/>
  <c r="X394" i="2" s="1"/>
  <c r="U394" i="2"/>
  <c r="R394" i="2"/>
  <c r="O394" i="2"/>
  <c r="N394" i="2"/>
  <c r="L394" i="2"/>
  <c r="I394" i="2"/>
  <c r="H394" i="2"/>
  <c r="F394" i="2"/>
  <c r="C394" i="2"/>
  <c r="Z393" i="2"/>
  <c r="AA393" i="2" s="1"/>
  <c r="U393" i="2"/>
  <c r="T393" i="2"/>
  <c r="Q393" i="2"/>
  <c r="L393" i="2"/>
  <c r="K393" i="2"/>
  <c r="H393" i="2"/>
  <c r="I393" i="2" s="1"/>
  <c r="F393" i="2"/>
  <c r="E393" i="2"/>
  <c r="B393" i="2"/>
  <c r="N393" i="2" s="1"/>
  <c r="O393" i="2" s="1"/>
  <c r="AC392" i="2"/>
  <c r="AA392" i="2"/>
  <c r="X392" i="2"/>
  <c r="W392" i="2"/>
  <c r="U392" i="2"/>
  <c r="R392" i="2"/>
  <c r="N392" i="2"/>
  <c r="O392" i="2" s="1"/>
  <c r="L392" i="2"/>
  <c r="I392" i="2"/>
  <c r="H392" i="2"/>
  <c r="F392" i="2"/>
  <c r="C392" i="2"/>
  <c r="AC391" i="2"/>
  <c r="AD391" i="2" s="1"/>
  <c r="AA391" i="2"/>
  <c r="W391" i="2"/>
  <c r="X391" i="2" s="1"/>
  <c r="U391" i="2"/>
  <c r="R391" i="2"/>
  <c r="O391" i="2"/>
  <c r="N391" i="2"/>
  <c r="L391" i="2"/>
  <c r="I391" i="2"/>
  <c r="H391" i="2"/>
  <c r="F391" i="2"/>
  <c r="C391" i="2"/>
  <c r="AD390" i="2"/>
  <c r="AC390" i="2"/>
  <c r="AA390" i="2"/>
  <c r="W390" i="2"/>
  <c r="X390" i="2" s="1"/>
  <c r="U390" i="2"/>
  <c r="R390" i="2"/>
  <c r="O390" i="2"/>
  <c r="N390" i="2"/>
  <c r="L390" i="2"/>
  <c r="I390" i="2"/>
  <c r="H390" i="2"/>
  <c r="F390" i="2"/>
  <c r="C390" i="2"/>
  <c r="AD389" i="2"/>
  <c r="AC389" i="2"/>
  <c r="AA389" i="2"/>
  <c r="X389" i="2"/>
  <c r="W389" i="2"/>
  <c r="U389" i="2"/>
  <c r="R389" i="2"/>
  <c r="N389" i="2"/>
  <c r="O389" i="2" s="1"/>
  <c r="L389" i="2"/>
  <c r="I389" i="2"/>
  <c r="H389" i="2"/>
  <c r="F389" i="2"/>
  <c r="C389" i="2"/>
  <c r="AC388" i="2"/>
  <c r="AA388" i="2"/>
  <c r="X388" i="2"/>
  <c r="W388" i="2"/>
  <c r="U388" i="2"/>
  <c r="R388" i="2"/>
  <c r="N388" i="2"/>
  <c r="O388" i="2" s="1"/>
  <c r="L388" i="2"/>
  <c r="I388" i="2"/>
  <c r="H388" i="2"/>
  <c r="F388" i="2"/>
  <c r="C388" i="2"/>
  <c r="AC386" i="2"/>
  <c r="AA386" i="2"/>
  <c r="W386" i="2"/>
  <c r="X386" i="2" s="1"/>
  <c r="U386" i="2"/>
  <c r="R386" i="2"/>
  <c r="O386" i="2"/>
  <c r="N386" i="2"/>
  <c r="L386" i="2"/>
  <c r="I386" i="2"/>
  <c r="H386" i="2"/>
  <c r="F386" i="2"/>
  <c r="C386" i="2"/>
  <c r="AD385" i="2"/>
  <c r="AC385" i="2"/>
  <c r="AA385" i="2"/>
  <c r="W385" i="2"/>
  <c r="X385" i="2" s="1"/>
  <c r="U385" i="2"/>
  <c r="R385" i="2"/>
  <c r="O385" i="2"/>
  <c r="N385" i="2"/>
  <c r="L385" i="2"/>
  <c r="I385" i="2"/>
  <c r="H385" i="2"/>
  <c r="F385" i="2"/>
  <c r="C385" i="2"/>
  <c r="AC383" i="2"/>
  <c r="AD383" i="2" s="1"/>
  <c r="AA383" i="2"/>
  <c r="X383" i="2"/>
  <c r="W383" i="2"/>
  <c r="U383" i="2"/>
  <c r="R383" i="2"/>
  <c r="N383" i="2"/>
  <c r="O383" i="2" s="1"/>
  <c r="L383" i="2"/>
  <c r="I383" i="2"/>
  <c r="H383" i="2"/>
  <c r="F383" i="2"/>
  <c r="C383" i="2"/>
  <c r="AC382" i="2"/>
  <c r="AA382" i="2"/>
  <c r="X382" i="2"/>
  <c r="W382" i="2"/>
  <c r="U382" i="2"/>
  <c r="R382" i="2"/>
  <c r="N382" i="2"/>
  <c r="O382" i="2" s="1"/>
  <c r="L382" i="2"/>
  <c r="I382" i="2"/>
  <c r="H382" i="2"/>
  <c r="F382" i="2"/>
  <c r="C382" i="2"/>
  <c r="AC381" i="2"/>
  <c r="AD381" i="2" s="1"/>
  <c r="AA381" i="2"/>
  <c r="W381" i="2"/>
  <c r="X381" i="2" s="1"/>
  <c r="U381" i="2"/>
  <c r="R381" i="2"/>
  <c r="O381" i="2"/>
  <c r="N381" i="2"/>
  <c r="L381" i="2"/>
  <c r="I381" i="2"/>
  <c r="H381" i="2"/>
  <c r="F381" i="2"/>
  <c r="C381" i="2"/>
  <c r="AD380" i="2"/>
  <c r="AC380" i="2"/>
  <c r="AA380" i="2"/>
  <c r="W380" i="2"/>
  <c r="X380" i="2" s="1"/>
  <c r="U380" i="2"/>
  <c r="R380" i="2"/>
  <c r="O380" i="2"/>
  <c r="N380" i="2"/>
  <c r="L380" i="2"/>
  <c r="H380" i="2"/>
  <c r="I380" i="2" s="1"/>
  <c r="F380" i="2"/>
  <c r="C380" i="2"/>
  <c r="AD379" i="2"/>
  <c r="AC379" i="2"/>
  <c r="AA379" i="2"/>
  <c r="X379" i="2"/>
  <c r="W379" i="2"/>
  <c r="U379" i="2"/>
  <c r="R379" i="2"/>
  <c r="N379" i="2"/>
  <c r="O379" i="2" s="1"/>
  <c r="L379" i="2"/>
  <c r="I379" i="2"/>
  <c r="H379" i="2"/>
  <c r="F379" i="2"/>
  <c r="C379" i="2"/>
  <c r="AC378" i="2"/>
  <c r="AA378" i="2"/>
  <c r="W378" i="2"/>
  <c r="X378" i="2" s="1"/>
  <c r="U378" i="2"/>
  <c r="R378" i="2"/>
  <c r="N378" i="2"/>
  <c r="O378" i="2" s="1"/>
  <c r="L378" i="2"/>
  <c r="I378" i="2"/>
  <c r="H378" i="2"/>
  <c r="F378" i="2"/>
  <c r="C378" i="2"/>
  <c r="AC377" i="2"/>
  <c r="AD377" i="2" s="1"/>
  <c r="AA377" i="2"/>
  <c r="W377" i="2"/>
  <c r="X377" i="2" s="1"/>
  <c r="U377" i="2"/>
  <c r="R377" i="2"/>
  <c r="O377" i="2"/>
  <c r="N377" i="2"/>
  <c r="L377" i="2"/>
  <c r="I377" i="2"/>
  <c r="H377" i="2"/>
  <c r="F377" i="2"/>
  <c r="C377" i="2"/>
  <c r="AD376" i="2"/>
  <c r="AC376" i="2"/>
  <c r="AA376" i="2"/>
  <c r="W376" i="2"/>
  <c r="X376" i="2" s="1"/>
  <c r="U376" i="2"/>
  <c r="R376" i="2"/>
  <c r="N376" i="2"/>
  <c r="O376" i="2" s="1"/>
  <c r="L376" i="2"/>
  <c r="I376" i="2"/>
  <c r="H376" i="2"/>
  <c r="F376" i="2"/>
  <c r="C376" i="2"/>
  <c r="AD375" i="2"/>
  <c r="AC375" i="2"/>
  <c r="AA375" i="2"/>
  <c r="X375" i="2"/>
  <c r="W375" i="2"/>
  <c r="U375" i="2"/>
  <c r="R375" i="2"/>
  <c r="N375" i="2"/>
  <c r="O375" i="2" s="1"/>
  <c r="L375" i="2"/>
  <c r="H375" i="2"/>
  <c r="I375" i="2" s="1"/>
  <c r="F375" i="2"/>
  <c r="C375" i="2"/>
  <c r="AC374" i="2"/>
  <c r="AA374" i="2"/>
  <c r="W374" i="2"/>
  <c r="X374" i="2" s="1"/>
  <c r="U374" i="2"/>
  <c r="R374" i="2"/>
  <c r="N374" i="2"/>
  <c r="O374" i="2" s="1"/>
  <c r="L374" i="2"/>
  <c r="H374" i="2"/>
  <c r="I374" i="2" s="1"/>
  <c r="F374" i="2"/>
  <c r="C374" i="2"/>
  <c r="AC373" i="2"/>
  <c r="AA373" i="2"/>
  <c r="W373" i="2"/>
  <c r="X373" i="2" s="1"/>
  <c r="U373" i="2"/>
  <c r="R373" i="2"/>
  <c r="O373" i="2"/>
  <c r="N373" i="2"/>
  <c r="L373" i="2"/>
  <c r="I373" i="2"/>
  <c r="H373" i="2"/>
  <c r="F373" i="2"/>
  <c r="C373" i="2"/>
  <c r="AC372" i="2"/>
  <c r="AD372" i="2" s="1"/>
  <c r="AA372" i="2"/>
  <c r="W372" i="2"/>
  <c r="X372" i="2" s="1"/>
  <c r="U372" i="2"/>
  <c r="R372" i="2"/>
  <c r="O372" i="2"/>
  <c r="N372" i="2"/>
  <c r="L372" i="2"/>
  <c r="I372" i="2"/>
  <c r="H372" i="2"/>
  <c r="F372" i="2"/>
  <c r="C372" i="2"/>
  <c r="AD371" i="2"/>
  <c r="AC371" i="2"/>
  <c r="AA371" i="2"/>
  <c r="X371" i="2"/>
  <c r="W371" i="2"/>
  <c r="U371" i="2"/>
  <c r="R371" i="2"/>
  <c r="N371" i="2"/>
  <c r="O371" i="2" s="1"/>
  <c r="L371" i="2"/>
  <c r="I371" i="2"/>
  <c r="H371" i="2"/>
  <c r="F371" i="2"/>
  <c r="C371" i="2"/>
  <c r="AD370" i="2"/>
  <c r="AC370" i="2"/>
  <c r="AA370" i="2"/>
  <c r="X370" i="2"/>
  <c r="W370" i="2"/>
  <c r="U370" i="2"/>
  <c r="R370" i="2"/>
  <c r="N370" i="2"/>
  <c r="O370" i="2" s="1"/>
  <c r="L370" i="2"/>
  <c r="I370" i="2"/>
  <c r="H370" i="2"/>
  <c r="F370" i="2"/>
  <c r="C370" i="2"/>
  <c r="AC369" i="2"/>
  <c r="AA369" i="2"/>
  <c r="W369" i="2"/>
  <c r="X369" i="2" s="1"/>
  <c r="U369" i="2"/>
  <c r="R369" i="2"/>
  <c r="O369" i="2"/>
  <c r="N369" i="2"/>
  <c r="L369" i="2"/>
  <c r="I369" i="2"/>
  <c r="H369" i="2"/>
  <c r="F369" i="2"/>
  <c r="C369" i="2"/>
  <c r="AA368" i="2"/>
  <c r="Z368" i="2"/>
  <c r="T368" i="2"/>
  <c r="U368" i="2" s="1"/>
  <c r="R368" i="2"/>
  <c r="Q368" i="2"/>
  <c r="L368" i="2"/>
  <c r="K368" i="2"/>
  <c r="E368" i="2"/>
  <c r="C368" i="2"/>
  <c r="B368" i="2"/>
  <c r="N368" i="2" s="1"/>
  <c r="O368" i="2" s="1"/>
  <c r="AD367" i="2"/>
  <c r="AC367" i="2"/>
  <c r="AA367" i="2"/>
  <c r="X367" i="2"/>
  <c r="W367" i="2"/>
  <c r="U367" i="2"/>
  <c r="R367" i="2"/>
  <c r="N367" i="2"/>
  <c r="O367" i="2" s="1"/>
  <c r="L367" i="2"/>
  <c r="I367" i="2"/>
  <c r="H367" i="2"/>
  <c r="F367" i="2"/>
  <c r="C367" i="2"/>
  <c r="AC366" i="2"/>
  <c r="AA366" i="2"/>
  <c r="W366" i="2"/>
  <c r="X366" i="2" s="1"/>
  <c r="U366" i="2"/>
  <c r="R366" i="2"/>
  <c r="O366" i="2"/>
  <c r="N366" i="2"/>
  <c r="L366" i="2"/>
  <c r="I366" i="2"/>
  <c r="H366" i="2"/>
  <c r="F366" i="2"/>
  <c r="C366" i="2"/>
  <c r="AD365" i="2"/>
  <c r="AC365" i="2"/>
  <c r="AA365" i="2"/>
  <c r="W365" i="2"/>
  <c r="X365" i="2" s="1"/>
  <c r="U365" i="2"/>
  <c r="R365" i="2"/>
  <c r="O365" i="2"/>
  <c r="N365" i="2"/>
  <c r="L365" i="2"/>
  <c r="I365" i="2"/>
  <c r="H365" i="2"/>
  <c r="F365" i="2"/>
  <c r="C365" i="2"/>
  <c r="AC364" i="2"/>
  <c r="AD364" i="2" s="1"/>
  <c r="AA364" i="2"/>
  <c r="X364" i="2"/>
  <c r="W364" i="2"/>
  <c r="U364" i="2"/>
  <c r="R364" i="2"/>
  <c r="N364" i="2"/>
  <c r="O364" i="2" s="1"/>
  <c r="L364" i="2"/>
  <c r="I364" i="2"/>
  <c r="H364" i="2"/>
  <c r="F364" i="2"/>
  <c r="C364" i="2"/>
  <c r="AD363" i="2"/>
  <c r="AC363" i="2"/>
  <c r="AA363" i="2"/>
  <c r="W363" i="2"/>
  <c r="X363" i="2" s="1"/>
  <c r="U363" i="2"/>
  <c r="R363" i="2"/>
  <c r="N363" i="2"/>
  <c r="O363" i="2" s="1"/>
  <c r="L363" i="2"/>
  <c r="H363" i="2"/>
  <c r="I363" i="2" s="1"/>
  <c r="F363" i="2"/>
  <c r="C363" i="2"/>
  <c r="AC362" i="2"/>
  <c r="AA362" i="2"/>
  <c r="W362" i="2"/>
  <c r="X362" i="2" s="1"/>
  <c r="U362" i="2"/>
  <c r="R362" i="2"/>
  <c r="O362" i="2"/>
  <c r="N362" i="2"/>
  <c r="L362" i="2"/>
  <c r="I362" i="2"/>
  <c r="H362" i="2"/>
  <c r="F362" i="2"/>
  <c r="C362" i="2"/>
  <c r="AC361" i="2"/>
  <c r="AD361" i="2" s="1"/>
  <c r="AA361" i="2"/>
  <c r="W361" i="2"/>
  <c r="X361" i="2" s="1"/>
  <c r="U361" i="2"/>
  <c r="R361" i="2"/>
  <c r="O361" i="2"/>
  <c r="N361" i="2"/>
  <c r="L361" i="2"/>
  <c r="I361" i="2"/>
  <c r="H361" i="2"/>
  <c r="F361" i="2"/>
  <c r="C361" i="2"/>
  <c r="AD360" i="2"/>
  <c r="AC360" i="2"/>
  <c r="AA360" i="2"/>
  <c r="X360" i="2"/>
  <c r="W360" i="2"/>
  <c r="U360" i="2"/>
  <c r="R360" i="2"/>
  <c r="N360" i="2"/>
  <c r="O360" i="2" s="1"/>
  <c r="L360" i="2"/>
  <c r="I360" i="2"/>
  <c r="H360" i="2"/>
  <c r="F360" i="2"/>
  <c r="C360" i="2"/>
  <c r="AA358" i="2"/>
  <c r="Z358" i="2"/>
  <c r="X358" i="2"/>
  <c r="W358" i="2"/>
  <c r="U358" i="2"/>
  <c r="T358" i="2"/>
  <c r="R358" i="2"/>
  <c r="Q358" i="2"/>
  <c r="AC358" i="2" s="1"/>
  <c r="AD358" i="2" s="1"/>
  <c r="L358" i="2"/>
  <c r="K358" i="2"/>
  <c r="F358" i="2"/>
  <c r="E358" i="2"/>
  <c r="C358" i="2"/>
  <c r="B358" i="2"/>
  <c r="AD357" i="2"/>
  <c r="AC357" i="2"/>
  <c r="AA357" i="2"/>
  <c r="W357" i="2"/>
  <c r="X357" i="2" s="1"/>
  <c r="U357" i="2"/>
  <c r="R357" i="2"/>
  <c r="O357" i="2"/>
  <c r="N357" i="2"/>
  <c r="L357" i="2"/>
  <c r="I357" i="2"/>
  <c r="H357" i="2"/>
  <c r="F357" i="2"/>
  <c r="C357" i="2"/>
  <c r="AC356" i="2"/>
  <c r="AD356" i="2" s="1"/>
  <c r="AA356" i="2"/>
  <c r="X356" i="2"/>
  <c r="W356" i="2"/>
  <c r="U356" i="2"/>
  <c r="R356" i="2"/>
  <c r="N356" i="2"/>
  <c r="O356" i="2" s="1"/>
  <c r="L356" i="2"/>
  <c r="I356" i="2"/>
  <c r="H356" i="2"/>
  <c r="F356" i="2"/>
  <c r="C356" i="2"/>
  <c r="AD355" i="2"/>
  <c r="AC355" i="2"/>
  <c r="AA355" i="2"/>
  <c r="W355" i="2"/>
  <c r="X355" i="2" s="1"/>
  <c r="U355" i="2"/>
  <c r="R355" i="2"/>
  <c r="N355" i="2"/>
  <c r="O355" i="2" s="1"/>
  <c r="L355" i="2"/>
  <c r="I355" i="2"/>
  <c r="H355" i="2"/>
  <c r="F355" i="2"/>
  <c r="C355" i="2"/>
  <c r="AC354" i="2"/>
  <c r="AA354" i="2"/>
  <c r="W354" i="2"/>
  <c r="X354" i="2" s="1"/>
  <c r="U354" i="2"/>
  <c r="R354" i="2"/>
  <c r="O354" i="2"/>
  <c r="N354" i="2"/>
  <c r="L354" i="2"/>
  <c r="I354" i="2"/>
  <c r="H354" i="2"/>
  <c r="F354" i="2"/>
  <c r="C354" i="2"/>
  <c r="AD353" i="2"/>
  <c r="AC353" i="2"/>
  <c r="AA353" i="2"/>
  <c r="W353" i="2"/>
  <c r="X353" i="2" s="1"/>
  <c r="U353" i="2"/>
  <c r="R353" i="2"/>
  <c r="N353" i="2"/>
  <c r="O353" i="2" s="1"/>
  <c r="L353" i="2"/>
  <c r="I353" i="2"/>
  <c r="H353" i="2"/>
  <c r="F353" i="2"/>
  <c r="C353" i="2"/>
  <c r="AD352" i="2"/>
  <c r="AC352" i="2"/>
  <c r="AA352" i="2"/>
  <c r="X352" i="2"/>
  <c r="W352" i="2"/>
  <c r="U352" i="2"/>
  <c r="R352" i="2"/>
  <c r="N352" i="2"/>
  <c r="O352" i="2" s="1"/>
  <c r="L352" i="2"/>
  <c r="H352" i="2"/>
  <c r="I352" i="2" s="1"/>
  <c r="F352" i="2"/>
  <c r="C352" i="2"/>
  <c r="AD351" i="2"/>
  <c r="AC351" i="2"/>
  <c r="AA351" i="2"/>
  <c r="X351" i="2"/>
  <c r="W351" i="2"/>
  <c r="U351" i="2"/>
  <c r="R351" i="2"/>
  <c r="N351" i="2"/>
  <c r="O351" i="2" s="1"/>
  <c r="L351" i="2"/>
  <c r="H351" i="2"/>
  <c r="I351" i="2" s="1"/>
  <c r="F351" i="2"/>
  <c r="C351" i="2"/>
  <c r="AC350" i="2"/>
  <c r="AA350" i="2"/>
  <c r="W350" i="2"/>
  <c r="X350" i="2" s="1"/>
  <c r="U350" i="2"/>
  <c r="R350" i="2"/>
  <c r="O350" i="2"/>
  <c r="N350" i="2"/>
  <c r="L350" i="2"/>
  <c r="I350" i="2"/>
  <c r="H350" i="2"/>
  <c r="F350" i="2"/>
  <c r="C350" i="2"/>
  <c r="AC349" i="2"/>
  <c r="AD349" i="2" s="1"/>
  <c r="AA349" i="2"/>
  <c r="W349" i="2"/>
  <c r="X349" i="2" s="1"/>
  <c r="U349" i="2"/>
  <c r="R349" i="2"/>
  <c r="O349" i="2"/>
  <c r="N349" i="2"/>
  <c r="L349" i="2"/>
  <c r="I349" i="2"/>
  <c r="H349" i="2"/>
  <c r="F349" i="2"/>
  <c r="C349" i="2"/>
  <c r="AD347" i="2"/>
  <c r="AC347" i="2"/>
  <c r="AA347" i="2"/>
  <c r="X347" i="2"/>
  <c r="W347" i="2"/>
  <c r="U347" i="2"/>
  <c r="R347" i="2"/>
  <c r="N347" i="2"/>
  <c r="O347" i="2" s="1"/>
  <c r="L347" i="2"/>
  <c r="I347" i="2"/>
  <c r="H347" i="2"/>
  <c r="F347" i="2"/>
  <c r="C347" i="2"/>
  <c r="AC344" i="2"/>
  <c r="AD344" i="2" s="1"/>
  <c r="Z344" i="2"/>
  <c r="AA344" i="2" s="1"/>
  <c r="T344" i="2"/>
  <c r="U344" i="2" s="1"/>
  <c r="R344" i="2"/>
  <c r="Q344" i="2"/>
  <c r="L344" i="2"/>
  <c r="K344" i="2"/>
  <c r="H344" i="2"/>
  <c r="I344" i="2" s="1"/>
  <c r="E344" i="2"/>
  <c r="F344" i="2" s="1"/>
  <c r="B344" i="2"/>
  <c r="N344" i="2" s="1"/>
  <c r="O344" i="2" s="1"/>
  <c r="Z343" i="2"/>
  <c r="AA343" i="2" s="1"/>
  <c r="W343" i="2"/>
  <c r="X343" i="2" s="1"/>
  <c r="T343" i="2"/>
  <c r="U343" i="2" s="1"/>
  <c r="R343" i="2"/>
  <c r="Q343" i="2"/>
  <c r="K343" i="2"/>
  <c r="L343" i="2" s="1"/>
  <c r="F343" i="2"/>
  <c r="E343" i="2"/>
  <c r="C343" i="2"/>
  <c r="B343" i="2"/>
  <c r="H343" i="2" s="1"/>
  <c r="I343" i="2" s="1"/>
  <c r="Z342" i="2"/>
  <c r="AA342" i="2" s="1"/>
  <c r="X342" i="2"/>
  <c r="U342" i="2"/>
  <c r="T342" i="2"/>
  <c r="R342" i="2"/>
  <c r="Q342" i="2"/>
  <c r="W342" i="2" s="1"/>
  <c r="L342" i="2"/>
  <c r="K342" i="2"/>
  <c r="H342" i="2"/>
  <c r="I342" i="2" s="1"/>
  <c r="F342" i="2"/>
  <c r="E342" i="2"/>
  <c r="B342" i="2"/>
  <c r="N342" i="2" s="1"/>
  <c r="O342" i="2" s="1"/>
  <c r="AD341" i="2"/>
  <c r="AC341" i="2"/>
  <c r="AA341" i="2"/>
  <c r="W341" i="2"/>
  <c r="X341" i="2" s="1"/>
  <c r="U341" i="2"/>
  <c r="R341" i="2"/>
  <c r="N341" i="2"/>
  <c r="O341" i="2" s="1"/>
  <c r="L341" i="2"/>
  <c r="I341" i="2"/>
  <c r="H341" i="2"/>
  <c r="F341" i="2"/>
  <c r="C341" i="2"/>
  <c r="AC340" i="2"/>
  <c r="AD340" i="2" s="1"/>
  <c r="AA340" i="2"/>
  <c r="W340" i="2"/>
  <c r="X340" i="2" s="1"/>
  <c r="U340" i="2"/>
  <c r="R340" i="2"/>
  <c r="O340" i="2"/>
  <c r="N340" i="2"/>
  <c r="L340" i="2"/>
  <c r="I340" i="2"/>
  <c r="H340" i="2"/>
  <c r="F340" i="2"/>
  <c r="C340" i="2"/>
  <c r="AD339" i="2"/>
  <c r="AC339" i="2"/>
  <c r="AA339" i="2"/>
  <c r="W339" i="2"/>
  <c r="X339" i="2" s="1"/>
  <c r="U339" i="2"/>
  <c r="R339" i="2"/>
  <c r="O339" i="2"/>
  <c r="N339" i="2"/>
  <c r="L339" i="2"/>
  <c r="H339" i="2"/>
  <c r="I339" i="2" s="1"/>
  <c r="F339" i="2"/>
  <c r="C339" i="2"/>
  <c r="AD338" i="2"/>
  <c r="AC338" i="2"/>
  <c r="AA338" i="2"/>
  <c r="X338" i="2"/>
  <c r="W338" i="2"/>
  <c r="U338" i="2"/>
  <c r="R338" i="2"/>
  <c r="N338" i="2"/>
  <c r="O338" i="2" s="1"/>
  <c r="L338" i="2"/>
  <c r="H338" i="2"/>
  <c r="I338" i="2" s="1"/>
  <c r="F338" i="2"/>
  <c r="C338" i="2"/>
  <c r="AD337" i="2"/>
  <c r="AC337" i="2"/>
  <c r="AA337" i="2"/>
  <c r="X337" i="2"/>
  <c r="W337" i="2"/>
  <c r="U337" i="2"/>
  <c r="R337" i="2"/>
  <c r="N337" i="2"/>
  <c r="O337" i="2" s="1"/>
  <c r="L337" i="2"/>
  <c r="I337" i="2"/>
  <c r="H337" i="2"/>
  <c r="F337" i="2"/>
  <c r="C337" i="2"/>
  <c r="AC335" i="2"/>
  <c r="AA335" i="2"/>
  <c r="W335" i="2"/>
  <c r="X335" i="2" s="1"/>
  <c r="U335" i="2"/>
  <c r="R335" i="2"/>
  <c r="O335" i="2"/>
  <c r="N335" i="2"/>
  <c r="L335" i="2"/>
  <c r="I335" i="2"/>
  <c r="H335" i="2"/>
  <c r="F335" i="2"/>
  <c r="C335" i="2"/>
  <c r="AD334" i="2"/>
  <c r="AC334" i="2"/>
  <c r="AA334" i="2"/>
  <c r="W334" i="2"/>
  <c r="X334" i="2" s="1"/>
  <c r="U334" i="2"/>
  <c r="R334" i="2"/>
  <c r="O334" i="2"/>
  <c r="N334" i="2"/>
  <c r="L334" i="2"/>
  <c r="H334" i="2"/>
  <c r="I334" i="2" s="1"/>
  <c r="F334" i="2"/>
  <c r="C334" i="2"/>
  <c r="AD333" i="2"/>
  <c r="AC333" i="2"/>
  <c r="AA333" i="2"/>
  <c r="X333" i="2"/>
  <c r="W333" i="2"/>
  <c r="U333" i="2"/>
  <c r="R333" i="2"/>
  <c r="N333" i="2"/>
  <c r="O333" i="2" s="1"/>
  <c r="L333" i="2"/>
  <c r="I333" i="2"/>
  <c r="H333" i="2"/>
  <c r="F333" i="2"/>
  <c r="C333" i="2"/>
  <c r="AD332" i="2"/>
  <c r="AC332" i="2"/>
  <c r="AA332" i="2"/>
  <c r="X332" i="2"/>
  <c r="W332" i="2"/>
  <c r="U332" i="2"/>
  <c r="R332" i="2"/>
  <c r="N332" i="2"/>
  <c r="O332" i="2" s="1"/>
  <c r="L332" i="2"/>
  <c r="I332" i="2"/>
  <c r="H332" i="2"/>
  <c r="F332" i="2"/>
  <c r="C332" i="2"/>
  <c r="AC331" i="2"/>
  <c r="AD331" i="2" s="1"/>
  <c r="AA331" i="2"/>
  <c r="W331" i="2"/>
  <c r="X331" i="2" s="1"/>
  <c r="U331" i="2"/>
  <c r="R331" i="2"/>
  <c r="O331" i="2"/>
  <c r="N331" i="2"/>
  <c r="L331" i="2"/>
  <c r="I331" i="2"/>
  <c r="H331" i="2"/>
  <c r="F331" i="2"/>
  <c r="C331" i="2"/>
  <c r="AD330" i="2"/>
  <c r="AC330" i="2"/>
  <c r="AA330" i="2"/>
  <c r="W330" i="2"/>
  <c r="X330" i="2" s="1"/>
  <c r="U330" i="2"/>
  <c r="R330" i="2"/>
  <c r="O330" i="2"/>
  <c r="N330" i="2"/>
  <c r="L330" i="2"/>
  <c r="H330" i="2"/>
  <c r="I330" i="2" s="1"/>
  <c r="F330" i="2"/>
  <c r="C330" i="2"/>
  <c r="AD329" i="2"/>
  <c r="AC329" i="2"/>
  <c r="AA329" i="2"/>
  <c r="X329" i="2"/>
  <c r="W329" i="2"/>
  <c r="U329" i="2"/>
  <c r="R329" i="2"/>
  <c r="N329" i="2"/>
  <c r="O329" i="2" s="1"/>
  <c r="L329" i="2"/>
  <c r="H329" i="2"/>
  <c r="I329" i="2" s="1"/>
  <c r="F329" i="2"/>
  <c r="C329" i="2"/>
  <c r="AD328" i="2"/>
  <c r="AC328" i="2"/>
  <c r="AA328" i="2"/>
  <c r="X328" i="2"/>
  <c r="W328" i="2"/>
  <c r="U328" i="2"/>
  <c r="R328" i="2"/>
  <c r="N328" i="2"/>
  <c r="O328" i="2" s="1"/>
  <c r="L328" i="2"/>
  <c r="I328" i="2"/>
  <c r="H328" i="2"/>
  <c r="F328" i="2"/>
  <c r="C328" i="2"/>
  <c r="AA325" i="2"/>
  <c r="Z325" i="2"/>
  <c r="X325" i="2"/>
  <c r="U325" i="2"/>
  <c r="T325" i="2"/>
  <c r="W325" i="2" s="1"/>
  <c r="Q325" i="2"/>
  <c r="AC325" i="2" s="1"/>
  <c r="AD325" i="2" s="1"/>
  <c r="L325" i="2"/>
  <c r="K325" i="2"/>
  <c r="E325" i="2"/>
  <c r="C325" i="2"/>
  <c r="B325" i="2"/>
  <c r="AC324" i="2"/>
  <c r="AD324" i="2" s="1"/>
  <c r="AA324" i="2"/>
  <c r="Z324" i="2"/>
  <c r="U324" i="2"/>
  <c r="T324" i="2"/>
  <c r="R324" i="2"/>
  <c r="Q324" i="2"/>
  <c r="W324" i="2" s="1"/>
  <c r="X324" i="2" s="1"/>
  <c r="K324" i="2"/>
  <c r="L324" i="2" s="1"/>
  <c r="F324" i="2"/>
  <c r="E324" i="2"/>
  <c r="B324" i="2"/>
  <c r="C324" i="2" s="1"/>
  <c r="AD323" i="2"/>
  <c r="AC323" i="2"/>
  <c r="AA323" i="2"/>
  <c r="X323" i="2"/>
  <c r="W323" i="2"/>
  <c r="U323" i="2"/>
  <c r="R323" i="2"/>
  <c r="O323" i="2"/>
  <c r="N323" i="2"/>
  <c r="L323" i="2"/>
  <c r="H323" i="2"/>
  <c r="I323" i="2" s="1"/>
  <c r="F323" i="2"/>
  <c r="C323" i="2"/>
  <c r="AC322" i="2"/>
  <c r="AD322" i="2" s="1"/>
  <c r="AA322" i="2"/>
  <c r="X322" i="2"/>
  <c r="W322" i="2"/>
  <c r="U322" i="2"/>
  <c r="R322" i="2"/>
  <c r="O322" i="2"/>
  <c r="N322" i="2"/>
  <c r="L322" i="2"/>
  <c r="H322" i="2"/>
  <c r="I322" i="2" s="1"/>
  <c r="F322" i="2"/>
  <c r="C322" i="2"/>
  <c r="AD321" i="2"/>
  <c r="AC321" i="2"/>
  <c r="AA321" i="2"/>
  <c r="W321" i="2"/>
  <c r="X321" i="2" s="1"/>
  <c r="U321" i="2"/>
  <c r="R321" i="2"/>
  <c r="O321" i="2"/>
  <c r="N321" i="2"/>
  <c r="L321" i="2"/>
  <c r="H321" i="2"/>
  <c r="I321" i="2" s="1"/>
  <c r="F321" i="2"/>
  <c r="C321" i="2"/>
  <c r="AC320" i="2"/>
  <c r="AD320" i="2" s="1"/>
  <c r="AA320" i="2"/>
  <c r="X320" i="2"/>
  <c r="W320" i="2"/>
  <c r="U320" i="2"/>
  <c r="R320" i="2"/>
  <c r="O320" i="2"/>
  <c r="N320" i="2"/>
  <c r="L320" i="2"/>
  <c r="I320" i="2"/>
  <c r="H320" i="2"/>
  <c r="F320" i="2"/>
  <c r="C320" i="2"/>
  <c r="AD319" i="2"/>
  <c r="AC319" i="2"/>
  <c r="AA319" i="2"/>
  <c r="X319" i="2"/>
  <c r="W319" i="2"/>
  <c r="U319" i="2"/>
  <c r="R319" i="2"/>
  <c r="O319" i="2"/>
  <c r="N319" i="2"/>
  <c r="L319" i="2"/>
  <c r="H319" i="2"/>
  <c r="I319" i="2" s="1"/>
  <c r="F319" i="2"/>
  <c r="C319" i="2"/>
  <c r="AC318" i="2"/>
  <c r="AD318" i="2" s="1"/>
  <c r="AA318" i="2"/>
  <c r="X318" i="2"/>
  <c r="W318" i="2"/>
  <c r="U318" i="2"/>
  <c r="R318" i="2"/>
  <c r="O318" i="2"/>
  <c r="N318" i="2"/>
  <c r="L318" i="2"/>
  <c r="H318" i="2"/>
  <c r="I318" i="2" s="1"/>
  <c r="F318" i="2"/>
  <c r="C318" i="2"/>
  <c r="AD317" i="2"/>
  <c r="AC317" i="2"/>
  <c r="AA317" i="2"/>
  <c r="X317" i="2"/>
  <c r="W317" i="2"/>
  <c r="U317" i="2"/>
  <c r="R317" i="2"/>
  <c r="O317" i="2"/>
  <c r="N317" i="2"/>
  <c r="L317" i="2"/>
  <c r="H317" i="2"/>
  <c r="I317" i="2" s="1"/>
  <c r="F317" i="2"/>
  <c r="C317" i="2"/>
  <c r="AC316" i="2"/>
  <c r="AD316" i="2" s="1"/>
  <c r="AA316" i="2"/>
  <c r="X316" i="2"/>
  <c r="W316" i="2"/>
  <c r="U316" i="2"/>
  <c r="R316" i="2"/>
  <c r="O316" i="2"/>
  <c r="N316" i="2"/>
  <c r="L316" i="2"/>
  <c r="I316" i="2"/>
  <c r="H316" i="2"/>
  <c r="F316" i="2"/>
  <c r="C316" i="2"/>
  <c r="AC315" i="2"/>
  <c r="AD315" i="2" s="1"/>
  <c r="AA315" i="2"/>
  <c r="X315" i="2"/>
  <c r="W315" i="2"/>
  <c r="U315" i="2"/>
  <c r="R315" i="2"/>
  <c r="O315" i="2"/>
  <c r="N315" i="2"/>
  <c r="L315" i="2"/>
  <c r="H315" i="2"/>
  <c r="I315" i="2" s="1"/>
  <c r="F315" i="2"/>
  <c r="C315" i="2"/>
  <c r="AC314" i="2"/>
  <c r="AD314" i="2" s="1"/>
  <c r="AA314" i="2"/>
  <c r="X314" i="2"/>
  <c r="W314" i="2"/>
  <c r="U314" i="2"/>
  <c r="R314" i="2"/>
  <c r="O314" i="2"/>
  <c r="N314" i="2"/>
  <c r="L314" i="2"/>
  <c r="H314" i="2"/>
  <c r="I314" i="2" s="1"/>
  <c r="F314" i="2"/>
  <c r="C314" i="2"/>
  <c r="AD313" i="2"/>
  <c r="AC313" i="2"/>
  <c r="AA313" i="2"/>
  <c r="W313" i="2"/>
  <c r="X313" i="2" s="1"/>
  <c r="U313" i="2"/>
  <c r="R313" i="2"/>
  <c r="O313" i="2"/>
  <c r="N313" i="2"/>
  <c r="L313" i="2"/>
  <c r="H313" i="2"/>
  <c r="I313" i="2" s="1"/>
  <c r="F313" i="2"/>
  <c r="C313" i="2"/>
  <c r="AC312" i="2"/>
  <c r="AD312" i="2" s="1"/>
  <c r="AA312" i="2"/>
  <c r="X312" i="2"/>
  <c r="W312" i="2"/>
  <c r="U312" i="2"/>
  <c r="R312" i="2"/>
  <c r="O312" i="2"/>
  <c r="N312" i="2"/>
  <c r="L312" i="2"/>
  <c r="I312" i="2"/>
  <c r="H312" i="2"/>
  <c r="F312" i="2"/>
  <c r="C312" i="2"/>
  <c r="AD311" i="2"/>
  <c r="AC311" i="2"/>
  <c r="AA311" i="2"/>
  <c r="X311" i="2"/>
  <c r="W311" i="2"/>
  <c r="U311" i="2"/>
  <c r="R311" i="2"/>
  <c r="O311" i="2"/>
  <c r="N311" i="2"/>
  <c r="L311" i="2"/>
  <c r="H311" i="2"/>
  <c r="I311" i="2" s="1"/>
  <c r="F311" i="2"/>
  <c r="C311" i="2"/>
  <c r="AC310" i="2"/>
  <c r="AD310" i="2" s="1"/>
  <c r="AA310" i="2"/>
  <c r="X310" i="2"/>
  <c r="W310" i="2"/>
  <c r="U310" i="2"/>
  <c r="R310" i="2"/>
  <c r="O310" i="2"/>
  <c r="N310" i="2"/>
  <c r="L310" i="2"/>
  <c r="H310" i="2"/>
  <c r="I310" i="2" s="1"/>
  <c r="F310" i="2"/>
  <c r="C310" i="2"/>
  <c r="AD309" i="2"/>
  <c r="AC309" i="2"/>
  <c r="AA309" i="2"/>
  <c r="X309" i="2"/>
  <c r="W309" i="2"/>
  <c r="U309" i="2"/>
  <c r="R309" i="2"/>
  <c r="O309" i="2"/>
  <c r="N309" i="2"/>
  <c r="L309" i="2"/>
  <c r="H309" i="2"/>
  <c r="I309" i="2" s="1"/>
  <c r="F309" i="2"/>
  <c r="C309" i="2"/>
  <c r="AC308" i="2"/>
  <c r="AD308" i="2" s="1"/>
  <c r="AA308" i="2"/>
  <c r="X308" i="2"/>
  <c r="W308" i="2"/>
  <c r="U308" i="2"/>
  <c r="R308" i="2"/>
  <c r="O308" i="2"/>
  <c r="N308" i="2"/>
  <c r="L308" i="2"/>
  <c r="I308" i="2"/>
  <c r="H308" i="2"/>
  <c r="F308" i="2"/>
  <c r="C308" i="2"/>
  <c r="AC307" i="2"/>
  <c r="AD307" i="2" s="1"/>
  <c r="AA307" i="2"/>
  <c r="X307" i="2"/>
  <c r="W307" i="2"/>
  <c r="U307" i="2"/>
  <c r="R307" i="2"/>
  <c r="O307" i="2"/>
  <c r="N307" i="2"/>
  <c r="L307" i="2"/>
  <c r="H307" i="2"/>
  <c r="I307" i="2" s="1"/>
  <c r="F307" i="2"/>
  <c r="C307" i="2"/>
  <c r="AC306" i="2"/>
  <c r="AD306" i="2" s="1"/>
  <c r="AA306" i="2"/>
  <c r="X306" i="2"/>
  <c r="W306" i="2"/>
  <c r="U306" i="2"/>
  <c r="R306" i="2"/>
  <c r="O306" i="2"/>
  <c r="N306" i="2"/>
  <c r="L306" i="2"/>
  <c r="H306" i="2"/>
  <c r="I306" i="2" s="1"/>
  <c r="F306" i="2"/>
  <c r="C306" i="2"/>
  <c r="AD305" i="2"/>
  <c r="AC305" i="2"/>
  <c r="AA305" i="2"/>
  <c r="W305" i="2"/>
  <c r="X305" i="2" s="1"/>
  <c r="U305" i="2"/>
  <c r="R305" i="2"/>
  <c r="O305" i="2"/>
  <c r="N305" i="2"/>
  <c r="L305" i="2"/>
  <c r="H305" i="2"/>
  <c r="I305" i="2" s="1"/>
  <c r="F305" i="2"/>
  <c r="C305" i="2"/>
  <c r="AC304" i="2"/>
  <c r="AD304" i="2" s="1"/>
  <c r="AA304" i="2"/>
  <c r="X304" i="2"/>
  <c r="W304" i="2"/>
  <c r="U304" i="2"/>
  <c r="R304" i="2"/>
  <c r="O304" i="2"/>
  <c r="N304" i="2"/>
  <c r="L304" i="2"/>
  <c r="I304" i="2"/>
  <c r="H304" i="2"/>
  <c r="F304" i="2"/>
  <c r="C304" i="2"/>
  <c r="AD303" i="2"/>
  <c r="AC303" i="2"/>
  <c r="AA303" i="2"/>
  <c r="X303" i="2"/>
  <c r="W303" i="2"/>
  <c r="U303" i="2"/>
  <c r="R303" i="2"/>
  <c r="O303" i="2"/>
  <c r="N303" i="2"/>
  <c r="L303" i="2"/>
  <c r="H303" i="2"/>
  <c r="I303" i="2" s="1"/>
  <c r="F303" i="2"/>
  <c r="C303" i="2"/>
  <c r="AC302" i="2"/>
  <c r="AD302" i="2" s="1"/>
  <c r="AA302" i="2"/>
  <c r="X302" i="2"/>
  <c r="W302" i="2"/>
  <c r="U302" i="2"/>
  <c r="R302" i="2"/>
  <c r="O302" i="2"/>
  <c r="N302" i="2"/>
  <c r="L302" i="2"/>
  <c r="H302" i="2"/>
  <c r="I302" i="2" s="1"/>
  <c r="F302" i="2"/>
  <c r="C302" i="2"/>
  <c r="AD301" i="2"/>
  <c r="AC301" i="2"/>
  <c r="AA301" i="2"/>
  <c r="X301" i="2"/>
  <c r="W301" i="2"/>
  <c r="U301" i="2"/>
  <c r="R301" i="2"/>
  <c r="O301" i="2"/>
  <c r="N301" i="2"/>
  <c r="L301" i="2"/>
  <c r="H301" i="2"/>
  <c r="I301" i="2" s="1"/>
  <c r="F301" i="2"/>
  <c r="C301" i="2"/>
  <c r="AC300" i="2"/>
  <c r="AD300" i="2" s="1"/>
  <c r="AA300" i="2"/>
  <c r="X300" i="2"/>
  <c r="W300" i="2"/>
  <c r="U300" i="2"/>
  <c r="R300" i="2"/>
  <c r="O300" i="2"/>
  <c r="N300" i="2"/>
  <c r="L300" i="2"/>
  <c r="I300" i="2"/>
  <c r="H300" i="2"/>
  <c r="F300" i="2"/>
  <c r="C300" i="2"/>
  <c r="AC299" i="2"/>
  <c r="AD299" i="2" s="1"/>
  <c r="AA299" i="2"/>
  <c r="X299" i="2"/>
  <c r="W299" i="2"/>
  <c r="U299" i="2"/>
  <c r="R299" i="2"/>
  <c r="O299" i="2"/>
  <c r="N299" i="2"/>
  <c r="L299" i="2"/>
  <c r="H299" i="2"/>
  <c r="I299" i="2" s="1"/>
  <c r="F299" i="2"/>
  <c r="C299" i="2"/>
  <c r="AC298" i="2"/>
  <c r="AD298" i="2" s="1"/>
  <c r="AA298" i="2"/>
  <c r="X298" i="2"/>
  <c r="W298" i="2"/>
  <c r="U298" i="2"/>
  <c r="R298" i="2"/>
  <c r="O298" i="2"/>
  <c r="N298" i="2"/>
  <c r="L298" i="2"/>
  <c r="H298" i="2"/>
  <c r="I298" i="2" s="1"/>
  <c r="F298" i="2"/>
  <c r="C298" i="2"/>
  <c r="AD297" i="2"/>
  <c r="AC297" i="2"/>
  <c r="AA297" i="2"/>
  <c r="W297" i="2"/>
  <c r="X297" i="2" s="1"/>
  <c r="U297" i="2"/>
  <c r="R297" i="2"/>
  <c r="O297" i="2"/>
  <c r="N297" i="2"/>
  <c r="L297" i="2"/>
  <c r="H297" i="2"/>
  <c r="I297" i="2" s="1"/>
  <c r="F297" i="2"/>
  <c r="C297" i="2"/>
  <c r="AC295" i="2"/>
  <c r="AD295" i="2" s="1"/>
  <c r="AA295" i="2"/>
  <c r="Z295" i="2"/>
  <c r="W295" i="2"/>
  <c r="X295" i="2" s="1"/>
  <c r="U295" i="2"/>
  <c r="T295" i="2"/>
  <c r="Q295" i="2"/>
  <c r="R295" i="2" s="1"/>
  <c r="K295" i="2"/>
  <c r="L295" i="2" s="1"/>
  <c r="E295" i="2"/>
  <c r="F295" i="2" s="1"/>
  <c r="C295" i="2"/>
  <c r="B295" i="2"/>
  <c r="AC294" i="2"/>
  <c r="AD294" i="2" s="1"/>
  <c r="AA294" i="2"/>
  <c r="X294" i="2"/>
  <c r="W294" i="2"/>
  <c r="U294" i="2"/>
  <c r="R294" i="2"/>
  <c r="O294" i="2"/>
  <c r="N294" i="2"/>
  <c r="L294" i="2"/>
  <c r="H294" i="2"/>
  <c r="I294" i="2" s="1"/>
  <c r="F294" i="2"/>
  <c r="C294" i="2"/>
  <c r="AD293" i="2"/>
  <c r="AC293" i="2"/>
  <c r="AA293" i="2"/>
  <c r="X293" i="2"/>
  <c r="W293" i="2"/>
  <c r="U293" i="2"/>
  <c r="R293" i="2"/>
  <c r="O293" i="2"/>
  <c r="N293" i="2"/>
  <c r="L293" i="2"/>
  <c r="H293" i="2"/>
  <c r="I293" i="2" s="1"/>
  <c r="F293" i="2"/>
  <c r="C293" i="2"/>
  <c r="AC292" i="2"/>
  <c r="AD292" i="2" s="1"/>
  <c r="AA292" i="2"/>
  <c r="X292" i="2"/>
  <c r="W292" i="2"/>
  <c r="U292" i="2"/>
  <c r="R292" i="2"/>
  <c r="O292" i="2"/>
  <c r="N292" i="2"/>
  <c r="L292" i="2"/>
  <c r="I292" i="2"/>
  <c r="H292" i="2"/>
  <c r="F292" i="2"/>
  <c r="C292" i="2"/>
  <c r="AD291" i="2"/>
  <c r="AC291" i="2"/>
  <c r="AA291" i="2"/>
  <c r="X291" i="2"/>
  <c r="W291" i="2"/>
  <c r="U291" i="2"/>
  <c r="R291" i="2"/>
  <c r="N291" i="2"/>
  <c r="O291" i="2" s="1"/>
  <c r="L291" i="2"/>
  <c r="H291" i="2"/>
  <c r="I291" i="2" s="1"/>
  <c r="F291" i="2"/>
  <c r="C291" i="2"/>
  <c r="AC290" i="2"/>
  <c r="AD290" i="2" s="1"/>
  <c r="AA290" i="2"/>
  <c r="X290" i="2"/>
  <c r="W290" i="2"/>
  <c r="U290" i="2"/>
  <c r="R290" i="2"/>
  <c r="O290" i="2"/>
  <c r="N290" i="2"/>
  <c r="L290" i="2"/>
  <c r="I290" i="2"/>
  <c r="H290" i="2"/>
  <c r="F290" i="2"/>
  <c r="C290" i="2"/>
  <c r="AD289" i="2"/>
  <c r="AC289" i="2"/>
  <c r="AA289" i="2"/>
  <c r="W289" i="2"/>
  <c r="X289" i="2" s="1"/>
  <c r="U289" i="2"/>
  <c r="R289" i="2"/>
  <c r="O289" i="2"/>
  <c r="N289" i="2"/>
  <c r="L289" i="2"/>
  <c r="H289" i="2"/>
  <c r="I289" i="2" s="1"/>
  <c r="F289" i="2"/>
  <c r="C289" i="2"/>
  <c r="AC288" i="2"/>
  <c r="AD288" i="2" s="1"/>
  <c r="AA288" i="2"/>
  <c r="X288" i="2"/>
  <c r="W288" i="2"/>
  <c r="U288" i="2"/>
  <c r="R288" i="2"/>
  <c r="O288" i="2"/>
  <c r="N288" i="2"/>
  <c r="L288" i="2"/>
  <c r="I288" i="2"/>
  <c r="H288" i="2"/>
  <c r="F288" i="2"/>
  <c r="C288" i="2"/>
  <c r="AD287" i="2"/>
  <c r="AC287" i="2"/>
  <c r="AA287" i="2"/>
  <c r="X287" i="2"/>
  <c r="W287" i="2"/>
  <c r="U287" i="2"/>
  <c r="R287" i="2"/>
  <c r="N287" i="2"/>
  <c r="O287" i="2" s="1"/>
  <c r="L287" i="2"/>
  <c r="H287" i="2"/>
  <c r="I287" i="2" s="1"/>
  <c r="F287" i="2"/>
  <c r="C287" i="2"/>
  <c r="AC286" i="2"/>
  <c r="AD286" i="2" s="1"/>
  <c r="AA286" i="2"/>
  <c r="X286" i="2"/>
  <c r="W286" i="2"/>
  <c r="U286" i="2"/>
  <c r="R286" i="2"/>
  <c r="O286" i="2"/>
  <c r="N286" i="2"/>
  <c r="L286" i="2"/>
  <c r="H286" i="2"/>
  <c r="I286" i="2" s="1"/>
  <c r="F286" i="2"/>
  <c r="C286" i="2"/>
  <c r="Z284" i="2"/>
  <c r="AA284" i="2" s="1"/>
  <c r="W284" i="2"/>
  <c r="X284" i="2" s="1"/>
  <c r="T284" i="2"/>
  <c r="U284" i="2" s="1"/>
  <c r="R284" i="2"/>
  <c r="Q284" i="2"/>
  <c r="N284" i="2"/>
  <c r="O284" i="2" s="1"/>
  <c r="K284" i="2"/>
  <c r="L284" i="2" s="1"/>
  <c r="H284" i="2"/>
  <c r="I284" i="2" s="1"/>
  <c r="F284" i="2"/>
  <c r="E284" i="2"/>
  <c r="B284" i="2"/>
  <c r="C284" i="2" s="1"/>
  <c r="AC283" i="2"/>
  <c r="AD283" i="2" s="1"/>
  <c r="AA283" i="2"/>
  <c r="X283" i="2"/>
  <c r="W283" i="2"/>
  <c r="U283" i="2"/>
  <c r="R283" i="2"/>
  <c r="N283" i="2"/>
  <c r="O283" i="2" s="1"/>
  <c r="L283" i="2"/>
  <c r="H283" i="2"/>
  <c r="I283" i="2" s="1"/>
  <c r="F283" i="2"/>
  <c r="C283" i="2"/>
  <c r="AC282" i="2"/>
  <c r="AD282" i="2" s="1"/>
  <c r="AA282" i="2"/>
  <c r="X282" i="2"/>
  <c r="W282" i="2"/>
  <c r="U282" i="2"/>
  <c r="R282" i="2"/>
  <c r="O282" i="2"/>
  <c r="N282" i="2"/>
  <c r="L282" i="2"/>
  <c r="I282" i="2"/>
  <c r="H282" i="2"/>
  <c r="F282" i="2"/>
  <c r="C282" i="2"/>
  <c r="AD281" i="2"/>
  <c r="AC281" i="2"/>
  <c r="AA281" i="2"/>
  <c r="X281" i="2"/>
  <c r="W281" i="2"/>
  <c r="U281" i="2"/>
  <c r="R281" i="2"/>
  <c r="O281" i="2"/>
  <c r="N281" i="2"/>
  <c r="L281" i="2"/>
  <c r="H281" i="2"/>
  <c r="I281" i="2" s="1"/>
  <c r="F281" i="2"/>
  <c r="C281" i="2"/>
  <c r="AC280" i="2"/>
  <c r="AD280" i="2" s="1"/>
  <c r="AA280" i="2"/>
  <c r="X280" i="2"/>
  <c r="W280" i="2"/>
  <c r="U280" i="2"/>
  <c r="R280" i="2"/>
  <c r="O280" i="2"/>
  <c r="N280" i="2"/>
  <c r="L280" i="2"/>
  <c r="I280" i="2"/>
  <c r="H280" i="2"/>
  <c r="F280" i="2"/>
  <c r="C280" i="2"/>
  <c r="AC279" i="2"/>
  <c r="AD279" i="2" s="1"/>
  <c r="AA279" i="2"/>
  <c r="X279" i="2"/>
  <c r="W279" i="2"/>
  <c r="U279" i="2"/>
  <c r="R279" i="2"/>
  <c r="O279" i="2"/>
  <c r="N279" i="2"/>
  <c r="L279" i="2"/>
  <c r="H279" i="2"/>
  <c r="I279" i="2" s="1"/>
  <c r="F279" i="2"/>
  <c r="C279" i="2"/>
  <c r="AC278" i="2"/>
  <c r="AD278" i="2" s="1"/>
  <c r="AA278" i="2"/>
  <c r="X278" i="2"/>
  <c r="W278" i="2"/>
  <c r="U278" i="2"/>
  <c r="R278" i="2"/>
  <c r="O278" i="2"/>
  <c r="N278" i="2"/>
  <c r="L278" i="2"/>
  <c r="H278" i="2"/>
  <c r="I278" i="2" s="1"/>
  <c r="F278" i="2"/>
  <c r="C278" i="2"/>
  <c r="AD277" i="2"/>
  <c r="AC277" i="2"/>
  <c r="AA277" i="2"/>
  <c r="X277" i="2"/>
  <c r="W277" i="2"/>
  <c r="U277" i="2"/>
  <c r="R277" i="2"/>
  <c r="O277" i="2"/>
  <c r="N277" i="2"/>
  <c r="L277" i="2"/>
  <c r="H277" i="2"/>
  <c r="I277" i="2" s="1"/>
  <c r="F277" i="2"/>
  <c r="C277" i="2"/>
  <c r="AC276" i="2"/>
  <c r="AD276" i="2" s="1"/>
  <c r="AA276" i="2"/>
  <c r="X276" i="2"/>
  <c r="W276" i="2"/>
  <c r="U276" i="2"/>
  <c r="R276" i="2"/>
  <c r="O276" i="2"/>
  <c r="N276" i="2"/>
  <c r="L276" i="2"/>
  <c r="I276" i="2"/>
  <c r="H276" i="2"/>
  <c r="F276" i="2"/>
  <c r="C276" i="2"/>
  <c r="AC275" i="2"/>
  <c r="AD275" i="2" s="1"/>
  <c r="AA275" i="2"/>
  <c r="X275" i="2"/>
  <c r="W275" i="2"/>
  <c r="U275" i="2"/>
  <c r="R275" i="2"/>
  <c r="N275" i="2"/>
  <c r="O275" i="2" s="1"/>
  <c r="L275" i="2"/>
  <c r="H275" i="2"/>
  <c r="I275" i="2" s="1"/>
  <c r="F275" i="2"/>
  <c r="C275" i="2"/>
  <c r="AA273" i="2"/>
  <c r="Z273" i="2"/>
  <c r="U273" i="2"/>
  <c r="T273" i="2"/>
  <c r="Q273" i="2"/>
  <c r="R273" i="2" s="1"/>
  <c r="K273" i="2"/>
  <c r="L273" i="2" s="1"/>
  <c r="E273" i="2"/>
  <c r="F273" i="2" s="1"/>
  <c r="B273" i="2"/>
  <c r="H273" i="2" s="1"/>
  <c r="I273" i="2" s="1"/>
  <c r="AC272" i="2"/>
  <c r="AD272" i="2" s="1"/>
  <c r="AA272" i="2"/>
  <c r="X272" i="2"/>
  <c r="W272" i="2"/>
  <c r="U272" i="2"/>
  <c r="R272" i="2"/>
  <c r="O272" i="2"/>
  <c r="N272" i="2"/>
  <c r="L272" i="2"/>
  <c r="I272" i="2"/>
  <c r="H272" i="2"/>
  <c r="F272" i="2"/>
  <c r="C272" i="2"/>
  <c r="AC271" i="2"/>
  <c r="AD271" i="2" s="1"/>
  <c r="AA271" i="2"/>
  <c r="X271" i="2"/>
  <c r="W271" i="2"/>
  <c r="U271" i="2"/>
  <c r="R271" i="2"/>
  <c r="O271" i="2"/>
  <c r="N271" i="2"/>
  <c r="L271" i="2"/>
  <c r="H271" i="2"/>
  <c r="I271" i="2" s="1"/>
  <c r="F271" i="2"/>
  <c r="C271" i="2"/>
  <c r="AC270" i="2"/>
  <c r="AD270" i="2" s="1"/>
  <c r="AA270" i="2"/>
  <c r="X270" i="2"/>
  <c r="W270" i="2"/>
  <c r="U270" i="2"/>
  <c r="R270" i="2"/>
  <c r="O270" i="2"/>
  <c r="N270" i="2"/>
  <c r="L270" i="2"/>
  <c r="I270" i="2"/>
  <c r="H270" i="2"/>
  <c r="F270" i="2"/>
  <c r="C270" i="2"/>
  <c r="AD269" i="2"/>
  <c r="AC269" i="2"/>
  <c r="AA269" i="2"/>
  <c r="W269" i="2"/>
  <c r="X269" i="2" s="1"/>
  <c r="U269" i="2"/>
  <c r="R269" i="2"/>
  <c r="O269" i="2"/>
  <c r="N269" i="2"/>
  <c r="L269" i="2"/>
  <c r="H269" i="2"/>
  <c r="I269" i="2" s="1"/>
  <c r="F269" i="2"/>
  <c r="C269" i="2"/>
  <c r="AA267" i="2"/>
  <c r="Z267" i="2"/>
  <c r="W267" i="2"/>
  <c r="X267" i="2" s="1"/>
  <c r="T267" i="2"/>
  <c r="U267" i="2" s="1"/>
  <c r="Q267" i="2"/>
  <c r="R267" i="2" s="1"/>
  <c r="K267" i="2"/>
  <c r="L267" i="2" s="1"/>
  <c r="E267" i="2"/>
  <c r="F267" i="2" s="1"/>
  <c r="C267" i="2"/>
  <c r="B267" i="2"/>
  <c r="N267" i="2" s="1"/>
  <c r="O267" i="2" s="1"/>
  <c r="AC266" i="2"/>
  <c r="AD266" i="2" s="1"/>
  <c r="AA266" i="2"/>
  <c r="X266" i="2"/>
  <c r="W266" i="2"/>
  <c r="U266" i="2"/>
  <c r="R266" i="2"/>
  <c r="O266" i="2"/>
  <c r="N266" i="2"/>
  <c r="L266" i="2"/>
  <c r="I266" i="2"/>
  <c r="H266" i="2"/>
  <c r="F266" i="2"/>
  <c r="C266" i="2"/>
  <c r="AD265" i="2"/>
  <c r="AC265" i="2"/>
  <c r="AA265" i="2"/>
  <c r="X265" i="2"/>
  <c r="W265" i="2"/>
  <c r="U265" i="2"/>
  <c r="R265" i="2"/>
  <c r="O265" i="2"/>
  <c r="N265" i="2"/>
  <c r="L265" i="2"/>
  <c r="H265" i="2"/>
  <c r="I265" i="2" s="1"/>
  <c r="F265" i="2"/>
  <c r="C265" i="2"/>
  <c r="AA263" i="2"/>
  <c r="Z263" i="2"/>
  <c r="U263" i="2"/>
  <c r="T263" i="2"/>
  <c r="Q263" i="2"/>
  <c r="R263" i="2" s="1"/>
  <c r="K263" i="2"/>
  <c r="L263" i="2" s="1"/>
  <c r="I263" i="2"/>
  <c r="H263" i="2"/>
  <c r="E263" i="2"/>
  <c r="F263" i="2" s="1"/>
  <c r="C263" i="2"/>
  <c r="B263" i="2"/>
  <c r="N263" i="2" s="1"/>
  <c r="O263" i="2" s="1"/>
  <c r="AA262" i="2"/>
  <c r="Z262" i="2"/>
  <c r="U262" i="2"/>
  <c r="T262" i="2"/>
  <c r="Q262" i="2"/>
  <c r="R262" i="2" s="1"/>
  <c r="K262" i="2"/>
  <c r="L262" i="2" s="1"/>
  <c r="E262" i="2"/>
  <c r="F262" i="2" s="1"/>
  <c r="C262" i="2"/>
  <c r="B262" i="2"/>
  <c r="AC261" i="2"/>
  <c r="AD261" i="2" s="1"/>
  <c r="AA261" i="2"/>
  <c r="X261" i="2"/>
  <c r="W261" i="2"/>
  <c r="U261" i="2"/>
  <c r="R261" i="2"/>
  <c r="O261" i="2"/>
  <c r="N261" i="2"/>
  <c r="L261" i="2"/>
  <c r="I261" i="2"/>
  <c r="H261" i="2"/>
  <c r="F261" i="2"/>
  <c r="C261" i="2"/>
  <c r="AD260" i="2"/>
  <c r="AC260" i="2"/>
  <c r="AA260" i="2"/>
  <c r="X260" i="2"/>
  <c r="W260" i="2"/>
  <c r="U260" i="2"/>
  <c r="R260" i="2"/>
  <c r="O260" i="2"/>
  <c r="N260" i="2"/>
  <c r="L260" i="2"/>
  <c r="H260" i="2"/>
  <c r="I260" i="2" s="1"/>
  <c r="F260" i="2"/>
  <c r="C260" i="2"/>
  <c r="AC259" i="2"/>
  <c r="AD259" i="2" s="1"/>
  <c r="AA259" i="2"/>
  <c r="X259" i="2"/>
  <c r="W259" i="2"/>
  <c r="U259" i="2"/>
  <c r="R259" i="2"/>
  <c r="O259" i="2"/>
  <c r="N259" i="2"/>
  <c r="L259" i="2"/>
  <c r="H259" i="2"/>
  <c r="I259" i="2" s="1"/>
  <c r="F259" i="2"/>
  <c r="C259" i="2"/>
  <c r="AD258" i="2"/>
  <c r="AC258" i="2"/>
  <c r="AA258" i="2"/>
  <c r="X258" i="2"/>
  <c r="W258" i="2"/>
  <c r="U258" i="2"/>
  <c r="R258" i="2"/>
  <c r="O258" i="2"/>
  <c r="N258" i="2"/>
  <c r="L258" i="2"/>
  <c r="H258" i="2"/>
  <c r="I258" i="2" s="1"/>
  <c r="F258" i="2"/>
  <c r="C258" i="2"/>
  <c r="AC257" i="2"/>
  <c r="AD257" i="2" s="1"/>
  <c r="AA257" i="2"/>
  <c r="X257" i="2"/>
  <c r="W257" i="2"/>
  <c r="U257" i="2"/>
  <c r="R257" i="2"/>
  <c r="O257" i="2"/>
  <c r="N257" i="2"/>
  <c r="L257" i="2"/>
  <c r="I257" i="2"/>
  <c r="H257" i="2"/>
  <c r="F257" i="2"/>
  <c r="C257" i="2"/>
  <c r="AC256" i="2"/>
  <c r="AD256" i="2" s="1"/>
  <c r="AA256" i="2"/>
  <c r="X256" i="2"/>
  <c r="W256" i="2"/>
  <c r="U256" i="2"/>
  <c r="R256" i="2"/>
  <c r="N256" i="2"/>
  <c r="O256" i="2" s="1"/>
  <c r="L256" i="2"/>
  <c r="H256" i="2"/>
  <c r="I256" i="2" s="1"/>
  <c r="F256" i="2"/>
  <c r="C256" i="2"/>
  <c r="AC255" i="2"/>
  <c r="AD255" i="2" s="1"/>
  <c r="AA255" i="2"/>
  <c r="X255" i="2"/>
  <c r="W255" i="2"/>
  <c r="U255" i="2"/>
  <c r="R255" i="2"/>
  <c r="O255" i="2"/>
  <c r="N255" i="2"/>
  <c r="L255" i="2"/>
  <c r="I255" i="2"/>
  <c r="H255" i="2"/>
  <c r="F255" i="2"/>
  <c r="C255" i="2"/>
  <c r="AD254" i="2"/>
  <c r="AC254" i="2"/>
  <c r="AA254" i="2"/>
  <c r="X254" i="2"/>
  <c r="W254" i="2"/>
  <c r="U254" i="2"/>
  <c r="R254" i="2"/>
  <c r="O254" i="2"/>
  <c r="N254" i="2"/>
  <c r="L254" i="2"/>
  <c r="H254" i="2"/>
  <c r="I254" i="2" s="1"/>
  <c r="F254" i="2"/>
  <c r="C254" i="2"/>
  <c r="AC253" i="2"/>
  <c r="AD253" i="2" s="1"/>
  <c r="AA253" i="2"/>
  <c r="X253" i="2"/>
  <c r="W253" i="2"/>
  <c r="U253" i="2"/>
  <c r="R253" i="2"/>
  <c r="O253" i="2"/>
  <c r="N253" i="2"/>
  <c r="L253" i="2"/>
  <c r="I253" i="2"/>
  <c r="H253" i="2"/>
  <c r="F253" i="2"/>
  <c r="C253" i="2"/>
  <c r="AD252" i="2"/>
  <c r="AC252" i="2"/>
  <c r="AA252" i="2"/>
  <c r="X252" i="2"/>
  <c r="W252" i="2"/>
  <c r="U252" i="2"/>
  <c r="R252" i="2"/>
  <c r="O252" i="2"/>
  <c r="N252" i="2"/>
  <c r="L252" i="2"/>
  <c r="H252" i="2"/>
  <c r="I252" i="2" s="1"/>
  <c r="F252" i="2"/>
  <c r="C252" i="2"/>
  <c r="AC251" i="2"/>
  <c r="AD251" i="2" s="1"/>
  <c r="AA251" i="2"/>
  <c r="X251" i="2"/>
  <c r="W251" i="2"/>
  <c r="U251" i="2"/>
  <c r="R251" i="2"/>
  <c r="O251" i="2"/>
  <c r="N251" i="2"/>
  <c r="L251" i="2"/>
  <c r="H251" i="2"/>
  <c r="I251" i="2" s="1"/>
  <c r="F251" i="2"/>
  <c r="C251" i="2"/>
  <c r="AD250" i="2"/>
  <c r="AC250" i="2"/>
  <c r="AA250" i="2"/>
  <c r="X250" i="2"/>
  <c r="W250" i="2"/>
  <c r="U250" i="2"/>
  <c r="R250" i="2"/>
  <c r="O250" i="2"/>
  <c r="N250" i="2"/>
  <c r="L250" i="2"/>
  <c r="H250" i="2"/>
  <c r="I250" i="2" s="1"/>
  <c r="F250" i="2"/>
  <c r="C250" i="2"/>
  <c r="AC249" i="2"/>
  <c r="AD249" i="2" s="1"/>
  <c r="AA249" i="2"/>
  <c r="X249" i="2"/>
  <c r="W249" i="2"/>
  <c r="U249" i="2"/>
  <c r="R249" i="2"/>
  <c r="O249" i="2"/>
  <c r="N249" i="2"/>
  <c r="L249" i="2"/>
  <c r="I249" i="2"/>
  <c r="H249" i="2"/>
  <c r="F249" i="2"/>
  <c r="C249" i="2"/>
  <c r="AC248" i="2"/>
  <c r="AD248" i="2" s="1"/>
  <c r="AA248" i="2"/>
  <c r="X248" i="2"/>
  <c r="W248" i="2"/>
  <c r="U248" i="2"/>
  <c r="R248" i="2"/>
  <c r="N248" i="2"/>
  <c r="O248" i="2" s="1"/>
  <c r="L248" i="2"/>
  <c r="H248" i="2"/>
  <c r="I248" i="2" s="1"/>
  <c r="F248" i="2"/>
  <c r="C248" i="2"/>
  <c r="AC247" i="2"/>
  <c r="AD247" i="2" s="1"/>
  <c r="AA247" i="2"/>
  <c r="X247" i="2"/>
  <c r="W247" i="2"/>
  <c r="U247" i="2"/>
  <c r="R247" i="2"/>
  <c r="O247" i="2"/>
  <c r="N247" i="2"/>
  <c r="L247" i="2"/>
  <c r="I247" i="2"/>
  <c r="H247" i="2"/>
  <c r="F247" i="2"/>
  <c r="C247" i="2"/>
  <c r="AD246" i="2"/>
  <c r="AC246" i="2"/>
  <c r="AA246" i="2"/>
  <c r="X246" i="2"/>
  <c r="W246" i="2"/>
  <c r="U246" i="2"/>
  <c r="R246" i="2"/>
  <c r="O246" i="2"/>
  <c r="N246" i="2"/>
  <c r="L246" i="2"/>
  <c r="H246" i="2"/>
  <c r="I246" i="2" s="1"/>
  <c r="F246" i="2"/>
  <c r="C246" i="2"/>
  <c r="AC245" i="2"/>
  <c r="AD245" i="2" s="1"/>
  <c r="AA245" i="2"/>
  <c r="X245" i="2"/>
  <c r="W245" i="2"/>
  <c r="U245" i="2"/>
  <c r="R245" i="2"/>
  <c r="O245" i="2"/>
  <c r="N245" i="2"/>
  <c r="L245" i="2"/>
  <c r="I245" i="2"/>
  <c r="H245" i="2"/>
  <c r="F245" i="2"/>
  <c r="C245" i="2"/>
  <c r="AC244" i="2"/>
  <c r="AD244" i="2" s="1"/>
  <c r="AA244" i="2"/>
  <c r="X244" i="2"/>
  <c r="W244" i="2"/>
  <c r="U244" i="2"/>
  <c r="R244" i="2"/>
  <c r="O244" i="2"/>
  <c r="N244" i="2"/>
  <c r="L244" i="2"/>
  <c r="H244" i="2"/>
  <c r="I244" i="2" s="1"/>
  <c r="F244" i="2"/>
  <c r="C244" i="2"/>
  <c r="AC243" i="2"/>
  <c r="AD243" i="2" s="1"/>
  <c r="AA243" i="2"/>
  <c r="X243" i="2"/>
  <c r="W243" i="2"/>
  <c r="U243" i="2"/>
  <c r="R243" i="2"/>
  <c r="O243" i="2"/>
  <c r="N243" i="2"/>
  <c r="L243" i="2"/>
  <c r="H243" i="2"/>
  <c r="I243" i="2" s="1"/>
  <c r="F243" i="2"/>
  <c r="C243" i="2"/>
  <c r="AD242" i="2"/>
  <c r="AC242" i="2"/>
  <c r="AA242" i="2"/>
  <c r="X242" i="2"/>
  <c r="W242" i="2"/>
  <c r="U242" i="2"/>
  <c r="R242" i="2"/>
  <c r="O242" i="2"/>
  <c r="N242" i="2"/>
  <c r="L242" i="2"/>
  <c r="H242" i="2"/>
  <c r="I242" i="2" s="1"/>
  <c r="F242" i="2"/>
  <c r="C242" i="2"/>
  <c r="AC241" i="2"/>
  <c r="AD241" i="2" s="1"/>
  <c r="AA241" i="2"/>
  <c r="X241" i="2"/>
  <c r="W241" i="2"/>
  <c r="U241" i="2"/>
  <c r="R241" i="2"/>
  <c r="O241" i="2"/>
  <c r="N241" i="2"/>
  <c r="L241" i="2"/>
  <c r="I241" i="2"/>
  <c r="H241" i="2"/>
  <c r="F241" i="2"/>
  <c r="C241" i="2"/>
  <c r="AC240" i="2"/>
  <c r="AD240" i="2" s="1"/>
  <c r="AA240" i="2"/>
  <c r="X240" i="2"/>
  <c r="W240" i="2"/>
  <c r="U240" i="2"/>
  <c r="R240" i="2"/>
  <c r="N240" i="2"/>
  <c r="O240" i="2" s="1"/>
  <c r="L240" i="2"/>
  <c r="H240" i="2"/>
  <c r="I240" i="2" s="1"/>
  <c r="F240" i="2"/>
  <c r="C240" i="2"/>
  <c r="AC238" i="2"/>
  <c r="AD238" i="2" s="1"/>
  <c r="AA238" i="2"/>
  <c r="X238" i="2"/>
  <c r="W238" i="2"/>
  <c r="U238" i="2"/>
  <c r="R238" i="2"/>
  <c r="O238" i="2"/>
  <c r="N238" i="2"/>
  <c r="L238" i="2"/>
  <c r="I238" i="2"/>
  <c r="H238" i="2"/>
  <c r="F238" i="2"/>
  <c r="C238" i="2"/>
  <c r="Z236" i="2"/>
  <c r="AA236" i="2" s="1"/>
  <c r="T236" i="2"/>
  <c r="U236" i="2" s="1"/>
  <c r="R236" i="2"/>
  <c r="Q236" i="2"/>
  <c r="L236" i="2"/>
  <c r="K236" i="2"/>
  <c r="N236" i="2" s="1"/>
  <c r="O236" i="2" s="1"/>
  <c r="H236" i="2"/>
  <c r="I236" i="2" s="1"/>
  <c r="F236" i="2"/>
  <c r="E236" i="2"/>
  <c r="B236" i="2"/>
  <c r="C236" i="2" s="1"/>
  <c r="AC235" i="2"/>
  <c r="AD235" i="2" s="1"/>
  <c r="AA235" i="2"/>
  <c r="X235" i="2"/>
  <c r="W235" i="2"/>
  <c r="U235" i="2"/>
  <c r="R235" i="2"/>
  <c r="O235" i="2"/>
  <c r="N235" i="2"/>
  <c r="L235" i="2"/>
  <c r="H235" i="2"/>
  <c r="I235" i="2" s="1"/>
  <c r="F235" i="2"/>
  <c r="C235" i="2"/>
  <c r="AC234" i="2"/>
  <c r="AD234" i="2" s="1"/>
  <c r="AA234" i="2"/>
  <c r="X234" i="2"/>
  <c r="W234" i="2"/>
  <c r="U234" i="2"/>
  <c r="R234" i="2"/>
  <c r="O234" i="2"/>
  <c r="N234" i="2"/>
  <c r="L234" i="2"/>
  <c r="I234" i="2"/>
  <c r="H234" i="2"/>
  <c r="F234" i="2"/>
  <c r="C234" i="2"/>
  <c r="AD233" i="2"/>
  <c r="AC233" i="2"/>
  <c r="AA233" i="2"/>
  <c r="W233" i="2"/>
  <c r="X233" i="2" s="1"/>
  <c r="U233" i="2"/>
  <c r="R233" i="2"/>
  <c r="O233" i="2"/>
  <c r="N233" i="2"/>
  <c r="L233" i="2"/>
  <c r="H233" i="2"/>
  <c r="I233" i="2" s="1"/>
  <c r="F233" i="2"/>
  <c r="C233" i="2"/>
  <c r="AC232" i="2"/>
  <c r="AD232" i="2" s="1"/>
  <c r="AA232" i="2"/>
  <c r="X232" i="2"/>
  <c r="W232" i="2"/>
  <c r="U232" i="2"/>
  <c r="R232" i="2"/>
  <c r="O232" i="2"/>
  <c r="N232" i="2"/>
  <c r="L232" i="2"/>
  <c r="I232" i="2"/>
  <c r="H232" i="2"/>
  <c r="F232" i="2"/>
  <c r="C232" i="2"/>
  <c r="AD231" i="2"/>
  <c r="AC231" i="2"/>
  <c r="AA231" i="2"/>
  <c r="X231" i="2"/>
  <c r="W231" i="2"/>
  <c r="U231" i="2"/>
  <c r="R231" i="2"/>
  <c r="N231" i="2"/>
  <c r="O231" i="2" s="1"/>
  <c r="L231" i="2"/>
  <c r="H231" i="2"/>
  <c r="I231" i="2" s="1"/>
  <c r="F231" i="2"/>
  <c r="C231" i="2"/>
  <c r="AC230" i="2"/>
  <c r="AD230" i="2" s="1"/>
  <c r="AA230" i="2"/>
  <c r="X230" i="2"/>
  <c r="W230" i="2"/>
  <c r="U230" i="2"/>
  <c r="R230" i="2"/>
  <c r="O230" i="2"/>
  <c r="N230" i="2"/>
  <c r="L230" i="2"/>
  <c r="I230" i="2"/>
  <c r="H230" i="2"/>
  <c r="F230" i="2"/>
  <c r="C230" i="2"/>
  <c r="AD229" i="2"/>
  <c r="AC229" i="2"/>
  <c r="AA229" i="2"/>
  <c r="W229" i="2"/>
  <c r="X229" i="2" s="1"/>
  <c r="U229" i="2"/>
  <c r="R229" i="2"/>
  <c r="O229" i="2"/>
  <c r="N229" i="2"/>
  <c r="L229" i="2"/>
  <c r="H229" i="2"/>
  <c r="I229" i="2" s="1"/>
  <c r="F229" i="2"/>
  <c r="C229" i="2"/>
  <c r="AA227" i="2"/>
  <c r="Z227" i="2"/>
  <c r="U227" i="2"/>
  <c r="T227" i="2"/>
  <c r="Q227" i="2"/>
  <c r="R227" i="2" s="1"/>
  <c r="K227" i="2"/>
  <c r="L227" i="2" s="1"/>
  <c r="H227" i="2"/>
  <c r="I227" i="2" s="1"/>
  <c r="E227" i="2"/>
  <c r="F227" i="2" s="1"/>
  <c r="C227" i="2"/>
  <c r="B227" i="2"/>
  <c r="AC226" i="2"/>
  <c r="AD226" i="2" s="1"/>
  <c r="AA226" i="2"/>
  <c r="X226" i="2"/>
  <c r="W226" i="2"/>
  <c r="U226" i="2"/>
  <c r="R226" i="2"/>
  <c r="O226" i="2"/>
  <c r="N226" i="2"/>
  <c r="L226" i="2"/>
  <c r="H226" i="2"/>
  <c r="I226" i="2" s="1"/>
  <c r="F226" i="2"/>
  <c r="C226" i="2"/>
  <c r="AD225" i="2"/>
  <c r="AC225" i="2"/>
  <c r="AA225" i="2"/>
  <c r="W225" i="2"/>
  <c r="X225" i="2" s="1"/>
  <c r="U225" i="2"/>
  <c r="R225" i="2"/>
  <c r="O225" i="2"/>
  <c r="N225" i="2"/>
  <c r="L225" i="2"/>
  <c r="H225" i="2"/>
  <c r="I225" i="2" s="1"/>
  <c r="F225" i="2"/>
  <c r="C225" i="2"/>
  <c r="AC224" i="2"/>
  <c r="AD224" i="2" s="1"/>
  <c r="AA224" i="2"/>
  <c r="X224" i="2"/>
  <c r="W224" i="2"/>
  <c r="U224" i="2"/>
  <c r="R224" i="2"/>
  <c r="O224" i="2"/>
  <c r="N224" i="2"/>
  <c r="L224" i="2"/>
  <c r="I224" i="2"/>
  <c r="H224" i="2"/>
  <c r="F224" i="2"/>
  <c r="C224" i="2"/>
  <c r="AD223" i="2"/>
  <c r="AC223" i="2"/>
  <c r="AA223" i="2"/>
  <c r="X223" i="2"/>
  <c r="W223" i="2"/>
  <c r="U223" i="2"/>
  <c r="R223" i="2"/>
  <c r="O223" i="2"/>
  <c r="N223" i="2"/>
  <c r="L223" i="2"/>
  <c r="H223" i="2"/>
  <c r="I223" i="2" s="1"/>
  <c r="F223" i="2"/>
  <c r="C223" i="2"/>
  <c r="AC222" i="2"/>
  <c r="AD222" i="2" s="1"/>
  <c r="AA222" i="2"/>
  <c r="X222" i="2"/>
  <c r="W222" i="2"/>
  <c r="U222" i="2"/>
  <c r="R222" i="2"/>
  <c r="O222" i="2"/>
  <c r="N222" i="2"/>
  <c r="L222" i="2"/>
  <c r="H222" i="2"/>
  <c r="I222" i="2" s="1"/>
  <c r="F222" i="2"/>
  <c r="C222" i="2"/>
  <c r="AD221" i="2"/>
  <c r="AC221" i="2"/>
  <c r="AA221" i="2"/>
  <c r="X221" i="2"/>
  <c r="W221" i="2"/>
  <c r="U221" i="2"/>
  <c r="R221" i="2"/>
  <c r="O221" i="2"/>
  <c r="N221" i="2"/>
  <c r="L221" i="2"/>
  <c r="H221" i="2"/>
  <c r="I221" i="2" s="1"/>
  <c r="F221" i="2"/>
  <c r="C221" i="2"/>
  <c r="AC220" i="2"/>
  <c r="AD220" i="2" s="1"/>
  <c r="AA220" i="2"/>
  <c r="X220" i="2"/>
  <c r="W220" i="2"/>
  <c r="U220" i="2"/>
  <c r="R220" i="2"/>
  <c r="O220" i="2"/>
  <c r="N220" i="2"/>
  <c r="L220" i="2"/>
  <c r="I220" i="2"/>
  <c r="H220" i="2"/>
  <c r="F220" i="2"/>
  <c r="C220" i="2"/>
  <c r="AC219" i="2"/>
  <c r="AD219" i="2" s="1"/>
  <c r="AA219" i="2"/>
  <c r="X219" i="2"/>
  <c r="W219" i="2"/>
  <c r="U219" i="2"/>
  <c r="R219" i="2"/>
  <c r="O219" i="2"/>
  <c r="N219" i="2"/>
  <c r="L219" i="2"/>
  <c r="H219" i="2"/>
  <c r="I219" i="2" s="1"/>
  <c r="F219" i="2"/>
  <c r="C219" i="2"/>
  <c r="Z218" i="2"/>
  <c r="AA218" i="2" s="1"/>
  <c r="W218" i="2"/>
  <c r="X218" i="2" s="1"/>
  <c r="U218" i="2"/>
  <c r="T218" i="2"/>
  <c r="Q218" i="2"/>
  <c r="R218" i="2" s="1"/>
  <c r="K218" i="2"/>
  <c r="L218" i="2" s="1"/>
  <c r="E218" i="2"/>
  <c r="F218" i="2" s="1"/>
  <c r="C218" i="2"/>
  <c r="B218" i="2"/>
  <c r="AC217" i="2"/>
  <c r="AD217" i="2" s="1"/>
  <c r="AA217" i="2"/>
  <c r="X217" i="2"/>
  <c r="W217" i="2"/>
  <c r="U217" i="2"/>
  <c r="R217" i="2"/>
  <c r="O217" i="2"/>
  <c r="N217" i="2"/>
  <c r="L217" i="2"/>
  <c r="I217" i="2"/>
  <c r="H217" i="2"/>
  <c r="F217" i="2"/>
  <c r="C217" i="2"/>
  <c r="AC216" i="2"/>
  <c r="AD216" i="2" s="1"/>
  <c r="AA216" i="2"/>
  <c r="X216" i="2"/>
  <c r="W216" i="2"/>
  <c r="U216" i="2"/>
  <c r="R216" i="2"/>
  <c r="O216" i="2"/>
  <c r="N216" i="2"/>
  <c r="L216" i="2"/>
  <c r="H216" i="2"/>
  <c r="I216" i="2" s="1"/>
  <c r="F216" i="2"/>
  <c r="C216" i="2"/>
  <c r="AC215" i="2"/>
  <c r="AD215" i="2" s="1"/>
  <c r="AA215" i="2"/>
  <c r="X215" i="2"/>
  <c r="W215" i="2"/>
  <c r="U215" i="2"/>
  <c r="R215" i="2"/>
  <c r="O215" i="2"/>
  <c r="N215" i="2"/>
  <c r="L215" i="2"/>
  <c r="H215" i="2"/>
  <c r="I215" i="2" s="1"/>
  <c r="F215" i="2"/>
  <c r="C215" i="2"/>
  <c r="AD214" i="2"/>
  <c r="AC214" i="2"/>
  <c r="AA214" i="2"/>
  <c r="W214" i="2"/>
  <c r="X214" i="2" s="1"/>
  <c r="U214" i="2"/>
  <c r="R214" i="2"/>
  <c r="O214" i="2"/>
  <c r="N214" i="2"/>
  <c r="L214" i="2"/>
  <c r="H214" i="2"/>
  <c r="I214" i="2" s="1"/>
  <c r="F214" i="2"/>
  <c r="C214" i="2"/>
  <c r="AC213" i="2"/>
  <c r="AD213" i="2" s="1"/>
  <c r="AA213" i="2"/>
  <c r="X213" i="2"/>
  <c r="W213" i="2"/>
  <c r="U213" i="2"/>
  <c r="R213" i="2"/>
  <c r="O213" i="2"/>
  <c r="N213" i="2"/>
  <c r="L213" i="2"/>
  <c r="I213" i="2"/>
  <c r="H213" i="2"/>
  <c r="F213" i="2"/>
  <c r="C213" i="2"/>
  <c r="AD211" i="2"/>
  <c r="AC211" i="2"/>
  <c r="AA211" i="2"/>
  <c r="X211" i="2"/>
  <c r="W211" i="2"/>
  <c r="U211" i="2"/>
  <c r="R211" i="2"/>
  <c r="O211" i="2"/>
  <c r="N211" i="2"/>
  <c r="L211" i="2"/>
  <c r="H211" i="2"/>
  <c r="I211" i="2" s="1"/>
  <c r="F211" i="2"/>
  <c r="C211" i="2"/>
  <c r="Z209" i="2"/>
  <c r="AA209" i="2" s="1"/>
  <c r="U209" i="2"/>
  <c r="T209" i="2"/>
  <c r="Q209" i="2"/>
  <c r="R209" i="2" s="1"/>
  <c r="N209" i="2"/>
  <c r="O209" i="2" s="1"/>
  <c r="K209" i="2"/>
  <c r="L209" i="2" s="1"/>
  <c r="E209" i="2"/>
  <c r="F209" i="2" s="1"/>
  <c r="B209" i="2"/>
  <c r="H209" i="2" s="1"/>
  <c r="I209" i="2" s="1"/>
  <c r="AC208" i="2"/>
  <c r="AD208" i="2" s="1"/>
  <c r="AA208" i="2"/>
  <c r="X208" i="2"/>
  <c r="W208" i="2"/>
  <c r="U208" i="2"/>
  <c r="R208" i="2"/>
  <c r="O208" i="2"/>
  <c r="N208" i="2"/>
  <c r="L208" i="2"/>
  <c r="I208" i="2"/>
  <c r="H208" i="2"/>
  <c r="F208" i="2"/>
  <c r="C208" i="2"/>
  <c r="AD207" i="2"/>
  <c r="AC207" i="2"/>
  <c r="AA207" i="2"/>
  <c r="X207" i="2"/>
  <c r="W207" i="2"/>
  <c r="U207" i="2"/>
  <c r="R207" i="2"/>
  <c r="O207" i="2"/>
  <c r="N207" i="2"/>
  <c r="L207" i="2"/>
  <c r="H207" i="2"/>
  <c r="I207" i="2" s="1"/>
  <c r="F207" i="2"/>
  <c r="C207" i="2"/>
  <c r="AC206" i="2"/>
  <c r="AD206" i="2" s="1"/>
  <c r="AA206" i="2"/>
  <c r="X206" i="2"/>
  <c r="W206" i="2"/>
  <c r="U206" i="2"/>
  <c r="R206" i="2"/>
  <c r="O206" i="2"/>
  <c r="N206" i="2"/>
  <c r="L206" i="2"/>
  <c r="H206" i="2"/>
  <c r="I206" i="2" s="1"/>
  <c r="F206" i="2"/>
  <c r="C206" i="2"/>
  <c r="AD205" i="2"/>
  <c r="AC205" i="2"/>
  <c r="AA205" i="2"/>
  <c r="X205" i="2"/>
  <c r="W205" i="2"/>
  <c r="U205" i="2"/>
  <c r="R205" i="2"/>
  <c r="N205" i="2"/>
  <c r="O205" i="2" s="1"/>
  <c r="L205" i="2"/>
  <c r="H205" i="2"/>
  <c r="I205" i="2" s="1"/>
  <c r="F205" i="2"/>
  <c r="C205" i="2"/>
  <c r="AC204" i="2"/>
  <c r="AD204" i="2" s="1"/>
  <c r="AA204" i="2"/>
  <c r="X204" i="2"/>
  <c r="W204" i="2"/>
  <c r="U204" i="2"/>
  <c r="R204" i="2"/>
  <c r="O204" i="2"/>
  <c r="N204" i="2"/>
  <c r="L204" i="2"/>
  <c r="I204" i="2"/>
  <c r="H204" i="2"/>
  <c r="F204" i="2"/>
  <c r="C204" i="2"/>
  <c r="AC203" i="2"/>
  <c r="AD203" i="2" s="1"/>
  <c r="AA203" i="2"/>
  <c r="X203" i="2"/>
  <c r="W203" i="2"/>
  <c r="U203" i="2"/>
  <c r="R203" i="2"/>
  <c r="O203" i="2"/>
  <c r="N203" i="2"/>
  <c r="L203" i="2"/>
  <c r="H203" i="2"/>
  <c r="I203" i="2" s="1"/>
  <c r="F203" i="2"/>
  <c r="C203" i="2"/>
  <c r="AC202" i="2"/>
  <c r="AD202" i="2" s="1"/>
  <c r="AA202" i="2"/>
  <c r="X202" i="2"/>
  <c r="W202" i="2"/>
  <c r="U202" i="2"/>
  <c r="R202" i="2"/>
  <c r="O202" i="2"/>
  <c r="N202" i="2"/>
  <c r="L202" i="2"/>
  <c r="H202" i="2"/>
  <c r="I202" i="2" s="1"/>
  <c r="F202" i="2"/>
  <c r="C202" i="2"/>
  <c r="AC201" i="2"/>
  <c r="AD201" i="2" s="1"/>
  <c r="AA201" i="2"/>
  <c r="W201" i="2"/>
  <c r="X201" i="2" s="1"/>
  <c r="U201" i="2"/>
  <c r="R201" i="2"/>
  <c r="O201" i="2"/>
  <c r="N201" i="2"/>
  <c r="L201" i="2"/>
  <c r="H201" i="2"/>
  <c r="I201" i="2" s="1"/>
  <c r="F201" i="2"/>
  <c r="C201" i="2"/>
  <c r="AA197" i="2"/>
  <c r="Z197" i="2"/>
  <c r="AC197" i="2" s="1"/>
  <c r="AD197" i="2" s="1"/>
  <c r="W197" i="2"/>
  <c r="X197" i="2" s="1"/>
  <c r="T197" i="2"/>
  <c r="U197" i="2" s="1"/>
  <c r="Q197" i="2"/>
  <c r="R197" i="2" s="1"/>
  <c r="K197" i="2"/>
  <c r="L197" i="2" s="1"/>
  <c r="H197" i="2"/>
  <c r="I197" i="2" s="1"/>
  <c r="E197" i="2"/>
  <c r="F197" i="2" s="1"/>
  <c r="C197" i="2"/>
  <c r="B197" i="2"/>
  <c r="Z196" i="2"/>
  <c r="AA196" i="2" s="1"/>
  <c r="W196" i="2"/>
  <c r="X196" i="2" s="1"/>
  <c r="U196" i="2"/>
  <c r="T196" i="2"/>
  <c r="Q196" i="2"/>
  <c r="R196" i="2" s="1"/>
  <c r="K196" i="2"/>
  <c r="L196" i="2" s="1"/>
  <c r="E196" i="2"/>
  <c r="F196" i="2" s="1"/>
  <c r="B196" i="2"/>
  <c r="N196" i="2" s="1"/>
  <c r="O196" i="2" s="1"/>
  <c r="AC195" i="2"/>
  <c r="AD195" i="2" s="1"/>
  <c r="AA195" i="2"/>
  <c r="X195" i="2"/>
  <c r="W195" i="2"/>
  <c r="U195" i="2"/>
  <c r="R195" i="2"/>
  <c r="O195" i="2"/>
  <c r="N195" i="2"/>
  <c r="L195" i="2"/>
  <c r="H195" i="2"/>
  <c r="I195" i="2" s="1"/>
  <c r="F195" i="2"/>
  <c r="C195" i="2"/>
  <c r="AD194" i="2"/>
  <c r="AC194" i="2"/>
  <c r="AA194" i="2"/>
  <c r="X194" i="2"/>
  <c r="W194" i="2"/>
  <c r="U194" i="2"/>
  <c r="R194" i="2"/>
  <c r="N194" i="2"/>
  <c r="O194" i="2" s="1"/>
  <c r="L194" i="2"/>
  <c r="H194" i="2"/>
  <c r="I194" i="2" s="1"/>
  <c r="F194" i="2"/>
  <c r="C194" i="2"/>
  <c r="AC193" i="2"/>
  <c r="AD193" i="2" s="1"/>
  <c r="AA193" i="2"/>
  <c r="Z193" i="2"/>
  <c r="W193" i="2"/>
  <c r="X193" i="2" s="1"/>
  <c r="T193" i="2"/>
  <c r="U193" i="2" s="1"/>
  <c r="Q193" i="2"/>
  <c r="R193" i="2" s="1"/>
  <c r="K193" i="2"/>
  <c r="L193" i="2" s="1"/>
  <c r="H193" i="2"/>
  <c r="I193" i="2" s="1"/>
  <c r="E193" i="2"/>
  <c r="F193" i="2" s="1"/>
  <c r="C193" i="2"/>
  <c r="B193" i="2"/>
  <c r="AC192" i="2"/>
  <c r="AD192" i="2" s="1"/>
  <c r="AA192" i="2"/>
  <c r="X192" i="2"/>
  <c r="W192" i="2"/>
  <c r="U192" i="2"/>
  <c r="R192" i="2"/>
  <c r="O192" i="2"/>
  <c r="N192" i="2"/>
  <c r="L192" i="2"/>
  <c r="H192" i="2"/>
  <c r="I192" i="2" s="1"/>
  <c r="F192" i="2"/>
  <c r="C192" i="2"/>
  <c r="AC191" i="2"/>
  <c r="AD191" i="2" s="1"/>
  <c r="AA191" i="2"/>
  <c r="W191" i="2"/>
  <c r="X191" i="2" s="1"/>
  <c r="U191" i="2"/>
  <c r="R191" i="2"/>
  <c r="O191" i="2"/>
  <c r="N191" i="2"/>
  <c r="L191" i="2"/>
  <c r="H191" i="2"/>
  <c r="I191" i="2" s="1"/>
  <c r="F191" i="2"/>
  <c r="C191" i="2"/>
  <c r="AC190" i="2"/>
  <c r="AD190" i="2" s="1"/>
  <c r="AA190" i="2"/>
  <c r="X190" i="2"/>
  <c r="W190" i="2"/>
  <c r="U190" i="2"/>
  <c r="R190" i="2"/>
  <c r="O190" i="2"/>
  <c r="N190" i="2"/>
  <c r="L190" i="2"/>
  <c r="H190" i="2"/>
  <c r="I190" i="2" s="1"/>
  <c r="F190" i="2"/>
  <c r="C190" i="2"/>
  <c r="AD189" i="2"/>
  <c r="AC189" i="2"/>
  <c r="AA189" i="2"/>
  <c r="X189" i="2"/>
  <c r="W189" i="2"/>
  <c r="U189" i="2"/>
  <c r="R189" i="2"/>
  <c r="O189" i="2"/>
  <c r="N189" i="2"/>
  <c r="L189" i="2"/>
  <c r="H189" i="2"/>
  <c r="I189" i="2" s="1"/>
  <c r="F189" i="2"/>
  <c r="C189" i="2"/>
  <c r="AC188" i="2"/>
  <c r="AD188" i="2" s="1"/>
  <c r="AA188" i="2"/>
  <c r="X188" i="2"/>
  <c r="W188" i="2"/>
  <c r="U188" i="2"/>
  <c r="R188" i="2"/>
  <c r="O188" i="2"/>
  <c r="N188" i="2"/>
  <c r="L188" i="2"/>
  <c r="H188" i="2"/>
  <c r="I188" i="2" s="1"/>
  <c r="F188" i="2"/>
  <c r="C188" i="2"/>
  <c r="AC187" i="2"/>
  <c r="AD187" i="2" s="1"/>
  <c r="AA187" i="2"/>
  <c r="X187" i="2"/>
  <c r="W187" i="2"/>
  <c r="U187" i="2"/>
  <c r="R187" i="2"/>
  <c r="N187" i="2"/>
  <c r="O187" i="2" s="1"/>
  <c r="L187" i="2"/>
  <c r="H187" i="2"/>
  <c r="I187" i="2" s="1"/>
  <c r="F187" i="2"/>
  <c r="C187" i="2"/>
  <c r="AC186" i="2"/>
  <c r="AD186" i="2" s="1"/>
  <c r="AA186" i="2"/>
  <c r="X186" i="2"/>
  <c r="W186" i="2"/>
  <c r="U186" i="2"/>
  <c r="R186" i="2"/>
  <c r="O186" i="2"/>
  <c r="N186" i="2"/>
  <c r="L186" i="2"/>
  <c r="I186" i="2"/>
  <c r="H186" i="2"/>
  <c r="F186" i="2"/>
  <c r="C186" i="2"/>
  <c r="AC184" i="2"/>
  <c r="AD184" i="2" s="1"/>
  <c r="AA184" i="2"/>
  <c r="X184" i="2"/>
  <c r="W184" i="2"/>
  <c r="U184" i="2"/>
  <c r="R184" i="2"/>
  <c r="O184" i="2"/>
  <c r="N184" i="2"/>
  <c r="L184" i="2"/>
  <c r="H184" i="2"/>
  <c r="I184" i="2" s="1"/>
  <c r="F184" i="2"/>
  <c r="C184" i="2"/>
  <c r="AC183" i="2"/>
  <c r="AD183" i="2" s="1"/>
  <c r="AA183" i="2"/>
  <c r="X183" i="2"/>
  <c r="W183" i="2"/>
  <c r="U183" i="2"/>
  <c r="R183" i="2"/>
  <c r="O183" i="2"/>
  <c r="N183" i="2"/>
  <c r="L183" i="2"/>
  <c r="H183" i="2"/>
  <c r="I183" i="2" s="1"/>
  <c r="F183" i="2"/>
  <c r="C183" i="2"/>
  <c r="Z182" i="2"/>
  <c r="AA182" i="2" s="1"/>
  <c r="T182" i="2"/>
  <c r="U182" i="2" s="1"/>
  <c r="Q182" i="2"/>
  <c r="AC182" i="2" s="1"/>
  <c r="AD182" i="2" s="1"/>
  <c r="L182" i="2"/>
  <c r="K182" i="2"/>
  <c r="E182" i="2"/>
  <c r="F182" i="2" s="1"/>
  <c r="B182" i="2"/>
  <c r="C182" i="2" s="1"/>
  <c r="AD181" i="2"/>
  <c r="AC181" i="2"/>
  <c r="AA181" i="2"/>
  <c r="X181" i="2"/>
  <c r="W181" i="2"/>
  <c r="U181" i="2"/>
  <c r="R181" i="2"/>
  <c r="N181" i="2"/>
  <c r="O181" i="2" s="1"/>
  <c r="L181" i="2"/>
  <c r="H181" i="2"/>
  <c r="I181" i="2" s="1"/>
  <c r="F181" i="2"/>
  <c r="C181" i="2"/>
  <c r="AC180" i="2"/>
  <c r="AD180" i="2" s="1"/>
  <c r="AA180" i="2"/>
  <c r="X180" i="2"/>
  <c r="W180" i="2"/>
  <c r="U180" i="2"/>
  <c r="R180" i="2"/>
  <c r="O180" i="2"/>
  <c r="N180" i="2"/>
  <c r="L180" i="2"/>
  <c r="I180" i="2"/>
  <c r="H180" i="2"/>
  <c r="F180" i="2"/>
  <c r="C180" i="2"/>
  <c r="AD179" i="2"/>
  <c r="AC179" i="2"/>
  <c r="AA179" i="2"/>
  <c r="W179" i="2"/>
  <c r="X179" i="2" s="1"/>
  <c r="U179" i="2"/>
  <c r="R179" i="2"/>
  <c r="N179" i="2"/>
  <c r="O179" i="2" s="1"/>
  <c r="L179" i="2"/>
  <c r="H179" i="2"/>
  <c r="I179" i="2" s="1"/>
  <c r="F179" i="2"/>
  <c r="C179" i="2"/>
  <c r="AC178" i="2"/>
  <c r="AD178" i="2" s="1"/>
  <c r="AA178" i="2"/>
  <c r="X178" i="2"/>
  <c r="W178" i="2"/>
  <c r="U178" i="2"/>
  <c r="R178" i="2"/>
  <c r="O178" i="2"/>
  <c r="N178" i="2"/>
  <c r="L178" i="2"/>
  <c r="I178" i="2"/>
  <c r="H178" i="2"/>
  <c r="F178" i="2"/>
  <c r="C178" i="2"/>
  <c r="AC177" i="2"/>
  <c r="AD177" i="2" s="1"/>
  <c r="AA177" i="2"/>
  <c r="W177" i="2"/>
  <c r="X177" i="2" s="1"/>
  <c r="U177" i="2"/>
  <c r="R177" i="2"/>
  <c r="O177" i="2"/>
  <c r="N177" i="2"/>
  <c r="L177" i="2"/>
  <c r="H177" i="2"/>
  <c r="I177" i="2" s="1"/>
  <c r="F177" i="2"/>
  <c r="C177" i="2"/>
  <c r="AC175" i="2"/>
  <c r="AD175" i="2" s="1"/>
  <c r="AA175" i="2"/>
  <c r="X175" i="2"/>
  <c r="W175" i="2"/>
  <c r="U175" i="2"/>
  <c r="R175" i="2"/>
  <c r="O175" i="2"/>
  <c r="N175" i="2"/>
  <c r="L175" i="2"/>
  <c r="I175" i="2"/>
  <c r="H175" i="2"/>
  <c r="F175" i="2"/>
  <c r="C175" i="2"/>
  <c r="K172" i="2"/>
  <c r="K198" i="2" s="1"/>
  <c r="AC171" i="2"/>
  <c r="AD171" i="2" s="1"/>
  <c r="Z171" i="2"/>
  <c r="AA171" i="2" s="1"/>
  <c r="T171" i="2"/>
  <c r="U171" i="2" s="1"/>
  <c r="R171" i="2"/>
  <c r="Q171" i="2"/>
  <c r="L171" i="2"/>
  <c r="K171" i="2"/>
  <c r="N171" i="2" s="1"/>
  <c r="O171" i="2" s="1"/>
  <c r="H171" i="2"/>
  <c r="I171" i="2" s="1"/>
  <c r="E171" i="2"/>
  <c r="F171" i="2" s="1"/>
  <c r="B171" i="2"/>
  <c r="C171" i="2" s="1"/>
  <c r="Z170" i="2"/>
  <c r="AA170" i="2" s="1"/>
  <c r="W170" i="2"/>
  <c r="X170" i="2" s="1"/>
  <c r="T170" i="2"/>
  <c r="U170" i="2" s="1"/>
  <c r="R170" i="2"/>
  <c r="Q170" i="2"/>
  <c r="K170" i="2"/>
  <c r="L170" i="2" s="1"/>
  <c r="H170" i="2"/>
  <c r="I170" i="2" s="1"/>
  <c r="F170" i="2"/>
  <c r="E170" i="2"/>
  <c r="B170" i="2"/>
  <c r="C170" i="2" s="1"/>
  <c r="AD169" i="2"/>
  <c r="AC169" i="2"/>
  <c r="AA169" i="2"/>
  <c r="X169" i="2"/>
  <c r="W169" i="2"/>
  <c r="U169" i="2"/>
  <c r="R169" i="2"/>
  <c r="O169" i="2"/>
  <c r="N169" i="2"/>
  <c r="L169" i="2"/>
  <c r="H169" i="2"/>
  <c r="I169" i="2" s="1"/>
  <c r="F169" i="2"/>
  <c r="C169" i="2"/>
  <c r="AC168" i="2"/>
  <c r="AD168" i="2" s="1"/>
  <c r="AA168" i="2"/>
  <c r="X168" i="2"/>
  <c r="W168" i="2"/>
  <c r="U168" i="2"/>
  <c r="R168" i="2"/>
  <c r="O168" i="2"/>
  <c r="N168" i="2"/>
  <c r="L168" i="2"/>
  <c r="H168" i="2"/>
  <c r="I168" i="2" s="1"/>
  <c r="F168" i="2"/>
  <c r="C168" i="2"/>
  <c r="AC167" i="2"/>
  <c r="AD167" i="2" s="1"/>
  <c r="AA167" i="2"/>
  <c r="X167" i="2"/>
  <c r="W167" i="2"/>
  <c r="U167" i="2"/>
  <c r="R167" i="2"/>
  <c r="N167" i="2"/>
  <c r="O167" i="2" s="1"/>
  <c r="L167" i="2"/>
  <c r="H167" i="2"/>
  <c r="I167" i="2" s="1"/>
  <c r="F167" i="2"/>
  <c r="C167" i="2"/>
  <c r="AA166" i="2"/>
  <c r="Z166" i="2"/>
  <c r="U166" i="2"/>
  <c r="T166" i="2"/>
  <c r="Q166" i="2"/>
  <c r="R166" i="2" s="1"/>
  <c r="K166" i="2"/>
  <c r="L166" i="2" s="1"/>
  <c r="E166" i="2"/>
  <c r="F166" i="2" s="1"/>
  <c r="B166" i="2"/>
  <c r="N166" i="2" s="1"/>
  <c r="O166" i="2" s="1"/>
  <c r="AC165" i="2"/>
  <c r="AD165" i="2" s="1"/>
  <c r="AA165" i="2"/>
  <c r="X165" i="2"/>
  <c r="W165" i="2"/>
  <c r="U165" i="2"/>
  <c r="R165" i="2"/>
  <c r="O165" i="2"/>
  <c r="N165" i="2"/>
  <c r="L165" i="2"/>
  <c r="I165" i="2"/>
  <c r="H165" i="2"/>
  <c r="F165" i="2"/>
  <c r="C165" i="2"/>
  <c r="AD164" i="2"/>
  <c r="AC164" i="2"/>
  <c r="AA164" i="2"/>
  <c r="W164" i="2"/>
  <c r="X164" i="2" s="1"/>
  <c r="U164" i="2"/>
  <c r="R164" i="2"/>
  <c r="N164" i="2"/>
  <c r="O164" i="2" s="1"/>
  <c r="L164" i="2"/>
  <c r="H164" i="2"/>
  <c r="I164" i="2" s="1"/>
  <c r="F164" i="2"/>
  <c r="C164" i="2"/>
  <c r="AC163" i="2"/>
  <c r="AD163" i="2" s="1"/>
  <c r="AA163" i="2"/>
  <c r="X163" i="2"/>
  <c r="W163" i="2"/>
  <c r="U163" i="2"/>
  <c r="R163" i="2"/>
  <c r="O163" i="2"/>
  <c r="N163" i="2"/>
  <c r="L163" i="2"/>
  <c r="H163" i="2"/>
  <c r="I163" i="2" s="1"/>
  <c r="F163" i="2"/>
  <c r="C163" i="2"/>
  <c r="AD162" i="2"/>
  <c r="AC162" i="2"/>
  <c r="AA162" i="2"/>
  <c r="X162" i="2"/>
  <c r="W162" i="2"/>
  <c r="U162" i="2"/>
  <c r="R162" i="2"/>
  <c r="N162" i="2"/>
  <c r="O162" i="2" s="1"/>
  <c r="L162" i="2"/>
  <c r="H162" i="2"/>
  <c r="I162" i="2" s="1"/>
  <c r="F162" i="2"/>
  <c r="C162" i="2"/>
  <c r="AC161" i="2"/>
  <c r="AD161" i="2" s="1"/>
  <c r="AA161" i="2"/>
  <c r="X161" i="2"/>
  <c r="W161" i="2"/>
  <c r="U161" i="2"/>
  <c r="R161" i="2"/>
  <c r="O161" i="2"/>
  <c r="N161" i="2"/>
  <c r="L161" i="2"/>
  <c r="I161" i="2"/>
  <c r="H161" i="2"/>
  <c r="F161" i="2"/>
  <c r="C161" i="2"/>
  <c r="AD160" i="2"/>
  <c r="AC160" i="2"/>
  <c r="AA160" i="2"/>
  <c r="W160" i="2"/>
  <c r="X160" i="2" s="1"/>
  <c r="U160" i="2"/>
  <c r="R160" i="2"/>
  <c r="N160" i="2"/>
  <c r="O160" i="2" s="1"/>
  <c r="L160" i="2"/>
  <c r="H160" i="2"/>
  <c r="I160" i="2" s="1"/>
  <c r="F160" i="2"/>
  <c r="C160" i="2"/>
  <c r="AC158" i="2"/>
  <c r="AD158" i="2" s="1"/>
  <c r="AA158" i="2"/>
  <c r="Z158" i="2"/>
  <c r="U158" i="2"/>
  <c r="T158" i="2"/>
  <c r="Q158" i="2"/>
  <c r="R158" i="2" s="1"/>
  <c r="K158" i="2"/>
  <c r="L158" i="2" s="1"/>
  <c r="E158" i="2"/>
  <c r="F158" i="2" s="1"/>
  <c r="B158" i="2"/>
  <c r="H158" i="2" s="1"/>
  <c r="I158" i="2" s="1"/>
  <c r="AC157" i="2"/>
  <c r="AD157" i="2" s="1"/>
  <c r="AA157" i="2"/>
  <c r="X157" i="2"/>
  <c r="W157" i="2"/>
  <c r="U157" i="2"/>
  <c r="R157" i="2"/>
  <c r="O157" i="2"/>
  <c r="N157" i="2"/>
  <c r="L157" i="2"/>
  <c r="H157" i="2"/>
  <c r="I157" i="2" s="1"/>
  <c r="F157" i="2"/>
  <c r="C157" i="2"/>
  <c r="AD156" i="2"/>
  <c r="AC156" i="2"/>
  <c r="AA156" i="2"/>
  <c r="X156" i="2"/>
  <c r="W156" i="2"/>
  <c r="U156" i="2"/>
  <c r="R156" i="2"/>
  <c r="O156" i="2"/>
  <c r="N156" i="2"/>
  <c r="L156" i="2"/>
  <c r="H156" i="2"/>
  <c r="I156" i="2" s="1"/>
  <c r="F156" i="2"/>
  <c r="C156" i="2"/>
  <c r="AC155" i="2"/>
  <c r="AD155" i="2" s="1"/>
  <c r="AA155" i="2"/>
  <c r="X155" i="2"/>
  <c r="W155" i="2"/>
  <c r="U155" i="2"/>
  <c r="R155" i="2"/>
  <c r="O155" i="2"/>
  <c r="N155" i="2"/>
  <c r="L155" i="2"/>
  <c r="H155" i="2"/>
  <c r="I155" i="2" s="1"/>
  <c r="F155" i="2"/>
  <c r="C155" i="2"/>
  <c r="AD154" i="2"/>
  <c r="AC154" i="2"/>
  <c r="AA154" i="2"/>
  <c r="X154" i="2"/>
  <c r="W154" i="2"/>
  <c r="U154" i="2"/>
  <c r="R154" i="2"/>
  <c r="N154" i="2"/>
  <c r="O154" i="2" s="1"/>
  <c r="L154" i="2"/>
  <c r="H154" i="2"/>
  <c r="I154" i="2" s="1"/>
  <c r="F154" i="2"/>
  <c r="C154" i="2"/>
  <c r="AC153" i="2"/>
  <c r="AD153" i="2" s="1"/>
  <c r="AA153" i="2"/>
  <c r="X153" i="2"/>
  <c r="W153" i="2"/>
  <c r="U153" i="2"/>
  <c r="R153" i="2"/>
  <c r="O153" i="2"/>
  <c r="N153" i="2"/>
  <c r="L153" i="2"/>
  <c r="I153" i="2"/>
  <c r="H153" i="2"/>
  <c r="F153" i="2"/>
  <c r="C153" i="2"/>
  <c r="AC151" i="2"/>
  <c r="AD151" i="2" s="1"/>
  <c r="AA151" i="2"/>
  <c r="X151" i="2"/>
  <c r="W151" i="2"/>
  <c r="U151" i="2"/>
  <c r="R151" i="2"/>
  <c r="O151" i="2"/>
  <c r="N151" i="2"/>
  <c r="L151" i="2"/>
  <c r="H151" i="2"/>
  <c r="I151" i="2" s="1"/>
  <c r="F151" i="2"/>
  <c r="C151" i="2"/>
  <c r="AA149" i="2"/>
  <c r="Z149" i="2"/>
  <c r="W149" i="2"/>
  <c r="X149" i="2" s="1"/>
  <c r="U149" i="2"/>
  <c r="T149" i="2"/>
  <c r="Q149" i="2"/>
  <c r="R149" i="2" s="1"/>
  <c r="K149" i="2"/>
  <c r="L149" i="2" s="1"/>
  <c r="E149" i="2"/>
  <c r="F149" i="2" s="1"/>
  <c r="B149" i="2"/>
  <c r="N149" i="2" s="1"/>
  <c r="O149" i="2" s="1"/>
  <c r="Z148" i="2"/>
  <c r="AA148" i="2" s="1"/>
  <c r="W148" i="2"/>
  <c r="X148" i="2" s="1"/>
  <c r="T148" i="2"/>
  <c r="U148" i="2" s="1"/>
  <c r="Q148" i="2"/>
  <c r="R148" i="2" s="1"/>
  <c r="K148" i="2"/>
  <c r="L148" i="2" s="1"/>
  <c r="I148" i="2"/>
  <c r="H148" i="2"/>
  <c r="E148" i="2"/>
  <c r="F148" i="2" s="1"/>
  <c r="C148" i="2"/>
  <c r="B148" i="2"/>
  <c r="N148" i="2" s="1"/>
  <c r="O148" i="2" s="1"/>
  <c r="AC147" i="2"/>
  <c r="AD147" i="2" s="1"/>
  <c r="AA147" i="2"/>
  <c r="X147" i="2"/>
  <c r="W147" i="2"/>
  <c r="U147" i="2"/>
  <c r="R147" i="2"/>
  <c r="O147" i="2"/>
  <c r="N147" i="2"/>
  <c r="L147" i="2"/>
  <c r="I147" i="2"/>
  <c r="H147" i="2"/>
  <c r="F147" i="2"/>
  <c r="C147" i="2"/>
  <c r="AC146" i="2"/>
  <c r="AD146" i="2" s="1"/>
  <c r="AA146" i="2"/>
  <c r="X146" i="2"/>
  <c r="W146" i="2"/>
  <c r="U146" i="2"/>
  <c r="R146" i="2"/>
  <c r="O146" i="2"/>
  <c r="N146" i="2"/>
  <c r="L146" i="2"/>
  <c r="H146" i="2"/>
  <c r="I146" i="2" s="1"/>
  <c r="F146" i="2"/>
  <c r="C146" i="2"/>
  <c r="AC145" i="2"/>
  <c r="AD145" i="2" s="1"/>
  <c r="AA145" i="2"/>
  <c r="X145" i="2"/>
  <c r="W145" i="2"/>
  <c r="U145" i="2"/>
  <c r="R145" i="2"/>
  <c r="O145" i="2"/>
  <c r="N145" i="2"/>
  <c r="L145" i="2"/>
  <c r="I145" i="2"/>
  <c r="H145" i="2"/>
  <c r="F145" i="2"/>
  <c r="C145" i="2"/>
  <c r="AC144" i="2"/>
  <c r="AD144" i="2" s="1"/>
  <c r="AA144" i="2"/>
  <c r="W144" i="2"/>
  <c r="X144" i="2" s="1"/>
  <c r="U144" i="2"/>
  <c r="R144" i="2"/>
  <c r="O144" i="2"/>
  <c r="N144" i="2"/>
  <c r="L144" i="2"/>
  <c r="H144" i="2"/>
  <c r="I144" i="2" s="1"/>
  <c r="F144" i="2"/>
  <c r="C144" i="2"/>
  <c r="AC143" i="2"/>
  <c r="AD143" i="2" s="1"/>
  <c r="AA143" i="2"/>
  <c r="X143" i="2"/>
  <c r="W143" i="2"/>
  <c r="U143" i="2"/>
  <c r="R143" i="2"/>
  <c r="O143" i="2"/>
  <c r="N143" i="2"/>
  <c r="L143" i="2"/>
  <c r="H143" i="2"/>
  <c r="I143" i="2" s="1"/>
  <c r="F143" i="2"/>
  <c r="C143" i="2"/>
  <c r="Z141" i="2"/>
  <c r="AA141" i="2" s="1"/>
  <c r="X141" i="2"/>
  <c r="W141" i="2"/>
  <c r="U141" i="2"/>
  <c r="T141" i="2"/>
  <c r="R141" i="2"/>
  <c r="Q141" i="2"/>
  <c r="AC141" i="2" s="1"/>
  <c r="AD141" i="2" s="1"/>
  <c r="L141" i="2"/>
  <c r="K141" i="2"/>
  <c r="F141" i="2"/>
  <c r="E141" i="2"/>
  <c r="B141" i="2"/>
  <c r="C141" i="2" s="1"/>
  <c r="AD140" i="2"/>
  <c r="AC140" i="2"/>
  <c r="AA140" i="2"/>
  <c r="W140" i="2"/>
  <c r="X140" i="2" s="1"/>
  <c r="U140" i="2"/>
  <c r="R140" i="2"/>
  <c r="O140" i="2"/>
  <c r="N140" i="2"/>
  <c r="L140" i="2"/>
  <c r="I140" i="2"/>
  <c r="H140" i="2"/>
  <c r="F140" i="2"/>
  <c r="C140" i="2"/>
  <c r="AC139" i="2"/>
  <c r="AD139" i="2" s="1"/>
  <c r="AA139" i="2"/>
  <c r="W139" i="2"/>
  <c r="X139" i="2" s="1"/>
  <c r="U139" i="2"/>
  <c r="R139" i="2"/>
  <c r="O139" i="2"/>
  <c r="N139" i="2"/>
  <c r="L139" i="2"/>
  <c r="I139" i="2"/>
  <c r="H139" i="2"/>
  <c r="F139" i="2"/>
  <c r="C139" i="2"/>
  <c r="AD138" i="2"/>
  <c r="AC138" i="2"/>
  <c r="AA138" i="2"/>
  <c r="X138" i="2"/>
  <c r="W138" i="2"/>
  <c r="U138" i="2"/>
  <c r="R138" i="2"/>
  <c r="N138" i="2"/>
  <c r="O138" i="2" s="1"/>
  <c r="L138" i="2"/>
  <c r="H138" i="2"/>
  <c r="I138" i="2" s="1"/>
  <c r="F138" i="2"/>
  <c r="C138" i="2"/>
  <c r="AD137" i="2"/>
  <c r="AC137" i="2"/>
  <c r="AA137" i="2"/>
  <c r="X137" i="2"/>
  <c r="W137" i="2"/>
  <c r="U137" i="2"/>
  <c r="R137" i="2"/>
  <c r="N137" i="2"/>
  <c r="O137" i="2" s="1"/>
  <c r="L137" i="2"/>
  <c r="I137" i="2"/>
  <c r="H137" i="2"/>
  <c r="F137" i="2"/>
  <c r="C137" i="2"/>
  <c r="AD136" i="2"/>
  <c r="AC136" i="2"/>
  <c r="AA136" i="2"/>
  <c r="W136" i="2"/>
  <c r="X136" i="2" s="1"/>
  <c r="U136" i="2"/>
  <c r="R136" i="2"/>
  <c r="O136" i="2"/>
  <c r="N136" i="2"/>
  <c r="L136" i="2"/>
  <c r="I136" i="2"/>
  <c r="H136" i="2"/>
  <c r="F136" i="2"/>
  <c r="C136" i="2"/>
  <c r="AC135" i="2"/>
  <c r="AD135" i="2" s="1"/>
  <c r="AA135" i="2"/>
  <c r="W135" i="2"/>
  <c r="X135" i="2" s="1"/>
  <c r="U135" i="2"/>
  <c r="R135" i="2"/>
  <c r="O135" i="2"/>
  <c r="N135" i="2"/>
  <c r="L135" i="2"/>
  <c r="I135" i="2"/>
  <c r="H135" i="2"/>
  <c r="F135" i="2"/>
  <c r="C135" i="2"/>
  <c r="AD134" i="2"/>
  <c r="AC134" i="2"/>
  <c r="AA134" i="2"/>
  <c r="X134" i="2"/>
  <c r="W134" i="2"/>
  <c r="U134" i="2"/>
  <c r="R134" i="2"/>
  <c r="N134" i="2"/>
  <c r="O134" i="2" s="1"/>
  <c r="L134" i="2"/>
  <c r="H134" i="2"/>
  <c r="I134" i="2" s="1"/>
  <c r="F134" i="2"/>
  <c r="C134" i="2"/>
  <c r="AD133" i="2"/>
  <c r="AC133" i="2"/>
  <c r="AA133" i="2"/>
  <c r="X133" i="2"/>
  <c r="W133" i="2"/>
  <c r="U133" i="2"/>
  <c r="R133" i="2"/>
  <c r="N133" i="2"/>
  <c r="O133" i="2" s="1"/>
  <c r="L133" i="2"/>
  <c r="I133" i="2"/>
  <c r="H133" i="2"/>
  <c r="F133" i="2"/>
  <c r="C133" i="2"/>
  <c r="AD132" i="2"/>
  <c r="AC132" i="2"/>
  <c r="AA132" i="2"/>
  <c r="W132" i="2"/>
  <c r="X132" i="2" s="1"/>
  <c r="U132" i="2"/>
  <c r="R132" i="2"/>
  <c r="O132" i="2"/>
  <c r="N132" i="2"/>
  <c r="L132" i="2"/>
  <c r="I132" i="2"/>
  <c r="H132" i="2"/>
  <c r="F132" i="2"/>
  <c r="C132" i="2"/>
  <c r="AC131" i="2"/>
  <c r="AD131" i="2" s="1"/>
  <c r="AA131" i="2"/>
  <c r="W131" i="2"/>
  <c r="X131" i="2" s="1"/>
  <c r="U131" i="2"/>
  <c r="R131" i="2"/>
  <c r="O131" i="2"/>
  <c r="N131" i="2"/>
  <c r="L131" i="2"/>
  <c r="I131" i="2"/>
  <c r="H131" i="2"/>
  <c r="F131" i="2"/>
  <c r="C131" i="2"/>
  <c r="AD130" i="2"/>
  <c r="AC130" i="2"/>
  <c r="AA130" i="2"/>
  <c r="X130" i="2"/>
  <c r="W130" i="2"/>
  <c r="U130" i="2"/>
  <c r="R130" i="2"/>
  <c r="N130" i="2"/>
  <c r="O130" i="2" s="1"/>
  <c r="L130" i="2"/>
  <c r="H130" i="2"/>
  <c r="I130" i="2" s="1"/>
  <c r="F130" i="2"/>
  <c r="C130" i="2"/>
  <c r="AD129" i="2"/>
  <c r="AC129" i="2"/>
  <c r="AA129" i="2"/>
  <c r="X129" i="2"/>
  <c r="W129" i="2"/>
  <c r="U129" i="2"/>
  <c r="R129" i="2"/>
  <c r="N129" i="2"/>
  <c r="O129" i="2" s="1"/>
  <c r="L129" i="2"/>
  <c r="I129" i="2"/>
  <c r="H129" i="2"/>
  <c r="F129" i="2"/>
  <c r="C129" i="2"/>
  <c r="AD127" i="2"/>
  <c r="AC127" i="2"/>
  <c r="AA127" i="2"/>
  <c r="W127" i="2"/>
  <c r="X127" i="2" s="1"/>
  <c r="U127" i="2"/>
  <c r="R127" i="2"/>
  <c r="O127" i="2"/>
  <c r="N127" i="2"/>
  <c r="L127" i="2"/>
  <c r="I127" i="2"/>
  <c r="H127" i="2"/>
  <c r="F127" i="2"/>
  <c r="C127" i="2"/>
  <c r="AA124" i="2"/>
  <c r="Z124" i="2"/>
  <c r="Z172" i="2" s="1"/>
  <c r="U124" i="2"/>
  <c r="T124" i="2"/>
  <c r="T172" i="2" s="1"/>
  <c r="Q124" i="2"/>
  <c r="R124" i="2" s="1"/>
  <c r="L124" i="2"/>
  <c r="K124" i="2"/>
  <c r="E124" i="2"/>
  <c r="E172" i="2" s="1"/>
  <c r="B124" i="2"/>
  <c r="H124" i="2" s="1"/>
  <c r="I124" i="2" s="1"/>
  <c r="AD123" i="2"/>
  <c r="AC123" i="2"/>
  <c r="AA123" i="2"/>
  <c r="X123" i="2"/>
  <c r="W123" i="2"/>
  <c r="U123" i="2"/>
  <c r="R123" i="2"/>
  <c r="N123" i="2"/>
  <c r="O123" i="2" s="1"/>
  <c r="L123" i="2"/>
  <c r="I123" i="2"/>
  <c r="H123" i="2"/>
  <c r="F123" i="2"/>
  <c r="C123" i="2"/>
  <c r="AA122" i="2"/>
  <c r="Z122" i="2"/>
  <c r="T122" i="2"/>
  <c r="U122" i="2" s="1"/>
  <c r="Q122" i="2"/>
  <c r="W122" i="2" s="1"/>
  <c r="X122" i="2" s="1"/>
  <c r="L122" i="2"/>
  <c r="K122" i="2"/>
  <c r="H122" i="2"/>
  <c r="I122" i="2" s="1"/>
  <c r="E122" i="2"/>
  <c r="F122" i="2" s="1"/>
  <c r="C122" i="2"/>
  <c r="B122" i="2"/>
  <c r="N122" i="2" s="1"/>
  <c r="O122" i="2" s="1"/>
  <c r="AD121" i="2"/>
  <c r="AC121" i="2"/>
  <c r="AA121" i="2"/>
  <c r="X121" i="2"/>
  <c r="W121" i="2"/>
  <c r="U121" i="2"/>
  <c r="R121" i="2"/>
  <c r="N121" i="2"/>
  <c r="O121" i="2" s="1"/>
  <c r="L121" i="2"/>
  <c r="H121" i="2"/>
  <c r="I121" i="2" s="1"/>
  <c r="F121" i="2"/>
  <c r="C121" i="2"/>
  <c r="AD120" i="2"/>
  <c r="AC120" i="2"/>
  <c r="AA120" i="2"/>
  <c r="X120" i="2"/>
  <c r="W120" i="2"/>
  <c r="U120" i="2"/>
  <c r="R120" i="2"/>
  <c r="N120" i="2"/>
  <c r="O120" i="2" s="1"/>
  <c r="L120" i="2"/>
  <c r="I120" i="2"/>
  <c r="H120" i="2"/>
  <c r="F120" i="2"/>
  <c r="C120" i="2"/>
  <c r="AC119" i="2"/>
  <c r="AD119" i="2" s="1"/>
  <c r="AA119" i="2"/>
  <c r="W119" i="2"/>
  <c r="X119" i="2" s="1"/>
  <c r="U119" i="2"/>
  <c r="R119" i="2"/>
  <c r="O119" i="2"/>
  <c r="N119" i="2"/>
  <c r="L119" i="2"/>
  <c r="I119" i="2"/>
  <c r="H119" i="2"/>
  <c r="F119" i="2"/>
  <c r="C119" i="2"/>
  <c r="Z118" i="2"/>
  <c r="AA118" i="2" s="1"/>
  <c r="U118" i="2"/>
  <c r="T118" i="2"/>
  <c r="Q118" i="2"/>
  <c r="R118" i="2" s="1"/>
  <c r="L118" i="2"/>
  <c r="K118" i="2"/>
  <c r="E118" i="2"/>
  <c r="F118" i="2" s="1"/>
  <c r="B118" i="2"/>
  <c r="H118" i="2" s="1"/>
  <c r="I118" i="2" s="1"/>
  <c r="AD117" i="2"/>
  <c r="AC117" i="2"/>
  <c r="AA117" i="2"/>
  <c r="X117" i="2"/>
  <c r="W117" i="2"/>
  <c r="U117" i="2"/>
  <c r="R117" i="2"/>
  <c r="N117" i="2"/>
  <c r="O117" i="2" s="1"/>
  <c r="L117" i="2"/>
  <c r="I117" i="2"/>
  <c r="H117" i="2"/>
  <c r="F117" i="2"/>
  <c r="C117" i="2"/>
  <c r="AC116" i="2"/>
  <c r="AD116" i="2" s="1"/>
  <c r="AA116" i="2"/>
  <c r="W116" i="2"/>
  <c r="X116" i="2" s="1"/>
  <c r="U116" i="2"/>
  <c r="R116" i="2"/>
  <c r="O116" i="2"/>
  <c r="N116" i="2"/>
  <c r="L116" i="2"/>
  <c r="I116" i="2"/>
  <c r="H116" i="2"/>
  <c r="F116" i="2"/>
  <c r="C116" i="2"/>
  <c r="AC115" i="2"/>
  <c r="AD115" i="2" s="1"/>
  <c r="AA115" i="2"/>
  <c r="W115" i="2"/>
  <c r="X115" i="2" s="1"/>
  <c r="U115" i="2"/>
  <c r="R115" i="2"/>
  <c r="O115" i="2"/>
  <c r="N115" i="2"/>
  <c r="L115" i="2"/>
  <c r="H115" i="2"/>
  <c r="I115" i="2" s="1"/>
  <c r="F115" i="2"/>
  <c r="C115" i="2"/>
  <c r="AD114" i="2"/>
  <c r="AC114" i="2"/>
  <c r="AA114" i="2"/>
  <c r="X114" i="2"/>
  <c r="W114" i="2"/>
  <c r="U114" i="2"/>
  <c r="R114" i="2"/>
  <c r="N114" i="2"/>
  <c r="O114" i="2" s="1"/>
  <c r="L114" i="2"/>
  <c r="H114" i="2"/>
  <c r="I114" i="2" s="1"/>
  <c r="F114" i="2"/>
  <c r="C114" i="2"/>
  <c r="AD113" i="2"/>
  <c r="AC113" i="2"/>
  <c r="AA113" i="2"/>
  <c r="X113" i="2"/>
  <c r="W113" i="2"/>
  <c r="U113" i="2"/>
  <c r="R113" i="2"/>
  <c r="N113" i="2"/>
  <c r="O113" i="2" s="1"/>
  <c r="L113" i="2"/>
  <c r="I113" i="2"/>
  <c r="H113" i="2"/>
  <c r="F113" i="2"/>
  <c r="C113" i="2"/>
  <c r="AC112" i="2"/>
  <c r="AD112" i="2" s="1"/>
  <c r="AA112" i="2"/>
  <c r="W112" i="2"/>
  <c r="X112" i="2" s="1"/>
  <c r="U112" i="2"/>
  <c r="R112" i="2"/>
  <c r="O112" i="2"/>
  <c r="N112" i="2"/>
  <c r="L112" i="2"/>
  <c r="I112" i="2"/>
  <c r="H112" i="2"/>
  <c r="F112" i="2"/>
  <c r="C112" i="2"/>
  <c r="AC111" i="2"/>
  <c r="AD111" i="2" s="1"/>
  <c r="AA111" i="2"/>
  <c r="W111" i="2"/>
  <c r="X111" i="2" s="1"/>
  <c r="U111" i="2"/>
  <c r="R111" i="2"/>
  <c r="O111" i="2"/>
  <c r="N111" i="2"/>
  <c r="L111" i="2"/>
  <c r="H111" i="2"/>
  <c r="I111" i="2" s="1"/>
  <c r="F111" i="2"/>
  <c r="C111" i="2"/>
  <c r="AD110" i="2"/>
  <c r="AC110" i="2"/>
  <c r="AA110" i="2"/>
  <c r="X110" i="2"/>
  <c r="W110" i="2"/>
  <c r="U110" i="2"/>
  <c r="R110" i="2"/>
  <c r="N110" i="2"/>
  <c r="O110" i="2" s="1"/>
  <c r="L110" i="2"/>
  <c r="H110" i="2"/>
  <c r="I110" i="2" s="1"/>
  <c r="F110" i="2"/>
  <c r="C110" i="2"/>
  <c r="AD109" i="2"/>
  <c r="AC109" i="2"/>
  <c r="AA109" i="2"/>
  <c r="X109" i="2"/>
  <c r="W109" i="2"/>
  <c r="U109" i="2"/>
  <c r="R109" i="2"/>
  <c r="N109" i="2"/>
  <c r="O109" i="2" s="1"/>
  <c r="L109" i="2"/>
  <c r="I109" i="2"/>
  <c r="H109" i="2"/>
  <c r="F109" i="2"/>
  <c r="C109" i="2"/>
  <c r="AC108" i="2"/>
  <c r="AD108" i="2" s="1"/>
  <c r="AA108" i="2"/>
  <c r="W108" i="2"/>
  <c r="X108" i="2" s="1"/>
  <c r="U108" i="2"/>
  <c r="R108" i="2"/>
  <c r="O108" i="2"/>
  <c r="N108" i="2"/>
  <c r="L108" i="2"/>
  <c r="I108" i="2"/>
  <c r="H108" i="2"/>
  <c r="F108" i="2"/>
  <c r="C108" i="2"/>
  <c r="AC107" i="2"/>
  <c r="AD107" i="2" s="1"/>
  <c r="AA107" i="2"/>
  <c r="W107" i="2"/>
  <c r="X107" i="2" s="1"/>
  <c r="U107" i="2"/>
  <c r="R107" i="2"/>
  <c r="O107" i="2"/>
  <c r="N107" i="2"/>
  <c r="L107" i="2"/>
  <c r="H107" i="2"/>
  <c r="I107" i="2" s="1"/>
  <c r="F107" i="2"/>
  <c r="C107" i="2"/>
  <c r="AD106" i="2"/>
  <c r="AC106" i="2"/>
  <c r="AA106" i="2"/>
  <c r="X106" i="2"/>
  <c r="W106" i="2"/>
  <c r="U106" i="2"/>
  <c r="R106" i="2"/>
  <c r="N106" i="2"/>
  <c r="O106" i="2" s="1"/>
  <c r="L106" i="2"/>
  <c r="H106" i="2"/>
  <c r="I106" i="2" s="1"/>
  <c r="F106" i="2"/>
  <c r="C106" i="2"/>
  <c r="AD105" i="2"/>
  <c r="AC105" i="2"/>
  <c r="AA105" i="2"/>
  <c r="X105" i="2"/>
  <c r="W105" i="2"/>
  <c r="U105" i="2"/>
  <c r="R105" i="2"/>
  <c r="N105" i="2"/>
  <c r="O105" i="2" s="1"/>
  <c r="L105" i="2"/>
  <c r="I105" i="2"/>
  <c r="H105" i="2"/>
  <c r="F105" i="2"/>
  <c r="C105" i="2"/>
  <c r="AC104" i="2"/>
  <c r="AD104" i="2" s="1"/>
  <c r="AA104" i="2"/>
  <c r="W104" i="2"/>
  <c r="X104" i="2" s="1"/>
  <c r="U104" i="2"/>
  <c r="R104" i="2"/>
  <c r="O104" i="2"/>
  <c r="N104" i="2"/>
  <c r="L104" i="2"/>
  <c r="I104" i="2"/>
  <c r="H104" i="2"/>
  <c r="F104" i="2"/>
  <c r="C104" i="2"/>
  <c r="AC103" i="2"/>
  <c r="AD103" i="2" s="1"/>
  <c r="AA103" i="2"/>
  <c r="W103" i="2"/>
  <c r="X103" i="2" s="1"/>
  <c r="U103" i="2"/>
  <c r="R103" i="2"/>
  <c r="O103" i="2"/>
  <c r="N103" i="2"/>
  <c r="L103" i="2"/>
  <c r="H103" i="2"/>
  <c r="I103" i="2" s="1"/>
  <c r="F103" i="2"/>
  <c r="C103" i="2"/>
  <c r="AD102" i="2"/>
  <c r="AC102" i="2"/>
  <c r="AA102" i="2"/>
  <c r="X102" i="2"/>
  <c r="W102" i="2"/>
  <c r="U102" i="2"/>
  <c r="R102" i="2"/>
  <c r="N102" i="2"/>
  <c r="O102" i="2" s="1"/>
  <c r="L102" i="2"/>
  <c r="H102" i="2"/>
  <c r="I102" i="2" s="1"/>
  <c r="F102" i="2"/>
  <c r="C102" i="2"/>
  <c r="AD101" i="2"/>
  <c r="AC101" i="2"/>
  <c r="AA101" i="2"/>
  <c r="X101" i="2"/>
  <c r="W101" i="2"/>
  <c r="U101" i="2"/>
  <c r="R101" i="2"/>
  <c r="N101" i="2"/>
  <c r="O101" i="2" s="1"/>
  <c r="L101" i="2"/>
  <c r="I101" i="2"/>
  <c r="H101" i="2"/>
  <c r="F101" i="2"/>
  <c r="C101" i="2"/>
  <c r="AC100" i="2"/>
  <c r="AD100" i="2" s="1"/>
  <c r="AA100" i="2"/>
  <c r="W100" i="2"/>
  <c r="X100" i="2" s="1"/>
  <c r="U100" i="2"/>
  <c r="R100" i="2"/>
  <c r="O100" i="2"/>
  <c r="N100" i="2"/>
  <c r="L100" i="2"/>
  <c r="I100" i="2"/>
  <c r="H100" i="2"/>
  <c r="F100" i="2"/>
  <c r="C100" i="2"/>
  <c r="AC99" i="2"/>
  <c r="AD99" i="2" s="1"/>
  <c r="AA99" i="2"/>
  <c r="W99" i="2"/>
  <c r="X99" i="2" s="1"/>
  <c r="U99" i="2"/>
  <c r="R99" i="2"/>
  <c r="O99" i="2"/>
  <c r="N99" i="2"/>
  <c r="L99" i="2"/>
  <c r="H99" i="2"/>
  <c r="I99" i="2" s="1"/>
  <c r="F99" i="2"/>
  <c r="C99" i="2"/>
  <c r="AD98" i="2"/>
  <c r="AC98" i="2"/>
  <c r="AA98" i="2"/>
  <c r="X98" i="2"/>
  <c r="W98" i="2"/>
  <c r="U98" i="2"/>
  <c r="R98" i="2"/>
  <c r="N98" i="2"/>
  <c r="O98" i="2" s="1"/>
  <c r="L98" i="2"/>
  <c r="H98" i="2"/>
  <c r="I98" i="2" s="1"/>
  <c r="F98" i="2"/>
  <c r="C98" i="2"/>
  <c r="AD97" i="2"/>
  <c r="AC97" i="2"/>
  <c r="AA97" i="2"/>
  <c r="X97" i="2"/>
  <c r="W97" i="2"/>
  <c r="U97" i="2"/>
  <c r="R97" i="2"/>
  <c r="N97" i="2"/>
  <c r="O97" i="2" s="1"/>
  <c r="L97" i="2"/>
  <c r="I97" i="2"/>
  <c r="H97" i="2"/>
  <c r="F97" i="2"/>
  <c r="C97" i="2"/>
  <c r="AC96" i="2"/>
  <c r="AD96" i="2" s="1"/>
  <c r="AA96" i="2"/>
  <c r="W96" i="2"/>
  <c r="X96" i="2" s="1"/>
  <c r="U96" i="2"/>
  <c r="R96" i="2"/>
  <c r="O96" i="2"/>
  <c r="N96" i="2"/>
  <c r="L96" i="2"/>
  <c r="I96" i="2"/>
  <c r="H96" i="2"/>
  <c r="F96" i="2"/>
  <c r="C96" i="2"/>
  <c r="AC95" i="2"/>
  <c r="AD95" i="2" s="1"/>
  <c r="AA95" i="2"/>
  <c r="W95" i="2"/>
  <c r="X95" i="2" s="1"/>
  <c r="U95" i="2"/>
  <c r="R95" i="2"/>
  <c r="O95" i="2"/>
  <c r="N95" i="2"/>
  <c r="L95" i="2"/>
  <c r="H95" i="2"/>
  <c r="I95" i="2" s="1"/>
  <c r="F95" i="2"/>
  <c r="C95" i="2"/>
  <c r="AD94" i="2"/>
  <c r="AC94" i="2"/>
  <c r="AA94" i="2"/>
  <c r="X94" i="2"/>
  <c r="W94" i="2"/>
  <c r="U94" i="2"/>
  <c r="R94" i="2"/>
  <c r="N94" i="2"/>
  <c r="O94" i="2" s="1"/>
  <c r="L94" i="2"/>
  <c r="H94" i="2"/>
  <c r="I94" i="2" s="1"/>
  <c r="F94" i="2"/>
  <c r="C94" i="2"/>
  <c r="AD92" i="2"/>
  <c r="AC92" i="2"/>
  <c r="AA92" i="2"/>
  <c r="X92" i="2"/>
  <c r="W92" i="2"/>
  <c r="U92" i="2"/>
  <c r="R92" i="2"/>
  <c r="N92" i="2"/>
  <c r="O92" i="2" s="1"/>
  <c r="L92" i="2"/>
  <c r="I92" i="2"/>
  <c r="H92" i="2"/>
  <c r="F92" i="2"/>
  <c r="C92" i="2"/>
  <c r="AC91" i="2"/>
  <c r="AD91" i="2" s="1"/>
  <c r="AA91" i="2"/>
  <c r="W91" i="2"/>
  <c r="X91" i="2" s="1"/>
  <c r="U91" i="2"/>
  <c r="R91" i="2"/>
  <c r="O91" i="2"/>
  <c r="N91" i="2"/>
  <c r="L91" i="2"/>
  <c r="I91" i="2"/>
  <c r="H91" i="2"/>
  <c r="F91" i="2"/>
  <c r="C91" i="2"/>
  <c r="AC90" i="2"/>
  <c r="AD90" i="2" s="1"/>
  <c r="AA90" i="2"/>
  <c r="W90" i="2"/>
  <c r="X90" i="2" s="1"/>
  <c r="U90" i="2"/>
  <c r="R90" i="2"/>
  <c r="O90" i="2"/>
  <c r="N90" i="2"/>
  <c r="L90" i="2"/>
  <c r="H90" i="2"/>
  <c r="I90" i="2" s="1"/>
  <c r="F90" i="2"/>
  <c r="C90" i="2"/>
  <c r="AD89" i="2"/>
  <c r="AC89" i="2"/>
  <c r="AA89" i="2"/>
  <c r="X89" i="2"/>
  <c r="W89" i="2"/>
  <c r="U89" i="2"/>
  <c r="R89" i="2"/>
  <c r="N89" i="2"/>
  <c r="O89" i="2" s="1"/>
  <c r="L89" i="2"/>
  <c r="H89" i="2"/>
  <c r="I89" i="2" s="1"/>
  <c r="F89" i="2"/>
  <c r="C89" i="2"/>
  <c r="AA88" i="2"/>
  <c r="Z88" i="2"/>
  <c r="W88" i="2"/>
  <c r="X88" i="2" s="1"/>
  <c r="T88" i="2"/>
  <c r="U88" i="2" s="1"/>
  <c r="R88" i="2"/>
  <c r="Q88" i="2"/>
  <c r="AC88" i="2" s="1"/>
  <c r="AD88" i="2" s="1"/>
  <c r="K88" i="2"/>
  <c r="L88" i="2" s="1"/>
  <c r="H88" i="2"/>
  <c r="I88" i="2" s="1"/>
  <c r="F88" i="2"/>
  <c r="E88" i="2"/>
  <c r="C88" i="2"/>
  <c r="B88" i="2"/>
  <c r="N88" i="2" s="1"/>
  <c r="O88" i="2" s="1"/>
  <c r="AC87" i="2"/>
  <c r="AD87" i="2" s="1"/>
  <c r="AA87" i="2"/>
  <c r="W87" i="2"/>
  <c r="X87" i="2" s="1"/>
  <c r="U87" i="2"/>
  <c r="R87" i="2"/>
  <c r="O87" i="2"/>
  <c r="N87" i="2"/>
  <c r="L87" i="2"/>
  <c r="H87" i="2"/>
  <c r="I87" i="2" s="1"/>
  <c r="F87" i="2"/>
  <c r="C87" i="2"/>
  <c r="AD86" i="2"/>
  <c r="AC86" i="2"/>
  <c r="AA86" i="2"/>
  <c r="X86" i="2"/>
  <c r="W86" i="2"/>
  <c r="U86" i="2"/>
  <c r="R86" i="2"/>
  <c r="N86" i="2"/>
  <c r="O86" i="2" s="1"/>
  <c r="L86" i="2"/>
  <c r="H86" i="2"/>
  <c r="I86" i="2" s="1"/>
  <c r="F86" i="2"/>
  <c r="C86" i="2"/>
  <c r="AD85" i="2"/>
  <c r="AC85" i="2"/>
  <c r="AA85" i="2"/>
  <c r="X85" i="2"/>
  <c r="W85" i="2"/>
  <c r="U85" i="2"/>
  <c r="R85" i="2"/>
  <c r="N85" i="2"/>
  <c r="O85" i="2" s="1"/>
  <c r="L85" i="2"/>
  <c r="I85" i="2"/>
  <c r="H85" i="2"/>
  <c r="F85" i="2"/>
  <c r="C85" i="2"/>
  <c r="AC84" i="2"/>
  <c r="AD84" i="2" s="1"/>
  <c r="AA84" i="2"/>
  <c r="W84" i="2"/>
  <c r="X84" i="2" s="1"/>
  <c r="U84" i="2"/>
  <c r="R84" i="2"/>
  <c r="O84" i="2"/>
  <c r="N84" i="2"/>
  <c r="L84" i="2"/>
  <c r="I84" i="2"/>
  <c r="H84" i="2"/>
  <c r="F84" i="2"/>
  <c r="C84" i="2"/>
  <c r="AC83" i="2"/>
  <c r="AD83" i="2" s="1"/>
  <c r="AA83" i="2"/>
  <c r="W83" i="2"/>
  <c r="X83" i="2" s="1"/>
  <c r="U83" i="2"/>
  <c r="R83" i="2"/>
  <c r="O83" i="2"/>
  <c r="N83" i="2"/>
  <c r="L83" i="2"/>
  <c r="H83" i="2"/>
  <c r="I83" i="2" s="1"/>
  <c r="F83" i="2"/>
  <c r="C83" i="2"/>
  <c r="AD82" i="2"/>
  <c r="AC82" i="2"/>
  <c r="AA82" i="2"/>
  <c r="X82" i="2"/>
  <c r="W82" i="2"/>
  <c r="U82" i="2"/>
  <c r="R82" i="2"/>
  <c r="N82" i="2"/>
  <c r="O82" i="2" s="1"/>
  <c r="L82" i="2"/>
  <c r="H82" i="2"/>
  <c r="I82" i="2" s="1"/>
  <c r="F82" i="2"/>
  <c r="C82" i="2"/>
  <c r="AD81" i="2"/>
  <c r="AC81" i="2"/>
  <c r="AA81" i="2"/>
  <c r="X81" i="2"/>
  <c r="W81" i="2"/>
  <c r="U81" i="2"/>
  <c r="R81" i="2"/>
  <c r="N81" i="2"/>
  <c r="O81" i="2" s="1"/>
  <c r="L81" i="2"/>
  <c r="I81" i="2"/>
  <c r="H81" i="2"/>
  <c r="F81" i="2"/>
  <c r="C81" i="2"/>
  <c r="AC80" i="2"/>
  <c r="AD80" i="2" s="1"/>
  <c r="AA80" i="2"/>
  <c r="W80" i="2"/>
  <c r="X80" i="2" s="1"/>
  <c r="U80" i="2"/>
  <c r="R80" i="2"/>
  <c r="O80" i="2"/>
  <c r="N80" i="2"/>
  <c r="L80" i="2"/>
  <c r="I80" i="2"/>
  <c r="H80" i="2"/>
  <c r="F80" i="2"/>
  <c r="C80" i="2"/>
  <c r="AC79" i="2"/>
  <c r="AD79" i="2" s="1"/>
  <c r="AA79" i="2"/>
  <c r="W79" i="2"/>
  <c r="X79" i="2" s="1"/>
  <c r="U79" i="2"/>
  <c r="R79" i="2"/>
  <c r="O79" i="2"/>
  <c r="N79" i="2"/>
  <c r="L79" i="2"/>
  <c r="H79" i="2"/>
  <c r="I79" i="2" s="1"/>
  <c r="F79" i="2"/>
  <c r="C79" i="2"/>
  <c r="AD78" i="2"/>
  <c r="AC78" i="2"/>
  <c r="AA78" i="2"/>
  <c r="X78" i="2"/>
  <c r="W78" i="2"/>
  <c r="U78" i="2"/>
  <c r="R78" i="2"/>
  <c r="N78" i="2"/>
  <c r="O78" i="2" s="1"/>
  <c r="L78" i="2"/>
  <c r="H78" i="2"/>
  <c r="I78" i="2" s="1"/>
  <c r="F78" i="2"/>
  <c r="C78" i="2"/>
  <c r="AD77" i="2"/>
  <c r="AC77" i="2"/>
  <c r="AA77" i="2"/>
  <c r="X77" i="2"/>
  <c r="W77" i="2"/>
  <c r="U77" i="2"/>
  <c r="R77" i="2"/>
  <c r="N77" i="2"/>
  <c r="O77" i="2" s="1"/>
  <c r="L77" i="2"/>
  <c r="I77" i="2"/>
  <c r="H77" i="2"/>
  <c r="F77" i="2"/>
  <c r="C77" i="2"/>
  <c r="AC76" i="2"/>
  <c r="AD76" i="2" s="1"/>
  <c r="AA76" i="2"/>
  <c r="W76" i="2"/>
  <c r="X76" i="2" s="1"/>
  <c r="U76" i="2"/>
  <c r="R76" i="2"/>
  <c r="O76" i="2"/>
  <c r="N76" i="2"/>
  <c r="L76" i="2"/>
  <c r="I76" i="2"/>
  <c r="H76" i="2"/>
  <c r="F76" i="2"/>
  <c r="C76" i="2"/>
  <c r="AC75" i="2"/>
  <c r="AD75" i="2" s="1"/>
  <c r="AA75" i="2"/>
  <c r="W75" i="2"/>
  <c r="X75" i="2" s="1"/>
  <c r="U75" i="2"/>
  <c r="R75" i="2"/>
  <c r="O75" i="2"/>
  <c r="N75" i="2"/>
  <c r="L75" i="2"/>
  <c r="H75" i="2"/>
  <c r="I75" i="2" s="1"/>
  <c r="F75" i="2"/>
  <c r="C75" i="2"/>
  <c r="Z73" i="2"/>
  <c r="AA73" i="2" s="1"/>
  <c r="W73" i="2"/>
  <c r="X73" i="2" s="1"/>
  <c r="U73" i="2"/>
  <c r="T73" i="2"/>
  <c r="R73" i="2"/>
  <c r="Q73" i="2"/>
  <c r="AC73" i="2" s="1"/>
  <c r="AD73" i="2" s="1"/>
  <c r="K73" i="2"/>
  <c r="L73" i="2" s="1"/>
  <c r="F73" i="2"/>
  <c r="E73" i="2"/>
  <c r="B73" i="2"/>
  <c r="C73" i="2" s="1"/>
  <c r="AC72" i="2"/>
  <c r="AD72" i="2" s="1"/>
  <c r="AA72" i="2"/>
  <c r="W72" i="2"/>
  <c r="X72" i="2" s="1"/>
  <c r="U72" i="2"/>
  <c r="R72" i="2"/>
  <c r="O72" i="2"/>
  <c r="N72" i="2"/>
  <c r="L72" i="2"/>
  <c r="I72" i="2"/>
  <c r="H72" i="2"/>
  <c r="F72" i="2"/>
  <c r="C72" i="2"/>
  <c r="AC71" i="2"/>
  <c r="AD71" i="2" s="1"/>
  <c r="AA71" i="2"/>
  <c r="W71" i="2"/>
  <c r="X71" i="2" s="1"/>
  <c r="U71" i="2"/>
  <c r="R71" i="2"/>
  <c r="O71" i="2"/>
  <c r="N71" i="2"/>
  <c r="L71" i="2"/>
  <c r="H71" i="2"/>
  <c r="I71" i="2" s="1"/>
  <c r="F71" i="2"/>
  <c r="C71" i="2"/>
  <c r="AD70" i="2"/>
  <c r="AC70" i="2"/>
  <c r="AA70" i="2"/>
  <c r="X70" i="2"/>
  <c r="W70" i="2"/>
  <c r="U70" i="2"/>
  <c r="R70" i="2"/>
  <c r="N70" i="2"/>
  <c r="O70" i="2" s="1"/>
  <c r="L70" i="2"/>
  <c r="H70" i="2"/>
  <c r="I70" i="2" s="1"/>
  <c r="F70" i="2"/>
  <c r="C70" i="2"/>
  <c r="AD69" i="2"/>
  <c r="AC69" i="2"/>
  <c r="AA69" i="2"/>
  <c r="X69" i="2"/>
  <c r="W69" i="2"/>
  <c r="U69" i="2"/>
  <c r="R69" i="2"/>
  <c r="N69" i="2"/>
  <c r="O69" i="2" s="1"/>
  <c r="L69" i="2"/>
  <c r="I69" i="2"/>
  <c r="H69" i="2"/>
  <c r="F69" i="2"/>
  <c r="C69" i="2"/>
  <c r="AC68" i="2"/>
  <c r="AD68" i="2" s="1"/>
  <c r="AA68" i="2"/>
  <c r="W68" i="2"/>
  <c r="X68" i="2" s="1"/>
  <c r="U68" i="2"/>
  <c r="R68" i="2"/>
  <c r="O68" i="2"/>
  <c r="N68" i="2"/>
  <c r="L68" i="2"/>
  <c r="I68" i="2"/>
  <c r="H68" i="2"/>
  <c r="F68" i="2"/>
  <c r="C68" i="2"/>
  <c r="AC67" i="2"/>
  <c r="AD67" i="2" s="1"/>
  <c r="AA67" i="2"/>
  <c r="W67" i="2"/>
  <c r="X67" i="2" s="1"/>
  <c r="U67" i="2"/>
  <c r="R67" i="2"/>
  <c r="O67" i="2"/>
  <c r="N67" i="2"/>
  <c r="L67" i="2"/>
  <c r="H67" i="2"/>
  <c r="I67" i="2" s="1"/>
  <c r="F67" i="2"/>
  <c r="C67" i="2"/>
  <c r="AD66" i="2"/>
  <c r="AC66" i="2"/>
  <c r="AA66" i="2"/>
  <c r="X66" i="2"/>
  <c r="W66" i="2"/>
  <c r="U66" i="2"/>
  <c r="R66" i="2"/>
  <c r="N66" i="2"/>
  <c r="O66" i="2" s="1"/>
  <c r="L66" i="2"/>
  <c r="H66" i="2"/>
  <c r="I66" i="2" s="1"/>
  <c r="F66" i="2"/>
  <c r="C66" i="2"/>
  <c r="AD65" i="2"/>
  <c r="AC65" i="2"/>
  <c r="AA65" i="2"/>
  <c r="X65" i="2"/>
  <c r="W65" i="2"/>
  <c r="U65" i="2"/>
  <c r="R65" i="2"/>
  <c r="N65" i="2"/>
  <c r="O65" i="2" s="1"/>
  <c r="L65" i="2"/>
  <c r="I65" i="2"/>
  <c r="H65" i="2"/>
  <c r="F65" i="2"/>
  <c r="C65" i="2"/>
  <c r="AC64" i="2"/>
  <c r="AD64" i="2" s="1"/>
  <c r="AA64" i="2"/>
  <c r="W64" i="2"/>
  <c r="X64" i="2" s="1"/>
  <c r="U64" i="2"/>
  <c r="R64" i="2"/>
  <c r="O64" i="2"/>
  <c r="N64" i="2"/>
  <c r="L64" i="2"/>
  <c r="I64" i="2"/>
  <c r="H64" i="2"/>
  <c r="F64" i="2"/>
  <c r="C64" i="2"/>
  <c r="Z62" i="2"/>
  <c r="AA62" i="2" s="1"/>
  <c r="U62" i="2"/>
  <c r="T62" i="2"/>
  <c r="Q62" i="2"/>
  <c r="R62" i="2" s="1"/>
  <c r="L62" i="2"/>
  <c r="K62" i="2"/>
  <c r="E62" i="2"/>
  <c r="F62" i="2" s="1"/>
  <c r="B62" i="2"/>
  <c r="H62" i="2" s="1"/>
  <c r="I62" i="2" s="1"/>
  <c r="AA61" i="2"/>
  <c r="Z61" i="2"/>
  <c r="W61" i="2"/>
  <c r="X61" i="2" s="1"/>
  <c r="T61" i="2"/>
  <c r="U61" i="2" s="1"/>
  <c r="R61" i="2"/>
  <c r="Q61" i="2"/>
  <c r="AC61" i="2" s="1"/>
  <c r="AD61" i="2" s="1"/>
  <c r="K61" i="2"/>
  <c r="L61" i="2" s="1"/>
  <c r="H61" i="2"/>
  <c r="I61" i="2" s="1"/>
  <c r="F61" i="2"/>
  <c r="E61" i="2"/>
  <c r="C61" i="2"/>
  <c r="B61" i="2"/>
  <c r="N61" i="2" s="1"/>
  <c r="O61" i="2" s="1"/>
  <c r="AC60" i="2"/>
  <c r="AD60" i="2" s="1"/>
  <c r="AA60" i="2"/>
  <c r="W60" i="2"/>
  <c r="X60" i="2" s="1"/>
  <c r="U60" i="2"/>
  <c r="R60" i="2"/>
  <c r="O60" i="2"/>
  <c r="N60" i="2"/>
  <c r="L60" i="2"/>
  <c r="H60" i="2"/>
  <c r="I60" i="2" s="1"/>
  <c r="F60" i="2"/>
  <c r="C60" i="2"/>
  <c r="AD59" i="2"/>
  <c r="AC59" i="2"/>
  <c r="AA59" i="2"/>
  <c r="X59" i="2"/>
  <c r="W59" i="2"/>
  <c r="U59" i="2"/>
  <c r="R59" i="2"/>
  <c r="N59" i="2"/>
  <c r="O59" i="2" s="1"/>
  <c r="L59" i="2"/>
  <c r="H59" i="2"/>
  <c r="I59" i="2" s="1"/>
  <c r="F59" i="2"/>
  <c r="C59" i="2"/>
  <c r="AD58" i="2"/>
  <c r="AC58" i="2"/>
  <c r="AA58" i="2"/>
  <c r="X58" i="2"/>
  <c r="W58" i="2"/>
  <c r="U58" i="2"/>
  <c r="R58" i="2"/>
  <c r="N58" i="2"/>
  <c r="O58" i="2" s="1"/>
  <c r="L58" i="2"/>
  <c r="I58" i="2"/>
  <c r="H58" i="2"/>
  <c r="F58" i="2"/>
  <c r="C58" i="2"/>
  <c r="AC57" i="2"/>
  <c r="AD57" i="2" s="1"/>
  <c r="AA57" i="2"/>
  <c r="W57" i="2"/>
  <c r="X57" i="2" s="1"/>
  <c r="U57" i="2"/>
  <c r="R57" i="2"/>
  <c r="O57" i="2"/>
  <c r="N57" i="2"/>
  <c r="L57" i="2"/>
  <c r="I57" i="2"/>
  <c r="H57" i="2"/>
  <c r="F57" i="2"/>
  <c r="C57" i="2"/>
  <c r="AC56" i="2"/>
  <c r="AD56" i="2" s="1"/>
  <c r="AA56" i="2"/>
  <c r="W56" i="2"/>
  <c r="X56" i="2" s="1"/>
  <c r="U56" i="2"/>
  <c r="R56" i="2"/>
  <c r="O56" i="2"/>
  <c r="N56" i="2"/>
  <c r="L56" i="2"/>
  <c r="H56" i="2"/>
  <c r="I56" i="2" s="1"/>
  <c r="F56" i="2"/>
  <c r="C56" i="2"/>
  <c r="AD55" i="2"/>
  <c r="AC55" i="2"/>
  <c r="AA55" i="2"/>
  <c r="X55" i="2"/>
  <c r="W55" i="2"/>
  <c r="U55" i="2"/>
  <c r="R55" i="2"/>
  <c r="N55" i="2"/>
  <c r="O55" i="2" s="1"/>
  <c r="L55" i="2"/>
  <c r="H55" i="2"/>
  <c r="I55" i="2" s="1"/>
  <c r="F55" i="2"/>
  <c r="C55" i="2"/>
  <c r="AD54" i="2"/>
  <c r="AC54" i="2"/>
  <c r="AA54" i="2"/>
  <c r="X54" i="2"/>
  <c r="W54" i="2"/>
  <c r="U54" i="2"/>
  <c r="R54" i="2"/>
  <c r="N54" i="2"/>
  <c r="O54" i="2" s="1"/>
  <c r="L54" i="2"/>
  <c r="I54" i="2"/>
  <c r="H54" i="2"/>
  <c r="F54" i="2"/>
  <c r="C54" i="2"/>
  <c r="AC53" i="2"/>
  <c r="AD53" i="2" s="1"/>
  <c r="AA53" i="2"/>
  <c r="W53" i="2"/>
  <c r="X53" i="2" s="1"/>
  <c r="U53" i="2"/>
  <c r="R53" i="2"/>
  <c r="O53" i="2"/>
  <c r="N53" i="2"/>
  <c r="L53" i="2"/>
  <c r="I53" i="2"/>
  <c r="H53" i="2"/>
  <c r="F53" i="2"/>
  <c r="C53" i="2"/>
  <c r="AC52" i="2"/>
  <c r="AD52" i="2" s="1"/>
  <c r="AA52" i="2"/>
  <c r="W52" i="2"/>
  <c r="X52" i="2" s="1"/>
  <c r="U52" i="2"/>
  <c r="R52" i="2"/>
  <c r="O52" i="2"/>
  <c r="N52" i="2"/>
  <c r="L52" i="2"/>
  <c r="H52" i="2"/>
  <c r="I52" i="2" s="1"/>
  <c r="F52" i="2"/>
  <c r="C52" i="2"/>
  <c r="AD51" i="2"/>
  <c r="AC51" i="2"/>
  <c r="AA51" i="2"/>
  <c r="X51" i="2"/>
  <c r="W51" i="2"/>
  <c r="U51" i="2"/>
  <c r="R51" i="2"/>
  <c r="N51" i="2"/>
  <c r="O51" i="2" s="1"/>
  <c r="L51" i="2"/>
  <c r="H51" i="2"/>
  <c r="I51" i="2" s="1"/>
  <c r="F51" i="2"/>
  <c r="C51" i="2"/>
  <c r="AD50" i="2"/>
  <c r="AC50" i="2"/>
  <c r="AA50" i="2"/>
  <c r="X50" i="2"/>
  <c r="W50" i="2"/>
  <c r="U50" i="2"/>
  <c r="R50" i="2"/>
  <c r="N50" i="2"/>
  <c r="O50" i="2" s="1"/>
  <c r="L50" i="2"/>
  <c r="I50" i="2"/>
  <c r="H50" i="2"/>
  <c r="F50" i="2"/>
  <c r="C50" i="2"/>
  <c r="AC49" i="2"/>
  <c r="AD49" i="2" s="1"/>
  <c r="AA49" i="2"/>
  <c r="W49" i="2"/>
  <c r="X49" i="2" s="1"/>
  <c r="U49" i="2"/>
  <c r="R49" i="2"/>
  <c r="O49" i="2"/>
  <c r="N49" i="2"/>
  <c r="L49" i="2"/>
  <c r="I49" i="2"/>
  <c r="H49" i="2"/>
  <c r="F49" i="2"/>
  <c r="C49" i="2"/>
  <c r="AC48" i="2"/>
  <c r="AD48" i="2" s="1"/>
  <c r="AA48" i="2"/>
  <c r="W48" i="2"/>
  <c r="X48" i="2" s="1"/>
  <c r="U48" i="2"/>
  <c r="R48" i="2"/>
  <c r="O48" i="2"/>
  <c r="N48" i="2"/>
  <c r="L48" i="2"/>
  <c r="H48" i="2"/>
  <c r="I48" i="2" s="1"/>
  <c r="F48" i="2"/>
  <c r="C48" i="2"/>
  <c r="AD47" i="2"/>
  <c r="AC47" i="2"/>
  <c r="AA47" i="2"/>
  <c r="X47" i="2"/>
  <c r="W47" i="2"/>
  <c r="U47" i="2"/>
  <c r="R47" i="2"/>
  <c r="N47" i="2"/>
  <c r="O47" i="2" s="1"/>
  <c r="L47" i="2"/>
  <c r="H47" i="2"/>
  <c r="I47" i="2" s="1"/>
  <c r="F47" i="2"/>
  <c r="C47" i="2"/>
  <c r="AD46" i="2"/>
  <c r="AC46" i="2"/>
  <c r="AA46" i="2"/>
  <c r="X46" i="2"/>
  <c r="W46" i="2"/>
  <c r="U46" i="2"/>
  <c r="R46" i="2"/>
  <c r="N46" i="2"/>
  <c r="O46" i="2" s="1"/>
  <c r="L46" i="2"/>
  <c r="I46" i="2"/>
  <c r="H46" i="2"/>
  <c r="F46" i="2"/>
  <c r="C46" i="2"/>
  <c r="AC44" i="2"/>
  <c r="AD44" i="2" s="1"/>
  <c r="AA44" i="2"/>
  <c r="W44" i="2"/>
  <c r="X44" i="2" s="1"/>
  <c r="U44" i="2"/>
  <c r="R44" i="2"/>
  <c r="O44" i="2"/>
  <c r="N44" i="2"/>
  <c r="L44" i="2"/>
  <c r="I44" i="2"/>
  <c r="H44" i="2"/>
  <c r="F44" i="2"/>
  <c r="C44" i="2"/>
  <c r="AC43" i="2"/>
  <c r="AD43" i="2" s="1"/>
  <c r="AA43" i="2"/>
  <c r="W43" i="2"/>
  <c r="X43" i="2" s="1"/>
  <c r="U43" i="2"/>
  <c r="R43" i="2"/>
  <c r="O43" i="2"/>
  <c r="N43" i="2"/>
  <c r="L43" i="2"/>
  <c r="H43" i="2"/>
  <c r="I43" i="2" s="1"/>
  <c r="F43" i="2"/>
  <c r="C43" i="2"/>
  <c r="AD42" i="2"/>
  <c r="AC42" i="2"/>
  <c r="AA42" i="2"/>
  <c r="X42" i="2"/>
  <c r="W42" i="2"/>
  <c r="U42" i="2"/>
  <c r="R42" i="2"/>
  <c r="N42" i="2"/>
  <c r="O42" i="2" s="1"/>
  <c r="L42" i="2"/>
  <c r="H42" i="2"/>
  <c r="I42" i="2" s="1"/>
  <c r="F42" i="2"/>
  <c r="C42" i="2"/>
  <c r="AA40" i="2"/>
  <c r="Z40" i="2"/>
  <c r="W40" i="2"/>
  <c r="X40" i="2" s="1"/>
  <c r="T40" i="2"/>
  <c r="U40" i="2" s="1"/>
  <c r="R40" i="2"/>
  <c r="Q40" i="2"/>
  <c r="AC40" i="2" s="1"/>
  <c r="AD40" i="2" s="1"/>
  <c r="K40" i="2"/>
  <c r="L40" i="2" s="1"/>
  <c r="H40" i="2"/>
  <c r="I40" i="2" s="1"/>
  <c r="F40" i="2"/>
  <c r="E40" i="2"/>
  <c r="C40" i="2"/>
  <c r="B40" i="2"/>
  <c r="N40" i="2" s="1"/>
  <c r="O40" i="2" s="1"/>
  <c r="AC39" i="2"/>
  <c r="AD39" i="2" s="1"/>
  <c r="AA39" i="2"/>
  <c r="W39" i="2"/>
  <c r="X39" i="2" s="1"/>
  <c r="U39" i="2"/>
  <c r="R39" i="2"/>
  <c r="O39" i="2"/>
  <c r="N39" i="2"/>
  <c r="L39" i="2"/>
  <c r="H39" i="2"/>
  <c r="I39" i="2" s="1"/>
  <c r="F39" i="2"/>
  <c r="C39" i="2"/>
  <c r="AD38" i="2"/>
  <c r="AC38" i="2"/>
  <c r="AA38" i="2"/>
  <c r="X38" i="2"/>
  <c r="W38" i="2"/>
  <c r="U38" i="2"/>
  <c r="R38" i="2"/>
  <c r="N38" i="2"/>
  <c r="O38" i="2" s="1"/>
  <c r="L38" i="2"/>
  <c r="H38" i="2"/>
  <c r="I38" i="2" s="1"/>
  <c r="F38" i="2"/>
  <c r="C38" i="2"/>
  <c r="AD37" i="2"/>
  <c r="AC37" i="2"/>
  <c r="AA37" i="2"/>
  <c r="X37" i="2"/>
  <c r="W37" i="2"/>
  <c r="U37" i="2"/>
  <c r="R37" i="2"/>
  <c r="N37" i="2"/>
  <c r="O37" i="2" s="1"/>
  <c r="L37" i="2"/>
  <c r="I37" i="2"/>
  <c r="H37" i="2"/>
  <c r="F37" i="2"/>
  <c r="C37" i="2"/>
  <c r="AC36" i="2"/>
  <c r="AD36" i="2" s="1"/>
  <c r="AA36" i="2"/>
  <c r="W36" i="2"/>
  <c r="X36" i="2" s="1"/>
  <c r="U36" i="2"/>
  <c r="R36" i="2"/>
  <c r="O36" i="2"/>
  <c r="N36" i="2"/>
  <c r="L36" i="2"/>
  <c r="I36" i="2"/>
  <c r="H36" i="2"/>
  <c r="F36" i="2"/>
  <c r="C36" i="2"/>
  <c r="AC35" i="2"/>
  <c r="AD35" i="2" s="1"/>
  <c r="AA35" i="2"/>
  <c r="W35" i="2"/>
  <c r="X35" i="2" s="1"/>
  <c r="U35" i="2"/>
  <c r="R35" i="2"/>
  <c r="O35" i="2"/>
  <c r="N35" i="2"/>
  <c r="L35" i="2"/>
  <c r="H35" i="2"/>
  <c r="I35" i="2" s="1"/>
  <c r="F35" i="2"/>
  <c r="C35" i="2"/>
  <c r="AD34" i="2"/>
  <c r="AC34" i="2"/>
  <c r="AA34" i="2"/>
  <c r="X34" i="2"/>
  <c r="W34" i="2"/>
  <c r="U34" i="2"/>
  <c r="R34" i="2"/>
  <c r="N34" i="2"/>
  <c r="O34" i="2" s="1"/>
  <c r="L34" i="2"/>
  <c r="H34" i="2"/>
  <c r="I34" i="2" s="1"/>
  <c r="F34" i="2"/>
  <c r="C34" i="2"/>
  <c r="AD33" i="2"/>
  <c r="AC33" i="2"/>
  <c r="AA33" i="2"/>
  <c r="X33" i="2"/>
  <c r="W33" i="2"/>
  <c r="U33" i="2"/>
  <c r="R33" i="2"/>
  <c r="N33" i="2"/>
  <c r="O33" i="2" s="1"/>
  <c r="L33" i="2"/>
  <c r="I33" i="2"/>
  <c r="H33" i="2"/>
  <c r="F33" i="2"/>
  <c r="C33" i="2"/>
  <c r="AC32" i="2"/>
  <c r="AD32" i="2" s="1"/>
  <c r="AA32" i="2"/>
  <c r="W32" i="2"/>
  <c r="X32" i="2" s="1"/>
  <c r="U32" i="2"/>
  <c r="R32" i="2"/>
  <c r="O32" i="2"/>
  <c r="N32" i="2"/>
  <c r="L32" i="2"/>
  <c r="I32" i="2"/>
  <c r="H32" i="2"/>
  <c r="F32" i="2"/>
  <c r="C32" i="2"/>
  <c r="AC31" i="2"/>
  <c r="AD31" i="2" s="1"/>
  <c r="AA31" i="2"/>
  <c r="W31" i="2"/>
  <c r="X31" i="2" s="1"/>
  <c r="U31" i="2"/>
  <c r="R31" i="2"/>
  <c r="O31" i="2"/>
  <c r="N31" i="2"/>
  <c r="L31" i="2"/>
  <c r="H31" i="2"/>
  <c r="I31" i="2" s="1"/>
  <c r="F31" i="2"/>
  <c r="C31" i="2"/>
  <c r="Z29" i="2"/>
  <c r="AA29" i="2" s="1"/>
  <c r="W29" i="2"/>
  <c r="X29" i="2" s="1"/>
  <c r="U29" i="2"/>
  <c r="T29" i="2"/>
  <c r="R29" i="2"/>
  <c r="Q29" i="2"/>
  <c r="AC29" i="2" s="1"/>
  <c r="AD29" i="2" s="1"/>
  <c r="K29" i="2"/>
  <c r="L29" i="2" s="1"/>
  <c r="F29" i="2"/>
  <c r="E29" i="2"/>
  <c r="B29" i="2"/>
  <c r="C29" i="2" s="1"/>
  <c r="AC28" i="2"/>
  <c r="AD28" i="2" s="1"/>
  <c r="AA28" i="2"/>
  <c r="W28" i="2"/>
  <c r="X28" i="2" s="1"/>
  <c r="U28" i="2"/>
  <c r="R28" i="2"/>
  <c r="O28" i="2"/>
  <c r="N28" i="2"/>
  <c r="L28" i="2"/>
  <c r="I28" i="2"/>
  <c r="H28" i="2"/>
  <c r="F28" i="2"/>
  <c r="C28" i="2"/>
  <c r="AC27" i="2"/>
  <c r="AD27" i="2" s="1"/>
  <c r="AA27" i="2"/>
  <c r="W27" i="2"/>
  <c r="X27" i="2" s="1"/>
  <c r="U27" i="2"/>
  <c r="R27" i="2"/>
  <c r="O27" i="2"/>
  <c r="N27" i="2"/>
  <c r="L27" i="2"/>
  <c r="H27" i="2"/>
  <c r="I27" i="2" s="1"/>
  <c r="F27" i="2"/>
  <c r="C27" i="2"/>
  <c r="AD26" i="2"/>
  <c r="AC26" i="2"/>
  <c r="AA26" i="2"/>
  <c r="X26" i="2"/>
  <c r="W26" i="2"/>
  <c r="U26" i="2"/>
  <c r="R26" i="2"/>
  <c r="N26" i="2"/>
  <c r="O26" i="2" s="1"/>
  <c r="L26" i="2"/>
  <c r="H26" i="2"/>
  <c r="I26" i="2" s="1"/>
  <c r="F26" i="2"/>
  <c r="C26" i="2"/>
  <c r="AD25" i="2"/>
  <c r="AC25" i="2"/>
  <c r="AA25" i="2"/>
  <c r="X25" i="2"/>
  <c r="W25" i="2"/>
  <c r="U25" i="2"/>
  <c r="R25" i="2"/>
  <c r="N25" i="2"/>
  <c r="O25" i="2" s="1"/>
  <c r="L25" i="2"/>
  <c r="I25" i="2"/>
  <c r="H25" i="2"/>
  <c r="F25" i="2"/>
  <c r="C25" i="2"/>
  <c r="AC24" i="2"/>
  <c r="AD24" i="2" s="1"/>
  <c r="AA24" i="2"/>
  <c r="W24" i="2"/>
  <c r="X24" i="2" s="1"/>
  <c r="U24" i="2"/>
  <c r="R24" i="2"/>
  <c r="O24" i="2"/>
  <c r="N24" i="2"/>
  <c r="L24" i="2"/>
  <c r="I24" i="2"/>
  <c r="H24" i="2"/>
  <c r="F24" i="2"/>
  <c r="C24" i="2"/>
  <c r="AC23" i="2"/>
  <c r="AD23" i="2" s="1"/>
  <c r="AA23" i="2"/>
  <c r="W23" i="2"/>
  <c r="X23" i="2" s="1"/>
  <c r="U23" i="2"/>
  <c r="R23" i="2"/>
  <c r="O23" i="2"/>
  <c r="N23" i="2"/>
  <c r="L23" i="2"/>
  <c r="H23" i="2"/>
  <c r="I23" i="2" s="1"/>
  <c r="F23" i="2"/>
  <c r="C23" i="2"/>
  <c r="AD22" i="2"/>
  <c r="AC22" i="2"/>
  <c r="AA22" i="2"/>
  <c r="X22" i="2"/>
  <c r="W22" i="2"/>
  <c r="U22" i="2"/>
  <c r="R22" i="2"/>
  <c r="N22" i="2"/>
  <c r="O22" i="2" s="1"/>
  <c r="L22" i="2"/>
  <c r="H22" i="2"/>
  <c r="I22" i="2" s="1"/>
  <c r="F22" i="2"/>
  <c r="C22" i="2"/>
  <c r="AD21" i="2"/>
  <c r="AC21" i="2"/>
  <c r="AA21" i="2"/>
  <c r="X21" i="2"/>
  <c r="W21" i="2"/>
  <c r="U21" i="2"/>
  <c r="R21" i="2"/>
  <c r="N21" i="2"/>
  <c r="O21" i="2" s="1"/>
  <c r="L21" i="2"/>
  <c r="I21" i="2"/>
  <c r="H21" i="2"/>
  <c r="F21" i="2"/>
  <c r="C21" i="2"/>
  <c r="AC19" i="2"/>
  <c r="AD19" i="2" s="1"/>
  <c r="AA19" i="2"/>
  <c r="W19" i="2"/>
  <c r="X19" i="2" s="1"/>
  <c r="U19" i="2"/>
  <c r="R19" i="2"/>
  <c r="O19" i="2"/>
  <c r="N19" i="2"/>
  <c r="L19" i="2"/>
  <c r="I19" i="2"/>
  <c r="H19" i="2"/>
  <c r="F19" i="2"/>
  <c r="C19" i="2"/>
  <c r="Z18" i="2"/>
  <c r="AA18" i="2" s="1"/>
  <c r="U18" i="2"/>
  <c r="T18" i="2"/>
  <c r="Q18" i="2"/>
  <c r="R18" i="2" s="1"/>
  <c r="L18" i="2"/>
  <c r="K18" i="2"/>
  <c r="E18" i="2"/>
  <c r="F18" i="2" s="1"/>
  <c r="B18" i="2"/>
  <c r="H18" i="2" s="1"/>
  <c r="I18" i="2" s="1"/>
  <c r="AD17" i="2"/>
  <c r="AC17" i="2"/>
  <c r="AA17" i="2"/>
  <c r="X17" i="2"/>
  <c r="W17" i="2"/>
  <c r="U17" i="2"/>
  <c r="R17" i="2"/>
  <c r="N17" i="2"/>
  <c r="O17" i="2" s="1"/>
  <c r="L17" i="2"/>
  <c r="I17" i="2"/>
  <c r="H17" i="2"/>
  <c r="F17" i="2"/>
  <c r="C17" i="2"/>
  <c r="AC16" i="2"/>
  <c r="AD16" i="2" s="1"/>
  <c r="AA16" i="2"/>
  <c r="W16" i="2"/>
  <c r="X16" i="2" s="1"/>
  <c r="U16" i="2"/>
  <c r="R16" i="2"/>
  <c r="O16" i="2"/>
  <c r="N16" i="2"/>
  <c r="L16" i="2"/>
  <c r="I16" i="2"/>
  <c r="H16" i="2"/>
  <c r="F16" i="2"/>
  <c r="C16" i="2"/>
  <c r="AC15" i="2"/>
  <c r="AD15" i="2" s="1"/>
  <c r="AA15" i="2"/>
  <c r="W15" i="2"/>
  <c r="X15" i="2" s="1"/>
  <c r="U15" i="2"/>
  <c r="R15" i="2"/>
  <c r="O15" i="2"/>
  <c r="N15" i="2"/>
  <c r="L15" i="2"/>
  <c r="H15" i="2"/>
  <c r="I15" i="2" s="1"/>
  <c r="F15" i="2"/>
  <c r="C15" i="2"/>
  <c r="AD14" i="2"/>
  <c r="AC14" i="2"/>
  <c r="AA14" i="2"/>
  <c r="X14" i="2"/>
  <c r="W14" i="2"/>
  <c r="U14" i="2"/>
  <c r="R14" i="2"/>
  <c r="N14" i="2"/>
  <c r="O14" i="2" s="1"/>
  <c r="L14" i="2"/>
  <c r="H14" i="2"/>
  <c r="I14" i="2" s="1"/>
  <c r="F14" i="2"/>
  <c r="C14" i="2"/>
  <c r="AD13" i="2"/>
  <c r="AC13" i="2"/>
  <c r="AA13" i="2"/>
  <c r="X13" i="2"/>
  <c r="W13" i="2"/>
  <c r="U13" i="2"/>
  <c r="R13" i="2"/>
  <c r="N13" i="2"/>
  <c r="O13" i="2" s="1"/>
  <c r="L13" i="2"/>
  <c r="I13" i="2"/>
  <c r="H13" i="2"/>
  <c r="F13" i="2"/>
  <c r="C13" i="2"/>
  <c r="AC12" i="2"/>
  <c r="AD12" i="2" s="1"/>
  <c r="AA12" i="2"/>
  <c r="W12" i="2"/>
  <c r="X12" i="2" s="1"/>
  <c r="U12" i="2"/>
  <c r="R12" i="2"/>
  <c r="O12" i="2"/>
  <c r="N12" i="2"/>
  <c r="L12" i="2"/>
  <c r="I12" i="2"/>
  <c r="H12" i="2"/>
  <c r="F12" i="2"/>
  <c r="C12" i="2"/>
  <c r="AC11" i="2"/>
  <c r="AD11" i="2" s="1"/>
  <c r="AA11" i="2"/>
  <c r="W11" i="2"/>
  <c r="X11" i="2" s="1"/>
  <c r="U11" i="2"/>
  <c r="R11" i="2"/>
  <c r="O11" i="2"/>
  <c r="N11" i="2"/>
  <c r="L11" i="2"/>
  <c r="H11" i="2"/>
  <c r="I11" i="2" s="1"/>
  <c r="F11" i="2"/>
  <c r="C11" i="2"/>
  <c r="AD10" i="2"/>
  <c r="AC10" i="2"/>
  <c r="AA10" i="2"/>
  <c r="X10" i="2"/>
  <c r="W10" i="2"/>
  <c r="U10" i="2"/>
  <c r="R10" i="2"/>
  <c r="N10" i="2"/>
  <c r="O10" i="2" s="1"/>
  <c r="L10" i="2"/>
  <c r="H10" i="2"/>
  <c r="I10" i="2" s="1"/>
  <c r="F10" i="2"/>
  <c r="C10" i="2"/>
  <c r="AD8" i="2"/>
  <c r="AC8" i="2"/>
  <c r="AA8" i="2"/>
  <c r="X8" i="2"/>
  <c r="W8" i="2"/>
  <c r="U8" i="2"/>
  <c r="R8" i="2"/>
  <c r="N8" i="2"/>
  <c r="O8" i="2" s="1"/>
  <c r="L8" i="2"/>
  <c r="I8" i="2"/>
  <c r="H8" i="2"/>
  <c r="F8" i="2"/>
  <c r="C8" i="2"/>
  <c r="AC444" i="1"/>
  <c r="AD438" i="1" s="1"/>
  <c r="W444" i="1"/>
  <c r="X437" i="1" s="1"/>
  <c r="N444" i="1"/>
  <c r="O439" i="1" s="1"/>
  <c r="H444" i="1"/>
  <c r="AA442" i="1"/>
  <c r="Z442" i="1"/>
  <c r="T442" i="1"/>
  <c r="U442" i="1" s="1"/>
  <c r="Q442" i="1"/>
  <c r="W442" i="1" s="1"/>
  <c r="X442" i="1" s="1"/>
  <c r="L442" i="1"/>
  <c r="K442" i="1"/>
  <c r="H442" i="1"/>
  <c r="I442" i="1" s="1"/>
  <c r="E442" i="1"/>
  <c r="F442" i="1" s="1"/>
  <c r="C442" i="1"/>
  <c r="B442" i="1"/>
  <c r="N442" i="1" s="1"/>
  <c r="O442" i="1" s="1"/>
  <c r="Z441" i="1"/>
  <c r="AA441" i="1" s="1"/>
  <c r="W441" i="1"/>
  <c r="X441" i="1" s="1"/>
  <c r="U441" i="1"/>
  <c r="T441" i="1"/>
  <c r="R441" i="1"/>
  <c r="Q441" i="1"/>
  <c r="AC441" i="1" s="1"/>
  <c r="AD441" i="1" s="1"/>
  <c r="K441" i="1"/>
  <c r="L441" i="1" s="1"/>
  <c r="F441" i="1"/>
  <c r="E441" i="1"/>
  <c r="B441" i="1"/>
  <c r="C441" i="1" s="1"/>
  <c r="AC440" i="1"/>
  <c r="AD440" i="1" s="1"/>
  <c r="AA440" i="1"/>
  <c r="W440" i="1"/>
  <c r="X440" i="1" s="1"/>
  <c r="U440" i="1"/>
  <c r="R440" i="1"/>
  <c r="N440" i="1"/>
  <c r="L440" i="1"/>
  <c r="I440" i="1"/>
  <c r="H440" i="1"/>
  <c r="F440" i="1"/>
  <c r="C440" i="1"/>
  <c r="AC439" i="1"/>
  <c r="AD439" i="1" s="1"/>
  <c r="AA439" i="1"/>
  <c r="W439" i="1"/>
  <c r="X439" i="1" s="1"/>
  <c r="U439" i="1"/>
  <c r="R439" i="1"/>
  <c r="N439" i="1"/>
  <c r="L439" i="1"/>
  <c r="H439" i="1"/>
  <c r="I439" i="1" s="1"/>
  <c r="F439" i="1"/>
  <c r="C439" i="1"/>
  <c r="AC438" i="1"/>
  <c r="AA438" i="1"/>
  <c r="X438" i="1"/>
  <c r="W438" i="1"/>
  <c r="U438" i="1"/>
  <c r="R438" i="1"/>
  <c r="N438" i="1"/>
  <c r="O438" i="1" s="1"/>
  <c r="L438" i="1"/>
  <c r="H438" i="1"/>
  <c r="I438" i="1" s="1"/>
  <c r="F438" i="1"/>
  <c r="C438" i="1"/>
  <c r="AD437" i="1"/>
  <c r="AC437" i="1"/>
  <c r="AA437" i="1"/>
  <c r="W437" i="1"/>
  <c r="U437" i="1"/>
  <c r="R437" i="1"/>
  <c r="N437" i="1"/>
  <c r="O437" i="1" s="1"/>
  <c r="L437" i="1"/>
  <c r="I437" i="1"/>
  <c r="H437" i="1"/>
  <c r="F437" i="1"/>
  <c r="C437" i="1"/>
  <c r="AC436" i="1"/>
  <c r="AD436" i="1" s="1"/>
  <c r="AA436" i="1"/>
  <c r="W436" i="1"/>
  <c r="X436" i="1" s="1"/>
  <c r="U436" i="1"/>
  <c r="R436" i="1"/>
  <c r="N436" i="1"/>
  <c r="L436" i="1"/>
  <c r="I436" i="1"/>
  <c r="H436" i="1"/>
  <c r="F436" i="1"/>
  <c r="C436" i="1"/>
  <c r="AC435" i="1"/>
  <c r="AD435" i="1" s="1"/>
  <c r="AA435" i="1"/>
  <c r="W435" i="1"/>
  <c r="X435" i="1" s="1"/>
  <c r="U435" i="1"/>
  <c r="R435" i="1"/>
  <c r="N435" i="1"/>
  <c r="L435" i="1"/>
  <c r="H435" i="1"/>
  <c r="I435" i="1" s="1"/>
  <c r="F435" i="1"/>
  <c r="C435" i="1"/>
  <c r="AC434" i="1"/>
  <c r="AA434" i="1"/>
  <c r="X434" i="1"/>
  <c r="W434" i="1"/>
  <c r="U434" i="1"/>
  <c r="R434" i="1"/>
  <c r="N434" i="1"/>
  <c r="O434" i="1" s="1"/>
  <c r="L434" i="1"/>
  <c r="H434" i="1"/>
  <c r="I434" i="1" s="1"/>
  <c r="F434" i="1"/>
  <c r="C434" i="1"/>
  <c r="AD433" i="1"/>
  <c r="AC433" i="1"/>
  <c r="AA433" i="1"/>
  <c r="W433" i="1"/>
  <c r="U433" i="1"/>
  <c r="R433" i="1"/>
  <c r="N433" i="1"/>
  <c r="O433" i="1" s="1"/>
  <c r="L433" i="1"/>
  <c r="I433" i="1"/>
  <c r="H433" i="1"/>
  <c r="F433" i="1"/>
  <c r="C433" i="1"/>
  <c r="AC432" i="1"/>
  <c r="AD432" i="1" s="1"/>
  <c r="AA432" i="1"/>
  <c r="W432" i="1"/>
  <c r="X432" i="1" s="1"/>
  <c r="U432" i="1"/>
  <c r="R432" i="1"/>
  <c r="N432" i="1"/>
  <c r="L432" i="1"/>
  <c r="I432" i="1"/>
  <c r="H432" i="1"/>
  <c r="F432" i="1"/>
  <c r="C432" i="1"/>
  <c r="Z429" i="1"/>
  <c r="AA429" i="1" s="1"/>
  <c r="U429" i="1"/>
  <c r="T429" i="1"/>
  <c r="Q429" i="1"/>
  <c r="R429" i="1" s="1"/>
  <c r="L429" i="1"/>
  <c r="K429" i="1"/>
  <c r="E429" i="1"/>
  <c r="F429" i="1" s="1"/>
  <c r="B429" i="1"/>
  <c r="H429" i="1" s="1"/>
  <c r="I429" i="1" s="1"/>
  <c r="AA428" i="1"/>
  <c r="Z428" i="1"/>
  <c r="T428" i="1"/>
  <c r="W428" i="1" s="1"/>
  <c r="X428" i="1" s="1"/>
  <c r="R428" i="1"/>
  <c r="Q428" i="1"/>
  <c r="AC428" i="1" s="1"/>
  <c r="AD428" i="1" s="1"/>
  <c r="K428" i="1"/>
  <c r="L428" i="1" s="1"/>
  <c r="H428" i="1"/>
  <c r="I428" i="1" s="1"/>
  <c r="F428" i="1"/>
  <c r="E428" i="1"/>
  <c r="C428" i="1"/>
  <c r="B428" i="1"/>
  <c r="N428" i="1" s="1"/>
  <c r="O428" i="1" s="1"/>
  <c r="AC427" i="1"/>
  <c r="AD427" i="1" s="1"/>
  <c r="AA427" i="1"/>
  <c r="W427" i="1"/>
  <c r="X427" i="1" s="1"/>
  <c r="U427" i="1"/>
  <c r="R427" i="1"/>
  <c r="N427" i="1"/>
  <c r="L427" i="1"/>
  <c r="H427" i="1"/>
  <c r="I427" i="1" s="1"/>
  <c r="F427" i="1"/>
  <c r="C427" i="1"/>
  <c r="AC426" i="1"/>
  <c r="AA426" i="1"/>
  <c r="W426" i="1"/>
  <c r="X426" i="1" s="1"/>
  <c r="U426" i="1"/>
  <c r="R426" i="1"/>
  <c r="N426" i="1"/>
  <c r="O426" i="1" s="1"/>
  <c r="L426" i="1"/>
  <c r="H426" i="1"/>
  <c r="I426" i="1" s="1"/>
  <c r="F426" i="1"/>
  <c r="C426" i="1"/>
  <c r="AD425" i="1"/>
  <c r="AC425" i="1"/>
  <c r="AA425" i="1"/>
  <c r="W425" i="1"/>
  <c r="U425" i="1"/>
  <c r="R425" i="1"/>
  <c r="N425" i="1"/>
  <c r="O425" i="1" s="1"/>
  <c r="L425" i="1"/>
  <c r="I425" i="1"/>
  <c r="H425" i="1"/>
  <c r="F425" i="1"/>
  <c r="C425" i="1"/>
  <c r="AC424" i="1"/>
  <c r="AD424" i="1" s="1"/>
  <c r="AA424" i="1"/>
  <c r="W424" i="1"/>
  <c r="X424" i="1" s="1"/>
  <c r="U424" i="1"/>
  <c r="R424" i="1"/>
  <c r="N424" i="1"/>
  <c r="O424" i="1" s="1"/>
  <c r="L424" i="1"/>
  <c r="I424" i="1"/>
  <c r="H424" i="1"/>
  <c r="F424" i="1"/>
  <c r="C424" i="1"/>
  <c r="AC423" i="1"/>
  <c r="AD423" i="1" s="1"/>
  <c r="AA423" i="1"/>
  <c r="W423" i="1"/>
  <c r="X423" i="1" s="1"/>
  <c r="U423" i="1"/>
  <c r="R423" i="1"/>
  <c r="N423" i="1"/>
  <c r="L423" i="1"/>
  <c r="H423" i="1"/>
  <c r="I423" i="1" s="1"/>
  <c r="F423" i="1"/>
  <c r="C423" i="1"/>
  <c r="AC422" i="1"/>
  <c r="AA422" i="1"/>
  <c r="W422" i="1"/>
  <c r="X422" i="1" s="1"/>
  <c r="U422" i="1"/>
  <c r="R422" i="1"/>
  <c r="N422" i="1"/>
  <c r="O422" i="1" s="1"/>
  <c r="L422" i="1"/>
  <c r="H422" i="1"/>
  <c r="I422" i="1" s="1"/>
  <c r="F422" i="1"/>
  <c r="C422" i="1"/>
  <c r="AD421" i="1"/>
  <c r="AC421" i="1"/>
  <c r="AA421" i="1"/>
  <c r="W421" i="1"/>
  <c r="U421" i="1"/>
  <c r="R421" i="1"/>
  <c r="N421" i="1"/>
  <c r="O421" i="1" s="1"/>
  <c r="L421" i="1"/>
  <c r="I421" i="1"/>
  <c r="H421" i="1"/>
  <c r="F421" i="1"/>
  <c r="C421" i="1"/>
  <c r="AC420" i="1"/>
  <c r="AD420" i="1" s="1"/>
  <c r="AA420" i="1"/>
  <c r="W420" i="1"/>
  <c r="X420" i="1" s="1"/>
  <c r="U420" i="1"/>
  <c r="R420" i="1"/>
  <c r="N420" i="1"/>
  <c r="O420" i="1" s="1"/>
  <c r="L420" i="1"/>
  <c r="I420" i="1"/>
  <c r="H420" i="1"/>
  <c r="F420" i="1"/>
  <c r="C420" i="1"/>
  <c r="AC419" i="1"/>
  <c r="AD419" i="1" s="1"/>
  <c r="AA419" i="1"/>
  <c r="W419" i="1"/>
  <c r="X419" i="1" s="1"/>
  <c r="U419" i="1"/>
  <c r="R419" i="1"/>
  <c r="N419" i="1"/>
  <c r="L419" i="1"/>
  <c r="H419" i="1"/>
  <c r="I419" i="1" s="1"/>
  <c r="F419" i="1"/>
  <c r="C419" i="1"/>
  <c r="AC418" i="1"/>
  <c r="AA418" i="1"/>
  <c r="W418" i="1"/>
  <c r="X418" i="1" s="1"/>
  <c r="U418" i="1"/>
  <c r="R418" i="1"/>
  <c r="N418" i="1"/>
  <c r="O418" i="1" s="1"/>
  <c r="L418" i="1"/>
  <c r="H418" i="1"/>
  <c r="I418" i="1" s="1"/>
  <c r="F418" i="1"/>
  <c r="C418" i="1"/>
  <c r="AD417" i="1"/>
  <c r="AC417" i="1"/>
  <c r="AA417" i="1"/>
  <c r="W417" i="1"/>
  <c r="U417" i="1"/>
  <c r="R417" i="1"/>
  <c r="N417" i="1"/>
  <c r="O417" i="1" s="1"/>
  <c r="L417" i="1"/>
  <c r="I417" i="1"/>
  <c r="H417" i="1"/>
  <c r="F417" i="1"/>
  <c r="C417" i="1"/>
  <c r="AC416" i="1"/>
  <c r="AD416" i="1" s="1"/>
  <c r="AA416" i="1"/>
  <c r="W416" i="1"/>
  <c r="X416" i="1" s="1"/>
  <c r="U416" i="1"/>
  <c r="R416" i="1"/>
  <c r="O416" i="1"/>
  <c r="N416" i="1"/>
  <c r="L416" i="1"/>
  <c r="I416" i="1"/>
  <c r="H416" i="1"/>
  <c r="F416" i="1"/>
  <c r="C416" i="1"/>
  <c r="AC415" i="1"/>
  <c r="AD415" i="1" s="1"/>
  <c r="AA415" i="1"/>
  <c r="W415" i="1"/>
  <c r="X415" i="1" s="1"/>
  <c r="U415" i="1"/>
  <c r="R415" i="1"/>
  <c r="N415" i="1"/>
  <c r="L415" i="1"/>
  <c r="H415" i="1"/>
  <c r="I415" i="1" s="1"/>
  <c r="F415" i="1"/>
  <c r="C415" i="1"/>
  <c r="AC414" i="1"/>
  <c r="AA414" i="1"/>
  <c r="W414" i="1"/>
  <c r="X414" i="1" s="1"/>
  <c r="U414" i="1"/>
  <c r="R414" i="1"/>
  <c r="N414" i="1"/>
  <c r="O414" i="1" s="1"/>
  <c r="L414" i="1"/>
  <c r="H414" i="1"/>
  <c r="I414" i="1" s="1"/>
  <c r="F414" i="1"/>
  <c r="C414" i="1"/>
  <c r="AD413" i="1"/>
  <c r="AC413" i="1"/>
  <c r="AA413" i="1"/>
  <c r="W413" i="1"/>
  <c r="U413" i="1"/>
  <c r="R413" i="1"/>
  <c r="N413" i="1"/>
  <c r="O413" i="1" s="1"/>
  <c r="L413" i="1"/>
  <c r="I413" i="1"/>
  <c r="H413" i="1"/>
  <c r="F413" i="1"/>
  <c r="C413" i="1"/>
  <c r="AC412" i="1"/>
  <c r="AD412" i="1" s="1"/>
  <c r="AA412" i="1"/>
  <c r="W412" i="1"/>
  <c r="X412" i="1" s="1"/>
  <c r="U412" i="1"/>
  <c r="R412" i="1"/>
  <c r="N412" i="1"/>
  <c r="O412" i="1" s="1"/>
  <c r="L412" i="1"/>
  <c r="I412" i="1"/>
  <c r="H412" i="1"/>
  <c r="F412" i="1"/>
  <c r="C412" i="1"/>
  <c r="AC411" i="1"/>
  <c r="AD411" i="1" s="1"/>
  <c r="AA411" i="1"/>
  <c r="W411" i="1"/>
  <c r="X411" i="1" s="1"/>
  <c r="U411" i="1"/>
  <c r="R411" i="1"/>
  <c r="N411" i="1"/>
  <c r="L411" i="1"/>
  <c r="H411" i="1"/>
  <c r="I411" i="1" s="1"/>
  <c r="F411" i="1"/>
  <c r="C411" i="1"/>
  <c r="AC410" i="1"/>
  <c r="AA410" i="1"/>
  <c r="W410" i="1"/>
  <c r="X410" i="1" s="1"/>
  <c r="U410" i="1"/>
  <c r="R410" i="1"/>
  <c r="N410" i="1"/>
  <c r="O410" i="1" s="1"/>
  <c r="L410" i="1"/>
  <c r="H410" i="1"/>
  <c r="I410" i="1" s="1"/>
  <c r="F410" i="1"/>
  <c r="C410" i="1"/>
  <c r="AD409" i="1"/>
  <c r="AC409" i="1"/>
  <c r="AA409" i="1"/>
  <c r="W409" i="1"/>
  <c r="U409" i="1"/>
  <c r="R409" i="1"/>
  <c r="N409" i="1"/>
  <c r="O409" i="1" s="1"/>
  <c r="L409" i="1"/>
  <c r="I409" i="1"/>
  <c r="H409" i="1"/>
  <c r="F409" i="1"/>
  <c r="C409" i="1"/>
  <c r="AC408" i="1"/>
  <c r="AD408" i="1" s="1"/>
  <c r="AA408" i="1"/>
  <c r="W408" i="1"/>
  <c r="U408" i="1"/>
  <c r="R408" i="1"/>
  <c r="N408" i="1"/>
  <c r="O408" i="1" s="1"/>
  <c r="L408" i="1"/>
  <c r="I408" i="1"/>
  <c r="H408" i="1"/>
  <c r="F408" i="1"/>
  <c r="C408" i="1"/>
  <c r="AC407" i="1"/>
  <c r="AD407" i="1" s="1"/>
  <c r="AA407" i="1"/>
  <c r="W407" i="1"/>
  <c r="X407" i="1" s="1"/>
  <c r="U407" i="1"/>
  <c r="R407" i="1"/>
  <c r="N407" i="1"/>
  <c r="L407" i="1"/>
  <c r="H407" i="1"/>
  <c r="I407" i="1" s="1"/>
  <c r="F407" i="1"/>
  <c r="C407" i="1"/>
  <c r="AA403" i="1"/>
  <c r="Z403" i="1"/>
  <c r="T403" i="1"/>
  <c r="U403" i="1" s="1"/>
  <c r="Q403" i="1"/>
  <c r="W403" i="1" s="1"/>
  <c r="X403" i="1" s="1"/>
  <c r="L403" i="1"/>
  <c r="K403" i="1"/>
  <c r="E403" i="1"/>
  <c r="H403" i="1" s="1"/>
  <c r="I403" i="1" s="1"/>
  <c r="C403" i="1"/>
  <c r="B403" i="1"/>
  <c r="N403" i="1" s="1"/>
  <c r="O403" i="1" s="1"/>
  <c r="AC402" i="1"/>
  <c r="AA402" i="1"/>
  <c r="W402" i="1"/>
  <c r="X402" i="1" s="1"/>
  <c r="U402" i="1"/>
  <c r="R402" i="1"/>
  <c r="N402" i="1"/>
  <c r="L402" i="1"/>
  <c r="H402" i="1"/>
  <c r="I402" i="1" s="1"/>
  <c r="F402" i="1"/>
  <c r="C402" i="1"/>
  <c r="AD401" i="1"/>
  <c r="AC401" i="1"/>
  <c r="AA401" i="1"/>
  <c r="W401" i="1"/>
  <c r="U401" i="1"/>
  <c r="R401" i="1"/>
  <c r="N401" i="1"/>
  <c r="O401" i="1" s="1"/>
  <c r="L401" i="1"/>
  <c r="I401" i="1"/>
  <c r="H401" i="1"/>
  <c r="F401" i="1"/>
  <c r="C401" i="1"/>
  <c r="AC400" i="1"/>
  <c r="AD400" i="1" s="1"/>
  <c r="AA400" i="1"/>
  <c r="W400" i="1"/>
  <c r="U400" i="1"/>
  <c r="R400" i="1"/>
  <c r="N400" i="1"/>
  <c r="O400" i="1" s="1"/>
  <c r="L400" i="1"/>
  <c r="I400" i="1"/>
  <c r="H400" i="1"/>
  <c r="F400" i="1"/>
  <c r="C400" i="1"/>
  <c r="AC399" i="1"/>
  <c r="AD399" i="1" s="1"/>
  <c r="AA399" i="1"/>
  <c r="W399" i="1"/>
  <c r="X399" i="1" s="1"/>
  <c r="U399" i="1"/>
  <c r="R399" i="1"/>
  <c r="N399" i="1"/>
  <c r="L399" i="1"/>
  <c r="H399" i="1"/>
  <c r="I399" i="1" s="1"/>
  <c r="F399" i="1"/>
  <c r="C399" i="1"/>
  <c r="AC398" i="1"/>
  <c r="AA398" i="1"/>
  <c r="W398" i="1"/>
  <c r="X398" i="1" s="1"/>
  <c r="U398" i="1"/>
  <c r="R398" i="1"/>
  <c r="N398" i="1"/>
  <c r="L398" i="1"/>
  <c r="H398" i="1"/>
  <c r="I398" i="1" s="1"/>
  <c r="F398" i="1"/>
  <c r="C398" i="1"/>
  <c r="AD397" i="1"/>
  <c r="AC397" i="1"/>
  <c r="AA397" i="1"/>
  <c r="W397" i="1"/>
  <c r="U397" i="1"/>
  <c r="R397" i="1"/>
  <c r="N397" i="1"/>
  <c r="O397" i="1" s="1"/>
  <c r="L397" i="1"/>
  <c r="I397" i="1"/>
  <c r="H397" i="1"/>
  <c r="F397" i="1"/>
  <c r="C397" i="1"/>
  <c r="AA396" i="1"/>
  <c r="Z396" i="1"/>
  <c r="T396" i="1"/>
  <c r="U396" i="1" s="1"/>
  <c r="Q396" i="1"/>
  <c r="W396" i="1" s="1"/>
  <c r="X396" i="1" s="1"/>
  <c r="L396" i="1"/>
  <c r="K396" i="1"/>
  <c r="E396" i="1"/>
  <c r="H396" i="1" s="1"/>
  <c r="I396" i="1" s="1"/>
  <c r="C396" i="1"/>
  <c r="B396" i="1"/>
  <c r="N396" i="1" s="1"/>
  <c r="O396" i="1" s="1"/>
  <c r="AC395" i="1"/>
  <c r="AA395" i="1"/>
  <c r="W395" i="1"/>
  <c r="X395" i="1" s="1"/>
  <c r="U395" i="1"/>
  <c r="R395" i="1"/>
  <c r="N395" i="1"/>
  <c r="L395" i="1"/>
  <c r="H395" i="1"/>
  <c r="I395" i="1" s="1"/>
  <c r="F395" i="1"/>
  <c r="C395" i="1"/>
  <c r="AD394" i="1"/>
  <c r="AC394" i="1"/>
  <c r="AA394" i="1"/>
  <c r="W394" i="1"/>
  <c r="U394" i="1"/>
  <c r="R394" i="1"/>
  <c r="N394" i="1"/>
  <c r="O394" i="1" s="1"/>
  <c r="L394" i="1"/>
  <c r="I394" i="1"/>
  <c r="H394" i="1"/>
  <c r="F394" i="1"/>
  <c r="C394" i="1"/>
  <c r="AA393" i="1"/>
  <c r="Z393" i="1"/>
  <c r="T393" i="1"/>
  <c r="U393" i="1" s="1"/>
  <c r="Q393" i="1"/>
  <c r="W393" i="1" s="1"/>
  <c r="X393" i="1" s="1"/>
  <c r="L393" i="1"/>
  <c r="K393" i="1"/>
  <c r="E393" i="1"/>
  <c r="H393" i="1" s="1"/>
  <c r="I393" i="1" s="1"/>
  <c r="C393" i="1"/>
  <c r="B393" i="1"/>
  <c r="N393" i="1" s="1"/>
  <c r="O393" i="1" s="1"/>
  <c r="AC392" i="1"/>
  <c r="AA392" i="1"/>
  <c r="W392" i="1"/>
  <c r="X392" i="1" s="1"/>
  <c r="U392" i="1"/>
  <c r="R392" i="1"/>
  <c r="N392" i="1"/>
  <c r="L392" i="1"/>
  <c r="H392" i="1"/>
  <c r="I392" i="1" s="1"/>
  <c r="F392" i="1"/>
  <c r="C392" i="1"/>
  <c r="AD391" i="1"/>
  <c r="AC391" i="1"/>
  <c r="AA391" i="1"/>
  <c r="W391" i="1"/>
  <c r="U391" i="1"/>
  <c r="R391" i="1"/>
  <c r="N391" i="1"/>
  <c r="O391" i="1" s="1"/>
  <c r="L391" i="1"/>
  <c r="I391" i="1"/>
  <c r="H391" i="1"/>
  <c r="F391" i="1"/>
  <c r="C391" i="1"/>
  <c r="AC390" i="1"/>
  <c r="AD390" i="1" s="1"/>
  <c r="AA390" i="1"/>
  <c r="W390" i="1"/>
  <c r="U390" i="1"/>
  <c r="R390" i="1"/>
  <c r="N390" i="1"/>
  <c r="O390" i="1" s="1"/>
  <c r="L390" i="1"/>
  <c r="I390" i="1"/>
  <c r="H390" i="1"/>
  <c r="F390" i="1"/>
  <c r="C390" i="1"/>
  <c r="AC389" i="1"/>
  <c r="AD389" i="1" s="1"/>
  <c r="AA389" i="1"/>
  <c r="W389" i="1"/>
  <c r="X389" i="1" s="1"/>
  <c r="U389" i="1"/>
  <c r="R389" i="1"/>
  <c r="N389" i="1"/>
  <c r="L389" i="1"/>
  <c r="H389" i="1"/>
  <c r="I389" i="1" s="1"/>
  <c r="F389" i="1"/>
  <c r="C389" i="1"/>
  <c r="AC388" i="1"/>
  <c r="AA388" i="1"/>
  <c r="W388" i="1"/>
  <c r="X388" i="1" s="1"/>
  <c r="U388" i="1"/>
  <c r="R388" i="1"/>
  <c r="N388" i="1"/>
  <c r="L388" i="1"/>
  <c r="H388" i="1"/>
  <c r="I388" i="1" s="1"/>
  <c r="F388" i="1"/>
  <c r="C388" i="1"/>
  <c r="AD386" i="1"/>
  <c r="AC386" i="1"/>
  <c r="AA386" i="1"/>
  <c r="W386" i="1"/>
  <c r="U386" i="1"/>
  <c r="R386" i="1"/>
  <c r="N386" i="1"/>
  <c r="O386" i="1" s="1"/>
  <c r="L386" i="1"/>
  <c r="I386" i="1"/>
  <c r="H386" i="1"/>
  <c r="F386" i="1"/>
  <c r="C386" i="1"/>
  <c r="AC385" i="1"/>
  <c r="AD385" i="1" s="1"/>
  <c r="AA385" i="1"/>
  <c r="W385" i="1"/>
  <c r="U385" i="1"/>
  <c r="R385" i="1"/>
  <c r="N385" i="1"/>
  <c r="O385" i="1" s="1"/>
  <c r="L385" i="1"/>
  <c r="I385" i="1"/>
  <c r="H385" i="1"/>
  <c r="F385" i="1"/>
  <c r="C385" i="1"/>
  <c r="AC383" i="1"/>
  <c r="AD383" i="1" s="1"/>
  <c r="AA383" i="1"/>
  <c r="W383" i="1"/>
  <c r="X383" i="1" s="1"/>
  <c r="U383" i="1"/>
  <c r="R383" i="1"/>
  <c r="N383" i="1"/>
  <c r="L383" i="1"/>
  <c r="H383" i="1"/>
  <c r="I383" i="1" s="1"/>
  <c r="F383" i="1"/>
  <c r="C383" i="1"/>
  <c r="AC382" i="1"/>
  <c r="AA382" i="1"/>
  <c r="W382" i="1"/>
  <c r="X382" i="1" s="1"/>
  <c r="U382" i="1"/>
  <c r="R382" i="1"/>
  <c r="N382" i="1"/>
  <c r="O382" i="1" s="1"/>
  <c r="L382" i="1"/>
  <c r="H382" i="1"/>
  <c r="I382" i="1" s="1"/>
  <c r="F382" i="1"/>
  <c r="C382" i="1"/>
  <c r="AD381" i="1"/>
  <c r="AC381" i="1"/>
  <c r="AA381" i="1"/>
  <c r="W381" i="1"/>
  <c r="U381" i="1"/>
  <c r="R381" i="1"/>
  <c r="N381" i="1"/>
  <c r="O381" i="1" s="1"/>
  <c r="L381" i="1"/>
  <c r="I381" i="1"/>
  <c r="H381" i="1"/>
  <c r="F381" i="1"/>
  <c r="C381" i="1"/>
  <c r="AC380" i="1"/>
  <c r="AD380" i="1" s="1"/>
  <c r="AA380" i="1"/>
  <c r="W380" i="1"/>
  <c r="X380" i="1" s="1"/>
  <c r="U380" i="1"/>
  <c r="R380" i="1"/>
  <c r="N380" i="1"/>
  <c r="O380" i="1" s="1"/>
  <c r="L380" i="1"/>
  <c r="I380" i="1"/>
  <c r="H380" i="1"/>
  <c r="F380" i="1"/>
  <c r="C380" i="1"/>
  <c r="AC379" i="1"/>
  <c r="AD379" i="1" s="1"/>
  <c r="AA379" i="1"/>
  <c r="W379" i="1"/>
  <c r="X379" i="1" s="1"/>
  <c r="U379" i="1"/>
  <c r="R379" i="1"/>
  <c r="N379" i="1"/>
  <c r="L379" i="1"/>
  <c r="H379" i="1"/>
  <c r="I379" i="1" s="1"/>
  <c r="F379" i="1"/>
  <c r="C379" i="1"/>
  <c r="AC378" i="1"/>
  <c r="AA378" i="1"/>
  <c r="W378" i="1"/>
  <c r="X378" i="1" s="1"/>
  <c r="U378" i="1"/>
  <c r="R378" i="1"/>
  <c r="N378" i="1"/>
  <c r="O378" i="1" s="1"/>
  <c r="L378" i="1"/>
  <c r="H378" i="1"/>
  <c r="I378" i="1" s="1"/>
  <c r="F378" i="1"/>
  <c r="C378" i="1"/>
  <c r="AD377" i="1"/>
  <c r="AC377" i="1"/>
  <c r="AA377" i="1"/>
  <c r="W377" i="1"/>
  <c r="U377" i="1"/>
  <c r="R377" i="1"/>
  <c r="N377" i="1"/>
  <c r="O377" i="1" s="1"/>
  <c r="L377" i="1"/>
  <c r="I377" i="1"/>
  <c r="H377" i="1"/>
  <c r="F377" i="1"/>
  <c r="C377" i="1"/>
  <c r="AC376" i="1"/>
  <c r="AD376" i="1" s="1"/>
  <c r="AA376" i="1"/>
  <c r="W376" i="1"/>
  <c r="X376" i="1" s="1"/>
  <c r="U376" i="1"/>
  <c r="R376" i="1"/>
  <c r="N376" i="1"/>
  <c r="O376" i="1" s="1"/>
  <c r="L376" i="1"/>
  <c r="I376" i="1"/>
  <c r="H376" i="1"/>
  <c r="F376" i="1"/>
  <c r="C376" i="1"/>
  <c r="AC375" i="1"/>
  <c r="AD375" i="1" s="1"/>
  <c r="AA375" i="1"/>
  <c r="W375" i="1"/>
  <c r="X375" i="1" s="1"/>
  <c r="U375" i="1"/>
  <c r="R375" i="1"/>
  <c r="N375" i="1"/>
  <c r="L375" i="1"/>
  <c r="H375" i="1"/>
  <c r="I375" i="1" s="1"/>
  <c r="F375" i="1"/>
  <c r="C375" i="1"/>
  <c r="AC374" i="1"/>
  <c r="AA374" i="1"/>
  <c r="W374" i="1"/>
  <c r="X374" i="1" s="1"/>
  <c r="U374" i="1"/>
  <c r="R374" i="1"/>
  <c r="N374" i="1"/>
  <c r="O374" i="1" s="1"/>
  <c r="L374" i="1"/>
  <c r="H374" i="1"/>
  <c r="I374" i="1" s="1"/>
  <c r="F374" i="1"/>
  <c r="C374" i="1"/>
  <c r="AD373" i="1"/>
  <c r="AC373" i="1"/>
  <c r="AA373" i="1"/>
  <c r="W373" i="1"/>
  <c r="U373" i="1"/>
  <c r="R373" i="1"/>
  <c r="N373" i="1"/>
  <c r="O373" i="1" s="1"/>
  <c r="L373" i="1"/>
  <c r="I373" i="1"/>
  <c r="H373" i="1"/>
  <c r="F373" i="1"/>
  <c r="C373" i="1"/>
  <c r="AC372" i="1"/>
  <c r="AD372" i="1" s="1"/>
  <c r="AA372" i="1"/>
  <c r="W372" i="1"/>
  <c r="X372" i="1" s="1"/>
  <c r="U372" i="1"/>
  <c r="R372" i="1"/>
  <c r="N372" i="1"/>
  <c r="O372" i="1" s="1"/>
  <c r="L372" i="1"/>
  <c r="I372" i="1"/>
  <c r="H372" i="1"/>
  <c r="F372" i="1"/>
  <c r="C372" i="1"/>
  <c r="AC371" i="1"/>
  <c r="AD371" i="1" s="1"/>
  <c r="AA371" i="1"/>
  <c r="W371" i="1"/>
  <c r="X371" i="1" s="1"/>
  <c r="U371" i="1"/>
  <c r="R371" i="1"/>
  <c r="N371" i="1"/>
  <c r="L371" i="1"/>
  <c r="H371" i="1"/>
  <c r="I371" i="1" s="1"/>
  <c r="F371" i="1"/>
  <c r="C371" i="1"/>
  <c r="AC370" i="1"/>
  <c r="AA370" i="1"/>
  <c r="W370" i="1"/>
  <c r="X370" i="1" s="1"/>
  <c r="U370" i="1"/>
  <c r="R370" i="1"/>
  <c r="N370" i="1"/>
  <c r="O370" i="1" s="1"/>
  <c r="L370" i="1"/>
  <c r="H370" i="1"/>
  <c r="I370" i="1" s="1"/>
  <c r="F370" i="1"/>
  <c r="C370" i="1"/>
  <c r="AD369" i="1"/>
  <c r="AC369" i="1"/>
  <c r="AA369" i="1"/>
  <c r="W369" i="1"/>
  <c r="U369" i="1"/>
  <c r="R369" i="1"/>
  <c r="N369" i="1"/>
  <c r="O369" i="1" s="1"/>
  <c r="L369" i="1"/>
  <c r="I369" i="1"/>
  <c r="H369" i="1"/>
  <c r="F369" i="1"/>
  <c r="C369" i="1"/>
  <c r="AA368" i="1"/>
  <c r="Z368" i="1"/>
  <c r="T368" i="1"/>
  <c r="U368" i="1" s="1"/>
  <c r="Q368" i="1"/>
  <c r="W368" i="1" s="1"/>
  <c r="X368" i="1" s="1"/>
  <c r="L368" i="1"/>
  <c r="K368" i="1"/>
  <c r="E368" i="1"/>
  <c r="H368" i="1" s="1"/>
  <c r="I368" i="1" s="1"/>
  <c r="C368" i="1"/>
  <c r="B368" i="1"/>
  <c r="N368" i="1" s="1"/>
  <c r="O368" i="1" s="1"/>
  <c r="AC367" i="1"/>
  <c r="AA367" i="1"/>
  <c r="W367" i="1"/>
  <c r="X367" i="1" s="1"/>
  <c r="U367" i="1"/>
  <c r="R367" i="1"/>
  <c r="N367" i="1"/>
  <c r="O367" i="1" s="1"/>
  <c r="L367" i="1"/>
  <c r="H367" i="1"/>
  <c r="I367" i="1" s="1"/>
  <c r="F367" i="1"/>
  <c r="C367" i="1"/>
  <c r="AD366" i="1"/>
  <c r="AC366" i="1"/>
  <c r="AA366" i="1"/>
  <c r="W366" i="1"/>
  <c r="U366" i="1"/>
  <c r="R366" i="1"/>
  <c r="N366" i="1"/>
  <c r="O366" i="1" s="1"/>
  <c r="L366" i="1"/>
  <c r="I366" i="1"/>
  <c r="H366" i="1"/>
  <c r="F366" i="1"/>
  <c r="C366" i="1"/>
  <c r="AC365" i="1"/>
  <c r="AD365" i="1" s="1"/>
  <c r="AA365" i="1"/>
  <c r="W365" i="1"/>
  <c r="X365" i="1" s="1"/>
  <c r="U365" i="1"/>
  <c r="R365" i="1"/>
  <c r="N365" i="1"/>
  <c r="O365" i="1" s="1"/>
  <c r="L365" i="1"/>
  <c r="I365" i="1"/>
  <c r="H365" i="1"/>
  <c r="F365" i="1"/>
  <c r="C365" i="1"/>
  <c r="AC364" i="1"/>
  <c r="AD364" i="1" s="1"/>
  <c r="AA364" i="1"/>
  <c r="W364" i="1"/>
  <c r="X364" i="1" s="1"/>
  <c r="U364" i="1"/>
  <c r="R364" i="1"/>
  <c r="N364" i="1"/>
  <c r="L364" i="1"/>
  <c r="H364" i="1"/>
  <c r="I364" i="1" s="1"/>
  <c r="F364" i="1"/>
  <c r="C364" i="1"/>
  <c r="AC363" i="1"/>
  <c r="AA363" i="1"/>
  <c r="W363" i="1"/>
  <c r="X363" i="1" s="1"/>
  <c r="U363" i="1"/>
  <c r="R363" i="1"/>
  <c r="N363" i="1"/>
  <c r="O363" i="1" s="1"/>
  <c r="L363" i="1"/>
  <c r="H363" i="1"/>
  <c r="I363" i="1" s="1"/>
  <c r="F363" i="1"/>
  <c r="C363" i="1"/>
  <c r="AD362" i="1"/>
  <c r="AC362" i="1"/>
  <c r="AA362" i="1"/>
  <c r="W362" i="1"/>
  <c r="U362" i="1"/>
  <c r="R362" i="1"/>
  <c r="N362" i="1"/>
  <c r="O362" i="1" s="1"/>
  <c r="L362" i="1"/>
  <c r="I362" i="1"/>
  <c r="H362" i="1"/>
  <c r="F362" i="1"/>
  <c r="C362" i="1"/>
  <c r="AC361" i="1"/>
  <c r="AD361" i="1" s="1"/>
  <c r="AA361" i="1"/>
  <c r="W361" i="1"/>
  <c r="X361" i="1" s="1"/>
  <c r="U361" i="1"/>
  <c r="R361" i="1"/>
  <c r="N361" i="1"/>
  <c r="O361" i="1" s="1"/>
  <c r="L361" i="1"/>
  <c r="I361" i="1"/>
  <c r="H361" i="1"/>
  <c r="F361" i="1"/>
  <c r="C361" i="1"/>
  <c r="AC360" i="1"/>
  <c r="AD360" i="1" s="1"/>
  <c r="AA360" i="1"/>
  <c r="W360" i="1"/>
  <c r="X360" i="1" s="1"/>
  <c r="U360" i="1"/>
  <c r="R360" i="1"/>
  <c r="N360" i="1"/>
  <c r="L360" i="1"/>
  <c r="H360" i="1"/>
  <c r="I360" i="1" s="1"/>
  <c r="F360" i="1"/>
  <c r="C360" i="1"/>
  <c r="Z358" i="1"/>
  <c r="AA358" i="1" s="1"/>
  <c r="W358" i="1"/>
  <c r="X358" i="1" s="1"/>
  <c r="U358" i="1"/>
  <c r="T358" i="1"/>
  <c r="R358" i="1"/>
  <c r="Q358" i="1"/>
  <c r="AC358" i="1" s="1"/>
  <c r="AD358" i="1" s="1"/>
  <c r="K358" i="1"/>
  <c r="N358" i="1" s="1"/>
  <c r="O358" i="1" s="1"/>
  <c r="F358" i="1"/>
  <c r="E358" i="1"/>
  <c r="B358" i="1"/>
  <c r="C358" i="1" s="1"/>
  <c r="AC357" i="1"/>
  <c r="AD357" i="1" s="1"/>
  <c r="AA357" i="1"/>
  <c r="W357" i="1"/>
  <c r="U357" i="1"/>
  <c r="R357" i="1"/>
  <c r="N357" i="1"/>
  <c r="O357" i="1" s="1"/>
  <c r="L357" i="1"/>
  <c r="I357" i="1"/>
  <c r="H357" i="1"/>
  <c r="F357" i="1"/>
  <c r="C357" i="1"/>
  <c r="AC356" i="1"/>
  <c r="AD356" i="1" s="1"/>
  <c r="AA356" i="1"/>
  <c r="W356" i="1"/>
  <c r="X356" i="1" s="1"/>
  <c r="U356" i="1"/>
  <c r="R356" i="1"/>
  <c r="N356" i="1"/>
  <c r="L356" i="1"/>
  <c r="H356" i="1"/>
  <c r="I356" i="1" s="1"/>
  <c r="F356" i="1"/>
  <c r="C356" i="1"/>
  <c r="AC355" i="1"/>
  <c r="AA355" i="1"/>
  <c r="W355" i="1"/>
  <c r="X355" i="1" s="1"/>
  <c r="U355" i="1"/>
  <c r="R355" i="1"/>
  <c r="N355" i="1"/>
  <c r="L355" i="1"/>
  <c r="H355" i="1"/>
  <c r="I355" i="1" s="1"/>
  <c r="F355" i="1"/>
  <c r="C355" i="1"/>
  <c r="AD354" i="1"/>
  <c r="AC354" i="1"/>
  <c r="AA354" i="1"/>
  <c r="W354" i="1"/>
  <c r="U354" i="1"/>
  <c r="R354" i="1"/>
  <c r="N354" i="1"/>
  <c r="O354" i="1" s="1"/>
  <c r="L354" i="1"/>
  <c r="I354" i="1"/>
  <c r="H354" i="1"/>
  <c r="F354" i="1"/>
  <c r="C354" i="1"/>
  <c r="AC353" i="1"/>
  <c r="AD353" i="1" s="1"/>
  <c r="AA353" i="1"/>
  <c r="W353" i="1"/>
  <c r="U353" i="1"/>
  <c r="R353" i="1"/>
  <c r="N353" i="1"/>
  <c r="O353" i="1" s="1"/>
  <c r="L353" i="1"/>
  <c r="I353" i="1"/>
  <c r="H353" i="1"/>
  <c r="F353" i="1"/>
  <c r="C353" i="1"/>
  <c r="AC352" i="1"/>
  <c r="AD352" i="1" s="1"/>
  <c r="AA352" i="1"/>
  <c r="W352" i="1"/>
  <c r="X352" i="1" s="1"/>
  <c r="U352" i="1"/>
  <c r="R352" i="1"/>
  <c r="N352" i="1"/>
  <c r="L352" i="1"/>
  <c r="H352" i="1"/>
  <c r="I352" i="1" s="1"/>
  <c r="F352" i="1"/>
  <c r="C352" i="1"/>
  <c r="AC351" i="1"/>
  <c r="AA351" i="1"/>
  <c r="W351" i="1"/>
  <c r="X351" i="1" s="1"/>
  <c r="U351" i="1"/>
  <c r="R351" i="1"/>
  <c r="N351" i="1"/>
  <c r="L351" i="1"/>
  <c r="H351" i="1"/>
  <c r="I351" i="1" s="1"/>
  <c r="F351" i="1"/>
  <c r="C351" i="1"/>
  <c r="AD350" i="1"/>
  <c r="AC350" i="1"/>
  <c r="AA350" i="1"/>
  <c r="W350" i="1"/>
  <c r="U350" i="1"/>
  <c r="R350" i="1"/>
  <c r="N350" i="1"/>
  <c r="O350" i="1" s="1"/>
  <c r="L350" i="1"/>
  <c r="I350" i="1"/>
  <c r="H350" i="1"/>
  <c r="F350" i="1"/>
  <c r="C350" i="1"/>
  <c r="AC349" i="1"/>
  <c r="AD349" i="1" s="1"/>
  <c r="AA349" i="1"/>
  <c r="W349" i="1"/>
  <c r="U349" i="1"/>
  <c r="R349" i="1"/>
  <c r="N349" i="1"/>
  <c r="O349" i="1" s="1"/>
  <c r="L349" i="1"/>
  <c r="I349" i="1"/>
  <c r="H349" i="1"/>
  <c r="F349" i="1"/>
  <c r="C349" i="1"/>
  <c r="AC347" i="1"/>
  <c r="AD347" i="1" s="1"/>
  <c r="AA347" i="1"/>
  <c r="X347" i="1"/>
  <c r="W347" i="1"/>
  <c r="U347" i="1"/>
  <c r="R347" i="1"/>
  <c r="N347" i="1"/>
  <c r="L347" i="1"/>
  <c r="H347" i="1"/>
  <c r="I347" i="1" s="1"/>
  <c r="F347" i="1"/>
  <c r="C347" i="1"/>
  <c r="AC344" i="1"/>
  <c r="AD344" i="1" s="1"/>
  <c r="AA344" i="1"/>
  <c r="Z344" i="1"/>
  <c r="T344" i="1"/>
  <c r="U344" i="1" s="1"/>
  <c r="Q344" i="1"/>
  <c r="L344" i="1"/>
  <c r="K344" i="1"/>
  <c r="E344" i="1"/>
  <c r="C344" i="1"/>
  <c r="B344" i="1"/>
  <c r="N344" i="1" s="1"/>
  <c r="O344" i="1" s="1"/>
  <c r="Z343" i="1"/>
  <c r="AA343" i="1" s="1"/>
  <c r="W343" i="1"/>
  <c r="X343" i="1" s="1"/>
  <c r="U343" i="1"/>
  <c r="T343" i="1"/>
  <c r="R343" i="1"/>
  <c r="Q343" i="1"/>
  <c r="AC343" i="1" s="1"/>
  <c r="AD343" i="1" s="1"/>
  <c r="K343" i="1"/>
  <c r="L343" i="1" s="1"/>
  <c r="F343" i="1"/>
  <c r="E343" i="1"/>
  <c r="B343" i="1"/>
  <c r="C343" i="1" s="1"/>
  <c r="AA342" i="1"/>
  <c r="Z342" i="1"/>
  <c r="T342" i="1"/>
  <c r="U342" i="1" s="1"/>
  <c r="Q342" i="1"/>
  <c r="L342" i="1"/>
  <c r="K342" i="1"/>
  <c r="E342" i="1"/>
  <c r="C342" i="1"/>
  <c r="B342" i="1"/>
  <c r="N342" i="1" s="1"/>
  <c r="O342" i="1" s="1"/>
  <c r="AC341" i="1"/>
  <c r="AA341" i="1"/>
  <c r="W341" i="1"/>
  <c r="X341" i="1" s="1"/>
  <c r="U341" i="1"/>
  <c r="R341" i="1"/>
  <c r="N341" i="1"/>
  <c r="L341" i="1"/>
  <c r="H341" i="1"/>
  <c r="I341" i="1" s="1"/>
  <c r="F341" i="1"/>
  <c r="C341" i="1"/>
  <c r="AD340" i="1"/>
  <c r="AC340" i="1"/>
  <c r="AA340" i="1"/>
  <c r="W340" i="1"/>
  <c r="U340" i="1"/>
  <c r="R340" i="1"/>
  <c r="O340" i="1"/>
  <c r="N340" i="1"/>
  <c r="L340" i="1"/>
  <c r="I340" i="1"/>
  <c r="H340" i="1"/>
  <c r="F340" i="1"/>
  <c r="C340" i="1"/>
  <c r="AC339" i="1"/>
  <c r="AD339" i="1" s="1"/>
  <c r="AA339" i="1"/>
  <c r="W339" i="1"/>
  <c r="U339" i="1"/>
  <c r="R339" i="1"/>
  <c r="N339" i="1"/>
  <c r="O339" i="1" s="1"/>
  <c r="L339" i="1"/>
  <c r="I339" i="1"/>
  <c r="H339" i="1"/>
  <c r="F339" i="1"/>
  <c r="C339" i="1"/>
  <c r="AC338" i="1"/>
  <c r="AD338" i="1" s="1"/>
  <c r="AA338" i="1"/>
  <c r="X338" i="1"/>
  <c r="W338" i="1"/>
  <c r="U338" i="1"/>
  <c r="R338" i="1"/>
  <c r="N338" i="1"/>
  <c r="L338" i="1"/>
  <c r="H338" i="1"/>
  <c r="I338" i="1" s="1"/>
  <c r="F338" i="1"/>
  <c r="C338" i="1"/>
  <c r="AC337" i="1"/>
  <c r="AA337" i="1"/>
  <c r="W337" i="1"/>
  <c r="X337" i="1" s="1"/>
  <c r="U337" i="1"/>
  <c r="R337" i="1"/>
  <c r="N337" i="1"/>
  <c r="L337" i="1"/>
  <c r="H337" i="1"/>
  <c r="I337" i="1" s="1"/>
  <c r="F337" i="1"/>
  <c r="C337" i="1"/>
  <c r="AD335" i="1"/>
  <c r="AC335" i="1"/>
  <c r="AA335" i="1"/>
  <c r="W335" i="1"/>
  <c r="U335" i="1"/>
  <c r="R335" i="1"/>
  <c r="O335" i="1"/>
  <c r="N335" i="1"/>
  <c r="L335" i="1"/>
  <c r="I335" i="1"/>
  <c r="H335" i="1"/>
  <c r="F335" i="1"/>
  <c r="C335" i="1"/>
  <c r="AC334" i="1"/>
  <c r="AD334" i="1" s="1"/>
  <c r="AA334" i="1"/>
  <c r="W334" i="1"/>
  <c r="U334" i="1"/>
  <c r="R334" i="1"/>
  <c r="N334" i="1"/>
  <c r="O334" i="1" s="1"/>
  <c r="L334" i="1"/>
  <c r="I334" i="1"/>
  <c r="H334" i="1"/>
  <c r="F334" i="1"/>
  <c r="C334" i="1"/>
  <c r="AC333" i="1"/>
  <c r="AD333" i="1" s="1"/>
  <c r="AA333" i="1"/>
  <c r="X333" i="1"/>
  <c r="W333" i="1"/>
  <c r="U333" i="1"/>
  <c r="R333" i="1"/>
  <c r="N333" i="1"/>
  <c r="L333" i="1"/>
  <c r="H333" i="1"/>
  <c r="I333" i="1" s="1"/>
  <c r="F333" i="1"/>
  <c r="C333" i="1"/>
  <c r="AC332" i="1"/>
  <c r="AA332" i="1"/>
  <c r="W332" i="1"/>
  <c r="X332" i="1" s="1"/>
  <c r="U332" i="1"/>
  <c r="R332" i="1"/>
  <c r="N332" i="1"/>
  <c r="L332" i="1"/>
  <c r="H332" i="1"/>
  <c r="I332" i="1" s="1"/>
  <c r="F332" i="1"/>
  <c r="C332" i="1"/>
  <c r="AD331" i="1"/>
  <c r="AC331" i="1"/>
  <c r="AA331" i="1"/>
  <c r="W331" i="1"/>
  <c r="U331" i="1"/>
  <c r="R331" i="1"/>
  <c r="N331" i="1"/>
  <c r="O331" i="1" s="1"/>
  <c r="L331" i="1"/>
  <c r="I331" i="1"/>
  <c r="H331" i="1"/>
  <c r="F331" i="1"/>
  <c r="C331" i="1"/>
  <c r="AC330" i="1"/>
  <c r="AD330" i="1" s="1"/>
  <c r="AA330" i="1"/>
  <c r="W330" i="1"/>
  <c r="U330" i="1"/>
  <c r="R330" i="1"/>
  <c r="N330" i="1"/>
  <c r="O330" i="1" s="1"/>
  <c r="L330" i="1"/>
  <c r="I330" i="1"/>
  <c r="H330" i="1"/>
  <c r="F330" i="1"/>
  <c r="C330" i="1"/>
  <c r="AC329" i="1"/>
  <c r="AD329" i="1" s="1"/>
  <c r="AA329" i="1"/>
  <c r="W329" i="1"/>
  <c r="X329" i="1" s="1"/>
  <c r="U329" i="1"/>
  <c r="R329" i="1"/>
  <c r="N329" i="1"/>
  <c r="L329" i="1"/>
  <c r="H329" i="1"/>
  <c r="I329" i="1" s="1"/>
  <c r="F329" i="1"/>
  <c r="C329" i="1"/>
  <c r="AC328" i="1"/>
  <c r="AA328" i="1"/>
  <c r="W328" i="1"/>
  <c r="X328" i="1" s="1"/>
  <c r="U328" i="1"/>
  <c r="R328" i="1"/>
  <c r="N328" i="1"/>
  <c r="L328" i="1"/>
  <c r="H328" i="1"/>
  <c r="I328" i="1" s="1"/>
  <c r="F328" i="1"/>
  <c r="C328" i="1"/>
  <c r="AD325" i="1"/>
  <c r="AA325" i="1"/>
  <c r="Z325" i="1"/>
  <c r="U325" i="1"/>
  <c r="T325" i="1"/>
  <c r="W325" i="1" s="1"/>
  <c r="X325" i="1" s="1"/>
  <c r="R325" i="1"/>
  <c r="Q325" i="1"/>
  <c r="AC325" i="1" s="1"/>
  <c r="K325" i="1"/>
  <c r="L325" i="1" s="1"/>
  <c r="I325" i="1"/>
  <c r="H325" i="1"/>
  <c r="F325" i="1"/>
  <c r="E325" i="1"/>
  <c r="C325" i="1"/>
  <c r="B325" i="1"/>
  <c r="N325" i="1" s="1"/>
  <c r="O325" i="1" s="1"/>
  <c r="Z324" i="1"/>
  <c r="AA324" i="1" s="1"/>
  <c r="U324" i="1"/>
  <c r="T324" i="1"/>
  <c r="Q324" i="1"/>
  <c r="R324" i="1" s="1"/>
  <c r="L324" i="1"/>
  <c r="K324" i="1"/>
  <c r="E324" i="1"/>
  <c r="F324" i="1" s="1"/>
  <c r="B324" i="1"/>
  <c r="H324" i="1" s="1"/>
  <c r="I324" i="1" s="1"/>
  <c r="AD323" i="1"/>
  <c r="AC323" i="1"/>
  <c r="AA323" i="1"/>
  <c r="W323" i="1"/>
  <c r="U323" i="1"/>
  <c r="R323" i="1"/>
  <c r="N323" i="1"/>
  <c r="O323" i="1" s="1"/>
  <c r="L323" i="1"/>
  <c r="I323" i="1"/>
  <c r="H323" i="1"/>
  <c r="F323" i="1"/>
  <c r="C323" i="1"/>
  <c r="AD322" i="1"/>
  <c r="AC322" i="1"/>
  <c r="AA322" i="1"/>
  <c r="W322" i="1"/>
  <c r="U322" i="1"/>
  <c r="R322" i="1"/>
  <c r="N322" i="1"/>
  <c r="O322" i="1" s="1"/>
  <c r="L322" i="1"/>
  <c r="I322" i="1"/>
  <c r="H322" i="1"/>
  <c r="F322" i="1"/>
  <c r="C322" i="1"/>
  <c r="AC321" i="1"/>
  <c r="AD321" i="1" s="1"/>
  <c r="AA321" i="1"/>
  <c r="W321" i="1"/>
  <c r="X321" i="1" s="1"/>
  <c r="U321" i="1"/>
  <c r="R321" i="1"/>
  <c r="N321" i="1"/>
  <c r="L321" i="1"/>
  <c r="I321" i="1"/>
  <c r="H321" i="1"/>
  <c r="F321" i="1"/>
  <c r="C321" i="1"/>
  <c r="AC320" i="1"/>
  <c r="AA320" i="1"/>
  <c r="W320" i="1"/>
  <c r="X320" i="1" s="1"/>
  <c r="U320" i="1"/>
  <c r="R320" i="1"/>
  <c r="N320" i="1"/>
  <c r="L320" i="1"/>
  <c r="H320" i="1"/>
  <c r="I320" i="1" s="1"/>
  <c r="F320" i="1"/>
  <c r="C320" i="1"/>
  <c r="AD319" i="1"/>
  <c r="AC319" i="1"/>
  <c r="AA319" i="1"/>
  <c r="W319" i="1"/>
  <c r="U319" i="1"/>
  <c r="R319" i="1"/>
  <c r="O319" i="1"/>
  <c r="N319" i="1"/>
  <c r="L319" i="1"/>
  <c r="I319" i="1"/>
  <c r="H319" i="1"/>
  <c r="F319" i="1"/>
  <c r="C319" i="1"/>
  <c r="AD318" i="1"/>
  <c r="AC318" i="1"/>
  <c r="AA318" i="1"/>
  <c r="W318" i="1"/>
  <c r="U318" i="1"/>
  <c r="R318" i="1"/>
  <c r="N318" i="1"/>
  <c r="O318" i="1" s="1"/>
  <c r="L318" i="1"/>
  <c r="I318" i="1"/>
  <c r="H318" i="1"/>
  <c r="F318" i="1"/>
  <c r="C318" i="1"/>
  <c r="AC317" i="1"/>
  <c r="AD317" i="1" s="1"/>
  <c r="AA317" i="1"/>
  <c r="W317" i="1"/>
  <c r="X317" i="1" s="1"/>
  <c r="U317" i="1"/>
  <c r="R317" i="1"/>
  <c r="N317" i="1"/>
  <c r="L317" i="1"/>
  <c r="I317" i="1"/>
  <c r="H317" i="1"/>
  <c r="F317" i="1"/>
  <c r="C317" i="1"/>
  <c r="AC316" i="1"/>
  <c r="AA316" i="1"/>
  <c r="W316" i="1"/>
  <c r="X316" i="1" s="1"/>
  <c r="U316" i="1"/>
  <c r="R316" i="1"/>
  <c r="N316" i="1"/>
  <c r="L316" i="1"/>
  <c r="H316" i="1"/>
  <c r="I316" i="1" s="1"/>
  <c r="F316" i="1"/>
  <c r="C316" i="1"/>
  <c r="AD315" i="1"/>
  <c r="AC315" i="1"/>
  <c r="AA315" i="1"/>
  <c r="W315" i="1"/>
  <c r="U315" i="1"/>
  <c r="R315" i="1"/>
  <c r="O315" i="1"/>
  <c r="N315" i="1"/>
  <c r="L315" i="1"/>
  <c r="I315" i="1"/>
  <c r="H315" i="1"/>
  <c r="F315" i="1"/>
  <c r="C315" i="1"/>
  <c r="AC314" i="1"/>
  <c r="AD314" i="1" s="1"/>
  <c r="AA314" i="1"/>
  <c r="W314" i="1"/>
  <c r="U314" i="1"/>
  <c r="R314" i="1"/>
  <c r="N314" i="1"/>
  <c r="O314" i="1" s="1"/>
  <c r="L314" i="1"/>
  <c r="I314" i="1"/>
  <c r="H314" i="1"/>
  <c r="F314" i="1"/>
  <c r="C314" i="1"/>
  <c r="AC313" i="1"/>
  <c r="AD313" i="1" s="1"/>
  <c r="AA313" i="1"/>
  <c r="X313" i="1"/>
  <c r="W313" i="1"/>
  <c r="U313" i="1"/>
  <c r="R313" i="1"/>
  <c r="N313" i="1"/>
  <c r="L313" i="1"/>
  <c r="H313" i="1"/>
  <c r="I313" i="1" s="1"/>
  <c r="F313" i="1"/>
  <c r="C313" i="1"/>
  <c r="AC312" i="1"/>
  <c r="AA312" i="1"/>
  <c r="W312" i="1"/>
  <c r="X312" i="1" s="1"/>
  <c r="U312" i="1"/>
  <c r="R312" i="1"/>
  <c r="N312" i="1"/>
  <c r="L312" i="1"/>
  <c r="H312" i="1"/>
  <c r="I312" i="1" s="1"/>
  <c r="F312" i="1"/>
  <c r="C312" i="1"/>
  <c r="AD311" i="1"/>
  <c r="AC311" i="1"/>
  <c r="AA311" i="1"/>
  <c r="W311" i="1"/>
  <c r="U311" i="1"/>
  <c r="R311" i="1"/>
  <c r="N311" i="1"/>
  <c r="O311" i="1" s="1"/>
  <c r="L311" i="1"/>
  <c r="I311" i="1"/>
  <c r="H311" i="1"/>
  <c r="F311" i="1"/>
  <c r="C311" i="1"/>
  <c r="AC310" i="1"/>
  <c r="AD310" i="1" s="1"/>
  <c r="AA310" i="1"/>
  <c r="W310" i="1"/>
  <c r="U310" i="1"/>
  <c r="R310" i="1"/>
  <c r="N310" i="1"/>
  <c r="O310" i="1" s="1"/>
  <c r="L310" i="1"/>
  <c r="I310" i="1"/>
  <c r="H310" i="1"/>
  <c r="F310" i="1"/>
  <c r="C310" i="1"/>
  <c r="AC309" i="1"/>
  <c r="AD309" i="1" s="1"/>
  <c r="AA309" i="1"/>
  <c r="X309" i="1"/>
  <c r="W309" i="1"/>
  <c r="U309" i="1"/>
  <c r="R309" i="1"/>
  <c r="N309" i="1"/>
  <c r="L309" i="1"/>
  <c r="I309" i="1"/>
  <c r="H309" i="1"/>
  <c r="F309" i="1"/>
  <c r="C309" i="1"/>
  <c r="AC308" i="1"/>
  <c r="AA308" i="1"/>
  <c r="W308" i="1"/>
  <c r="X308" i="1" s="1"/>
  <c r="U308" i="1"/>
  <c r="R308" i="1"/>
  <c r="N308" i="1"/>
  <c r="L308" i="1"/>
  <c r="H308" i="1"/>
  <c r="I308" i="1" s="1"/>
  <c r="F308" i="1"/>
  <c r="C308" i="1"/>
  <c r="AD307" i="1"/>
  <c r="AC307" i="1"/>
  <c r="AA307" i="1"/>
  <c r="W307" i="1"/>
  <c r="U307" i="1"/>
  <c r="R307" i="1"/>
  <c r="N307" i="1"/>
  <c r="O307" i="1" s="1"/>
  <c r="L307" i="1"/>
  <c r="I307" i="1"/>
  <c r="H307" i="1"/>
  <c r="F307" i="1"/>
  <c r="C307" i="1"/>
  <c r="AD306" i="1"/>
  <c r="AC306" i="1"/>
  <c r="AA306" i="1"/>
  <c r="W306" i="1"/>
  <c r="U306" i="1"/>
  <c r="R306" i="1"/>
  <c r="N306" i="1"/>
  <c r="O306" i="1" s="1"/>
  <c r="L306" i="1"/>
  <c r="I306" i="1"/>
  <c r="H306" i="1"/>
  <c r="F306" i="1"/>
  <c r="C306" i="1"/>
  <c r="AC305" i="1"/>
  <c r="AD305" i="1" s="1"/>
  <c r="AA305" i="1"/>
  <c r="W305" i="1"/>
  <c r="X305" i="1" s="1"/>
  <c r="U305" i="1"/>
  <c r="R305" i="1"/>
  <c r="N305" i="1"/>
  <c r="L305" i="1"/>
  <c r="I305" i="1"/>
  <c r="H305" i="1"/>
  <c r="F305" i="1"/>
  <c r="C305" i="1"/>
  <c r="AC304" i="1"/>
  <c r="AA304" i="1"/>
  <c r="W304" i="1"/>
  <c r="X304" i="1" s="1"/>
  <c r="U304" i="1"/>
  <c r="R304" i="1"/>
  <c r="N304" i="1"/>
  <c r="L304" i="1"/>
  <c r="H304" i="1"/>
  <c r="I304" i="1" s="1"/>
  <c r="F304" i="1"/>
  <c r="C304" i="1"/>
  <c r="AD303" i="1"/>
  <c r="AC303" i="1"/>
  <c r="AA303" i="1"/>
  <c r="W303" i="1"/>
  <c r="U303" i="1"/>
  <c r="R303" i="1"/>
  <c r="N303" i="1"/>
  <c r="O303" i="1" s="1"/>
  <c r="L303" i="1"/>
  <c r="I303" i="1"/>
  <c r="H303" i="1"/>
  <c r="F303" i="1"/>
  <c r="C303" i="1"/>
  <c r="AD302" i="1"/>
  <c r="AC302" i="1"/>
  <c r="AA302" i="1"/>
  <c r="W302" i="1"/>
  <c r="U302" i="1"/>
  <c r="R302" i="1"/>
  <c r="N302" i="1"/>
  <c r="O302" i="1" s="1"/>
  <c r="L302" i="1"/>
  <c r="I302" i="1"/>
  <c r="H302" i="1"/>
  <c r="F302" i="1"/>
  <c r="C302" i="1"/>
  <c r="AC301" i="1"/>
  <c r="AD301" i="1" s="1"/>
  <c r="AA301" i="1"/>
  <c r="X301" i="1"/>
  <c r="W301" i="1"/>
  <c r="U301" i="1"/>
  <c r="R301" i="1"/>
  <c r="N301" i="1"/>
  <c r="L301" i="1"/>
  <c r="I301" i="1"/>
  <c r="H301" i="1"/>
  <c r="F301" i="1"/>
  <c r="C301" i="1"/>
  <c r="AC300" i="1"/>
  <c r="AA300" i="1"/>
  <c r="W300" i="1"/>
  <c r="X300" i="1" s="1"/>
  <c r="U300" i="1"/>
  <c r="R300" i="1"/>
  <c r="N300" i="1"/>
  <c r="L300" i="1"/>
  <c r="H300" i="1"/>
  <c r="I300" i="1" s="1"/>
  <c r="F300" i="1"/>
  <c r="C300" i="1"/>
  <c r="AD299" i="1"/>
  <c r="AC299" i="1"/>
  <c r="AA299" i="1"/>
  <c r="W299" i="1"/>
  <c r="U299" i="1"/>
  <c r="R299" i="1"/>
  <c r="O299" i="1"/>
  <c r="N299" i="1"/>
  <c r="L299" i="1"/>
  <c r="I299" i="1"/>
  <c r="H299" i="1"/>
  <c r="F299" i="1"/>
  <c r="C299" i="1"/>
  <c r="AC298" i="1"/>
  <c r="AD298" i="1" s="1"/>
  <c r="AA298" i="1"/>
  <c r="W298" i="1"/>
  <c r="U298" i="1"/>
  <c r="R298" i="1"/>
  <c r="N298" i="1"/>
  <c r="O298" i="1" s="1"/>
  <c r="L298" i="1"/>
  <c r="I298" i="1"/>
  <c r="H298" i="1"/>
  <c r="F298" i="1"/>
  <c r="C298" i="1"/>
  <c r="AC297" i="1"/>
  <c r="AD297" i="1" s="1"/>
  <c r="AA297" i="1"/>
  <c r="X297" i="1"/>
  <c r="W297" i="1"/>
  <c r="U297" i="1"/>
  <c r="R297" i="1"/>
  <c r="N297" i="1"/>
  <c r="L297" i="1"/>
  <c r="H297" i="1"/>
  <c r="I297" i="1" s="1"/>
  <c r="F297" i="1"/>
  <c r="C297" i="1"/>
  <c r="Z295" i="1"/>
  <c r="AA295" i="1" s="1"/>
  <c r="X295" i="1"/>
  <c r="W295" i="1"/>
  <c r="U295" i="1"/>
  <c r="T295" i="1"/>
  <c r="R295" i="1"/>
  <c r="Q295" i="1"/>
  <c r="AC295" i="1" s="1"/>
  <c r="AD295" i="1" s="1"/>
  <c r="L295" i="1"/>
  <c r="K295" i="1"/>
  <c r="N295" i="1" s="1"/>
  <c r="O295" i="1" s="1"/>
  <c r="F295" i="1"/>
  <c r="E295" i="1"/>
  <c r="B295" i="1"/>
  <c r="C295" i="1" s="1"/>
  <c r="AD294" i="1"/>
  <c r="AC294" i="1"/>
  <c r="AA294" i="1"/>
  <c r="W294" i="1"/>
  <c r="U294" i="1"/>
  <c r="R294" i="1"/>
  <c r="N294" i="1"/>
  <c r="O294" i="1" s="1"/>
  <c r="L294" i="1"/>
  <c r="I294" i="1"/>
  <c r="H294" i="1"/>
  <c r="F294" i="1"/>
  <c r="C294" i="1"/>
  <c r="AC293" i="1"/>
  <c r="AD293" i="1" s="1"/>
  <c r="AA293" i="1"/>
  <c r="W293" i="1"/>
  <c r="X293" i="1" s="1"/>
  <c r="U293" i="1"/>
  <c r="R293" i="1"/>
  <c r="N293" i="1"/>
  <c r="L293" i="1"/>
  <c r="I293" i="1"/>
  <c r="H293" i="1"/>
  <c r="F293" i="1"/>
  <c r="C293" i="1"/>
  <c r="AC292" i="1"/>
  <c r="AA292" i="1"/>
  <c r="W292" i="1"/>
  <c r="X292" i="1" s="1"/>
  <c r="U292" i="1"/>
  <c r="R292" i="1"/>
  <c r="N292" i="1"/>
  <c r="L292" i="1"/>
  <c r="H292" i="1"/>
  <c r="I292" i="1" s="1"/>
  <c r="F292" i="1"/>
  <c r="C292" i="1"/>
  <c r="AD291" i="1"/>
  <c r="AC291" i="1"/>
  <c r="AA291" i="1"/>
  <c r="W291" i="1"/>
  <c r="U291" i="1"/>
  <c r="R291" i="1"/>
  <c r="O291" i="1"/>
  <c r="N291" i="1"/>
  <c r="L291" i="1"/>
  <c r="I291" i="1"/>
  <c r="H291" i="1"/>
  <c r="F291" i="1"/>
  <c r="C291" i="1"/>
  <c r="AC290" i="1"/>
  <c r="AD290" i="1" s="1"/>
  <c r="AA290" i="1"/>
  <c r="W290" i="1"/>
  <c r="U290" i="1"/>
  <c r="R290" i="1"/>
  <c r="N290" i="1"/>
  <c r="O290" i="1" s="1"/>
  <c r="L290" i="1"/>
  <c r="I290" i="1"/>
  <c r="H290" i="1"/>
  <c r="F290" i="1"/>
  <c r="C290" i="1"/>
  <c r="AC289" i="1"/>
  <c r="AD289" i="1" s="1"/>
  <c r="AA289" i="1"/>
  <c r="X289" i="1"/>
  <c r="W289" i="1"/>
  <c r="U289" i="1"/>
  <c r="R289" i="1"/>
  <c r="N289" i="1"/>
  <c r="L289" i="1"/>
  <c r="H289" i="1"/>
  <c r="I289" i="1" s="1"/>
  <c r="F289" i="1"/>
  <c r="C289" i="1"/>
  <c r="AC288" i="1"/>
  <c r="AA288" i="1"/>
  <c r="W288" i="1"/>
  <c r="X288" i="1" s="1"/>
  <c r="U288" i="1"/>
  <c r="R288" i="1"/>
  <c r="N288" i="1"/>
  <c r="L288" i="1"/>
  <c r="H288" i="1"/>
  <c r="I288" i="1" s="1"/>
  <c r="F288" i="1"/>
  <c r="C288" i="1"/>
  <c r="AD287" i="1"/>
  <c r="AC287" i="1"/>
  <c r="AA287" i="1"/>
  <c r="W287" i="1"/>
  <c r="U287" i="1"/>
  <c r="R287" i="1"/>
  <c r="N287" i="1"/>
  <c r="O287" i="1" s="1"/>
  <c r="L287" i="1"/>
  <c r="I287" i="1"/>
  <c r="H287" i="1"/>
  <c r="F287" i="1"/>
  <c r="C287" i="1"/>
  <c r="AC286" i="1"/>
  <c r="AD286" i="1" s="1"/>
  <c r="AA286" i="1"/>
  <c r="W286" i="1"/>
  <c r="U286" i="1"/>
  <c r="R286" i="1"/>
  <c r="N286" i="1"/>
  <c r="O286" i="1" s="1"/>
  <c r="L286" i="1"/>
  <c r="I286" i="1"/>
  <c r="H286" i="1"/>
  <c r="F286" i="1"/>
  <c r="C286" i="1"/>
  <c r="AA284" i="1"/>
  <c r="Z284" i="1"/>
  <c r="U284" i="1"/>
  <c r="T284" i="1"/>
  <c r="Q284" i="1"/>
  <c r="AC284" i="1" s="1"/>
  <c r="AD284" i="1" s="1"/>
  <c r="O284" i="1"/>
  <c r="N284" i="1"/>
  <c r="L284" i="1"/>
  <c r="K284" i="1"/>
  <c r="E284" i="1"/>
  <c r="F284" i="1" s="1"/>
  <c r="B284" i="1"/>
  <c r="H284" i="1" s="1"/>
  <c r="I284" i="1" s="1"/>
  <c r="AD283" i="1"/>
  <c r="AC283" i="1"/>
  <c r="AA283" i="1"/>
  <c r="W283" i="1"/>
  <c r="U283" i="1"/>
  <c r="R283" i="1"/>
  <c r="N283" i="1"/>
  <c r="O283" i="1" s="1"/>
  <c r="L283" i="1"/>
  <c r="I283" i="1"/>
  <c r="H283" i="1"/>
  <c r="F283" i="1"/>
  <c r="C283" i="1"/>
  <c r="AD282" i="1"/>
  <c r="AC282" i="1"/>
  <c r="AA282" i="1"/>
  <c r="W282" i="1"/>
  <c r="U282" i="1"/>
  <c r="R282" i="1"/>
  <c r="N282" i="1"/>
  <c r="O282" i="1" s="1"/>
  <c r="L282" i="1"/>
  <c r="I282" i="1"/>
  <c r="H282" i="1"/>
  <c r="F282" i="1"/>
  <c r="C282" i="1"/>
  <c r="AC281" i="1"/>
  <c r="AD281" i="1" s="1"/>
  <c r="AA281" i="1"/>
  <c r="X281" i="1"/>
  <c r="W281" i="1"/>
  <c r="U281" i="1"/>
  <c r="R281" i="1"/>
  <c r="N281" i="1"/>
  <c r="L281" i="1"/>
  <c r="I281" i="1"/>
  <c r="H281" i="1"/>
  <c r="F281" i="1"/>
  <c r="C281" i="1"/>
  <c r="AC280" i="1"/>
  <c r="AA280" i="1"/>
  <c r="W280" i="1"/>
  <c r="X280" i="1" s="1"/>
  <c r="U280" i="1"/>
  <c r="R280" i="1"/>
  <c r="N280" i="1"/>
  <c r="L280" i="1"/>
  <c r="H280" i="1"/>
  <c r="I280" i="1" s="1"/>
  <c r="F280" i="1"/>
  <c r="C280" i="1"/>
  <c r="AD279" i="1"/>
  <c r="AC279" i="1"/>
  <c r="AA279" i="1"/>
  <c r="W279" i="1"/>
  <c r="U279" i="1"/>
  <c r="R279" i="1"/>
  <c r="O279" i="1"/>
  <c r="N279" i="1"/>
  <c r="L279" i="1"/>
  <c r="I279" i="1"/>
  <c r="H279" i="1"/>
  <c r="F279" i="1"/>
  <c r="C279" i="1"/>
  <c r="AC278" i="1"/>
  <c r="AD278" i="1" s="1"/>
  <c r="AA278" i="1"/>
  <c r="W278" i="1"/>
  <c r="U278" i="1"/>
  <c r="R278" i="1"/>
  <c r="N278" i="1"/>
  <c r="O278" i="1" s="1"/>
  <c r="L278" i="1"/>
  <c r="I278" i="1"/>
  <c r="H278" i="1"/>
  <c r="F278" i="1"/>
  <c r="C278" i="1"/>
  <c r="AC277" i="1"/>
  <c r="AD277" i="1" s="1"/>
  <c r="AA277" i="1"/>
  <c r="X277" i="1"/>
  <c r="W277" i="1"/>
  <c r="U277" i="1"/>
  <c r="R277" i="1"/>
  <c r="N277" i="1"/>
  <c r="L277" i="1"/>
  <c r="H277" i="1"/>
  <c r="I277" i="1" s="1"/>
  <c r="F277" i="1"/>
  <c r="C277" i="1"/>
  <c r="AC276" i="1"/>
  <c r="AA276" i="1"/>
  <c r="W276" i="1"/>
  <c r="X276" i="1" s="1"/>
  <c r="U276" i="1"/>
  <c r="R276" i="1"/>
  <c r="N276" i="1"/>
  <c r="L276" i="1"/>
  <c r="H276" i="1"/>
  <c r="I276" i="1" s="1"/>
  <c r="F276" i="1"/>
  <c r="C276" i="1"/>
  <c r="AD275" i="1"/>
  <c r="AC275" i="1"/>
  <c r="AA275" i="1"/>
  <c r="W275" i="1"/>
  <c r="U275" i="1"/>
  <c r="R275" i="1"/>
  <c r="N275" i="1"/>
  <c r="O275" i="1" s="1"/>
  <c r="L275" i="1"/>
  <c r="I275" i="1"/>
  <c r="H275" i="1"/>
  <c r="F275" i="1"/>
  <c r="C275" i="1"/>
  <c r="AA273" i="1"/>
  <c r="Z273" i="1"/>
  <c r="T273" i="1"/>
  <c r="U273" i="1" s="1"/>
  <c r="Q273" i="1"/>
  <c r="W273" i="1" s="1"/>
  <c r="X273" i="1" s="1"/>
  <c r="O273" i="1"/>
  <c r="L273" i="1"/>
  <c r="K273" i="1"/>
  <c r="F273" i="1"/>
  <c r="E273" i="1"/>
  <c r="H273" i="1" s="1"/>
  <c r="I273" i="1" s="1"/>
  <c r="C273" i="1"/>
  <c r="B273" i="1"/>
  <c r="N273" i="1" s="1"/>
  <c r="AC272" i="1"/>
  <c r="AA272" i="1"/>
  <c r="W272" i="1"/>
  <c r="X272" i="1" s="1"/>
  <c r="U272" i="1"/>
  <c r="R272" i="1"/>
  <c r="N272" i="1"/>
  <c r="L272" i="1"/>
  <c r="H272" i="1"/>
  <c r="I272" i="1" s="1"/>
  <c r="F272" i="1"/>
  <c r="C272" i="1"/>
  <c r="AD271" i="1"/>
  <c r="AC271" i="1"/>
  <c r="AA271" i="1"/>
  <c r="W271" i="1"/>
  <c r="U271" i="1"/>
  <c r="R271" i="1"/>
  <c r="O271" i="1"/>
  <c r="N271" i="1"/>
  <c r="L271" i="1"/>
  <c r="I271" i="1"/>
  <c r="H271" i="1"/>
  <c r="F271" i="1"/>
  <c r="C271" i="1"/>
  <c r="AC270" i="1"/>
  <c r="AD270" i="1" s="1"/>
  <c r="AA270" i="1"/>
  <c r="W270" i="1"/>
  <c r="U270" i="1"/>
  <c r="R270" i="1"/>
  <c r="N270" i="1"/>
  <c r="O270" i="1" s="1"/>
  <c r="L270" i="1"/>
  <c r="I270" i="1"/>
  <c r="H270" i="1"/>
  <c r="F270" i="1"/>
  <c r="C270" i="1"/>
  <c r="AC269" i="1"/>
  <c r="AD269" i="1" s="1"/>
  <c r="AA269" i="1"/>
  <c r="W269" i="1"/>
  <c r="X269" i="1" s="1"/>
  <c r="U269" i="1"/>
  <c r="R269" i="1"/>
  <c r="N269" i="1"/>
  <c r="L269" i="1"/>
  <c r="H269" i="1"/>
  <c r="I269" i="1" s="1"/>
  <c r="F269" i="1"/>
  <c r="C269" i="1"/>
  <c r="Z267" i="1"/>
  <c r="AA267" i="1" s="1"/>
  <c r="X267" i="1"/>
  <c r="W267" i="1"/>
  <c r="U267" i="1"/>
  <c r="T267" i="1"/>
  <c r="R267" i="1"/>
  <c r="Q267" i="1"/>
  <c r="AC267" i="1" s="1"/>
  <c r="AD267" i="1" s="1"/>
  <c r="K267" i="1"/>
  <c r="L267" i="1" s="1"/>
  <c r="F267" i="1"/>
  <c r="E267" i="1"/>
  <c r="B267" i="1"/>
  <c r="AD266" i="1"/>
  <c r="AC266" i="1"/>
  <c r="AA266" i="1"/>
  <c r="W266" i="1"/>
  <c r="U266" i="1"/>
  <c r="R266" i="1"/>
  <c r="N266" i="1"/>
  <c r="O266" i="1" s="1"/>
  <c r="L266" i="1"/>
  <c r="I266" i="1"/>
  <c r="H266" i="1"/>
  <c r="F266" i="1"/>
  <c r="C266" i="1"/>
  <c r="AC265" i="1"/>
  <c r="AD265" i="1" s="1"/>
  <c r="AA265" i="1"/>
  <c r="X265" i="1"/>
  <c r="W265" i="1"/>
  <c r="U265" i="1"/>
  <c r="R265" i="1"/>
  <c r="N265" i="1"/>
  <c r="L265" i="1"/>
  <c r="I265" i="1"/>
  <c r="H265" i="1"/>
  <c r="F265" i="1"/>
  <c r="C265" i="1"/>
  <c r="Z263" i="1"/>
  <c r="AA263" i="1" s="1"/>
  <c r="W263" i="1"/>
  <c r="X263" i="1" s="1"/>
  <c r="U263" i="1"/>
  <c r="T263" i="1"/>
  <c r="R263" i="1"/>
  <c r="Q263" i="1"/>
  <c r="AC263" i="1" s="1"/>
  <c r="AD263" i="1" s="1"/>
  <c r="K263" i="1"/>
  <c r="L263" i="1" s="1"/>
  <c r="F263" i="1"/>
  <c r="E263" i="1"/>
  <c r="B263" i="1"/>
  <c r="N263" i="1" s="1"/>
  <c r="O263" i="1" s="1"/>
  <c r="AA262" i="1"/>
  <c r="Z262" i="1"/>
  <c r="T262" i="1"/>
  <c r="U262" i="1" s="1"/>
  <c r="Q262" i="1"/>
  <c r="W262" i="1" s="1"/>
  <c r="X262" i="1" s="1"/>
  <c r="O262" i="1"/>
  <c r="L262" i="1"/>
  <c r="K262" i="1"/>
  <c r="E262" i="1"/>
  <c r="H262" i="1" s="1"/>
  <c r="I262" i="1" s="1"/>
  <c r="C262" i="1"/>
  <c r="B262" i="1"/>
  <c r="N262" i="1" s="1"/>
  <c r="AC261" i="1"/>
  <c r="AA261" i="1"/>
  <c r="W261" i="1"/>
  <c r="X261" i="1" s="1"/>
  <c r="U261" i="1"/>
  <c r="R261" i="1"/>
  <c r="N261" i="1"/>
  <c r="L261" i="1"/>
  <c r="H261" i="1"/>
  <c r="I261" i="1" s="1"/>
  <c r="F261" i="1"/>
  <c r="C261" i="1"/>
  <c r="AD260" i="1"/>
  <c r="AC260" i="1"/>
  <c r="AA260" i="1"/>
  <c r="W260" i="1"/>
  <c r="U260" i="1"/>
  <c r="R260" i="1"/>
  <c r="N260" i="1"/>
  <c r="O260" i="1" s="1"/>
  <c r="L260" i="1"/>
  <c r="I260" i="1"/>
  <c r="H260" i="1"/>
  <c r="F260" i="1"/>
  <c r="C260" i="1"/>
  <c r="AC259" i="1"/>
  <c r="AD259" i="1" s="1"/>
  <c r="AA259" i="1"/>
  <c r="W259" i="1"/>
  <c r="U259" i="1"/>
  <c r="R259" i="1"/>
  <c r="N259" i="1"/>
  <c r="O259" i="1" s="1"/>
  <c r="L259" i="1"/>
  <c r="I259" i="1"/>
  <c r="H259" i="1"/>
  <c r="F259" i="1"/>
  <c r="C259" i="1"/>
  <c r="AC258" i="1"/>
  <c r="AD258" i="1" s="1"/>
  <c r="AA258" i="1"/>
  <c r="X258" i="1"/>
  <c r="W258" i="1"/>
  <c r="U258" i="1"/>
  <c r="R258" i="1"/>
  <c r="N258" i="1"/>
  <c r="L258" i="1"/>
  <c r="I258" i="1"/>
  <c r="H258" i="1"/>
  <c r="F258" i="1"/>
  <c r="C258" i="1"/>
  <c r="AC257" i="1"/>
  <c r="AA257" i="1"/>
  <c r="W257" i="1"/>
  <c r="X257" i="1" s="1"/>
  <c r="U257" i="1"/>
  <c r="R257" i="1"/>
  <c r="N257" i="1"/>
  <c r="L257" i="1"/>
  <c r="H257" i="1"/>
  <c r="I257" i="1" s="1"/>
  <c r="F257" i="1"/>
  <c r="C257" i="1"/>
  <c r="AD256" i="1"/>
  <c r="AC256" i="1"/>
  <c r="AA256" i="1"/>
  <c r="W256" i="1"/>
  <c r="U256" i="1"/>
  <c r="R256" i="1"/>
  <c r="N256" i="1"/>
  <c r="O256" i="1" s="1"/>
  <c r="L256" i="1"/>
  <c r="I256" i="1"/>
  <c r="H256" i="1"/>
  <c r="F256" i="1"/>
  <c r="C256" i="1"/>
  <c r="AD255" i="1"/>
  <c r="AC255" i="1"/>
  <c r="AA255" i="1"/>
  <c r="W255" i="1"/>
  <c r="U255" i="1"/>
  <c r="R255" i="1"/>
  <c r="N255" i="1"/>
  <c r="O255" i="1" s="1"/>
  <c r="L255" i="1"/>
  <c r="I255" i="1"/>
  <c r="H255" i="1"/>
  <c r="F255" i="1"/>
  <c r="C255" i="1"/>
  <c r="AC254" i="1"/>
  <c r="AD254" i="1" s="1"/>
  <c r="AA254" i="1"/>
  <c r="W254" i="1"/>
  <c r="X254" i="1" s="1"/>
  <c r="U254" i="1"/>
  <c r="R254" i="1"/>
  <c r="N254" i="1"/>
  <c r="L254" i="1"/>
  <c r="I254" i="1"/>
  <c r="H254" i="1"/>
  <c r="F254" i="1"/>
  <c r="C254" i="1"/>
  <c r="AC253" i="1"/>
  <c r="AA253" i="1"/>
  <c r="W253" i="1"/>
  <c r="X253" i="1" s="1"/>
  <c r="U253" i="1"/>
  <c r="R253" i="1"/>
  <c r="N253" i="1"/>
  <c r="L253" i="1"/>
  <c r="H253" i="1"/>
  <c r="I253" i="1" s="1"/>
  <c r="F253" i="1"/>
  <c r="C253" i="1"/>
  <c r="AD252" i="1"/>
  <c r="AC252" i="1"/>
  <c r="AA252" i="1"/>
  <c r="W252" i="1"/>
  <c r="U252" i="1"/>
  <c r="R252" i="1"/>
  <c r="O252" i="1"/>
  <c r="N252" i="1"/>
  <c r="L252" i="1"/>
  <c r="I252" i="1"/>
  <c r="H252" i="1"/>
  <c r="F252" i="1"/>
  <c r="C252" i="1"/>
  <c r="AD251" i="1"/>
  <c r="AC251" i="1"/>
  <c r="AA251" i="1"/>
  <c r="W251" i="1"/>
  <c r="U251" i="1"/>
  <c r="R251" i="1"/>
  <c r="N251" i="1"/>
  <c r="O251" i="1" s="1"/>
  <c r="L251" i="1"/>
  <c r="I251" i="1"/>
  <c r="H251" i="1"/>
  <c r="F251" i="1"/>
  <c r="C251" i="1"/>
  <c r="AC250" i="1"/>
  <c r="AD250" i="1" s="1"/>
  <c r="AA250" i="1"/>
  <c r="X250" i="1"/>
  <c r="W250" i="1"/>
  <c r="U250" i="1"/>
  <c r="R250" i="1"/>
  <c r="N250" i="1"/>
  <c r="L250" i="1"/>
  <c r="H250" i="1"/>
  <c r="I250" i="1" s="1"/>
  <c r="F250" i="1"/>
  <c r="C250" i="1"/>
  <c r="AC249" i="1"/>
  <c r="AA249" i="1"/>
  <c r="W249" i="1"/>
  <c r="X249" i="1" s="1"/>
  <c r="U249" i="1"/>
  <c r="R249" i="1"/>
  <c r="N249" i="1"/>
  <c r="L249" i="1"/>
  <c r="H249" i="1"/>
  <c r="I249" i="1" s="1"/>
  <c r="F249" i="1"/>
  <c r="C249" i="1"/>
  <c r="AD248" i="1"/>
  <c r="AC248" i="1"/>
  <c r="AA248" i="1"/>
  <c r="W248" i="1"/>
  <c r="U248" i="1"/>
  <c r="R248" i="1"/>
  <c r="O248" i="1"/>
  <c r="N248" i="1"/>
  <c r="L248" i="1"/>
  <c r="I248" i="1"/>
  <c r="H248" i="1"/>
  <c r="F248" i="1"/>
  <c r="C248" i="1"/>
  <c r="AC247" i="1"/>
  <c r="AD247" i="1" s="1"/>
  <c r="AA247" i="1"/>
  <c r="W247" i="1"/>
  <c r="U247" i="1"/>
  <c r="R247" i="1"/>
  <c r="N247" i="1"/>
  <c r="O247" i="1" s="1"/>
  <c r="L247" i="1"/>
  <c r="I247" i="1"/>
  <c r="H247" i="1"/>
  <c r="F247" i="1"/>
  <c r="C247" i="1"/>
  <c r="AC246" i="1"/>
  <c r="AD246" i="1" s="1"/>
  <c r="AA246" i="1"/>
  <c r="X246" i="1"/>
  <c r="W246" i="1"/>
  <c r="U246" i="1"/>
  <c r="R246" i="1"/>
  <c r="N246" i="1"/>
  <c r="L246" i="1"/>
  <c r="H246" i="1"/>
  <c r="I246" i="1" s="1"/>
  <c r="F246" i="1"/>
  <c r="C246" i="1"/>
  <c r="AC245" i="1"/>
  <c r="AA245" i="1"/>
  <c r="W245" i="1"/>
  <c r="X245" i="1" s="1"/>
  <c r="U245" i="1"/>
  <c r="R245" i="1"/>
  <c r="N245" i="1"/>
  <c r="L245" i="1"/>
  <c r="H245" i="1"/>
  <c r="I245" i="1" s="1"/>
  <c r="F245" i="1"/>
  <c r="C245" i="1"/>
  <c r="AD244" i="1"/>
  <c r="AC244" i="1"/>
  <c r="AA244" i="1"/>
  <c r="W244" i="1"/>
  <c r="U244" i="1"/>
  <c r="R244" i="1"/>
  <c r="N244" i="1"/>
  <c r="O244" i="1" s="1"/>
  <c r="L244" i="1"/>
  <c r="I244" i="1"/>
  <c r="H244" i="1"/>
  <c r="F244" i="1"/>
  <c r="C244" i="1"/>
  <c r="AD243" i="1"/>
  <c r="AC243" i="1"/>
  <c r="AA243" i="1"/>
  <c r="W243" i="1"/>
  <c r="U243" i="1"/>
  <c r="R243" i="1"/>
  <c r="N243" i="1"/>
  <c r="O243" i="1" s="1"/>
  <c r="L243" i="1"/>
  <c r="I243" i="1"/>
  <c r="H243" i="1"/>
  <c r="F243" i="1"/>
  <c r="C243" i="1"/>
  <c r="AC242" i="1"/>
  <c r="AD242" i="1" s="1"/>
  <c r="AA242" i="1"/>
  <c r="W242" i="1"/>
  <c r="X242" i="1" s="1"/>
  <c r="U242" i="1"/>
  <c r="R242" i="1"/>
  <c r="N242" i="1"/>
  <c r="L242" i="1"/>
  <c r="H242" i="1"/>
  <c r="I242" i="1" s="1"/>
  <c r="F242" i="1"/>
  <c r="C242" i="1"/>
  <c r="AC241" i="1"/>
  <c r="AA241" i="1"/>
  <c r="W241" i="1"/>
  <c r="X241" i="1" s="1"/>
  <c r="U241" i="1"/>
  <c r="R241" i="1"/>
  <c r="N241" i="1"/>
  <c r="L241" i="1"/>
  <c r="H241" i="1"/>
  <c r="I241" i="1" s="1"/>
  <c r="F241" i="1"/>
  <c r="C241" i="1"/>
  <c r="AD240" i="1"/>
  <c r="AC240" i="1"/>
  <c r="AA240" i="1"/>
  <c r="W240" i="1"/>
  <c r="U240" i="1"/>
  <c r="R240" i="1"/>
  <c r="O240" i="1"/>
  <c r="N240" i="1"/>
  <c r="L240" i="1"/>
  <c r="I240" i="1"/>
  <c r="H240" i="1"/>
  <c r="F240" i="1"/>
  <c r="C240" i="1"/>
  <c r="AD238" i="1"/>
  <c r="AC238" i="1"/>
  <c r="AA238" i="1"/>
  <c r="W238" i="1"/>
  <c r="U238" i="1"/>
  <c r="R238" i="1"/>
  <c r="N238" i="1"/>
  <c r="O238" i="1" s="1"/>
  <c r="L238" i="1"/>
  <c r="I238" i="1"/>
  <c r="H238" i="1"/>
  <c r="F238" i="1"/>
  <c r="C238" i="1"/>
  <c r="Z236" i="1"/>
  <c r="AA236" i="1" s="1"/>
  <c r="U236" i="1"/>
  <c r="T236" i="1"/>
  <c r="Q236" i="1"/>
  <c r="AC236" i="1" s="1"/>
  <c r="AD236" i="1" s="1"/>
  <c r="L236" i="1"/>
  <c r="K236" i="1"/>
  <c r="E236" i="1"/>
  <c r="F236" i="1" s="1"/>
  <c r="B236" i="1"/>
  <c r="H236" i="1" s="1"/>
  <c r="I236" i="1" s="1"/>
  <c r="AD235" i="1"/>
  <c r="AC235" i="1"/>
  <c r="AA235" i="1"/>
  <c r="W235" i="1"/>
  <c r="U235" i="1"/>
  <c r="R235" i="1"/>
  <c r="N235" i="1"/>
  <c r="O235" i="1" s="1"/>
  <c r="L235" i="1"/>
  <c r="I235" i="1"/>
  <c r="H235" i="1"/>
  <c r="F235" i="1"/>
  <c r="C235" i="1"/>
  <c r="AC234" i="1"/>
  <c r="AD234" i="1" s="1"/>
  <c r="AA234" i="1"/>
  <c r="W234" i="1"/>
  <c r="U234" i="1"/>
  <c r="R234" i="1"/>
  <c r="N234" i="1"/>
  <c r="O234" i="1" s="1"/>
  <c r="L234" i="1"/>
  <c r="I234" i="1"/>
  <c r="H234" i="1"/>
  <c r="F234" i="1"/>
  <c r="C234" i="1"/>
  <c r="AC233" i="1"/>
  <c r="AD233" i="1" s="1"/>
  <c r="AA233" i="1"/>
  <c r="W233" i="1"/>
  <c r="X233" i="1" s="1"/>
  <c r="U233" i="1"/>
  <c r="R233" i="1"/>
  <c r="N233" i="1"/>
  <c r="L233" i="1"/>
  <c r="H233" i="1"/>
  <c r="I233" i="1" s="1"/>
  <c r="F233" i="1"/>
  <c r="C233" i="1"/>
  <c r="AC232" i="1"/>
  <c r="AA232" i="1"/>
  <c r="W232" i="1"/>
  <c r="X232" i="1" s="1"/>
  <c r="U232" i="1"/>
  <c r="R232" i="1"/>
  <c r="N232" i="1"/>
  <c r="L232" i="1"/>
  <c r="H232" i="1"/>
  <c r="I232" i="1" s="1"/>
  <c r="F232" i="1"/>
  <c r="C232" i="1"/>
  <c r="AD231" i="1"/>
  <c r="AC231" i="1"/>
  <c r="AA231" i="1"/>
  <c r="W231" i="1"/>
  <c r="U231" i="1"/>
  <c r="R231" i="1"/>
  <c r="N231" i="1"/>
  <c r="O231" i="1" s="1"/>
  <c r="L231" i="1"/>
  <c r="I231" i="1"/>
  <c r="H231" i="1"/>
  <c r="F231" i="1"/>
  <c r="C231" i="1"/>
  <c r="AC230" i="1"/>
  <c r="AD230" i="1" s="1"/>
  <c r="AA230" i="1"/>
  <c r="W230" i="1"/>
  <c r="U230" i="1"/>
  <c r="R230" i="1"/>
  <c r="O230" i="1"/>
  <c r="N230" i="1"/>
  <c r="L230" i="1"/>
  <c r="I230" i="1"/>
  <c r="H230" i="1"/>
  <c r="F230" i="1"/>
  <c r="C230" i="1"/>
  <c r="AC229" i="1"/>
  <c r="AD229" i="1" s="1"/>
  <c r="AA229" i="1"/>
  <c r="W229" i="1"/>
  <c r="X229" i="1" s="1"/>
  <c r="U229" i="1"/>
  <c r="R229" i="1"/>
  <c r="N229" i="1"/>
  <c r="L229" i="1"/>
  <c r="H229" i="1"/>
  <c r="I229" i="1" s="1"/>
  <c r="F229" i="1"/>
  <c r="C229" i="1"/>
  <c r="Z227" i="1"/>
  <c r="AA227" i="1" s="1"/>
  <c r="W227" i="1"/>
  <c r="X227" i="1" s="1"/>
  <c r="U227" i="1"/>
  <c r="T227" i="1"/>
  <c r="R227" i="1"/>
  <c r="Q227" i="1"/>
  <c r="K227" i="1"/>
  <c r="L227" i="1" s="1"/>
  <c r="F227" i="1"/>
  <c r="E227" i="1"/>
  <c r="B227" i="1"/>
  <c r="AC226" i="1"/>
  <c r="AD226" i="1" s="1"/>
  <c r="AA226" i="1"/>
  <c r="W226" i="1"/>
  <c r="U226" i="1"/>
  <c r="R226" i="1"/>
  <c r="N226" i="1"/>
  <c r="O226" i="1" s="1"/>
  <c r="L226" i="1"/>
  <c r="I226" i="1"/>
  <c r="H226" i="1"/>
  <c r="F226" i="1"/>
  <c r="C226" i="1"/>
  <c r="AC225" i="1"/>
  <c r="AD225" i="1" s="1"/>
  <c r="AA225" i="1"/>
  <c r="X225" i="1"/>
  <c r="W225" i="1"/>
  <c r="U225" i="1"/>
  <c r="R225" i="1"/>
  <c r="N225" i="1"/>
  <c r="L225" i="1"/>
  <c r="I225" i="1"/>
  <c r="H225" i="1"/>
  <c r="F225" i="1"/>
  <c r="C225" i="1"/>
  <c r="AC224" i="1"/>
  <c r="AA224" i="1"/>
  <c r="W224" i="1"/>
  <c r="X224" i="1" s="1"/>
  <c r="U224" i="1"/>
  <c r="R224" i="1"/>
  <c r="N224" i="1"/>
  <c r="L224" i="1"/>
  <c r="H224" i="1"/>
  <c r="I224" i="1" s="1"/>
  <c r="F224" i="1"/>
  <c r="C224" i="1"/>
  <c r="AD223" i="1"/>
  <c r="AC223" i="1"/>
  <c r="AA223" i="1"/>
  <c r="W223" i="1"/>
  <c r="U223" i="1"/>
  <c r="R223" i="1"/>
  <c r="N223" i="1"/>
  <c r="O223" i="1" s="1"/>
  <c r="L223" i="1"/>
  <c r="I223" i="1"/>
  <c r="H223" i="1"/>
  <c r="F223" i="1"/>
  <c r="C223" i="1"/>
  <c r="AC222" i="1"/>
  <c r="AD222" i="1" s="1"/>
  <c r="AA222" i="1"/>
  <c r="W222" i="1"/>
  <c r="U222" i="1"/>
  <c r="R222" i="1"/>
  <c r="O222" i="1"/>
  <c r="N222" i="1"/>
  <c r="L222" i="1"/>
  <c r="I222" i="1"/>
  <c r="H222" i="1"/>
  <c r="F222" i="1"/>
  <c r="C222" i="1"/>
  <c r="AC221" i="1"/>
  <c r="AD221" i="1" s="1"/>
  <c r="AA221" i="1"/>
  <c r="W221" i="1"/>
  <c r="X221" i="1" s="1"/>
  <c r="U221" i="1"/>
  <c r="R221" i="1"/>
  <c r="N221" i="1"/>
  <c r="L221" i="1"/>
  <c r="H221" i="1"/>
  <c r="I221" i="1" s="1"/>
  <c r="F221" i="1"/>
  <c r="C221" i="1"/>
  <c r="AC220" i="1"/>
  <c r="AA220" i="1"/>
  <c r="X220" i="1"/>
  <c r="W220" i="1"/>
  <c r="U220" i="1"/>
  <c r="R220" i="1"/>
  <c r="N220" i="1"/>
  <c r="L220" i="1"/>
  <c r="H220" i="1"/>
  <c r="I220" i="1" s="1"/>
  <c r="F220" i="1"/>
  <c r="C220" i="1"/>
  <c r="AD219" i="1"/>
  <c r="AC219" i="1"/>
  <c r="AA219" i="1"/>
  <c r="W219" i="1"/>
  <c r="U219" i="1"/>
  <c r="R219" i="1"/>
  <c r="N219" i="1"/>
  <c r="O219" i="1" s="1"/>
  <c r="L219" i="1"/>
  <c r="I219" i="1"/>
  <c r="H219" i="1"/>
  <c r="F219" i="1"/>
  <c r="C219" i="1"/>
  <c r="AC218" i="1"/>
  <c r="AD218" i="1" s="1"/>
  <c r="AA218" i="1"/>
  <c r="Z218" i="1"/>
  <c r="T218" i="1"/>
  <c r="U218" i="1" s="1"/>
  <c r="R218" i="1"/>
  <c r="Q218" i="1"/>
  <c r="W218" i="1" s="1"/>
  <c r="X218" i="1" s="1"/>
  <c r="L218" i="1"/>
  <c r="K218" i="1"/>
  <c r="H218" i="1"/>
  <c r="I218" i="1" s="1"/>
  <c r="F218" i="1"/>
  <c r="E218" i="1"/>
  <c r="C218" i="1"/>
  <c r="B218" i="1"/>
  <c r="N218" i="1" s="1"/>
  <c r="O218" i="1" s="1"/>
  <c r="AC217" i="1"/>
  <c r="AA217" i="1"/>
  <c r="W217" i="1"/>
  <c r="X217" i="1" s="1"/>
  <c r="U217" i="1"/>
  <c r="R217" i="1"/>
  <c r="N217" i="1"/>
  <c r="L217" i="1"/>
  <c r="H217" i="1"/>
  <c r="I217" i="1" s="1"/>
  <c r="F217" i="1"/>
  <c r="C217" i="1"/>
  <c r="AD216" i="1"/>
  <c r="AC216" i="1"/>
  <c r="AA216" i="1"/>
  <c r="W216" i="1"/>
  <c r="U216" i="1"/>
  <c r="R216" i="1"/>
  <c r="N216" i="1"/>
  <c r="O216" i="1" s="1"/>
  <c r="L216" i="1"/>
  <c r="I216" i="1"/>
  <c r="H216" i="1"/>
  <c r="F216" i="1"/>
  <c r="C216" i="1"/>
  <c r="AC215" i="1"/>
  <c r="AD215" i="1" s="1"/>
  <c r="AA215" i="1"/>
  <c r="W215" i="1"/>
  <c r="U215" i="1"/>
  <c r="R215" i="1"/>
  <c r="O215" i="1"/>
  <c r="N215" i="1"/>
  <c r="L215" i="1"/>
  <c r="I215" i="1"/>
  <c r="H215" i="1"/>
  <c r="F215" i="1"/>
  <c r="C215" i="1"/>
  <c r="AC214" i="1"/>
  <c r="AD214" i="1" s="1"/>
  <c r="AA214" i="1"/>
  <c r="W214" i="1"/>
  <c r="X214" i="1" s="1"/>
  <c r="U214" i="1"/>
  <c r="R214" i="1"/>
  <c r="N214" i="1"/>
  <c r="L214" i="1"/>
  <c r="H214" i="1"/>
  <c r="I214" i="1" s="1"/>
  <c r="F214" i="1"/>
  <c r="C214" i="1"/>
  <c r="AC213" i="1"/>
  <c r="AA213" i="1"/>
  <c r="X213" i="1"/>
  <c r="W213" i="1"/>
  <c r="U213" i="1"/>
  <c r="R213" i="1"/>
  <c r="N213" i="1"/>
  <c r="L213" i="1"/>
  <c r="H213" i="1"/>
  <c r="I213" i="1" s="1"/>
  <c r="F213" i="1"/>
  <c r="C213" i="1"/>
  <c r="AD211" i="1"/>
  <c r="AC211" i="1"/>
  <c r="AA211" i="1"/>
  <c r="W211" i="1"/>
  <c r="U211" i="1"/>
  <c r="R211" i="1"/>
  <c r="N211" i="1"/>
  <c r="O211" i="1" s="1"/>
  <c r="L211" i="1"/>
  <c r="I211" i="1"/>
  <c r="H211" i="1"/>
  <c r="F211" i="1"/>
  <c r="C211" i="1"/>
  <c r="AC209" i="1"/>
  <c r="AD209" i="1" s="1"/>
  <c r="AA209" i="1"/>
  <c r="Z209" i="1"/>
  <c r="T209" i="1"/>
  <c r="U209" i="1" s="1"/>
  <c r="R209" i="1"/>
  <c r="Q209" i="1"/>
  <c r="W209" i="1" s="1"/>
  <c r="X209" i="1" s="1"/>
  <c r="L209" i="1"/>
  <c r="K209" i="1"/>
  <c r="H209" i="1"/>
  <c r="I209" i="1" s="1"/>
  <c r="F209" i="1"/>
  <c r="E209" i="1"/>
  <c r="C209" i="1"/>
  <c r="B209" i="1"/>
  <c r="N209" i="1" s="1"/>
  <c r="O209" i="1" s="1"/>
  <c r="AC208" i="1"/>
  <c r="AA208" i="1"/>
  <c r="W208" i="1"/>
  <c r="X208" i="1" s="1"/>
  <c r="U208" i="1"/>
  <c r="R208" i="1"/>
  <c r="N208" i="1"/>
  <c r="L208" i="1"/>
  <c r="H208" i="1"/>
  <c r="I208" i="1" s="1"/>
  <c r="F208" i="1"/>
  <c r="C208" i="1"/>
  <c r="AD207" i="1"/>
  <c r="AC207" i="1"/>
  <c r="AA207" i="1"/>
  <c r="W207" i="1"/>
  <c r="U207" i="1"/>
  <c r="R207" i="1"/>
  <c r="N207" i="1"/>
  <c r="O207" i="1" s="1"/>
  <c r="L207" i="1"/>
  <c r="I207" i="1"/>
  <c r="H207" i="1"/>
  <c r="F207" i="1"/>
  <c r="C207" i="1"/>
  <c r="AC206" i="1"/>
  <c r="AD206" i="1" s="1"/>
  <c r="AA206" i="1"/>
  <c r="W206" i="1"/>
  <c r="U206" i="1"/>
  <c r="R206" i="1"/>
  <c r="O206" i="1"/>
  <c r="N206" i="1"/>
  <c r="L206" i="1"/>
  <c r="I206" i="1"/>
  <c r="H206" i="1"/>
  <c r="F206" i="1"/>
  <c r="C206" i="1"/>
  <c r="AC205" i="1"/>
  <c r="AD205" i="1" s="1"/>
  <c r="AA205" i="1"/>
  <c r="X205" i="1"/>
  <c r="W205" i="1"/>
  <c r="U205" i="1"/>
  <c r="R205" i="1"/>
  <c r="N205" i="1"/>
  <c r="L205" i="1"/>
  <c r="H205" i="1"/>
  <c r="I205" i="1" s="1"/>
  <c r="F205" i="1"/>
  <c r="C205" i="1"/>
  <c r="AC204" i="1"/>
  <c r="AA204" i="1"/>
  <c r="X204" i="1"/>
  <c r="W204" i="1"/>
  <c r="U204" i="1"/>
  <c r="R204" i="1"/>
  <c r="N204" i="1"/>
  <c r="L204" i="1"/>
  <c r="H204" i="1"/>
  <c r="I204" i="1" s="1"/>
  <c r="F204" i="1"/>
  <c r="C204" i="1"/>
  <c r="AD203" i="1"/>
  <c r="AC203" i="1"/>
  <c r="AA203" i="1"/>
  <c r="W203" i="1"/>
  <c r="U203" i="1"/>
  <c r="R203" i="1"/>
  <c r="N203" i="1"/>
  <c r="O203" i="1" s="1"/>
  <c r="L203" i="1"/>
  <c r="I203" i="1"/>
  <c r="H203" i="1"/>
  <c r="F203" i="1"/>
  <c r="C203" i="1"/>
  <c r="AC202" i="1"/>
  <c r="AD202" i="1" s="1"/>
  <c r="AA202" i="1"/>
  <c r="W202" i="1"/>
  <c r="U202" i="1"/>
  <c r="R202" i="1"/>
  <c r="N202" i="1"/>
  <c r="O202" i="1" s="1"/>
  <c r="L202" i="1"/>
  <c r="I202" i="1"/>
  <c r="H202" i="1"/>
  <c r="F202" i="1"/>
  <c r="C202" i="1"/>
  <c r="AC201" i="1"/>
  <c r="AD201" i="1" s="1"/>
  <c r="AA201" i="1"/>
  <c r="W201" i="1"/>
  <c r="X201" i="1" s="1"/>
  <c r="U201" i="1"/>
  <c r="R201" i="1"/>
  <c r="N201" i="1"/>
  <c r="L201" i="1"/>
  <c r="I201" i="1"/>
  <c r="H201" i="1"/>
  <c r="F201" i="1"/>
  <c r="C201" i="1"/>
  <c r="Z198" i="1"/>
  <c r="B198" i="1"/>
  <c r="AA197" i="1"/>
  <c r="Z197" i="1"/>
  <c r="T197" i="1"/>
  <c r="U197" i="1" s="1"/>
  <c r="Q197" i="1"/>
  <c r="W197" i="1" s="1"/>
  <c r="X197" i="1" s="1"/>
  <c r="O197" i="1"/>
  <c r="L197" i="1"/>
  <c r="K197" i="1"/>
  <c r="F197" i="1"/>
  <c r="E197" i="1"/>
  <c r="H197" i="1" s="1"/>
  <c r="I197" i="1" s="1"/>
  <c r="C197" i="1"/>
  <c r="B197" i="1"/>
  <c r="N197" i="1" s="1"/>
  <c r="Z196" i="1"/>
  <c r="AA196" i="1" s="1"/>
  <c r="X196" i="1"/>
  <c r="W196" i="1"/>
  <c r="U196" i="1"/>
  <c r="T196" i="1"/>
  <c r="R196" i="1"/>
  <c r="Q196" i="1"/>
  <c r="K196" i="1"/>
  <c r="N196" i="1" s="1"/>
  <c r="O196" i="1" s="1"/>
  <c r="F196" i="1"/>
  <c r="E196" i="1"/>
  <c r="B196" i="1"/>
  <c r="AC195" i="1"/>
  <c r="AD195" i="1" s="1"/>
  <c r="AA195" i="1"/>
  <c r="W195" i="1"/>
  <c r="U195" i="1"/>
  <c r="R195" i="1"/>
  <c r="O195" i="1"/>
  <c r="N195" i="1"/>
  <c r="L195" i="1"/>
  <c r="I195" i="1"/>
  <c r="H195" i="1"/>
  <c r="F195" i="1"/>
  <c r="C195" i="1"/>
  <c r="AC194" i="1"/>
  <c r="AD194" i="1" s="1"/>
  <c r="AA194" i="1"/>
  <c r="X194" i="1"/>
  <c r="W194" i="1"/>
  <c r="U194" i="1"/>
  <c r="R194" i="1"/>
  <c r="N194" i="1"/>
  <c r="L194" i="1"/>
  <c r="H194" i="1"/>
  <c r="I194" i="1" s="1"/>
  <c r="F194" i="1"/>
  <c r="C194" i="1"/>
  <c r="Z193" i="1"/>
  <c r="AA193" i="1" s="1"/>
  <c r="W193" i="1"/>
  <c r="X193" i="1" s="1"/>
  <c r="U193" i="1"/>
  <c r="T193" i="1"/>
  <c r="R193" i="1"/>
  <c r="Q193" i="1"/>
  <c r="K193" i="1"/>
  <c r="L193" i="1" s="1"/>
  <c r="F193" i="1"/>
  <c r="E193" i="1"/>
  <c r="B193" i="1"/>
  <c r="AD192" i="1"/>
  <c r="AC192" i="1"/>
  <c r="AA192" i="1"/>
  <c r="W192" i="1"/>
  <c r="U192" i="1"/>
  <c r="R192" i="1"/>
  <c r="N192" i="1"/>
  <c r="O192" i="1" s="1"/>
  <c r="L192" i="1"/>
  <c r="I192" i="1"/>
  <c r="H192" i="1"/>
  <c r="F192" i="1"/>
  <c r="C192" i="1"/>
  <c r="AC191" i="1"/>
  <c r="AD191" i="1" s="1"/>
  <c r="AA191" i="1"/>
  <c r="X191" i="1"/>
  <c r="W191" i="1"/>
  <c r="U191" i="1"/>
  <c r="R191" i="1"/>
  <c r="N191" i="1"/>
  <c r="L191" i="1"/>
  <c r="I191" i="1"/>
  <c r="H191" i="1"/>
  <c r="F191" i="1"/>
  <c r="C191" i="1"/>
  <c r="AC190" i="1"/>
  <c r="AA190" i="1"/>
  <c r="W190" i="1"/>
  <c r="X190" i="1" s="1"/>
  <c r="U190" i="1"/>
  <c r="R190" i="1"/>
  <c r="N190" i="1"/>
  <c r="L190" i="1"/>
  <c r="H190" i="1"/>
  <c r="I190" i="1" s="1"/>
  <c r="F190" i="1"/>
  <c r="C190" i="1"/>
  <c r="AD189" i="1"/>
  <c r="AC189" i="1"/>
  <c r="AA189" i="1"/>
  <c r="W189" i="1"/>
  <c r="U189" i="1"/>
  <c r="R189" i="1"/>
  <c r="N189" i="1"/>
  <c r="O189" i="1" s="1"/>
  <c r="L189" i="1"/>
  <c r="I189" i="1"/>
  <c r="H189" i="1"/>
  <c r="F189" i="1"/>
  <c r="C189" i="1"/>
  <c r="AC188" i="1"/>
  <c r="AD188" i="1" s="1"/>
  <c r="AA188" i="1"/>
  <c r="W188" i="1"/>
  <c r="U188" i="1"/>
  <c r="R188" i="1"/>
  <c r="O188" i="1"/>
  <c r="N188" i="1"/>
  <c r="L188" i="1"/>
  <c r="I188" i="1"/>
  <c r="H188" i="1"/>
  <c r="F188" i="1"/>
  <c r="C188" i="1"/>
  <c r="AC187" i="1"/>
  <c r="AD187" i="1" s="1"/>
  <c r="AA187" i="1"/>
  <c r="W187" i="1"/>
  <c r="X187" i="1" s="1"/>
  <c r="U187" i="1"/>
  <c r="R187" i="1"/>
  <c r="N187" i="1"/>
  <c r="L187" i="1"/>
  <c r="H187" i="1"/>
  <c r="I187" i="1" s="1"/>
  <c r="F187" i="1"/>
  <c r="C187" i="1"/>
  <c r="AC186" i="1"/>
  <c r="AA186" i="1"/>
  <c r="X186" i="1"/>
  <c r="W186" i="1"/>
  <c r="U186" i="1"/>
  <c r="R186" i="1"/>
  <c r="N186" i="1"/>
  <c r="L186" i="1"/>
  <c r="H186" i="1"/>
  <c r="I186" i="1" s="1"/>
  <c r="F186" i="1"/>
  <c r="C186" i="1"/>
  <c r="AD184" i="1"/>
  <c r="AC184" i="1"/>
  <c r="AA184" i="1"/>
  <c r="W184" i="1"/>
  <c r="U184" i="1"/>
  <c r="R184" i="1"/>
  <c r="N184" i="1"/>
  <c r="O184" i="1" s="1"/>
  <c r="L184" i="1"/>
  <c r="I184" i="1"/>
  <c r="H184" i="1"/>
  <c r="F184" i="1"/>
  <c r="C184" i="1"/>
  <c r="AC183" i="1"/>
  <c r="AD183" i="1" s="1"/>
  <c r="AA183" i="1"/>
  <c r="W183" i="1"/>
  <c r="U183" i="1"/>
  <c r="R183" i="1"/>
  <c r="N183" i="1"/>
  <c r="O183" i="1" s="1"/>
  <c r="L183" i="1"/>
  <c r="I183" i="1"/>
  <c r="H183" i="1"/>
  <c r="F183" i="1"/>
  <c r="C183" i="1"/>
  <c r="AC182" i="1"/>
  <c r="AD182" i="1" s="1"/>
  <c r="Z182" i="1"/>
  <c r="AA182" i="1" s="1"/>
  <c r="U182" i="1"/>
  <c r="T182" i="1"/>
  <c r="Q182" i="1"/>
  <c r="L182" i="1"/>
  <c r="K182" i="1"/>
  <c r="E182" i="1"/>
  <c r="F182" i="1" s="1"/>
  <c r="B182" i="1"/>
  <c r="H182" i="1" s="1"/>
  <c r="I182" i="1" s="1"/>
  <c r="AD181" i="1"/>
  <c r="AC181" i="1"/>
  <c r="AA181" i="1"/>
  <c r="W181" i="1"/>
  <c r="U181" i="1"/>
  <c r="R181" i="1"/>
  <c r="N181" i="1"/>
  <c r="O181" i="1" s="1"/>
  <c r="L181" i="1"/>
  <c r="I181" i="1"/>
  <c r="H181" i="1"/>
  <c r="F181" i="1"/>
  <c r="C181" i="1"/>
  <c r="AC180" i="1"/>
  <c r="AD180" i="1" s="1"/>
  <c r="AA180" i="1"/>
  <c r="W180" i="1"/>
  <c r="U180" i="1"/>
  <c r="R180" i="1"/>
  <c r="N180" i="1"/>
  <c r="O180" i="1" s="1"/>
  <c r="L180" i="1"/>
  <c r="I180" i="1"/>
  <c r="H180" i="1"/>
  <c r="F180" i="1"/>
  <c r="C180" i="1"/>
  <c r="AC179" i="1"/>
  <c r="AD179" i="1" s="1"/>
  <c r="AA179" i="1"/>
  <c r="W179" i="1"/>
  <c r="X179" i="1" s="1"/>
  <c r="U179" i="1"/>
  <c r="R179" i="1"/>
  <c r="N179" i="1"/>
  <c r="L179" i="1"/>
  <c r="I179" i="1"/>
  <c r="H179" i="1"/>
  <c r="F179" i="1"/>
  <c r="C179" i="1"/>
  <c r="AC178" i="1"/>
  <c r="AA178" i="1"/>
  <c r="X178" i="1"/>
  <c r="W178" i="1"/>
  <c r="U178" i="1"/>
  <c r="R178" i="1"/>
  <c r="N178" i="1"/>
  <c r="L178" i="1"/>
  <c r="H178" i="1"/>
  <c r="I178" i="1" s="1"/>
  <c r="F178" i="1"/>
  <c r="C178" i="1"/>
  <c r="AD177" i="1"/>
  <c r="AC177" i="1"/>
  <c r="AA177" i="1"/>
  <c r="W177" i="1"/>
  <c r="U177" i="1"/>
  <c r="R177" i="1"/>
  <c r="O177" i="1"/>
  <c r="N177" i="1"/>
  <c r="L177" i="1"/>
  <c r="I177" i="1"/>
  <c r="H177" i="1"/>
  <c r="F177" i="1"/>
  <c r="C177" i="1"/>
  <c r="AC175" i="1"/>
  <c r="AD175" i="1" s="1"/>
  <c r="AA175" i="1"/>
  <c r="W175" i="1"/>
  <c r="U175" i="1"/>
  <c r="R175" i="1"/>
  <c r="N175" i="1"/>
  <c r="O175" i="1" s="1"/>
  <c r="L175" i="1"/>
  <c r="I175" i="1"/>
  <c r="H175" i="1"/>
  <c r="F175" i="1"/>
  <c r="C175" i="1"/>
  <c r="Z172" i="1"/>
  <c r="AA172" i="1" s="1"/>
  <c r="Q172" i="1"/>
  <c r="E172" i="1"/>
  <c r="B172" i="1"/>
  <c r="H172" i="1" s="1"/>
  <c r="I172" i="1" s="1"/>
  <c r="AD171" i="1"/>
  <c r="AA171" i="1"/>
  <c r="Z171" i="1"/>
  <c r="U171" i="1"/>
  <c r="T171" i="1"/>
  <c r="W171" i="1" s="1"/>
  <c r="X171" i="1" s="1"/>
  <c r="R171" i="1"/>
  <c r="Q171" i="1"/>
  <c r="AC171" i="1" s="1"/>
  <c r="K171" i="1"/>
  <c r="L171" i="1" s="1"/>
  <c r="I171" i="1"/>
  <c r="H171" i="1"/>
  <c r="F171" i="1"/>
  <c r="E171" i="1"/>
  <c r="C171" i="1"/>
  <c r="B171" i="1"/>
  <c r="Z170" i="1"/>
  <c r="AC170" i="1" s="1"/>
  <c r="AD170" i="1" s="1"/>
  <c r="U170" i="1"/>
  <c r="T170" i="1"/>
  <c r="Q170" i="1"/>
  <c r="L170" i="1"/>
  <c r="K170" i="1"/>
  <c r="E170" i="1"/>
  <c r="F170" i="1" s="1"/>
  <c r="B170" i="1"/>
  <c r="H170" i="1" s="1"/>
  <c r="I170" i="1" s="1"/>
  <c r="AD169" i="1"/>
  <c r="AC169" i="1"/>
  <c r="AA169" i="1"/>
  <c r="W169" i="1"/>
  <c r="U169" i="1"/>
  <c r="R169" i="1"/>
  <c r="N169" i="1"/>
  <c r="O169" i="1" s="1"/>
  <c r="L169" i="1"/>
  <c r="I169" i="1"/>
  <c r="H169" i="1"/>
  <c r="F169" i="1"/>
  <c r="C169" i="1"/>
  <c r="AD168" i="1"/>
  <c r="AC168" i="1"/>
  <c r="AA168" i="1"/>
  <c r="W168" i="1"/>
  <c r="U168" i="1"/>
  <c r="R168" i="1"/>
  <c r="N168" i="1"/>
  <c r="O168" i="1" s="1"/>
  <c r="L168" i="1"/>
  <c r="I168" i="1"/>
  <c r="H168" i="1"/>
  <c r="F168" i="1"/>
  <c r="C168" i="1"/>
  <c r="AC167" i="1"/>
  <c r="AD167" i="1" s="1"/>
  <c r="AA167" i="1"/>
  <c r="X167" i="1"/>
  <c r="W167" i="1"/>
  <c r="U167" i="1"/>
  <c r="R167" i="1"/>
  <c r="N167" i="1"/>
  <c r="L167" i="1"/>
  <c r="H167" i="1"/>
  <c r="I167" i="1" s="1"/>
  <c r="F167" i="1"/>
  <c r="C167" i="1"/>
  <c r="Z166" i="1"/>
  <c r="AA166" i="1" s="1"/>
  <c r="X166" i="1"/>
  <c r="W166" i="1"/>
  <c r="U166" i="1"/>
  <c r="T166" i="1"/>
  <c r="R166" i="1"/>
  <c r="Q166" i="1"/>
  <c r="AC166" i="1" s="1"/>
  <c r="AD166" i="1" s="1"/>
  <c r="K166" i="1"/>
  <c r="L166" i="1" s="1"/>
  <c r="F166" i="1"/>
  <c r="E166" i="1"/>
  <c r="B166" i="1"/>
  <c r="N166" i="1" s="1"/>
  <c r="O166" i="1" s="1"/>
  <c r="AD165" i="1"/>
  <c r="AC165" i="1"/>
  <c r="AA165" i="1"/>
  <c r="W165" i="1"/>
  <c r="U165" i="1"/>
  <c r="R165" i="1"/>
  <c r="N165" i="1"/>
  <c r="O165" i="1" s="1"/>
  <c r="L165" i="1"/>
  <c r="I165" i="1"/>
  <c r="H165" i="1"/>
  <c r="F165" i="1"/>
  <c r="C165" i="1"/>
  <c r="AC164" i="1"/>
  <c r="AD164" i="1" s="1"/>
  <c r="AA164" i="1"/>
  <c r="W164" i="1"/>
  <c r="X164" i="1" s="1"/>
  <c r="U164" i="1"/>
  <c r="R164" i="1"/>
  <c r="N164" i="1"/>
  <c r="L164" i="1"/>
  <c r="H164" i="1"/>
  <c r="I164" i="1" s="1"/>
  <c r="F164" i="1"/>
  <c r="C164" i="1"/>
  <c r="AC163" i="1"/>
  <c r="AA163" i="1"/>
  <c r="X163" i="1"/>
  <c r="W163" i="1"/>
  <c r="U163" i="1"/>
  <c r="R163" i="1"/>
  <c r="N163" i="1"/>
  <c r="L163" i="1"/>
  <c r="H163" i="1"/>
  <c r="I163" i="1" s="1"/>
  <c r="F163" i="1"/>
  <c r="C163" i="1"/>
  <c r="AD162" i="1"/>
  <c r="AC162" i="1"/>
  <c r="AA162" i="1"/>
  <c r="W162" i="1"/>
  <c r="U162" i="1"/>
  <c r="R162" i="1"/>
  <c r="N162" i="1"/>
  <c r="O162" i="1" s="1"/>
  <c r="L162" i="1"/>
  <c r="I162" i="1"/>
  <c r="H162" i="1"/>
  <c r="F162" i="1"/>
  <c r="C162" i="1"/>
  <c r="AD161" i="1"/>
  <c r="AC161" i="1"/>
  <c r="AA161" i="1"/>
  <c r="W161" i="1"/>
  <c r="U161" i="1"/>
  <c r="R161" i="1"/>
  <c r="N161" i="1"/>
  <c r="O161" i="1" s="1"/>
  <c r="L161" i="1"/>
  <c r="I161" i="1"/>
  <c r="H161" i="1"/>
  <c r="F161" i="1"/>
  <c r="C161" i="1"/>
  <c r="AC160" i="1"/>
  <c r="AD160" i="1" s="1"/>
  <c r="AA160" i="1"/>
  <c r="X160" i="1"/>
  <c r="W160" i="1"/>
  <c r="U160" i="1"/>
  <c r="R160" i="1"/>
  <c r="N160" i="1"/>
  <c r="L160" i="1"/>
  <c r="H160" i="1"/>
  <c r="I160" i="1" s="1"/>
  <c r="F160" i="1"/>
  <c r="C160" i="1"/>
  <c r="Z158" i="1"/>
  <c r="AA158" i="1" s="1"/>
  <c r="X158" i="1"/>
  <c r="W158" i="1"/>
  <c r="U158" i="1"/>
  <c r="T158" i="1"/>
  <c r="R158" i="1"/>
  <c r="Q158" i="1"/>
  <c r="AC158" i="1" s="1"/>
  <c r="AD158" i="1" s="1"/>
  <c r="K158" i="1"/>
  <c r="L158" i="1" s="1"/>
  <c r="F158" i="1"/>
  <c r="E158" i="1"/>
  <c r="B158" i="1"/>
  <c r="AD157" i="1"/>
  <c r="AC157" i="1"/>
  <c r="AA157" i="1"/>
  <c r="W157" i="1"/>
  <c r="U157" i="1"/>
  <c r="R157" i="1"/>
  <c r="N157" i="1"/>
  <c r="O157" i="1" s="1"/>
  <c r="L157" i="1"/>
  <c r="I157" i="1"/>
  <c r="H157" i="1"/>
  <c r="F157" i="1"/>
  <c r="C157" i="1"/>
  <c r="AC156" i="1"/>
  <c r="AD156" i="1" s="1"/>
  <c r="AA156" i="1"/>
  <c r="W156" i="1"/>
  <c r="X156" i="1" s="1"/>
  <c r="U156" i="1"/>
  <c r="R156" i="1"/>
  <c r="N156" i="1"/>
  <c r="L156" i="1"/>
  <c r="H156" i="1"/>
  <c r="I156" i="1" s="1"/>
  <c r="F156" i="1"/>
  <c r="C156" i="1"/>
  <c r="AC155" i="1"/>
  <c r="AA155" i="1"/>
  <c r="X155" i="1"/>
  <c r="W155" i="1"/>
  <c r="U155" i="1"/>
  <c r="R155" i="1"/>
  <c r="N155" i="1"/>
  <c r="L155" i="1"/>
  <c r="H155" i="1"/>
  <c r="I155" i="1" s="1"/>
  <c r="F155" i="1"/>
  <c r="C155" i="1"/>
  <c r="AD154" i="1"/>
  <c r="AC154" i="1"/>
  <c r="AA154" i="1"/>
  <c r="W154" i="1"/>
  <c r="U154" i="1"/>
  <c r="R154" i="1"/>
  <c r="N154" i="1"/>
  <c r="O154" i="1" s="1"/>
  <c r="L154" i="1"/>
  <c r="I154" i="1"/>
  <c r="H154" i="1"/>
  <c r="F154" i="1"/>
  <c r="C154" i="1"/>
  <c r="AD153" i="1"/>
  <c r="AC153" i="1"/>
  <c r="AA153" i="1"/>
  <c r="W153" i="1"/>
  <c r="U153" i="1"/>
  <c r="R153" i="1"/>
  <c r="N153" i="1"/>
  <c r="O153" i="1" s="1"/>
  <c r="L153" i="1"/>
  <c r="I153" i="1"/>
  <c r="H153" i="1"/>
  <c r="F153" i="1"/>
  <c r="C153" i="1"/>
  <c r="AC151" i="1"/>
  <c r="AD151" i="1" s="1"/>
  <c r="AA151" i="1"/>
  <c r="X151" i="1"/>
  <c r="W151" i="1"/>
  <c r="U151" i="1"/>
  <c r="R151" i="1"/>
  <c r="N151" i="1"/>
  <c r="L151" i="1"/>
  <c r="H151" i="1"/>
  <c r="I151" i="1" s="1"/>
  <c r="F151" i="1"/>
  <c r="C151" i="1"/>
  <c r="Z149" i="1"/>
  <c r="AA149" i="1" s="1"/>
  <c r="X149" i="1"/>
  <c r="W149" i="1"/>
  <c r="U149" i="1"/>
  <c r="T149" i="1"/>
  <c r="R149" i="1"/>
  <c r="Q149" i="1"/>
  <c r="AC149" i="1" s="1"/>
  <c r="AD149" i="1" s="1"/>
  <c r="K149" i="1"/>
  <c r="L149" i="1" s="1"/>
  <c r="F149" i="1"/>
  <c r="E149" i="1"/>
  <c r="B149" i="1"/>
  <c r="N149" i="1" s="1"/>
  <c r="O149" i="1" s="1"/>
  <c r="AA148" i="1"/>
  <c r="Z148" i="1"/>
  <c r="T148" i="1"/>
  <c r="U148" i="1" s="1"/>
  <c r="Q148" i="1"/>
  <c r="W148" i="1" s="1"/>
  <c r="X148" i="1" s="1"/>
  <c r="O148" i="1"/>
  <c r="L148" i="1"/>
  <c r="K148" i="1"/>
  <c r="F148" i="1"/>
  <c r="E148" i="1"/>
  <c r="H148" i="1" s="1"/>
  <c r="I148" i="1" s="1"/>
  <c r="C148" i="1"/>
  <c r="B148" i="1"/>
  <c r="N148" i="1" s="1"/>
  <c r="AC147" i="1"/>
  <c r="AA147" i="1"/>
  <c r="X147" i="1"/>
  <c r="W147" i="1"/>
  <c r="U147" i="1"/>
  <c r="R147" i="1"/>
  <c r="N147" i="1"/>
  <c r="L147" i="1"/>
  <c r="H147" i="1"/>
  <c r="I147" i="1" s="1"/>
  <c r="F147" i="1"/>
  <c r="C147" i="1"/>
  <c r="AD146" i="1"/>
  <c r="AC146" i="1"/>
  <c r="AA146" i="1"/>
  <c r="W146" i="1"/>
  <c r="U146" i="1"/>
  <c r="R146" i="1"/>
  <c r="O146" i="1"/>
  <c r="N146" i="1"/>
  <c r="L146" i="1"/>
  <c r="I146" i="1"/>
  <c r="H146" i="1"/>
  <c r="F146" i="1"/>
  <c r="C146" i="1"/>
  <c r="AC145" i="1"/>
  <c r="AD145" i="1" s="1"/>
  <c r="AA145" i="1"/>
  <c r="W145" i="1"/>
  <c r="U145" i="1"/>
  <c r="R145" i="1"/>
  <c r="N145" i="1"/>
  <c r="O145" i="1" s="1"/>
  <c r="L145" i="1"/>
  <c r="I145" i="1"/>
  <c r="H145" i="1"/>
  <c r="F145" i="1"/>
  <c r="C145" i="1"/>
  <c r="AC144" i="1"/>
  <c r="AD144" i="1" s="1"/>
  <c r="AA144" i="1"/>
  <c r="W144" i="1"/>
  <c r="X144" i="1" s="1"/>
  <c r="U144" i="1"/>
  <c r="R144" i="1"/>
  <c r="N144" i="1"/>
  <c r="L144" i="1"/>
  <c r="H144" i="1"/>
  <c r="I144" i="1" s="1"/>
  <c r="F144" i="1"/>
  <c r="C144" i="1"/>
  <c r="AC143" i="1"/>
  <c r="AA143" i="1"/>
  <c r="W143" i="1"/>
  <c r="X143" i="1" s="1"/>
  <c r="U143" i="1"/>
  <c r="R143" i="1"/>
  <c r="N143" i="1"/>
  <c r="L143" i="1"/>
  <c r="H143" i="1"/>
  <c r="I143" i="1" s="1"/>
  <c r="F143" i="1"/>
  <c r="C143" i="1"/>
  <c r="AD141" i="1"/>
  <c r="AA141" i="1"/>
  <c r="Z141" i="1"/>
  <c r="T141" i="1"/>
  <c r="W141" i="1" s="1"/>
  <c r="X141" i="1" s="1"/>
  <c r="R141" i="1"/>
  <c r="Q141" i="1"/>
  <c r="AC141" i="1" s="1"/>
  <c r="K141" i="1"/>
  <c r="L141" i="1" s="1"/>
  <c r="H141" i="1"/>
  <c r="I141" i="1" s="1"/>
  <c r="F141" i="1"/>
  <c r="E141" i="1"/>
  <c r="C141" i="1"/>
  <c r="B141" i="1"/>
  <c r="AC140" i="1"/>
  <c r="AD140" i="1" s="1"/>
  <c r="AA140" i="1"/>
  <c r="W140" i="1"/>
  <c r="X140" i="1" s="1"/>
  <c r="U140" i="1"/>
  <c r="R140" i="1"/>
  <c r="N140" i="1"/>
  <c r="L140" i="1"/>
  <c r="H140" i="1"/>
  <c r="I140" i="1" s="1"/>
  <c r="F140" i="1"/>
  <c r="C140" i="1"/>
  <c r="AC139" i="1"/>
  <c r="AA139" i="1"/>
  <c r="X139" i="1"/>
  <c r="W139" i="1"/>
  <c r="U139" i="1"/>
  <c r="R139" i="1"/>
  <c r="N139" i="1"/>
  <c r="L139" i="1"/>
  <c r="H139" i="1"/>
  <c r="I139" i="1" s="1"/>
  <c r="F139" i="1"/>
  <c r="C139" i="1"/>
  <c r="AD138" i="1"/>
  <c r="AC138" i="1"/>
  <c r="AA138" i="1"/>
  <c r="W138" i="1"/>
  <c r="U138" i="1"/>
  <c r="R138" i="1"/>
  <c r="N138" i="1"/>
  <c r="O138" i="1" s="1"/>
  <c r="L138" i="1"/>
  <c r="I138" i="1"/>
  <c r="H138" i="1"/>
  <c r="F138" i="1"/>
  <c r="C138" i="1"/>
  <c r="AC137" i="1"/>
  <c r="AD137" i="1" s="1"/>
  <c r="AA137" i="1"/>
  <c r="W137" i="1"/>
  <c r="U137" i="1"/>
  <c r="R137" i="1"/>
  <c r="N137" i="1"/>
  <c r="O137" i="1" s="1"/>
  <c r="L137" i="1"/>
  <c r="I137" i="1"/>
  <c r="H137" i="1"/>
  <c r="F137" i="1"/>
  <c r="C137" i="1"/>
  <c r="AC136" i="1"/>
  <c r="AD136" i="1" s="1"/>
  <c r="AA136" i="1"/>
  <c r="W136" i="1"/>
  <c r="X136" i="1" s="1"/>
  <c r="U136" i="1"/>
  <c r="R136" i="1"/>
  <c r="N136" i="1"/>
  <c r="L136" i="1"/>
  <c r="I136" i="1"/>
  <c r="H136" i="1"/>
  <c r="F136" i="1"/>
  <c r="C136" i="1"/>
  <c r="AC135" i="1"/>
  <c r="AA135" i="1"/>
  <c r="X135" i="1"/>
  <c r="W135" i="1"/>
  <c r="U135" i="1"/>
  <c r="R135" i="1"/>
  <c r="N135" i="1"/>
  <c r="L135" i="1"/>
  <c r="H135" i="1"/>
  <c r="I135" i="1" s="1"/>
  <c r="F135" i="1"/>
  <c r="C135" i="1"/>
  <c r="AD134" i="1"/>
  <c r="AC134" i="1"/>
  <c r="AA134" i="1"/>
  <c r="W134" i="1"/>
  <c r="U134" i="1"/>
  <c r="R134" i="1"/>
  <c r="O134" i="1"/>
  <c r="N134" i="1"/>
  <c r="L134" i="1"/>
  <c r="I134" i="1"/>
  <c r="H134" i="1"/>
  <c r="F134" i="1"/>
  <c r="C134" i="1"/>
  <c r="AC133" i="1"/>
  <c r="AD133" i="1" s="1"/>
  <c r="AA133" i="1"/>
  <c r="W133" i="1"/>
  <c r="U133" i="1"/>
  <c r="R133" i="1"/>
  <c r="N133" i="1"/>
  <c r="O133" i="1" s="1"/>
  <c r="L133" i="1"/>
  <c r="I133" i="1"/>
  <c r="H133" i="1"/>
  <c r="F133" i="1"/>
  <c r="C133" i="1"/>
  <c r="AC132" i="1"/>
  <c r="AD132" i="1" s="1"/>
  <c r="AA132" i="1"/>
  <c r="W132" i="1"/>
  <c r="X132" i="1" s="1"/>
  <c r="U132" i="1"/>
  <c r="R132" i="1"/>
  <c r="N132" i="1"/>
  <c r="L132" i="1"/>
  <c r="H132" i="1"/>
  <c r="I132" i="1" s="1"/>
  <c r="F132" i="1"/>
  <c r="C132" i="1"/>
  <c r="AC131" i="1"/>
  <c r="AA131" i="1"/>
  <c r="W131" i="1"/>
  <c r="X131" i="1" s="1"/>
  <c r="U131" i="1"/>
  <c r="R131" i="1"/>
  <c r="N131" i="1"/>
  <c r="L131" i="1"/>
  <c r="H131" i="1"/>
  <c r="I131" i="1" s="1"/>
  <c r="F131" i="1"/>
  <c r="C131" i="1"/>
  <c r="AD130" i="1"/>
  <c r="AC130" i="1"/>
  <c r="AA130" i="1"/>
  <c r="W130" i="1"/>
  <c r="U130" i="1"/>
  <c r="R130" i="1"/>
  <c r="O130" i="1"/>
  <c r="N130" i="1"/>
  <c r="L130" i="1"/>
  <c r="I130" i="1"/>
  <c r="H130" i="1"/>
  <c r="F130" i="1"/>
  <c r="C130" i="1"/>
  <c r="AD129" i="1"/>
  <c r="AC129" i="1"/>
  <c r="AA129" i="1"/>
  <c r="W129" i="1"/>
  <c r="U129" i="1"/>
  <c r="R129" i="1"/>
  <c r="N129" i="1"/>
  <c r="O129" i="1" s="1"/>
  <c r="L129" i="1"/>
  <c r="I129" i="1"/>
  <c r="H129" i="1"/>
  <c r="F129" i="1"/>
  <c r="C129" i="1"/>
  <c r="AC127" i="1"/>
  <c r="AD127" i="1" s="1"/>
  <c r="AA127" i="1"/>
  <c r="W127" i="1"/>
  <c r="X127" i="1" s="1"/>
  <c r="U127" i="1"/>
  <c r="R127" i="1"/>
  <c r="N127" i="1"/>
  <c r="L127" i="1"/>
  <c r="H127" i="1"/>
  <c r="I127" i="1" s="1"/>
  <c r="F127" i="1"/>
  <c r="C127" i="1"/>
  <c r="Z124" i="1"/>
  <c r="AA124" i="1" s="1"/>
  <c r="W124" i="1"/>
  <c r="X124" i="1" s="1"/>
  <c r="U124" i="1"/>
  <c r="T124" i="1"/>
  <c r="T172" i="1" s="1"/>
  <c r="Q124" i="1"/>
  <c r="R124" i="1" s="1"/>
  <c r="N124" i="1"/>
  <c r="O124" i="1" s="1"/>
  <c r="L124" i="1"/>
  <c r="K124" i="1"/>
  <c r="E124" i="1"/>
  <c r="F124" i="1" s="1"/>
  <c r="B124" i="1"/>
  <c r="AC123" i="1"/>
  <c r="AD123" i="1" s="1"/>
  <c r="AA123" i="1"/>
  <c r="W123" i="1"/>
  <c r="U123" i="1"/>
  <c r="R123" i="1"/>
  <c r="O123" i="1"/>
  <c r="N123" i="1"/>
  <c r="L123" i="1"/>
  <c r="I123" i="1"/>
  <c r="H123" i="1"/>
  <c r="F123" i="1"/>
  <c r="C123" i="1"/>
  <c r="AA122" i="1"/>
  <c r="Z122" i="1"/>
  <c r="T122" i="1"/>
  <c r="U122" i="1" s="1"/>
  <c r="Q122" i="1"/>
  <c r="L122" i="1"/>
  <c r="K122" i="1"/>
  <c r="E122" i="1"/>
  <c r="F122" i="1" s="1"/>
  <c r="B122" i="1"/>
  <c r="H122" i="1" s="1"/>
  <c r="I122" i="1" s="1"/>
  <c r="AD121" i="1"/>
  <c r="AC121" i="1"/>
  <c r="AA121" i="1"/>
  <c r="W121" i="1"/>
  <c r="U121" i="1"/>
  <c r="R121" i="1"/>
  <c r="N121" i="1"/>
  <c r="O121" i="1" s="1"/>
  <c r="L121" i="1"/>
  <c r="H121" i="1"/>
  <c r="I121" i="1" s="1"/>
  <c r="F121" i="1"/>
  <c r="C121" i="1"/>
  <c r="AD120" i="1"/>
  <c r="AC120" i="1"/>
  <c r="AA120" i="1"/>
  <c r="W120" i="1"/>
  <c r="U120" i="1"/>
  <c r="R120" i="1"/>
  <c r="O120" i="1"/>
  <c r="N120" i="1"/>
  <c r="L120" i="1"/>
  <c r="I120" i="1"/>
  <c r="H120" i="1"/>
  <c r="F120" i="1"/>
  <c r="C120" i="1"/>
  <c r="AC119" i="1"/>
  <c r="AD119" i="1" s="1"/>
  <c r="AA119" i="1"/>
  <c r="W119" i="1"/>
  <c r="X119" i="1" s="1"/>
  <c r="U119" i="1"/>
  <c r="R119" i="1"/>
  <c r="N119" i="1"/>
  <c r="L119" i="1"/>
  <c r="I119" i="1"/>
  <c r="H119" i="1"/>
  <c r="F119" i="1"/>
  <c r="C119" i="1"/>
  <c r="Z118" i="1"/>
  <c r="AA118" i="1" s="1"/>
  <c r="W118" i="1"/>
  <c r="X118" i="1" s="1"/>
  <c r="U118" i="1"/>
  <c r="T118" i="1"/>
  <c r="Q118" i="1"/>
  <c r="R118" i="1" s="1"/>
  <c r="L118" i="1"/>
  <c r="K118" i="1"/>
  <c r="E118" i="1"/>
  <c r="F118" i="1" s="1"/>
  <c r="B118" i="1"/>
  <c r="AD117" i="1"/>
  <c r="AC117" i="1"/>
  <c r="AA117" i="1"/>
  <c r="W117" i="1"/>
  <c r="U117" i="1"/>
  <c r="R117" i="1"/>
  <c r="N117" i="1"/>
  <c r="O117" i="1" s="1"/>
  <c r="L117" i="1"/>
  <c r="I117" i="1"/>
  <c r="H117" i="1"/>
  <c r="F117" i="1"/>
  <c r="C117" i="1"/>
  <c r="AC116" i="1"/>
  <c r="AD116" i="1" s="1"/>
  <c r="AA116" i="1"/>
  <c r="W116" i="1"/>
  <c r="X116" i="1" s="1"/>
  <c r="U116" i="1"/>
  <c r="R116" i="1"/>
  <c r="N116" i="1"/>
  <c r="L116" i="1"/>
  <c r="H116" i="1"/>
  <c r="I116" i="1" s="1"/>
  <c r="F116" i="1"/>
  <c r="C116" i="1"/>
  <c r="AC115" i="1"/>
  <c r="AD115" i="1" s="1"/>
  <c r="AA115" i="1"/>
  <c r="X115" i="1"/>
  <c r="W115" i="1"/>
  <c r="U115" i="1"/>
  <c r="R115" i="1"/>
  <c r="N115" i="1"/>
  <c r="L115" i="1"/>
  <c r="H115" i="1"/>
  <c r="I115" i="1" s="1"/>
  <c r="F115" i="1"/>
  <c r="C115" i="1"/>
  <c r="AD114" i="1"/>
  <c r="AC114" i="1"/>
  <c r="AA114" i="1"/>
  <c r="W114" i="1"/>
  <c r="U114" i="1"/>
  <c r="R114" i="1"/>
  <c r="N114" i="1"/>
  <c r="O114" i="1" s="1"/>
  <c r="L114" i="1"/>
  <c r="H114" i="1"/>
  <c r="I114" i="1" s="1"/>
  <c r="F114" i="1"/>
  <c r="C114" i="1"/>
  <c r="AD113" i="1"/>
  <c r="AC113" i="1"/>
  <c r="AA113" i="1"/>
  <c r="W113" i="1"/>
  <c r="U113" i="1"/>
  <c r="R113" i="1"/>
  <c r="N113" i="1"/>
  <c r="O113" i="1" s="1"/>
  <c r="L113" i="1"/>
  <c r="I113" i="1"/>
  <c r="H113" i="1"/>
  <c r="F113" i="1"/>
  <c r="C113" i="1"/>
  <c r="AC112" i="1"/>
  <c r="AD112" i="1" s="1"/>
  <c r="AA112" i="1"/>
  <c r="W112" i="1"/>
  <c r="X112" i="1" s="1"/>
  <c r="U112" i="1"/>
  <c r="R112" i="1"/>
  <c r="N112" i="1"/>
  <c r="L112" i="1"/>
  <c r="H112" i="1"/>
  <c r="I112" i="1" s="1"/>
  <c r="F112" i="1"/>
  <c r="C112" i="1"/>
  <c r="AC111" i="1"/>
  <c r="AD111" i="1" s="1"/>
  <c r="AA111" i="1"/>
  <c r="X111" i="1"/>
  <c r="W111" i="1"/>
  <c r="U111" i="1"/>
  <c r="R111" i="1"/>
  <c r="N111" i="1"/>
  <c r="L111" i="1"/>
  <c r="H111" i="1"/>
  <c r="I111" i="1" s="1"/>
  <c r="F111" i="1"/>
  <c r="C111" i="1"/>
  <c r="AD110" i="1"/>
  <c r="AC110" i="1"/>
  <c r="AA110" i="1"/>
  <c r="W110" i="1"/>
  <c r="U110" i="1"/>
  <c r="R110" i="1"/>
  <c r="N110" i="1"/>
  <c r="O110" i="1" s="1"/>
  <c r="L110" i="1"/>
  <c r="H110" i="1"/>
  <c r="I110" i="1" s="1"/>
  <c r="F110" i="1"/>
  <c r="C110" i="1"/>
  <c r="AD109" i="1"/>
  <c r="AC109" i="1"/>
  <c r="AA109" i="1"/>
  <c r="W109" i="1"/>
  <c r="U109" i="1"/>
  <c r="R109" i="1"/>
  <c r="N109" i="1"/>
  <c r="O109" i="1" s="1"/>
  <c r="L109" i="1"/>
  <c r="I109" i="1"/>
  <c r="H109" i="1"/>
  <c r="F109" i="1"/>
  <c r="C109" i="1"/>
  <c r="AC108" i="1"/>
  <c r="AD108" i="1" s="1"/>
  <c r="AA108" i="1"/>
  <c r="W108" i="1"/>
  <c r="X108" i="1" s="1"/>
  <c r="U108" i="1"/>
  <c r="R108" i="1"/>
  <c r="N108" i="1"/>
  <c r="L108" i="1"/>
  <c r="H108" i="1"/>
  <c r="I108" i="1" s="1"/>
  <c r="F108" i="1"/>
  <c r="C108" i="1"/>
  <c r="AC107" i="1"/>
  <c r="AD107" i="1" s="1"/>
  <c r="AA107" i="1"/>
  <c r="X107" i="1"/>
  <c r="W107" i="1"/>
  <c r="U107" i="1"/>
  <c r="R107" i="1"/>
  <c r="N107" i="1"/>
  <c r="L107" i="1"/>
  <c r="H107" i="1"/>
  <c r="I107" i="1" s="1"/>
  <c r="F107" i="1"/>
  <c r="C107" i="1"/>
  <c r="AD106" i="1"/>
  <c r="AC106" i="1"/>
  <c r="AA106" i="1"/>
  <c r="W106" i="1"/>
  <c r="U106" i="1"/>
  <c r="R106" i="1"/>
  <c r="N106" i="1"/>
  <c r="O106" i="1" s="1"/>
  <c r="L106" i="1"/>
  <c r="H106" i="1"/>
  <c r="I106" i="1" s="1"/>
  <c r="F106" i="1"/>
  <c r="C106" i="1"/>
  <c r="AD105" i="1"/>
  <c r="AC105" i="1"/>
  <c r="AA105" i="1"/>
  <c r="W105" i="1"/>
  <c r="U105" i="1"/>
  <c r="R105" i="1"/>
  <c r="N105" i="1"/>
  <c r="O105" i="1" s="1"/>
  <c r="L105" i="1"/>
  <c r="I105" i="1"/>
  <c r="H105" i="1"/>
  <c r="F105" i="1"/>
  <c r="C105" i="1"/>
  <c r="AC104" i="1"/>
  <c r="AD104" i="1" s="1"/>
  <c r="AA104" i="1"/>
  <c r="W104" i="1"/>
  <c r="X104" i="1" s="1"/>
  <c r="U104" i="1"/>
  <c r="R104" i="1"/>
  <c r="N104" i="1"/>
  <c r="L104" i="1"/>
  <c r="H104" i="1"/>
  <c r="I104" i="1" s="1"/>
  <c r="F104" i="1"/>
  <c r="C104" i="1"/>
  <c r="AC103" i="1"/>
  <c r="AD103" i="1" s="1"/>
  <c r="AA103" i="1"/>
  <c r="X103" i="1"/>
  <c r="W103" i="1"/>
  <c r="U103" i="1"/>
  <c r="R103" i="1"/>
  <c r="N103" i="1"/>
  <c r="L103" i="1"/>
  <c r="H103" i="1"/>
  <c r="I103" i="1" s="1"/>
  <c r="F103" i="1"/>
  <c r="C103" i="1"/>
  <c r="AD102" i="1"/>
  <c r="AC102" i="1"/>
  <c r="AA102" i="1"/>
  <c r="W102" i="1"/>
  <c r="U102" i="1"/>
  <c r="R102" i="1"/>
  <c r="N102" i="1"/>
  <c r="O102" i="1" s="1"/>
  <c r="L102" i="1"/>
  <c r="H102" i="1"/>
  <c r="I102" i="1" s="1"/>
  <c r="F102" i="1"/>
  <c r="C102" i="1"/>
  <c r="AD101" i="1"/>
  <c r="AC101" i="1"/>
  <c r="AA101" i="1"/>
  <c r="W101" i="1"/>
  <c r="U101" i="1"/>
  <c r="R101" i="1"/>
  <c r="N101" i="1"/>
  <c r="O101" i="1" s="1"/>
  <c r="L101" i="1"/>
  <c r="I101" i="1"/>
  <c r="H101" i="1"/>
  <c r="F101" i="1"/>
  <c r="C101" i="1"/>
  <c r="AC100" i="1"/>
  <c r="AD100" i="1" s="1"/>
  <c r="AA100" i="1"/>
  <c r="W100" i="1"/>
  <c r="X100" i="1" s="1"/>
  <c r="U100" i="1"/>
  <c r="R100" i="1"/>
  <c r="N100" i="1"/>
  <c r="L100" i="1"/>
  <c r="H100" i="1"/>
  <c r="I100" i="1" s="1"/>
  <c r="F100" i="1"/>
  <c r="C100" i="1"/>
  <c r="AC99" i="1"/>
  <c r="AD99" i="1" s="1"/>
  <c r="AA99" i="1"/>
  <c r="X99" i="1"/>
  <c r="W99" i="1"/>
  <c r="U99" i="1"/>
  <c r="R99" i="1"/>
  <c r="N99" i="1"/>
  <c r="L99" i="1"/>
  <c r="H99" i="1"/>
  <c r="I99" i="1" s="1"/>
  <c r="F99" i="1"/>
  <c r="C99" i="1"/>
  <c r="AD98" i="1"/>
  <c r="AC98" i="1"/>
  <c r="AA98" i="1"/>
  <c r="W98" i="1"/>
  <c r="U98" i="1"/>
  <c r="R98" i="1"/>
  <c r="N98" i="1"/>
  <c r="O98" i="1" s="1"/>
  <c r="L98" i="1"/>
  <c r="H98" i="1"/>
  <c r="I98" i="1" s="1"/>
  <c r="F98" i="1"/>
  <c r="C98" i="1"/>
  <c r="AD97" i="1"/>
  <c r="AC97" i="1"/>
  <c r="AA97" i="1"/>
  <c r="X97" i="1"/>
  <c r="W97" i="1"/>
  <c r="U97" i="1"/>
  <c r="R97" i="1"/>
  <c r="N97" i="1"/>
  <c r="O97" i="1" s="1"/>
  <c r="L97" i="1"/>
  <c r="I97" i="1"/>
  <c r="H97" i="1"/>
  <c r="F97" i="1"/>
  <c r="C97" i="1"/>
  <c r="AC96" i="1"/>
  <c r="AD96" i="1" s="1"/>
  <c r="AA96" i="1"/>
  <c r="X96" i="1"/>
  <c r="W96" i="1"/>
  <c r="U96" i="1"/>
  <c r="R96" i="1"/>
  <c r="N96" i="1"/>
  <c r="L96" i="1"/>
  <c r="H96" i="1"/>
  <c r="I96" i="1" s="1"/>
  <c r="F96" i="1"/>
  <c r="C96" i="1"/>
  <c r="AC95" i="1"/>
  <c r="AD95" i="1" s="1"/>
  <c r="AA95" i="1"/>
  <c r="X95" i="1"/>
  <c r="W95" i="1"/>
  <c r="U95" i="1"/>
  <c r="R95" i="1"/>
  <c r="N95" i="1"/>
  <c r="L95" i="1"/>
  <c r="H95" i="1"/>
  <c r="I95" i="1" s="1"/>
  <c r="F95" i="1"/>
  <c r="C95" i="1"/>
  <c r="AD94" i="1"/>
  <c r="AC94" i="1"/>
  <c r="AA94" i="1"/>
  <c r="W94" i="1"/>
  <c r="U94" i="1"/>
  <c r="R94" i="1"/>
  <c r="O94" i="1"/>
  <c r="N94" i="1"/>
  <c r="L94" i="1"/>
  <c r="H94" i="1"/>
  <c r="I94" i="1" s="1"/>
  <c r="F94" i="1"/>
  <c r="C94" i="1"/>
  <c r="AD92" i="1"/>
  <c r="AC92" i="1"/>
  <c r="AA92" i="1"/>
  <c r="X92" i="1"/>
  <c r="W92" i="1"/>
  <c r="U92" i="1"/>
  <c r="R92" i="1"/>
  <c r="O92" i="1"/>
  <c r="N92" i="1"/>
  <c r="L92" i="1"/>
  <c r="I92" i="1"/>
  <c r="H92" i="1"/>
  <c r="F92" i="1"/>
  <c r="C92" i="1"/>
  <c r="AC91" i="1"/>
  <c r="AD91" i="1" s="1"/>
  <c r="AA91" i="1"/>
  <c r="X91" i="1"/>
  <c r="W91" i="1"/>
  <c r="U91" i="1"/>
  <c r="R91" i="1"/>
  <c r="N91" i="1"/>
  <c r="L91" i="1"/>
  <c r="H91" i="1"/>
  <c r="I91" i="1" s="1"/>
  <c r="F91" i="1"/>
  <c r="C91" i="1"/>
  <c r="AC90" i="1"/>
  <c r="AD90" i="1" s="1"/>
  <c r="AA90" i="1"/>
  <c r="W90" i="1"/>
  <c r="X90" i="1" s="1"/>
  <c r="U90" i="1"/>
  <c r="R90" i="1"/>
  <c r="N90" i="1"/>
  <c r="L90" i="1"/>
  <c r="H90" i="1"/>
  <c r="I90" i="1" s="1"/>
  <c r="F90" i="1"/>
  <c r="C90" i="1"/>
  <c r="AD89" i="1"/>
  <c r="AC89" i="1"/>
  <c r="AA89" i="1"/>
  <c r="W89" i="1"/>
  <c r="U89" i="1"/>
  <c r="R89" i="1"/>
  <c r="O89" i="1"/>
  <c r="N89" i="1"/>
  <c r="L89" i="1"/>
  <c r="H89" i="1"/>
  <c r="I89" i="1" s="1"/>
  <c r="F89" i="1"/>
  <c r="C89" i="1"/>
  <c r="AA88" i="1"/>
  <c r="Z88" i="1"/>
  <c r="T88" i="1"/>
  <c r="U88" i="1" s="1"/>
  <c r="Q88" i="1"/>
  <c r="W88" i="1" s="1"/>
  <c r="X88" i="1" s="1"/>
  <c r="K88" i="1"/>
  <c r="L88" i="1" s="1"/>
  <c r="H88" i="1"/>
  <c r="I88" i="1" s="1"/>
  <c r="F88" i="1"/>
  <c r="E88" i="1"/>
  <c r="C88" i="1"/>
  <c r="B88" i="1"/>
  <c r="N88" i="1" s="1"/>
  <c r="O88" i="1" s="1"/>
  <c r="AC87" i="1"/>
  <c r="AD87" i="1" s="1"/>
  <c r="AA87" i="1"/>
  <c r="W87" i="1"/>
  <c r="X87" i="1" s="1"/>
  <c r="U87" i="1"/>
  <c r="R87" i="1"/>
  <c r="N87" i="1"/>
  <c r="L87" i="1"/>
  <c r="H87" i="1"/>
  <c r="I87" i="1" s="1"/>
  <c r="F87" i="1"/>
  <c r="C87" i="1"/>
  <c r="AD86" i="1"/>
  <c r="AC86" i="1"/>
  <c r="AA86" i="1"/>
  <c r="W86" i="1"/>
  <c r="U86" i="1"/>
  <c r="R86" i="1"/>
  <c r="O86" i="1"/>
  <c r="N86" i="1"/>
  <c r="L86" i="1"/>
  <c r="H86" i="1"/>
  <c r="I86" i="1" s="1"/>
  <c r="F86" i="1"/>
  <c r="C86" i="1"/>
  <c r="AC85" i="1"/>
  <c r="AD85" i="1" s="1"/>
  <c r="AA85" i="1"/>
  <c r="X85" i="1"/>
  <c r="W85" i="1"/>
  <c r="U85" i="1"/>
  <c r="R85" i="1"/>
  <c r="N85" i="1"/>
  <c r="O85" i="1" s="1"/>
  <c r="L85" i="1"/>
  <c r="I85" i="1"/>
  <c r="H85" i="1"/>
  <c r="F85" i="1"/>
  <c r="C85" i="1"/>
  <c r="AC84" i="1"/>
  <c r="AD84" i="1" s="1"/>
  <c r="AA84" i="1"/>
  <c r="W84" i="1"/>
  <c r="X84" i="1" s="1"/>
  <c r="U84" i="1"/>
  <c r="R84" i="1"/>
  <c r="N84" i="1"/>
  <c r="L84" i="1"/>
  <c r="H84" i="1"/>
  <c r="I84" i="1" s="1"/>
  <c r="F84" i="1"/>
  <c r="C84" i="1"/>
  <c r="AC83" i="1"/>
  <c r="AD83" i="1" s="1"/>
  <c r="AA83" i="1"/>
  <c r="X83" i="1"/>
  <c r="W83" i="1"/>
  <c r="U83" i="1"/>
  <c r="R83" i="1"/>
  <c r="N83" i="1"/>
  <c r="L83" i="1"/>
  <c r="H83" i="1"/>
  <c r="I83" i="1" s="1"/>
  <c r="F83" i="1"/>
  <c r="C83" i="1"/>
  <c r="AD82" i="1"/>
  <c r="AC82" i="1"/>
  <c r="AA82" i="1"/>
  <c r="W82" i="1"/>
  <c r="U82" i="1"/>
  <c r="R82" i="1"/>
  <c r="N82" i="1"/>
  <c r="O82" i="1" s="1"/>
  <c r="L82" i="1"/>
  <c r="H82" i="1"/>
  <c r="I82" i="1" s="1"/>
  <c r="F82" i="1"/>
  <c r="C82" i="1"/>
  <c r="AD81" i="1"/>
  <c r="AC81" i="1"/>
  <c r="AA81" i="1"/>
  <c r="X81" i="1"/>
  <c r="W81" i="1"/>
  <c r="U81" i="1"/>
  <c r="R81" i="1"/>
  <c r="N81" i="1"/>
  <c r="O81" i="1" s="1"/>
  <c r="L81" i="1"/>
  <c r="I81" i="1"/>
  <c r="H81" i="1"/>
  <c r="F81" i="1"/>
  <c r="C81" i="1"/>
  <c r="AC80" i="1"/>
  <c r="AD80" i="1" s="1"/>
  <c r="AA80" i="1"/>
  <c r="X80" i="1"/>
  <c r="W80" i="1"/>
  <c r="U80" i="1"/>
  <c r="R80" i="1"/>
  <c r="N80" i="1"/>
  <c r="L80" i="1"/>
  <c r="H80" i="1"/>
  <c r="I80" i="1" s="1"/>
  <c r="F80" i="1"/>
  <c r="C80" i="1"/>
  <c r="AC79" i="1"/>
  <c r="AD79" i="1" s="1"/>
  <c r="AA79" i="1"/>
  <c r="X79" i="1"/>
  <c r="W79" i="1"/>
  <c r="U79" i="1"/>
  <c r="R79" i="1"/>
  <c r="N79" i="1"/>
  <c r="L79" i="1"/>
  <c r="H79" i="1"/>
  <c r="I79" i="1" s="1"/>
  <c r="F79" i="1"/>
  <c r="C79" i="1"/>
  <c r="AD78" i="1"/>
  <c r="AC78" i="1"/>
  <c r="AA78" i="1"/>
  <c r="W78" i="1"/>
  <c r="U78" i="1"/>
  <c r="R78" i="1"/>
  <c r="O78" i="1"/>
  <c r="N78" i="1"/>
  <c r="L78" i="1"/>
  <c r="H78" i="1"/>
  <c r="I78" i="1" s="1"/>
  <c r="F78" i="1"/>
  <c r="C78" i="1"/>
  <c r="AD77" i="1"/>
  <c r="AC77" i="1"/>
  <c r="AA77" i="1"/>
  <c r="X77" i="1"/>
  <c r="W77" i="1"/>
  <c r="U77" i="1"/>
  <c r="R77" i="1"/>
  <c r="O77" i="1"/>
  <c r="N77" i="1"/>
  <c r="L77" i="1"/>
  <c r="I77" i="1"/>
  <c r="H77" i="1"/>
  <c r="F77" i="1"/>
  <c r="C77" i="1"/>
  <c r="AC76" i="1"/>
  <c r="AD76" i="1" s="1"/>
  <c r="AA76" i="1"/>
  <c r="X76" i="1"/>
  <c r="W76" i="1"/>
  <c r="U76" i="1"/>
  <c r="R76" i="1"/>
  <c r="N76" i="1"/>
  <c r="L76" i="1"/>
  <c r="H76" i="1"/>
  <c r="I76" i="1" s="1"/>
  <c r="F76" i="1"/>
  <c r="C76" i="1"/>
  <c r="AC75" i="1"/>
  <c r="AD75" i="1" s="1"/>
  <c r="AA75" i="1"/>
  <c r="W75" i="1"/>
  <c r="X75" i="1" s="1"/>
  <c r="U75" i="1"/>
  <c r="R75" i="1"/>
  <c r="N75" i="1"/>
  <c r="L75" i="1"/>
  <c r="H75" i="1"/>
  <c r="I75" i="1" s="1"/>
  <c r="F75" i="1"/>
  <c r="C75" i="1"/>
  <c r="AD73" i="1"/>
  <c r="Z73" i="1"/>
  <c r="AA73" i="1" s="1"/>
  <c r="W73" i="1"/>
  <c r="X73" i="1" s="1"/>
  <c r="U73" i="1"/>
  <c r="T73" i="1"/>
  <c r="R73" i="1"/>
  <c r="Q73" i="1"/>
  <c r="AC73" i="1" s="1"/>
  <c r="K73" i="1"/>
  <c r="L73" i="1" s="1"/>
  <c r="H73" i="1"/>
  <c r="I73" i="1" s="1"/>
  <c r="F73" i="1"/>
  <c r="E73" i="1"/>
  <c r="B73" i="1"/>
  <c r="C73" i="1" s="1"/>
  <c r="AC72" i="1"/>
  <c r="AD72" i="1" s="1"/>
  <c r="AA72" i="1"/>
  <c r="W72" i="1"/>
  <c r="X72" i="1" s="1"/>
  <c r="U72" i="1"/>
  <c r="R72" i="1"/>
  <c r="N72" i="1"/>
  <c r="L72" i="1"/>
  <c r="I72" i="1"/>
  <c r="H72" i="1"/>
  <c r="F72" i="1"/>
  <c r="C72" i="1"/>
  <c r="AC71" i="1"/>
  <c r="AD71" i="1" s="1"/>
  <c r="AA71" i="1"/>
  <c r="X71" i="1"/>
  <c r="W71" i="1"/>
  <c r="U71" i="1"/>
  <c r="R71" i="1"/>
  <c r="N71" i="1"/>
  <c r="L71" i="1"/>
  <c r="H71" i="1"/>
  <c r="I71" i="1" s="1"/>
  <c r="F71" i="1"/>
  <c r="C71" i="1"/>
  <c r="AD70" i="1"/>
  <c r="AC70" i="1"/>
  <c r="AA70" i="1"/>
  <c r="W70" i="1"/>
  <c r="U70" i="1"/>
  <c r="R70" i="1"/>
  <c r="O70" i="1"/>
  <c r="N70" i="1"/>
  <c r="L70" i="1"/>
  <c r="H70" i="1"/>
  <c r="I70" i="1" s="1"/>
  <c r="F70" i="1"/>
  <c r="C70" i="1"/>
  <c r="AC69" i="1"/>
  <c r="AD69" i="1" s="1"/>
  <c r="AA69" i="1"/>
  <c r="X69" i="1"/>
  <c r="W69" i="1"/>
  <c r="U69" i="1"/>
  <c r="R69" i="1"/>
  <c r="N69" i="1"/>
  <c r="O69" i="1" s="1"/>
  <c r="L69" i="1"/>
  <c r="I69" i="1"/>
  <c r="H69" i="1"/>
  <c r="F69" i="1"/>
  <c r="C69" i="1"/>
  <c r="AC68" i="1"/>
  <c r="AD68" i="1" s="1"/>
  <c r="AA68" i="1"/>
  <c r="W68" i="1"/>
  <c r="X68" i="1" s="1"/>
  <c r="U68" i="1"/>
  <c r="R68" i="1"/>
  <c r="N68" i="1"/>
  <c r="L68" i="1"/>
  <c r="I68" i="1"/>
  <c r="H68" i="1"/>
  <c r="F68" i="1"/>
  <c r="C68" i="1"/>
  <c r="AC67" i="1"/>
  <c r="AD67" i="1" s="1"/>
  <c r="AA67" i="1"/>
  <c r="W67" i="1"/>
  <c r="X67" i="1" s="1"/>
  <c r="U67" i="1"/>
  <c r="R67" i="1"/>
  <c r="N67" i="1"/>
  <c r="L67" i="1"/>
  <c r="H67" i="1"/>
  <c r="I67" i="1" s="1"/>
  <c r="F67" i="1"/>
  <c r="C67" i="1"/>
  <c r="AD66" i="1"/>
  <c r="AC66" i="1"/>
  <c r="AA66" i="1"/>
  <c r="W66" i="1"/>
  <c r="U66" i="1"/>
  <c r="R66" i="1"/>
  <c r="O66" i="1"/>
  <c r="N66" i="1"/>
  <c r="L66" i="1"/>
  <c r="H66" i="1"/>
  <c r="I66" i="1" s="1"/>
  <c r="F66" i="1"/>
  <c r="C66" i="1"/>
  <c r="AC65" i="1"/>
  <c r="AD65" i="1" s="1"/>
  <c r="AA65" i="1"/>
  <c r="X65" i="1"/>
  <c r="W65" i="1"/>
  <c r="U65" i="1"/>
  <c r="R65" i="1"/>
  <c r="N65" i="1"/>
  <c r="O65" i="1" s="1"/>
  <c r="L65" i="1"/>
  <c r="I65" i="1"/>
  <c r="H65" i="1"/>
  <c r="F65" i="1"/>
  <c r="C65" i="1"/>
  <c r="AC64" i="1"/>
  <c r="AD64" i="1" s="1"/>
  <c r="AA64" i="1"/>
  <c r="W64" i="1"/>
  <c r="X64" i="1" s="1"/>
  <c r="U64" i="1"/>
  <c r="R64" i="1"/>
  <c r="N64" i="1"/>
  <c r="L64" i="1"/>
  <c r="H64" i="1"/>
  <c r="I64" i="1" s="1"/>
  <c r="F64" i="1"/>
  <c r="C64" i="1"/>
  <c r="Z62" i="1"/>
  <c r="AA62" i="1" s="1"/>
  <c r="W62" i="1"/>
  <c r="X62" i="1" s="1"/>
  <c r="U62" i="1"/>
  <c r="T62" i="1"/>
  <c r="Q62" i="1"/>
  <c r="R62" i="1" s="1"/>
  <c r="N62" i="1"/>
  <c r="O62" i="1" s="1"/>
  <c r="L62" i="1"/>
  <c r="K62" i="1"/>
  <c r="E62" i="1"/>
  <c r="F62" i="1" s="1"/>
  <c r="B62" i="1"/>
  <c r="AA61" i="1"/>
  <c r="Z61" i="1"/>
  <c r="T61" i="1"/>
  <c r="U61" i="1" s="1"/>
  <c r="Q61" i="1"/>
  <c r="W61" i="1" s="1"/>
  <c r="X61" i="1" s="1"/>
  <c r="O61" i="1"/>
  <c r="K61" i="1"/>
  <c r="L61" i="1" s="1"/>
  <c r="E61" i="1"/>
  <c r="F61" i="1" s="1"/>
  <c r="C61" i="1"/>
  <c r="B61" i="1"/>
  <c r="N61" i="1" s="1"/>
  <c r="AC60" i="1"/>
  <c r="AD60" i="1" s="1"/>
  <c r="AA60" i="1"/>
  <c r="W60" i="1"/>
  <c r="X60" i="1" s="1"/>
  <c r="U60" i="1"/>
  <c r="R60" i="1"/>
  <c r="N60" i="1"/>
  <c r="L60" i="1"/>
  <c r="H60" i="1"/>
  <c r="I60" i="1" s="1"/>
  <c r="F60" i="1"/>
  <c r="C60" i="1"/>
  <c r="AD59" i="1"/>
  <c r="AC59" i="1"/>
  <c r="AA59" i="1"/>
  <c r="X59" i="1"/>
  <c r="W59" i="1"/>
  <c r="U59" i="1"/>
  <c r="R59" i="1"/>
  <c r="N59" i="1"/>
  <c r="O59" i="1" s="1"/>
  <c r="L59" i="1"/>
  <c r="H59" i="1"/>
  <c r="I59" i="1" s="1"/>
  <c r="F59" i="1"/>
  <c r="C59" i="1"/>
  <c r="AD58" i="1"/>
  <c r="AC58" i="1"/>
  <c r="AA58" i="1"/>
  <c r="X58" i="1"/>
  <c r="W58" i="1"/>
  <c r="U58" i="1"/>
  <c r="R58" i="1"/>
  <c r="N58" i="1"/>
  <c r="O58" i="1" s="1"/>
  <c r="L58" i="1"/>
  <c r="I58" i="1"/>
  <c r="H58" i="1"/>
  <c r="F58" i="1"/>
  <c r="C58" i="1"/>
  <c r="AC57" i="1"/>
  <c r="AD57" i="1" s="1"/>
  <c r="AA57" i="1"/>
  <c r="X57" i="1"/>
  <c r="W57" i="1"/>
  <c r="U57" i="1"/>
  <c r="R57" i="1"/>
  <c r="N57" i="1"/>
  <c r="L57" i="1"/>
  <c r="I57" i="1"/>
  <c r="H57" i="1"/>
  <c r="F57" i="1"/>
  <c r="C57" i="1"/>
  <c r="AC56" i="1"/>
  <c r="AD56" i="1" s="1"/>
  <c r="AA56" i="1"/>
  <c r="W56" i="1"/>
  <c r="X56" i="1" s="1"/>
  <c r="U56" i="1"/>
  <c r="R56" i="1"/>
  <c r="N56" i="1"/>
  <c r="L56" i="1"/>
  <c r="H56" i="1"/>
  <c r="I56" i="1" s="1"/>
  <c r="F56" i="1"/>
  <c r="C56" i="1"/>
  <c r="AD55" i="1"/>
  <c r="AC55" i="1"/>
  <c r="AA55" i="1"/>
  <c r="X55" i="1"/>
  <c r="W55" i="1"/>
  <c r="U55" i="1"/>
  <c r="R55" i="1"/>
  <c r="N55" i="1"/>
  <c r="O55" i="1" s="1"/>
  <c r="L55" i="1"/>
  <c r="H55" i="1"/>
  <c r="I55" i="1" s="1"/>
  <c r="F55" i="1"/>
  <c r="C55" i="1"/>
  <c r="AC54" i="1"/>
  <c r="AD54" i="1" s="1"/>
  <c r="AA54" i="1"/>
  <c r="X54" i="1"/>
  <c r="W54" i="1"/>
  <c r="U54" i="1"/>
  <c r="R54" i="1"/>
  <c r="O54" i="1"/>
  <c r="N54" i="1"/>
  <c r="L54" i="1"/>
  <c r="I54" i="1"/>
  <c r="H54" i="1"/>
  <c r="F54" i="1"/>
  <c r="C54" i="1"/>
  <c r="AC53" i="1"/>
  <c r="AD53" i="1" s="1"/>
  <c r="AA53" i="1"/>
  <c r="W53" i="1"/>
  <c r="X53" i="1" s="1"/>
  <c r="U53" i="1"/>
  <c r="R53" i="1"/>
  <c r="N53" i="1"/>
  <c r="L53" i="1"/>
  <c r="I53" i="1"/>
  <c r="H53" i="1"/>
  <c r="F53" i="1"/>
  <c r="C53" i="1"/>
  <c r="AC52" i="1"/>
  <c r="AD52" i="1" s="1"/>
  <c r="AA52" i="1"/>
  <c r="X52" i="1"/>
  <c r="W52" i="1"/>
  <c r="U52" i="1"/>
  <c r="R52" i="1"/>
  <c r="O52" i="1"/>
  <c r="N52" i="1"/>
  <c r="L52" i="1"/>
  <c r="H52" i="1"/>
  <c r="I52" i="1" s="1"/>
  <c r="F52" i="1"/>
  <c r="C52" i="1"/>
  <c r="AD51" i="1"/>
  <c r="AC51" i="1"/>
  <c r="AA51" i="1"/>
  <c r="X51" i="1"/>
  <c r="W51" i="1"/>
  <c r="U51" i="1"/>
  <c r="R51" i="1"/>
  <c r="N51" i="1"/>
  <c r="O51" i="1" s="1"/>
  <c r="L51" i="1"/>
  <c r="H51" i="1"/>
  <c r="I51" i="1" s="1"/>
  <c r="F51" i="1"/>
  <c r="C51" i="1"/>
  <c r="AD50" i="1"/>
  <c r="AC50" i="1"/>
  <c r="AA50" i="1"/>
  <c r="X50" i="1"/>
  <c r="W50" i="1"/>
  <c r="U50" i="1"/>
  <c r="R50" i="1"/>
  <c r="N50" i="1"/>
  <c r="O50" i="1" s="1"/>
  <c r="L50" i="1"/>
  <c r="I50" i="1"/>
  <c r="H50" i="1"/>
  <c r="F50" i="1"/>
  <c r="C50" i="1"/>
  <c r="AC49" i="1"/>
  <c r="AD49" i="1" s="1"/>
  <c r="AA49" i="1"/>
  <c r="X49" i="1"/>
  <c r="W49" i="1"/>
  <c r="U49" i="1"/>
  <c r="R49" i="1"/>
  <c r="N49" i="1"/>
  <c r="L49" i="1"/>
  <c r="H49" i="1"/>
  <c r="I49" i="1" s="1"/>
  <c r="F49" i="1"/>
  <c r="C49" i="1"/>
  <c r="AC48" i="1"/>
  <c r="AD48" i="1" s="1"/>
  <c r="AA48" i="1"/>
  <c r="X48" i="1"/>
  <c r="W48" i="1"/>
  <c r="U48" i="1"/>
  <c r="R48" i="1"/>
  <c r="O48" i="1"/>
  <c r="N48" i="1"/>
  <c r="L48" i="1"/>
  <c r="H48" i="1"/>
  <c r="I48" i="1" s="1"/>
  <c r="F48" i="1"/>
  <c r="C48" i="1"/>
  <c r="AD47" i="1"/>
  <c r="AC47" i="1"/>
  <c r="AA47" i="1"/>
  <c r="X47" i="1"/>
  <c r="W47" i="1"/>
  <c r="U47" i="1"/>
  <c r="R47" i="1"/>
  <c r="N47" i="1"/>
  <c r="O47" i="1" s="1"/>
  <c r="L47" i="1"/>
  <c r="H47" i="1"/>
  <c r="I47" i="1" s="1"/>
  <c r="F47" i="1"/>
  <c r="C47" i="1"/>
  <c r="AD46" i="1"/>
  <c r="AC46" i="1"/>
  <c r="AA46" i="1"/>
  <c r="X46" i="1"/>
  <c r="W46" i="1"/>
  <c r="U46" i="1"/>
  <c r="R46" i="1"/>
  <c r="N46" i="1"/>
  <c r="O46" i="1" s="1"/>
  <c r="L46" i="1"/>
  <c r="I46" i="1"/>
  <c r="H46" i="1"/>
  <c r="F46" i="1"/>
  <c r="C46" i="1"/>
  <c r="AC44" i="1"/>
  <c r="AD44" i="1" s="1"/>
  <c r="AA44" i="1"/>
  <c r="X44" i="1"/>
  <c r="W44" i="1"/>
  <c r="U44" i="1"/>
  <c r="R44" i="1"/>
  <c r="N44" i="1"/>
  <c r="L44" i="1"/>
  <c r="I44" i="1"/>
  <c r="H44" i="1"/>
  <c r="F44" i="1"/>
  <c r="C44" i="1"/>
  <c r="AC43" i="1"/>
  <c r="AD43" i="1" s="1"/>
  <c r="AA43" i="1"/>
  <c r="W43" i="1"/>
  <c r="X43" i="1" s="1"/>
  <c r="U43" i="1"/>
  <c r="R43" i="1"/>
  <c r="O43" i="1"/>
  <c r="N43" i="1"/>
  <c r="L43" i="1"/>
  <c r="H43" i="1"/>
  <c r="I43" i="1" s="1"/>
  <c r="F43" i="1"/>
  <c r="C43" i="1"/>
  <c r="AD42" i="1"/>
  <c r="AC42" i="1"/>
  <c r="AA42" i="1"/>
  <c r="X42" i="1"/>
  <c r="W42" i="1"/>
  <c r="U42" i="1"/>
  <c r="R42" i="1"/>
  <c r="O42" i="1"/>
  <c r="N42" i="1"/>
  <c r="L42" i="1"/>
  <c r="H42" i="1"/>
  <c r="I42" i="1" s="1"/>
  <c r="F42" i="1"/>
  <c r="C42" i="1"/>
  <c r="AC40" i="1"/>
  <c r="AD40" i="1" s="1"/>
  <c r="AA40" i="1"/>
  <c r="Z40" i="1"/>
  <c r="T40" i="1"/>
  <c r="U40" i="1" s="1"/>
  <c r="R40" i="1"/>
  <c r="Q40" i="1"/>
  <c r="W40" i="1" s="1"/>
  <c r="X40" i="1" s="1"/>
  <c r="K40" i="1"/>
  <c r="L40" i="1" s="1"/>
  <c r="H40" i="1"/>
  <c r="I40" i="1" s="1"/>
  <c r="F40" i="1"/>
  <c r="E40" i="1"/>
  <c r="C40" i="1"/>
  <c r="B40" i="1"/>
  <c r="N40" i="1" s="1"/>
  <c r="O40" i="1" s="1"/>
  <c r="AC39" i="1"/>
  <c r="AD39" i="1" s="1"/>
  <c r="AA39" i="1"/>
  <c r="W39" i="1"/>
  <c r="X39" i="1" s="1"/>
  <c r="U39" i="1"/>
  <c r="R39" i="1"/>
  <c r="O39" i="1"/>
  <c r="N39" i="1"/>
  <c r="L39" i="1"/>
  <c r="H39" i="1"/>
  <c r="I39" i="1" s="1"/>
  <c r="F39" i="1"/>
  <c r="C39" i="1"/>
  <c r="AD38" i="1"/>
  <c r="AC38" i="1"/>
  <c r="AA38" i="1"/>
  <c r="X38" i="1"/>
  <c r="W38" i="1"/>
  <c r="U38" i="1"/>
  <c r="R38" i="1"/>
  <c r="N38" i="1"/>
  <c r="O38" i="1" s="1"/>
  <c r="L38" i="1"/>
  <c r="I38" i="1"/>
  <c r="H38" i="1"/>
  <c r="F38" i="1"/>
  <c r="C38" i="1"/>
  <c r="AC37" i="1"/>
  <c r="AD37" i="1" s="1"/>
  <c r="AA37" i="1"/>
  <c r="X37" i="1"/>
  <c r="W37" i="1"/>
  <c r="U37" i="1"/>
  <c r="R37" i="1"/>
  <c r="N37" i="1"/>
  <c r="O37" i="1" s="1"/>
  <c r="L37" i="1"/>
  <c r="I37" i="1"/>
  <c r="H37" i="1"/>
  <c r="F37" i="1"/>
  <c r="C37" i="1"/>
  <c r="AC36" i="1"/>
  <c r="AD36" i="1" s="1"/>
  <c r="AA36" i="1"/>
  <c r="W36" i="1"/>
  <c r="X36" i="1" s="1"/>
  <c r="U36" i="1"/>
  <c r="R36" i="1"/>
  <c r="N36" i="1"/>
  <c r="L36" i="1"/>
  <c r="I36" i="1"/>
  <c r="H36" i="1"/>
  <c r="F36" i="1"/>
  <c r="C36" i="1"/>
  <c r="AD35" i="1"/>
  <c r="AC35" i="1"/>
  <c r="AA35" i="1"/>
  <c r="X35" i="1"/>
  <c r="W35" i="1"/>
  <c r="U35" i="1"/>
  <c r="R35" i="1"/>
  <c r="O35" i="1"/>
  <c r="N35" i="1"/>
  <c r="L35" i="1"/>
  <c r="H35" i="1"/>
  <c r="I35" i="1" s="1"/>
  <c r="F35" i="1"/>
  <c r="C35" i="1"/>
  <c r="AD34" i="1"/>
  <c r="AC34" i="1"/>
  <c r="AA34" i="1"/>
  <c r="X34" i="1"/>
  <c r="W34" i="1"/>
  <c r="U34" i="1"/>
  <c r="R34" i="1"/>
  <c r="O34" i="1"/>
  <c r="N34" i="1"/>
  <c r="L34" i="1"/>
  <c r="I34" i="1"/>
  <c r="H34" i="1"/>
  <c r="F34" i="1"/>
  <c r="C34" i="1"/>
  <c r="AD33" i="1"/>
  <c r="AC33" i="1"/>
  <c r="AA33" i="1"/>
  <c r="X33" i="1"/>
  <c r="W33" i="1"/>
  <c r="U33" i="1"/>
  <c r="R33" i="1"/>
  <c r="N33" i="1"/>
  <c r="O33" i="1" s="1"/>
  <c r="L33" i="1"/>
  <c r="I33" i="1"/>
  <c r="H33" i="1"/>
  <c r="F33" i="1"/>
  <c r="C33" i="1"/>
  <c r="AC32" i="1"/>
  <c r="AD32" i="1" s="1"/>
  <c r="AA32" i="1"/>
  <c r="X32" i="1"/>
  <c r="W32" i="1"/>
  <c r="U32" i="1"/>
  <c r="R32" i="1"/>
  <c r="N32" i="1"/>
  <c r="L32" i="1"/>
  <c r="I32" i="1"/>
  <c r="H32" i="1"/>
  <c r="F32" i="1"/>
  <c r="C32" i="1"/>
  <c r="AD31" i="1"/>
  <c r="AC31" i="1"/>
  <c r="AA31" i="1"/>
  <c r="X31" i="1"/>
  <c r="W31" i="1"/>
  <c r="U31" i="1"/>
  <c r="R31" i="1"/>
  <c r="O31" i="1"/>
  <c r="N31" i="1"/>
  <c r="L31" i="1"/>
  <c r="H31" i="1"/>
  <c r="I31" i="1" s="1"/>
  <c r="F31" i="1"/>
  <c r="C31" i="1"/>
  <c r="AA29" i="1"/>
  <c r="Z29" i="1"/>
  <c r="T29" i="1"/>
  <c r="W29" i="1" s="1"/>
  <c r="X29" i="1" s="1"/>
  <c r="R29" i="1"/>
  <c r="Q29" i="1"/>
  <c r="AC29" i="1" s="1"/>
  <c r="AD29" i="1" s="1"/>
  <c r="K29" i="1"/>
  <c r="L29" i="1" s="1"/>
  <c r="I29" i="1"/>
  <c r="H29" i="1"/>
  <c r="F29" i="1"/>
  <c r="E29" i="1"/>
  <c r="C29" i="1"/>
  <c r="B29" i="1"/>
  <c r="N29" i="1" s="1"/>
  <c r="O29" i="1" s="1"/>
  <c r="AC28" i="1"/>
  <c r="AD28" i="1" s="1"/>
  <c r="AA28" i="1"/>
  <c r="X28" i="1"/>
  <c r="W28" i="1"/>
  <c r="U28" i="1"/>
  <c r="R28" i="1"/>
  <c r="N28" i="1"/>
  <c r="L28" i="1"/>
  <c r="I28" i="1"/>
  <c r="H28" i="1"/>
  <c r="F28" i="1"/>
  <c r="C28" i="1"/>
  <c r="AD27" i="1"/>
  <c r="AC27" i="1"/>
  <c r="AA27" i="1"/>
  <c r="X27" i="1"/>
  <c r="W27" i="1"/>
  <c r="U27" i="1"/>
  <c r="R27" i="1"/>
  <c r="O27" i="1"/>
  <c r="N27" i="1"/>
  <c r="L27" i="1"/>
  <c r="H27" i="1"/>
  <c r="I27" i="1" s="1"/>
  <c r="F27" i="1"/>
  <c r="C27" i="1"/>
  <c r="AD26" i="1"/>
  <c r="AC26" i="1"/>
  <c r="AA26" i="1"/>
  <c r="X26" i="1"/>
  <c r="W26" i="1"/>
  <c r="U26" i="1"/>
  <c r="R26" i="1"/>
  <c r="O26" i="1"/>
  <c r="N26" i="1"/>
  <c r="L26" i="1"/>
  <c r="I26" i="1"/>
  <c r="H26" i="1"/>
  <c r="F26" i="1"/>
  <c r="C26" i="1"/>
  <c r="AD25" i="1"/>
  <c r="AC25" i="1"/>
  <c r="AA25" i="1"/>
  <c r="X25" i="1"/>
  <c r="W25" i="1"/>
  <c r="U25" i="1"/>
  <c r="R25" i="1"/>
  <c r="N25" i="1"/>
  <c r="O25" i="1" s="1"/>
  <c r="L25" i="1"/>
  <c r="I25" i="1"/>
  <c r="H25" i="1"/>
  <c r="F25" i="1"/>
  <c r="C25" i="1"/>
  <c r="AC24" i="1"/>
  <c r="AD24" i="1" s="1"/>
  <c r="AA24" i="1"/>
  <c r="X24" i="1"/>
  <c r="W24" i="1"/>
  <c r="U24" i="1"/>
  <c r="R24" i="1"/>
  <c r="N24" i="1"/>
  <c r="L24" i="1"/>
  <c r="H24" i="1"/>
  <c r="I24" i="1" s="1"/>
  <c r="F24" i="1"/>
  <c r="C24" i="1"/>
  <c r="AD23" i="1"/>
  <c r="AC23" i="1"/>
  <c r="AA23" i="1"/>
  <c r="W23" i="1"/>
  <c r="X23" i="1" s="1"/>
  <c r="U23" i="1"/>
  <c r="R23" i="1"/>
  <c r="O23" i="1"/>
  <c r="N23" i="1"/>
  <c r="L23" i="1"/>
  <c r="H23" i="1"/>
  <c r="I23" i="1" s="1"/>
  <c r="F23" i="1"/>
  <c r="C23" i="1"/>
  <c r="AD22" i="1"/>
  <c r="AC22" i="1"/>
  <c r="AA22" i="1"/>
  <c r="X22" i="1"/>
  <c r="W22" i="1"/>
  <c r="U22" i="1"/>
  <c r="R22" i="1"/>
  <c r="N22" i="1"/>
  <c r="O22" i="1" s="1"/>
  <c r="L22" i="1"/>
  <c r="I22" i="1"/>
  <c r="H22" i="1"/>
  <c r="F22" i="1"/>
  <c r="C22" i="1"/>
  <c r="AC21" i="1"/>
  <c r="AD21" i="1" s="1"/>
  <c r="AA21" i="1"/>
  <c r="X21" i="1"/>
  <c r="W21" i="1"/>
  <c r="U21" i="1"/>
  <c r="R21" i="1"/>
  <c r="O21" i="1"/>
  <c r="N21" i="1"/>
  <c r="L21" i="1"/>
  <c r="I21" i="1"/>
  <c r="H21" i="1"/>
  <c r="F21" i="1"/>
  <c r="C21" i="1"/>
  <c r="AC19" i="1"/>
  <c r="AD19" i="1" s="1"/>
  <c r="AA19" i="1"/>
  <c r="W19" i="1"/>
  <c r="X19" i="1" s="1"/>
  <c r="U19" i="1"/>
  <c r="R19" i="1"/>
  <c r="N19" i="1"/>
  <c r="L19" i="1"/>
  <c r="I19" i="1"/>
  <c r="H19" i="1"/>
  <c r="F19" i="1"/>
  <c r="C19" i="1"/>
  <c r="Z18" i="1"/>
  <c r="AA18" i="1" s="1"/>
  <c r="X18" i="1"/>
  <c r="W18" i="1"/>
  <c r="U18" i="1"/>
  <c r="T18" i="1"/>
  <c r="R18" i="1"/>
  <c r="Q18" i="1"/>
  <c r="K18" i="1"/>
  <c r="N18" i="1" s="1"/>
  <c r="O18" i="1" s="1"/>
  <c r="F18" i="1"/>
  <c r="E18" i="1"/>
  <c r="B18" i="1"/>
  <c r="AC17" i="1"/>
  <c r="AD17" i="1" s="1"/>
  <c r="AA17" i="1"/>
  <c r="X17" i="1"/>
  <c r="W17" i="1"/>
  <c r="U17" i="1"/>
  <c r="R17" i="1"/>
  <c r="O17" i="1"/>
  <c r="N17" i="1"/>
  <c r="L17" i="1"/>
  <c r="I17" i="1"/>
  <c r="H17" i="1"/>
  <c r="F17" i="1"/>
  <c r="C17" i="1"/>
  <c r="AC16" i="1"/>
  <c r="AD16" i="1" s="1"/>
  <c r="AA16" i="1"/>
  <c r="W16" i="1"/>
  <c r="X16" i="1" s="1"/>
  <c r="U16" i="1"/>
  <c r="R16" i="1"/>
  <c r="N16" i="1"/>
  <c r="L16" i="1"/>
  <c r="I16" i="1"/>
  <c r="H16" i="1"/>
  <c r="F16" i="1"/>
  <c r="C16" i="1"/>
  <c r="AD15" i="1"/>
  <c r="AC15" i="1"/>
  <c r="AA15" i="1"/>
  <c r="W15" i="1"/>
  <c r="X15" i="1" s="1"/>
  <c r="U15" i="1"/>
  <c r="R15" i="1"/>
  <c r="O15" i="1"/>
  <c r="N15" i="1"/>
  <c r="L15" i="1"/>
  <c r="H15" i="1"/>
  <c r="I15" i="1" s="1"/>
  <c r="F15" i="1"/>
  <c r="C15" i="1"/>
  <c r="AD14" i="1"/>
  <c r="AC14" i="1"/>
  <c r="AA14" i="1"/>
  <c r="X14" i="1"/>
  <c r="W14" i="1"/>
  <c r="U14" i="1"/>
  <c r="R14" i="1"/>
  <c r="O14" i="1"/>
  <c r="N14" i="1"/>
  <c r="L14" i="1"/>
  <c r="I14" i="1"/>
  <c r="H14" i="1"/>
  <c r="F14" i="1"/>
  <c r="C14" i="1"/>
  <c r="AC13" i="1"/>
  <c r="AD13" i="1" s="1"/>
  <c r="AA13" i="1"/>
  <c r="X13" i="1"/>
  <c r="W13" i="1"/>
  <c r="U13" i="1"/>
  <c r="R13" i="1"/>
  <c r="O13" i="1"/>
  <c r="N13" i="1"/>
  <c r="L13" i="1"/>
  <c r="I13" i="1"/>
  <c r="H13" i="1"/>
  <c r="F13" i="1"/>
  <c r="C13" i="1"/>
  <c r="AC12" i="1"/>
  <c r="AD12" i="1" s="1"/>
  <c r="AA12" i="1"/>
  <c r="W12" i="1"/>
  <c r="X12" i="1" s="1"/>
  <c r="U12" i="1"/>
  <c r="R12" i="1"/>
  <c r="N12" i="1"/>
  <c r="L12" i="1"/>
  <c r="I12" i="1"/>
  <c r="H12" i="1"/>
  <c r="F12" i="1"/>
  <c r="C12" i="1"/>
  <c r="AD11" i="1"/>
  <c r="AC11" i="1"/>
  <c r="AA11" i="1"/>
  <c r="W11" i="1"/>
  <c r="X11" i="1" s="1"/>
  <c r="U11" i="1"/>
  <c r="R11" i="1"/>
  <c r="O11" i="1"/>
  <c r="N11" i="1"/>
  <c r="L11" i="1"/>
  <c r="H11" i="1"/>
  <c r="I11" i="1" s="1"/>
  <c r="F11" i="1"/>
  <c r="C11" i="1"/>
  <c r="AD10" i="1"/>
  <c r="AC10" i="1"/>
  <c r="AA10" i="1"/>
  <c r="X10" i="1"/>
  <c r="W10" i="1"/>
  <c r="U10" i="1"/>
  <c r="R10" i="1"/>
  <c r="O10" i="1"/>
  <c r="N10" i="1"/>
  <c r="L10" i="1"/>
  <c r="I10" i="1"/>
  <c r="H10" i="1"/>
  <c r="F10" i="1"/>
  <c r="C10" i="1"/>
  <c r="AC8" i="1"/>
  <c r="AD8" i="1" s="1"/>
  <c r="AA8" i="1"/>
  <c r="X8" i="1"/>
  <c r="W8" i="1"/>
  <c r="U8" i="1"/>
  <c r="R8" i="1"/>
  <c r="N8" i="1"/>
  <c r="O8" i="1" s="1"/>
  <c r="L8" i="1"/>
  <c r="I8" i="1"/>
  <c r="H8" i="1"/>
  <c r="F8" i="1"/>
  <c r="C8" i="1"/>
  <c r="L18" i="1" l="1"/>
  <c r="C118" i="1"/>
  <c r="H118" i="1"/>
  <c r="I118" i="1" s="1"/>
  <c r="C158" i="1"/>
  <c r="H158" i="1"/>
  <c r="I158" i="1" s="1"/>
  <c r="AA170" i="1"/>
  <c r="L196" i="1"/>
  <c r="C236" i="1"/>
  <c r="AC88" i="1"/>
  <c r="AD88" i="1" s="1"/>
  <c r="C193" i="1"/>
  <c r="H193" i="1"/>
  <c r="I193" i="1" s="1"/>
  <c r="C227" i="1"/>
  <c r="H227" i="1"/>
  <c r="I227" i="1" s="1"/>
  <c r="N236" i="1"/>
  <c r="O236" i="1" s="1"/>
  <c r="N122" i="1"/>
  <c r="O122" i="1" s="1"/>
  <c r="K172" i="1"/>
  <c r="N141" i="1"/>
  <c r="O141" i="1" s="1"/>
  <c r="AC148" i="1"/>
  <c r="AD148" i="1" s="1"/>
  <c r="N158" i="1"/>
  <c r="O158" i="1" s="1"/>
  <c r="R182" i="1"/>
  <c r="W182" i="1"/>
  <c r="X182" i="1" s="1"/>
  <c r="AC197" i="1"/>
  <c r="AD197" i="1" s="1"/>
  <c r="AC262" i="1"/>
  <c r="AD262" i="1" s="1"/>
  <c r="C324" i="1"/>
  <c r="Q198" i="1"/>
  <c r="R172" i="1"/>
  <c r="W172" i="1"/>
  <c r="X172" i="1" s="1"/>
  <c r="W342" i="1"/>
  <c r="X342" i="1" s="1"/>
  <c r="R342" i="1"/>
  <c r="U172" i="2"/>
  <c r="T198" i="2"/>
  <c r="AA198" i="1"/>
  <c r="Z345" i="1"/>
  <c r="R122" i="1"/>
  <c r="W122" i="1"/>
  <c r="X122" i="1" s="1"/>
  <c r="U141" i="1"/>
  <c r="U29" i="1"/>
  <c r="H61" i="1"/>
  <c r="I61" i="1" s="1"/>
  <c r="R273" i="1"/>
  <c r="H344" i="1"/>
  <c r="I344" i="1" s="1"/>
  <c r="F344" i="1"/>
  <c r="AC18" i="1"/>
  <c r="AD18" i="1" s="1"/>
  <c r="C122" i="1"/>
  <c r="U172" i="1"/>
  <c r="T198" i="1"/>
  <c r="R148" i="1"/>
  <c r="N171" i="1"/>
  <c r="O171" i="1" s="1"/>
  <c r="C172" i="1"/>
  <c r="N193" i="1"/>
  <c r="O193" i="1" s="1"/>
  <c r="AC196" i="1"/>
  <c r="AD196" i="1" s="1"/>
  <c r="R197" i="1"/>
  <c r="N227" i="1"/>
  <c r="O227" i="1" s="1"/>
  <c r="R262" i="1"/>
  <c r="N324" i="1"/>
  <c r="O324" i="1" s="1"/>
  <c r="C166" i="1"/>
  <c r="H166" i="1"/>
  <c r="I166" i="1" s="1"/>
  <c r="C182" i="1"/>
  <c r="C198" i="1"/>
  <c r="B345" i="1"/>
  <c r="H198" i="1"/>
  <c r="I198" i="1" s="1"/>
  <c r="AC61" i="1"/>
  <c r="AD61" i="1" s="1"/>
  <c r="N170" i="1"/>
  <c r="O170" i="1" s="1"/>
  <c r="AA172" i="2"/>
  <c r="Z198" i="2"/>
  <c r="C18" i="1"/>
  <c r="H18" i="1"/>
  <c r="I18" i="1" s="1"/>
  <c r="C62" i="1"/>
  <c r="H62" i="1"/>
  <c r="I62" i="1" s="1"/>
  <c r="C124" i="1"/>
  <c r="H124" i="1"/>
  <c r="I124" i="1" s="1"/>
  <c r="R170" i="1"/>
  <c r="W170" i="1"/>
  <c r="X170" i="1" s="1"/>
  <c r="E198" i="1"/>
  <c r="F172" i="1"/>
  <c r="AC172" i="1"/>
  <c r="AD172" i="1" s="1"/>
  <c r="AC193" i="1"/>
  <c r="AD193" i="1" s="1"/>
  <c r="C196" i="1"/>
  <c r="H196" i="1"/>
  <c r="I196" i="1" s="1"/>
  <c r="AC227" i="1"/>
  <c r="AD227" i="1" s="1"/>
  <c r="C284" i="1"/>
  <c r="H342" i="1"/>
  <c r="I342" i="1" s="1"/>
  <c r="F342" i="1"/>
  <c r="AC342" i="1"/>
  <c r="AD342" i="1" s="1"/>
  <c r="E198" i="2"/>
  <c r="F172" i="2"/>
  <c r="R88" i="1"/>
  <c r="C149" i="1"/>
  <c r="H149" i="1"/>
  <c r="I149" i="1" s="1"/>
  <c r="N182" i="1"/>
  <c r="O182" i="1" s="1"/>
  <c r="R61" i="1"/>
  <c r="N118" i="1"/>
  <c r="O118" i="1" s="1"/>
  <c r="AC122" i="1"/>
  <c r="AD122" i="1" s="1"/>
  <c r="C170" i="1"/>
  <c r="N172" i="1"/>
  <c r="O172" i="1" s="1"/>
  <c r="F262" i="1"/>
  <c r="N267" i="1"/>
  <c r="O267" i="1" s="1"/>
  <c r="AC273" i="1"/>
  <c r="AD273" i="1" s="1"/>
  <c r="W344" i="1"/>
  <c r="X344" i="1" s="1"/>
  <c r="R344" i="1"/>
  <c r="L198" i="2"/>
  <c r="K345" i="2"/>
  <c r="O56" i="1"/>
  <c r="O60" i="1"/>
  <c r="O67" i="1"/>
  <c r="O71" i="1"/>
  <c r="O75" i="1"/>
  <c r="O79" i="1"/>
  <c r="O83" i="1"/>
  <c r="O87" i="1"/>
  <c r="O90" i="1"/>
  <c r="O95" i="1"/>
  <c r="O99" i="1"/>
  <c r="X101" i="1"/>
  <c r="O103" i="1"/>
  <c r="X105" i="1"/>
  <c r="O107" i="1"/>
  <c r="X109" i="1"/>
  <c r="O111" i="1"/>
  <c r="X113" i="1"/>
  <c r="O115" i="1"/>
  <c r="X117" i="1"/>
  <c r="X120" i="1"/>
  <c r="X123" i="1"/>
  <c r="X129" i="1"/>
  <c r="O131" i="1"/>
  <c r="X133" i="1"/>
  <c r="O135" i="1"/>
  <c r="X137" i="1"/>
  <c r="O139" i="1"/>
  <c r="O143" i="1"/>
  <c r="X145" i="1"/>
  <c r="O147" i="1"/>
  <c r="X153" i="1"/>
  <c r="O155" i="1"/>
  <c r="X157" i="1"/>
  <c r="X161" i="1"/>
  <c r="O163" i="1"/>
  <c r="X165" i="1"/>
  <c r="X168" i="1"/>
  <c r="X175" i="1"/>
  <c r="O178" i="1"/>
  <c r="X180" i="1"/>
  <c r="X183" i="1"/>
  <c r="O186" i="1"/>
  <c r="X188" i="1"/>
  <c r="O190" i="1"/>
  <c r="X192" i="1"/>
  <c r="X195" i="1"/>
  <c r="X202" i="1"/>
  <c r="O204" i="1"/>
  <c r="X206" i="1"/>
  <c r="O208" i="1"/>
  <c r="O213" i="1"/>
  <c r="X215" i="1"/>
  <c r="O217" i="1"/>
  <c r="O220" i="1"/>
  <c r="X222" i="1"/>
  <c r="O224" i="1"/>
  <c r="X226" i="1"/>
  <c r="X230" i="1"/>
  <c r="O232" i="1"/>
  <c r="X234" i="1"/>
  <c r="W236" i="1"/>
  <c r="X236" i="1" s="1"/>
  <c r="X238" i="1"/>
  <c r="O241" i="1"/>
  <c r="X243" i="1"/>
  <c r="O245" i="1"/>
  <c r="X247" i="1"/>
  <c r="O249" i="1"/>
  <c r="X251" i="1"/>
  <c r="O253" i="1"/>
  <c r="X255" i="1"/>
  <c r="O257" i="1"/>
  <c r="X259" i="1"/>
  <c r="O261" i="1"/>
  <c r="H263" i="1"/>
  <c r="I263" i="1" s="1"/>
  <c r="X266" i="1"/>
  <c r="H267" i="1"/>
  <c r="I267" i="1" s="1"/>
  <c r="X270" i="1"/>
  <c r="O272" i="1"/>
  <c r="O276" i="1"/>
  <c r="X278" i="1"/>
  <c r="O280" i="1"/>
  <c r="X282" i="1"/>
  <c r="W284" i="1"/>
  <c r="X284" i="1" s="1"/>
  <c r="X286" i="1"/>
  <c r="O288" i="1"/>
  <c r="X290" i="1"/>
  <c r="O292" i="1"/>
  <c r="X294" i="1"/>
  <c r="H295" i="1"/>
  <c r="I295" i="1" s="1"/>
  <c r="X298" i="1"/>
  <c r="O300" i="1"/>
  <c r="X302" i="1"/>
  <c r="O304" i="1"/>
  <c r="X306" i="1"/>
  <c r="O308" i="1"/>
  <c r="X310" i="1"/>
  <c r="O312" i="1"/>
  <c r="X314" i="1"/>
  <c r="O316" i="1"/>
  <c r="X318" i="1"/>
  <c r="O320" i="1"/>
  <c r="X322" i="1"/>
  <c r="W324" i="1"/>
  <c r="X324" i="1" s="1"/>
  <c r="O328" i="1"/>
  <c r="X330" i="1"/>
  <c r="O332" i="1"/>
  <c r="X334" i="1"/>
  <c r="O337" i="1"/>
  <c r="X339" i="1"/>
  <c r="O341" i="1"/>
  <c r="H343" i="1"/>
  <c r="I343" i="1" s="1"/>
  <c r="X349" i="1"/>
  <c r="O351" i="1"/>
  <c r="X353" i="1"/>
  <c r="O355" i="1"/>
  <c r="X357" i="1"/>
  <c r="H358" i="1"/>
  <c r="I358" i="1" s="1"/>
  <c r="X385" i="1"/>
  <c r="O388" i="1"/>
  <c r="X390" i="1"/>
  <c r="O392" i="1"/>
  <c r="O395" i="1"/>
  <c r="O398" i="1"/>
  <c r="X400" i="1"/>
  <c r="O402" i="1"/>
  <c r="X408" i="1"/>
  <c r="W429" i="1"/>
  <c r="X429" i="1" s="1"/>
  <c r="H441" i="1"/>
  <c r="I441" i="1" s="1"/>
  <c r="W18" i="2"/>
  <c r="X18" i="2" s="1"/>
  <c r="H29" i="2"/>
  <c r="I29" i="2" s="1"/>
  <c r="W62" i="2"/>
  <c r="X62" i="2" s="1"/>
  <c r="H73" i="2"/>
  <c r="I73" i="2" s="1"/>
  <c r="W118" i="2"/>
  <c r="X118" i="2" s="1"/>
  <c r="W124" i="2"/>
  <c r="X124" i="2" s="1"/>
  <c r="H141" i="2"/>
  <c r="I141" i="2" s="1"/>
  <c r="C149" i="2"/>
  <c r="W171" i="2"/>
  <c r="X171" i="2" s="1"/>
  <c r="N182" i="2"/>
  <c r="O182" i="2" s="1"/>
  <c r="C196" i="2"/>
  <c r="H218" i="2"/>
  <c r="I218" i="2" s="1"/>
  <c r="W236" i="2"/>
  <c r="X236" i="2" s="1"/>
  <c r="N324" i="2"/>
  <c r="O324" i="2" s="1"/>
  <c r="H441" i="2"/>
  <c r="I441" i="2" s="1"/>
  <c r="C441" i="2"/>
  <c r="AC209" i="2"/>
  <c r="AD209" i="2" s="1"/>
  <c r="W442" i="2"/>
  <c r="X442" i="2" s="1"/>
  <c r="AC442" i="2"/>
  <c r="AD442" i="2" s="1"/>
  <c r="AC368" i="1"/>
  <c r="AD368" i="1" s="1"/>
  <c r="AC393" i="1"/>
  <c r="AD393" i="1" s="1"/>
  <c r="AC396" i="1"/>
  <c r="AD396" i="1" s="1"/>
  <c r="AC403" i="1"/>
  <c r="AD403" i="1" s="1"/>
  <c r="N429" i="1"/>
  <c r="O429" i="1" s="1"/>
  <c r="AC442" i="1"/>
  <c r="AD442" i="1" s="1"/>
  <c r="N18" i="2"/>
  <c r="O18" i="2" s="1"/>
  <c r="N62" i="2"/>
  <c r="O62" i="2" s="1"/>
  <c r="N118" i="2"/>
  <c r="O118" i="2" s="1"/>
  <c r="AC122" i="2"/>
  <c r="AD122" i="2" s="1"/>
  <c r="N124" i="2"/>
  <c r="O124" i="2" s="1"/>
  <c r="H149" i="2"/>
  <c r="I149" i="2" s="1"/>
  <c r="N158" i="2"/>
  <c r="O158" i="2" s="1"/>
  <c r="C166" i="2"/>
  <c r="L172" i="2"/>
  <c r="R182" i="2"/>
  <c r="H196" i="2"/>
  <c r="I196" i="2" s="1"/>
  <c r="AC227" i="2"/>
  <c r="AD227" i="2" s="1"/>
  <c r="N262" i="2"/>
  <c r="O262" i="2" s="1"/>
  <c r="AC262" i="2"/>
  <c r="AD262" i="2" s="1"/>
  <c r="H295" i="2"/>
  <c r="I295" i="2" s="1"/>
  <c r="L358" i="1"/>
  <c r="F368" i="1"/>
  <c r="R368" i="1"/>
  <c r="F393" i="1"/>
  <c r="R393" i="1"/>
  <c r="F396" i="1"/>
  <c r="R396" i="1"/>
  <c r="F403" i="1"/>
  <c r="R403" i="1"/>
  <c r="U428" i="1"/>
  <c r="C429" i="1"/>
  <c r="R442" i="1"/>
  <c r="C18" i="2"/>
  <c r="C62" i="2"/>
  <c r="C118" i="2"/>
  <c r="R122" i="2"/>
  <c r="C124" i="2"/>
  <c r="F325" i="2"/>
  <c r="H325" i="2"/>
  <c r="I325" i="2" s="1"/>
  <c r="H368" i="2"/>
  <c r="I368" i="2" s="1"/>
  <c r="F368" i="2"/>
  <c r="O440" i="1"/>
  <c r="N441" i="1"/>
  <c r="O441" i="1" s="1"/>
  <c r="AC18" i="2"/>
  <c r="AD18" i="2" s="1"/>
  <c r="N29" i="2"/>
  <c r="O29" i="2" s="1"/>
  <c r="AC62" i="2"/>
  <c r="AD62" i="2" s="1"/>
  <c r="N73" i="2"/>
  <c r="O73" i="2" s="1"/>
  <c r="AC118" i="2"/>
  <c r="AD118" i="2" s="1"/>
  <c r="AC124" i="2"/>
  <c r="AD124" i="2" s="1"/>
  <c r="N141" i="2"/>
  <c r="O141" i="2" s="1"/>
  <c r="H166" i="2"/>
  <c r="I166" i="2" s="1"/>
  <c r="W166" i="2"/>
  <c r="X166" i="2" s="1"/>
  <c r="AC170" i="2"/>
  <c r="AD170" i="2" s="1"/>
  <c r="Q172" i="2"/>
  <c r="W182" i="2"/>
  <c r="X182" i="2" s="1"/>
  <c r="N193" i="2"/>
  <c r="O193" i="2" s="1"/>
  <c r="N197" i="2"/>
  <c r="O197" i="2" s="1"/>
  <c r="W263" i="2"/>
  <c r="X263" i="2" s="1"/>
  <c r="C273" i="2"/>
  <c r="W273" i="2"/>
  <c r="X273" i="2" s="1"/>
  <c r="AC284" i="2"/>
  <c r="AD284" i="2" s="1"/>
  <c r="H396" i="2"/>
  <c r="I396" i="2" s="1"/>
  <c r="F396" i="2"/>
  <c r="F403" i="2"/>
  <c r="N441" i="2"/>
  <c r="O441" i="2" s="1"/>
  <c r="AC324" i="1"/>
  <c r="AD324" i="1" s="1"/>
  <c r="N343" i="1"/>
  <c r="O343" i="1" s="1"/>
  <c r="AC429" i="1"/>
  <c r="AD429" i="1" s="1"/>
  <c r="O432" i="1"/>
  <c r="O436" i="1"/>
  <c r="R236" i="1"/>
  <c r="C263" i="1"/>
  <c r="C267" i="1"/>
  <c r="R284" i="1"/>
  <c r="F124" i="2"/>
  <c r="AC149" i="2"/>
  <c r="AD149" i="2" s="1"/>
  <c r="C158" i="2"/>
  <c r="N170" i="2"/>
  <c r="O170" i="2" s="1"/>
  <c r="B172" i="2"/>
  <c r="H182" i="2"/>
  <c r="I182" i="2" s="1"/>
  <c r="AC196" i="2"/>
  <c r="AD196" i="2" s="1"/>
  <c r="C209" i="2"/>
  <c r="N218" i="2"/>
  <c r="O218" i="2" s="1"/>
  <c r="AC218" i="2"/>
  <c r="AD218" i="2" s="1"/>
  <c r="AC236" i="2"/>
  <c r="AD236" i="2" s="1"/>
  <c r="H267" i="2"/>
  <c r="I267" i="2" s="1"/>
  <c r="H358" i="2"/>
  <c r="I358" i="2" s="1"/>
  <c r="N358" i="2"/>
  <c r="O358" i="2" s="1"/>
  <c r="N40" i="3"/>
  <c r="O40" i="3" s="1"/>
  <c r="U40" i="3"/>
  <c r="O12" i="1"/>
  <c r="O16" i="1"/>
  <c r="O19" i="1"/>
  <c r="O24" i="1"/>
  <c r="O28" i="1"/>
  <c r="O32" i="1"/>
  <c r="O36" i="1"/>
  <c r="O44" i="1"/>
  <c r="O49" i="1"/>
  <c r="O53" i="1"/>
  <c r="O57" i="1"/>
  <c r="AC62" i="1"/>
  <c r="AD62" i="1" s="1"/>
  <c r="O64" i="1"/>
  <c r="X66" i="1"/>
  <c r="O68" i="1"/>
  <c r="X70" i="1"/>
  <c r="O72" i="1"/>
  <c r="N73" i="1"/>
  <c r="O73" i="1" s="1"/>
  <c r="O76" i="1"/>
  <c r="X78" i="1"/>
  <c r="O80" i="1"/>
  <c r="X82" i="1"/>
  <c r="O84" i="1"/>
  <c r="X86" i="1"/>
  <c r="X89" i="1"/>
  <c r="O91" i="1"/>
  <c r="X94" i="1"/>
  <c r="O96" i="1"/>
  <c r="X98" i="1"/>
  <c r="O100" i="1"/>
  <c r="X102" i="1"/>
  <c r="O104" i="1"/>
  <c r="X106" i="1"/>
  <c r="O108" i="1"/>
  <c r="X110" i="1"/>
  <c r="O112" i="1"/>
  <c r="X114" i="1"/>
  <c r="O116" i="1"/>
  <c r="AC118" i="1"/>
  <c r="AD118" i="1" s="1"/>
  <c r="O119" i="1"/>
  <c r="X121" i="1"/>
  <c r="AC124" i="1"/>
  <c r="AD124" i="1" s="1"/>
  <c r="O127" i="1"/>
  <c r="X130" i="1"/>
  <c r="O132" i="1"/>
  <c r="X134" i="1"/>
  <c r="O136" i="1"/>
  <c r="X138" i="1"/>
  <c r="O140" i="1"/>
  <c r="O144" i="1"/>
  <c r="X146" i="1"/>
  <c r="O151" i="1"/>
  <c r="X154" i="1"/>
  <c r="O156" i="1"/>
  <c r="O160" i="1"/>
  <c r="X162" i="1"/>
  <c r="O164" i="1"/>
  <c r="O167" i="1"/>
  <c r="X169" i="1"/>
  <c r="X177" i="1"/>
  <c r="O179" i="1"/>
  <c r="X181" i="1"/>
  <c r="X184" i="1"/>
  <c r="O187" i="1"/>
  <c r="X189" i="1"/>
  <c r="O191" i="1"/>
  <c r="O194" i="1"/>
  <c r="O201" i="1"/>
  <c r="X203" i="1"/>
  <c r="O205" i="1"/>
  <c r="X207" i="1"/>
  <c r="X211" i="1"/>
  <c r="O214" i="1"/>
  <c r="X216" i="1"/>
  <c r="X219" i="1"/>
  <c r="O221" i="1"/>
  <c r="X223" i="1"/>
  <c r="O225" i="1"/>
  <c r="O229" i="1"/>
  <c r="X231" i="1"/>
  <c r="O233" i="1"/>
  <c r="X235" i="1"/>
  <c r="X240" i="1"/>
  <c r="O242" i="1"/>
  <c r="X244" i="1"/>
  <c r="O246" i="1"/>
  <c r="X248" i="1"/>
  <c r="O250" i="1"/>
  <c r="X252" i="1"/>
  <c r="O254" i="1"/>
  <c r="X256" i="1"/>
  <c r="O258" i="1"/>
  <c r="X260" i="1"/>
  <c r="O265" i="1"/>
  <c r="O269" i="1"/>
  <c r="X271" i="1"/>
  <c r="X275" i="1"/>
  <c r="O277" i="1"/>
  <c r="X279" i="1"/>
  <c r="O281" i="1"/>
  <c r="X283" i="1"/>
  <c r="X287" i="1"/>
  <c r="O289" i="1"/>
  <c r="X291" i="1"/>
  <c r="O293" i="1"/>
  <c r="O297" i="1"/>
  <c r="X299" i="1"/>
  <c r="O301" i="1"/>
  <c r="X303" i="1"/>
  <c r="O305" i="1"/>
  <c r="X307" i="1"/>
  <c r="O309" i="1"/>
  <c r="X311" i="1"/>
  <c r="O313" i="1"/>
  <c r="X315" i="1"/>
  <c r="O317" i="1"/>
  <c r="X319" i="1"/>
  <c r="O321" i="1"/>
  <c r="X323" i="1"/>
  <c r="O329" i="1"/>
  <c r="X331" i="1"/>
  <c r="O333" i="1"/>
  <c r="X335" i="1"/>
  <c r="O338" i="1"/>
  <c r="X340" i="1"/>
  <c r="O347" i="1"/>
  <c r="X350" i="1"/>
  <c r="O352" i="1"/>
  <c r="X354" i="1"/>
  <c r="O356" i="1"/>
  <c r="O360" i="1"/>
  <c r="X362" i="1"/>
  <c r="O364" i="1"/>
  <c r="X366" i="1"/>
  <c r="X369" i="1"/>
  <c r="O371" i="1"/>
  <c r="X373" i="1"/>
  <c r="O375" i="1"/>
  <c r="X377" i="1"/>
  <c r="O379" i="1"/>
  <c r="X381" i="1"/>
  <c r="O383" i="1"/>
  <c r="X386" i="1"/>
  <c r="O389" i="1"/>
  <c r="X391" i="1"/>
  <c r="X394" i="1"/>
  <c r="X397" i="1"/>
  <c r="O399" i="1"/>
  <c r="X401" i="1"/>
  <c r="O407" i="1"/>
  <c r="X409" i="1"/>
  <c r="O411" i="1"/>
  <c r="X413" i="1"/>
  <c r="O415" i="1"/>
  <c r="X417" i="1"/>
  <c r="O419" i="1"/>
  <c r="X421" i="1"/>
  <c r="O423" i="1"/>
  <c r="X425" i="1"/>
  <c r="O427" i="1"/>
  <c r="X433" i="1"/>
  <c r="O435" i="1"/>
  <c r="AC148" i="2"/>
  <c r="AD148" i="2" s="1"/>
  <c r="W209" i="2"/>
  <c r="X209" i="2" s="1"/>
  <c r="N227" i="2"/>
  <c r="O227" i="2" s="1"/>
  <c r="H262" i="2"/>
  <c r="I262" i="2" s="1"/>
  <c r="AC267" i="2"/>
  <c r="AD267" i="2" s="1"/>
  <c r="H324" i="2"/>
  <c r="I324" i="2" s="1"/>
  <c r="W368" i="2"/>
  <c r="X368" i="2" s="1"/>
  <c r="AC368" i="2"/>
  <c r="AD368" i="2" s="1"/>
  <c r="W393" i="2"/>
  <c r="X393" i="2" s="1"/>
  <c r="R393" i="2"/>
  <c r="AC393" i="2"/>
  <c r="AD393" i="2" s="1"/>
  <c r="H442" i="2"/>
  <c r="I442" i="2" s="1"/>
  <c r="F442" i="2"/>
  <c r="AD131" i="1"/>
  <c r="AD135" i="1"/>
  <c r="AD139" i="1"/>
  <c r="AD143" i="1"/>
  <c r="AD147" i="1"/>
  <c r="AD155" i="1"/>
  <c r="AD163" i="1"/>
  <c r="AD178" i="1"/>
  <c r="AD186" i="1"/>
  <c r="AD190" i="1"/>
  <c r="AD204" i="1"/>
  <c r="AD208" i="1"/>
  <c r="AD213" i="1"/>
  <c r="AD217" i="1"/>
  <c r="AD220" i="1"/>
  <c r="AD224" i="1"/>
  <c r="AD232" i="1"/>
  <c r="AD241" i="1"/>
  <c r="AD245" i="1"/>
  <c r="AD249" i="1"/>
  <c r="AD253" i="1"/>
  <c r="AD257" i="1"/>
  <c r="AD261" i="1"/>
  <c r="AD272" i="1"/>
  <c r="AD276" i="1"/>
  <c r="AD280" i="1"/>
  <c r="AD288" i="1"/>
  <c r="AD292" i="1"/>
  <c r="AD300" i="1"/>
  <c r="AD304" i="1"/>
  <c r="AD308" i="1"/>
  <c r="AD312" i="1"/>
  <c r="AD316" i="1"/>
  <c r="AD320" i="1"/>
  <c r="AD328" i="1"/>
  <c r="AD332" i="1"/>
  <c r="AD337" i="1"/>
  <c r="AD341" i="1"/>
  <c r="AD351" i="1"/>
  <c r="AD355" i="1"/>
  <c r="AD363" i="1"/>
  <c r="AD367" i="1"/>
  <c r="AD370" i="1"/>
  <c r="AD374" i="1"/>
  <c r="AD378" i="1"/>
  <c r="AD382" i="1"/>
  <c r="AD388" i="1"/>
  <c r="AD392" i="1"/>
  <c r="AD395" i="1"/>
  <c r="AD398" i="1"/>
  <c r="AD402" i="1"/>
  <c r="AD410" i="1"/>
  <c r="AD414" i="1"/>
  <c r="AD418" i="1"/>
  <c r="AD422" i="1"/>
  <c r="AD426" i="1"/>
  <c r="AD434" i="1"/>
  <c r="W158" i="2"/>
  <c r="X158" i="2" s="1"/>
  <c r="AC166" i="2"/>
  <c r="AD166" i="2" s="1"/>
  <c r="W227" i="2"/>
  <c r="X227" i="2" s="1"/>
  <c r="W262" i="2"/>
  <c r="X262" i="2" s="1"/>
  <c r="AC263" i="2"/>
  <c r="AD263" i="2" s="1"/>
  <c r="N273" i="2"/>
  <c r="O273" i="2" s="1"/>
  <c r="AC273" i="2"/>
  <c r="AD273" i="2" s="1"/>
  <c r="N295" i="2"/>
  <c r="O295" i="2" s="1"/>
  <c r="W396" i="2"/>
  <c r="X396" i="2" s="1"/>
  <c r="AC396" i="2"/>
  <c r="AD396" i="2" s="1"/>
  <c r="W429" i="2"/>
  <c r="X429" i="2" s="1"/>
  <c r="R429" i="2"/>
  <c r="N88" i="3"/>
  <c r="O88" i="3" s="1"/>
  <c r="W403" i="2"/>
  <c r="X403" i="2" s="1"/>
  <c r="W73" i="3"/>
  <c r="X73" i="3" s="1"/>
  <c r="AC73" i="3"/>
  <c r="AD73" i="3" s="1"/>
  <c r="R88" i="3"/>
  <c r="W88" i="3"/>
  <c r="X88" i="3" s="1"/>
  <c r="U61" i="3"/>
  <c r="F62" i="3"/>
  <c r="N61" i="3"/>
  <c r="O61" i="3" s="1"/>
  <c r="H73" i="3"/>
  <c r="I73" i="3" s="1"/>
  <c r="N73" i="3"/>
  <c r="O73" i="3" s="1"/>
  <c r="AC342" i="2"/>
  <c r="AD342" i="2" s="1"/>
  <c r="N343" i="2"/>
  <c r="O343" i="2" s="1"/>
  <c r="AD425" i="2"/>
  <c r="H429" i="2"/>
  <c r="I429" i="2" s="1"/>
  <c r="AD437" i="2"/>
  <c r="N29" i="3"/>
  <c r="O29" i="3" s="1"/>
  <c r="C73" i="3"/>
  <c r="C88" i="3"/>
  <c r="AC88" i="3"/>
  <c r="AD88" i="3" s="1"/>
  <c r="N325" i="2"/>
  <c r="O325" i="2" s="1"/>
  <c r="W344" i="2"/>
  <c r="X344" i="2" s="1"/>
  <c r="AD438" i="2"/>
  <c r="AD434" i="2"/>
  <c r="AD426" i="2"/>
  <c r="AD422" i="2"/>
  <c r="AD418" i="2"/>
  <c r="AD414" i="2"/>
  <c r="AD410" i="2"/>
  <c r="AD402" i="2"/>
  <c r="AD398" i="2"/>
  <c r="AD395" i="2"/>
  <c r="AD392" i="2"/>
  <c r="AD388" i="2"/>
  <c r="AD382" i="2"/>
  <c r="AD378" i="2"/>
  <c r="AD374" i="2"/>
  <c r="AD433" i="2"/>
  <c r="AD413" i="2"/>
  <c r="AD409" i="2"/>
  <c r="AD386" i="2"/>
  <c r="AD373" i="2"/>
  <c r="AD369" i="2"/>
  <c r="AD366" i="2"/>
  <c r="AD362" i="2"/>
  <c r="AD354" i="2"/>
  <c r="AD350" i="2"/>
  <c r="AD335" i="2"/>
  <c r="AC343" i="2"/>
  <c r="AD343" i="2" s="1"/>
  <c r="N428" i="2"/>
  <c r="O428" i="2" s="1"/>
  <c r="AC29" i="3"/>
  <c r="AD29" i="3" s="1"/>
  <c r="W62" i="3"/>
  <c r="X62" i="3" s="1"/>
  <c r="AC62" i="3"/>
  <c r="AD62" i="3" s="1"/>
  <c r="R325" i="2"/>
  <c r="C342" i="2"/>
  <c r="C344" i="2"/>
  <c r="C393" i="2"/>
  <c r="C396" i="2"/>
  <c r="C403" i="2"/>
  <c r="R428" i="2"/>
  <c r="C442" i="2"/>
  <c r="R40" i="3"/>
  <c r="C61" i="3"/>
  <c r="F172" i="3"/>
  <c r="E198" i="3"/>
  <c r="C148" i="3"/>
  <c r="C170" i="3"/>
  <c r="H170" i="3"/>
  <c r="I170" i="3" s="1"/>
  <c r="AC171" i="3"/>
  <c r="AD171" i="3" s="1"/>
  <c r="T198" i="3"/>
  <c r="H218" i="3"/>
  <c r="I218" i="3" s="1"/>
  <c r="R273" i="3"/>
  <c r="W273" i="3"/>
  <c r="X273" i="3" s="1"/>
  <c r="AC122" i="3"/>
  <c r="AD122" i="3" s="1"/>
  <c r="N209" i="3"/>
  <c r="O209" i="3" s="1"/>
  <c r="H273" i="3"/>
  <c r="I273" i="3" s="1"/>
  <c r="C324" i="3"/>
  <c r="H324" i="3"/>
  <c r="I324" i="3" s="1"/>
  <c r="N122" i="3"/>
  <c r="O122" i="3" s="1"/>
  <c r="B198" i="3"/>
  <c r="C172" i="3"/>
  <c r="H172" i="3"/>
  <c r="I172" i="3" s="1"/>
  <c r="Z172" i="3"/>
  <c r="C182" i="3"/>
  <c r="H182" i="3"/>
  <c r="I182" i="3" s="1"/>
  <c r="C273" i="3"/>
  <c r="AA141" i="3"/>
  <c r="AC149" i="3"/>
  <c r="AD149" i="3" s="1"/>
  <c r="R209" i="3"/>
  <c r="W209" i="3"/>
  <c r="X209" i="3" s="1"/>
  <c r="AA218" i="3"/>
  <c r="U263" i="3"/>
  <c r="W325" i="3"/>
  <c r="X325" i="3" s="1"/>
  <c r="R325" i="3"/>
  <c r="Z345" i="4"/>
  <c r="AA198" i="4"/>
  <c r="N118" i="3"/>
  <c r="O118" i="3" s="1"/>
  <c r="AC124" i="3"/>
  <c r="AD124" i="3" s="1"/>
  <c r="N141" i="3"/>
  <c r="O141" i="3" s="1"/>
  <c r="N149" i="3"/>
  <c r="O149" i="3" s="1"/>
  <c r="L170" i="3"/>
  <c r="R171" i="3"/>
  <c r="K172" i="3"/>
  <c r="U193" i="3"/>
  <c r="R262" i="3"/>
  <c r="W262" i="3"/>
  <c r="X262" i="3" s="1"/>
  <c r="AA273" i="3"/>
  <c r="C284" i="3"/>
  <c r="H284" i="3"/>
  <c r="I284" i="3" s="1"/>
  <c r="W343" i="3"/>
  <c r="X343" i="3" s="1"/>
  <c r="U343" i="3"/>
  <c r="N124" i="3"/>
  <c r="O124" i="3" s="1"/>
  <c r="AC148" i="3"/>
  <c r="AD148" i="3" s="1"/>
  <c r="U166" i="3"/>
  <c r="R197" i="3"/>
  <c r="W197" i="3"/>
  <c r="X197" i="3" s="1"/>
  <c r="C209" i="3"/>
  <c r="C236" i="3"/>
  <c r="H236" i="3"/>
  <c r="I236" i="3" s="1"/>
  <c r="H262" i="3"/>
  <c r="I262" i="3" s="1"/>
  <c r="H342" i="3"/>
  <c r="I342" i="3" s="1"/>
  <c r="C342" i="3"/>
  <c r="H122" i="3"/>
  <c r="I122" i="3" s="1"/>
  <c r="W122" i="3"/>
  <c r="X122" i="3" s="1"/>
  <c r="Q172" i="3"/>
  <c r="N172" i="3"/>
  <c r="O172" i="3" s="1"/>
  <c r="H197" i="3"/>
  <c r="I197" i="3" s="1"/>
  <c r="C262" i="3"/>
  <c r="N273" i="3"/>
  <c r="O273" i="3" s="1"/>
  <c r="N324" i="3"/>
  <c r="O324" i="3" s="1"/>
  <c r="H344" i="3"/>
  <c r="I344" i="3" s="1"/>
  <c r="C344" i="3"/>
  <c r="N182" i="3"/>
  <c r="O182" i="3" s="1"/>
  <c r="R218" i="3"/>
  <c r="W218" i="3"/>
  <c r="X218" i="3" s="1"/>
  <c r="AC325" i="3"/>
  <c r="AD325" i="3" s="1"/>
  <c r="W342" i="3"/>
  <c r="X342" i="3" s="1"/>
  <c r="W344" i="3"/>
  <c r="X344" i="3" s="1"/>
  <c r="W368" i="3"/>
  <c r="X368" i="3" s="1"/>
  <c r="W393" i="3"/>
  <c r="X393" i="3" s="1"/>
  <c r="W396" i="3"/>
  <c r="X396" i="3" s="1"/>
  <c r="W403" i="3"/>
  <c r="X403" i="3" s="1"/>
  <c r="H429" i="3"/>
  <c r="I429" i="3" s="1"/>
  <c r="AD434" i="3"/>
  <c r="X436" i="3"/>
  <c r="H18" i="4"/>
  <c r="I18" i="4" s="1"/>
  <c r="N29" i="4"/>
  <c r="O29" i="4" s="1"/>
  <c r="H40" i="4"/>
  <c r="I40" i="4" s="1"/>
  <c r="W40" i="4"/>
  <c r="X40" i="4" s="1"/>
  <c r="W61" i="4"/>
  <c r="X61" i="4" s="1"/>
  <c r="W88" i="4"/>
  <c r="X88" i="4" s="1"/>
  <c r="C118" i="4"/>
  <c r="H122" i="4"/>
  <c r="I122" i="4" s="1"/>
  <c r="B172" i="4"/>
  <c r="R124" i="4"/>
  <c r="W124" i="4"/>
  <c r="X124" i="4" s="1"/>
  <c r="C141" i="4"/>
  <c r="H141" i="4"/>
  <c r="I141" i="4" s="1"/>
  <c r="L171" i="4"/>
  <c r="AA172" i="4"/>
  <c r="N193" i="4"/>
  <c r="O193" i="4" s="1"/>
  <c r="N196" i="4"/>
  <c r="O196" i="4" s="1"/>
  <c r="R295" i="4"/>
  <c r="W295" i="4"/>
  <c r="X295" i="4" s="1"/>
  <c r="C325" i="4"/>
  <c r="H325" i="4"/>
  <c r="I325" i="4" s="1"/>
  <c r="N62" i="4"/>
  <c r="O62" i="4" s="1"/>
  <c r="AC122" i="4"/>
  <c r="AD122" i="4" s="1"/>
  <c r="R149" i="4"/>
  <c r="W149" i="4"/>
  <c r="X149" i="4" s="1"/>
  <c r="R166" i="4"/>
  <c r="W166" i="4"/>
  <c r="X166" i="4" s="1"/>
  <c r="E172" i="4"/>
  <c r="N263" i="4"/>
  <c r="O263" i="4" s="1"/>
  <c r="N267" i="4"/>
  <c r="O267" i="4" s="1"/>
  <c r="N368" i="3"/>
  <c r="O368" i="3" s="1"/>
  <c r="N393" i="3"/>
  <c r="O393" i="3" s="1"/>
  <c r="N396" i="3"/>
  <c r="O396" i="3" s="1"/>
  <c r="N403" i="3"/>
  <c r="O403" i="3" s="1"/>
  <c r="AC428" i="3"/>
  <c r="AD428" i="3" s="1"/>
  <c r="AC40" i="4"/>
  <c r="AD40" i="4" s="1"/>
  <c r="H118" i="4"/>
  <c r="I118" i="4" s="1"/>
  <c r="H166" i="4"/>
  <c r="I166" i="4" s="1"/>
  <c r="R193" i="4"/>
  <c r="W193" i="4"/>
  <c r="X193" i="4" s="1"/>
  <c r="R196" i="4"/>
  <c r="W196" i="4"/>
  <c r="X196" i="4" s="1"/>
  <c r="C295" i="4"/>
  <c r="U358" i="3"/>
  <c r="C368" i="3"/>
  <c r="C393" i="3"/>
  <c r="C396" i="3"/>
  <c r="C403" i="3"/>
  <c r="F428" i="3"/>
  <c r="R428" i="3"/>
  <c r="AA442" i="3"/>
  <c r="R62" i="4"/>
  <c r="W62" i="4"/>
  <c r="X62" i="4" s="1"/>
  <c r="R263" i="4"/>
  <c r="W263" i="4"/>
  <c r="X263" i="4" s="1"/>
  <c r="R267" i="4"/>
  <c r="W267" i="4"/>
  <c r="X267" i="4" s="1"/>
  <c r="W324" i="4"/>
  <c r="X324" i="4" s="1"/>
  <c r="R324" i="4"/>
  <c r="N325" i="4"/>
  <c r="O325" i="4" s="1"/>
  <c r="AC342" i="3"/>
  <c r="AD342" i="3" s="1"/>
  <c r="AC344" i="3"/>
  <c r="AD344" i="3" s="1"/>
  <c r="AC368" i="3"/>
  <c r="AD368" i="3" s="1"/>
  <c r="AC393" i="3"/>
  <c r="AD393" i="3" s="1"/>
  <c r="AC396" i="3"/>
  <c r="AD396" i="3" s="1"/>
  <c r="AC403" i="3"/>
  <c r="AD403" i="3" s="1"/>
  <c r="N429" i="3"/>
  <c r="O429" i="3" s="1"/>
  <c r="N442" i="3"/>
  <c r="O442" i="3" s="1"/>
  <c r="H29" i="4"/>
  <c r="I29" i="4" s="1"/>
  <c r="W29" i="4"/>
  <c r="X29" i="4" s="1"/>
  <c r="AC61" i="4"/>
  <c r="AD61" i="4" s="1"/>
  <c r="C62" i="4"/>
  <c r="AC88" i="4"/>
  <c r="AD88" i="4" s="1"/>
  <c r="N122" i="4"/>
  <c r="O122" i="4" s="1"/>
  <c r="R122" i="4"/>
  <c r="AA124" i="4"/>
  <c r="C171" i="4"/>
  <c r="H171" i="4"/>
  <c r="I171" i="4" s="1"/>
  <c r="C193" i="4"/>
  <c r="C196" i="4"/>
  <c r="W342" i="4"/>
  <c r="X342" i="4" s="1"/>
  <c r="U342" i="4"/>
  <c r="AD435" i="3"/>
  <c r="L441" i="3"/>
  <c r="AC441" i="3"/>
  <c r="AD441" i="3" s="1"/>
  <c r="AC124" i="4"/>
  <c r="AD124" i="4" s="1"/>
  <c r="N141" i="4"/>
  <c r="O141" i="4" s="1"/>
  <c r="R158" i="4"/>
  <c r="W158" i="4"/>
  <c r="X158" i="4" s="1"/>
  <c r="W170" i="4"/>
  <c r="X170" i="4" s="1"/>
  <c r="Q172" i="4"/>
  <c r="C263" i="4"/>
  <c r="C267" i="4"/>
  <c r="W284" i="4"/>
  <c r="X284" i="4" s="1"/>
  <c r="AC295" i="4"/>
  <c r="AD295" i="4" s="1"/>
  <c r="N158" i="3"/>
  <c r="O158" i="3" s="1"/>
  <c r="N166" i="3"/>
  <c r="O166" i="3" s="1"/>
  <c r="AC170" i="3"/>
  <c r="AD170" i="3" s="1"/>
  <c r="AC182" i="3"/>
  <c r="AD182" i="3" s="1"/>
  <c r="N193" i="3"/>
  <c r="O193" i="3" s="1"/>
  <c r="N196" i="3"/>
  <c r="O196" i="3" s="1"/>
  <c r="N227" i="3"/>
  <c r="O227" i="3" s="1"/>
  <c r="AC236" i="3"/>
  <c r="AD236" i="3" s="1"/>
  <c r="N263" i="3"/>
  <c r="O263" i="3" s="1"/>
  <c r="N267" i="3"/>
  <c r="O267" i="3" s="1"/>
  <c r="AC284" i="3"/>
  <c r="AD284" i="3" s="1"/>
  <c r="N295" i="3"/>
  <c r="O295" i="3" s="1"/>
  <c r="AC324" i="3"/>
  <c r="AD324" i="3" s="1"/>
  <c r="N343" i="3"/>
  <c r="O343" i="3" s="1"/>
  <c r="N358" i="3"/>
  <c r="O358" i="3" s="1"/>
  <c r="AC429" i="3"/>
  <c r="AD429" i="3" s="1"/>
  <c r="I437" i="3"/>
  <c r="AC149" i="4"/>
  <c r="AD149" i="4" s="1"/>
  <c r="AC166" i="4"/>
  <c r="AD166" i="4" s="1"/>
  <c r="R227" i="4"/>
  <c r="W227" i="4"/>
  <c r="X227" i="4" s="1"/>
  <c r="N295" i="4"/>
  <c r="O295" i="4" s="1"/>
  <c r="H343" i="4"/>
  <c r="I343" i="4" s="1"/>
  <c r="C343" i="4"/>
  <c r="W18" i="4"/>
  <c r="X18" i="4" s="1"/>
  <c r="AC29" i="4"/>
  <c r="AD29" i="4" s="1"/>
  <c r="C73" i="4"/>
  <c r="H73" i="4"/>
  <c r="I73" i="4" s="1"/>
  <c r="R118" i="4"/>
  <c r="W118" i="4"/>
  <c r="X118" i="4" s="1"/>
  <c r="N149" i="4"/>
  <c r="O149" i="4" s="1"/>
  <c r="C158" i="4"/>
  <c r="N166" i="4"/>
  <c r="O166" i="4" s="1"/>
  <c r="L172" i="4"/>
  <c r="K198" i="4"/>
  <c r="T172" i="4"/>
  <c r="W182" i="4"/>
  <c r="X182" i="4" s="1"/>
  <c r="AC193" i="4"/>
  <c r="AD193" i="4" s="1"/>
  <c r="AC196" i="4"/>
  <c r="AD196" i="4" s="1"/>
  <c r="H227" i="4"/>
  <c r="I227" i="4" s="1"/>
  <c r="R236" i="4"/>
  <c r="AC324" i="4"/>
  <c r="AD324" i="4" s="1"/>
  <c r="O307" i="4"/>
  <c r="O311" i="4"/>
  <c r="O315" i="4"/>
  <c r="O319" i="4"/>
  <c r="O323" i="4"/>
  <c r="O331" i="4"/>
  <c r="O335" i="4"/>
  <c r="O340" i="4"/>
  <c r="W343" i="4"/>
  <c r="X343" i="4" s="1"/>
  <c r="O350" i="4"/>
  <c r="O354" i="4"/>
  <c r="W358" i="4"/>
  <c r="X358" i="4" s="1"/>
  <c r="O362" i="4"/>
  <c r="O366" i="4"/>
  <c r="I370" i="4"/>
  <c r="O371" i="4"/>
  <c r="I378" i="4"/>
  <c r="O379" i="4"/>
  <c r="I388" i="4"/>
  <c r="O389" i="4"/>
  <c r="O397" i="4"/>
  <c r="O402" i="4"/>
  <c r="I408" i="4"/>
  <c r="O409" i="4"/>
  <c r="O414" i="4"/>
  <c r="I416" i="4"/>
  <c r="O417" i="4"/>
  <c r="O422" i="4"/>
  <c r="I424" i="4"/>
  <c r="O425" i="4"/>
  <c r="N428" i="4"/>
  <c r="O428" i="4" s="1"/>
  <c r="O432" i="4"/>
  <c r="I439" i="4"/>
  <c r="O440" i="4"/>
  <c r="AC40" i="5"/>
  <c r="AD40" i="5" s="1"/>
  <c r="E172" i="5"/>
  <c r="F124" i="5"/>
  <c r="H149" i="5"/>
  <c r="I149" i="5" s="1"/>
  <c r="C149" i="5"/>
  <c r="N149" i="5"/>
  <c r="O149" i="5" s="1"/>
  <c r="N429" i="4"/>
  <c r="O429" i="4" s="1"/>
  <c r="N122" i="5"/>
  <c r="O122" i="5" s="1"/>
  <c r="AA172" i="5"/>
  <c r="Z198" i="5"/>
  <c r="H148" i="5"/>
  <c r="I148" i="5" s="1"/>
  <c r="F148" i="5"/>
  <c r="N358" i="4"/>
  <c r="O358" i="4" s="1"/>
  <c r="AC62" i="5"/>
  <c r="AD62" i="5" s="1"/>
  <c r="AA124" i="5"/>
  <c r="U344" i="4"/>
  <c r="C358" i="4"/>
  <c r="F403" i="4"/>
  <c r="W403" i="4"/>
  <c r="X403" i="4" s="1"/>
  <c r="C429" i="4"/>
  <c r="R429" i="4"/>
  <c r="W429" i="4"/>
  <c r="X429" i="4" s="1"/>
  <c r="F88" i="5"/>
  <c r="W122" i="5"/>
  <c r="X122" i="5" s="1"/>
  <c r="R122" i="5"/>
  <c r="AC124" i="5"/>
  <c r="AD124" i="5" s="1"/>
  <c r="AC343" i="4"/>
  <c r="AD343" i="4" s="1"/>
  <c r="AC358" i="4"/>
  <c r="AD358" i="4" s="1"/>
  <c r="N368" i="4"/>
  <c r="O368" i="4" s="1"/>
  <c r="AA368" i="4"/>
  <c r="AC393" i="4"/>
  <c r="AD393" i="4" s="1"/>
  <c r="U428" i="4"/>
  <c r="I432" i="4"/>
  <c r="O438" i="4"/>
  <c r="I440" i="4"/>
  <c r="N442" i="4"/>
  <c r="O442" i="4" s="1"/>
  <c r="U29" i="5"/>
  <c r="R62" i="5"/>
  <c r="C122" i="5"/>
  <c r="Q172" i="5"/>
  <c r="W124" i="5"/>
  <c r="X124" i="5" s="1"/>
  <c r="T345" i="5"/>
  <c r="U198" i="5"/>
  <c r="AC141" i="4"/>
  <c r="AD141" i="4" s="1"/>
  <c r="N148" i="4"/>
  <c r="O148" i="4" s="1"/>
  <c r="AC171" i="4"/>
  <c r="AD171" i="4" s="1"/>
  <c r="N197" i="4"/>
  <c r="O197" i="4" s="1"/>
  <c r="N209" i="4"/>
  <c r="O209" i="4" s="1"/>
  <c r="N218" i="4"/>
  <c r="O218" i="4" s="1"/>
  <c r="N262" i="4"/>
  <c r="O262" i="4" s="1"/>
  <c r="N273" i="4"/>
  <c r="O273" i="4" s="1"/>
  <c r="AC325" i="4"/>
  <c r="AD325" i="4" s="1"/>
  <c r="O332" i="4"/>
  <c r="O337" i="4"/>
  <c r="O341" i="4"/>
  <c r="N342" i="4"/>
  <c r="O342" i="4" s="1"/>
  <c r="N344" i="4"/>
  <c r="O344" i="4" s="1"/>
  <c r="O351" i="4"/>
  <c r="O355" i="4"/>
  <c r="O363" i="4"/>
  <c r="O367" i="4"/>
  <c r="O369" i="4"/>
  <c r="O374" i="4"/>
  <c r="I376" i="4"/>
  <c r="O377" i="4"/>
  <c r="O382" i="4"/>
  <c r="I385" i="4"/>
  <c r="O386" i="4"/>
  <c r="O392" i="4"/>
  <c r="N393" i="4"/>
  <c r="O393" i="4" s="1"/>
  <c r="I402" i="4"/>
  <c r="O407" i="4"/>
  <c r="I414" i="4"/>
  <c r="O415" i="4"/>
  <c r="I422" i="4"/>
  <c r="O423" i="4"/>
  <c r="AC441" i="4"/>
  <c r="AD441" i="4" s="1"/>
  <c r="W442" i="4"/>
  <c r="X442" i="4" s="1"/>
  <c r="AC442" i="4"/>
  <c r="AD442" i="4" s="1"/>
  <c r="B172" i="5"/>
  <c r="H124" i="5"/>
  <c r="I124" i="5" s="1"/>
  <c r="R124" i="5"/>
  <c r="I395" i="4"/>
  <c r="I434" i="4"/>
  <c r="C441" i="4"/>
  <c r="H441" i="4"/>
  <c r="I441" i="4" s="1"/>
  <c r="R441" i="4"/>
  <c r="R442" i="4"/>
  <c r="AC18" i="5"/>
  <c r="AD18" i="5" s="1"/>
  <c r="W88" i="5"/>
  <c r="X88" i="5" s="1"/>
  <c r="AC122" i="5"/>
  <c r="AD122" i="5" s="1"/>
  <c r="C124" i="5"/>
  <c r="H18" i="5"/>
  <c r="I18" i="5" s="1"/>
  <c r="W149" i="5"/>
  <c r="X149" i="5" s="1"/>
  <c r="N166" i="5"/>
  <c r="O166" i="5" s="1"/>
  <c r="H170" i="5"/>
  <c r="I170" i="5" s="1"/>
  <c r="R218" i="5"/>
  <c r="W218" i="5"/>
  <c r="X218" i="5" s="1"/>
  <c r="H262" i="5"/>
  <c r="I262" i="5" s="1"/>
  <c r="W263" i="5"/>
  <c r="X263" i="5" s="1"/>
  <c r="AC263" i="5"/>
  <c r="AD263" i="5" s="1"/>
  <c r="AC166" i="5"/>
  <c r="AD166" i="5" s="1"/>
  <c r="K172" i="5"/>
  <c r="H218" i="5"/>
  <c r="I218" i="5" s="1"/>
  <c r="C267" i="5"/>
  <c r="H267" i="5"/>
  <c r="I267" i="5" s="1"/>
  <c r="AC148" i="5"/>
  <c r="AD148" i="5" s="1"/>
  <c r="R193" i="5"/>
  <c r="R148" i="5"/>
  <c r="C166" i="5"/>
  <c r="R166" i="5"/>
  <c r="L171" i="5"/>
  <c r="U284" i="5"/>
  <c r="AC149" i="5"/>
  <c r="AD149" i="5" s="1"/>
  <c r="L158" i="5"/>
  <c r="AA171" i="5"/>
  <c r="U172" i="5"/>
  <c r="C193" i="5"/>
  <c r="U196" i="5"/>
  <c r="N209" i="5"/>
  <c r="O209" i="5" s="1"/>
  <c r="U209" i="5"/>
  <c r="H273" i="5"/>
  <c r="I273" i="5" s="1"/>
  <c r="C273" i="5"/>
  <c r="N118" i="5"/>
  <c r="O118" i="5" s="1"/>
  <c r="F196" i="5"/>
  <c r="N262" i="5"/>
  <c r="O262" i="5" s="1"/>
  <c r="U262" i="5"/>
  <c r="F263" i="5"/>
  <c r="R295" i="5"/>
  <c r="C182" i="5"/>
  <c r="N182" i="5"/>
  <c r="O182" i="5" s="1"/>
  <c r="N218" i="5"/>
  <c r="O218" i="5" s="1"/>
  <c r="N267" i="5"/>
  <c r="O267" i="5" s="1"/>
  <c r="H295" i="5"/>
  <c r="I295" i="5" s="1"/>
  <c r="N295" i="5"/>
  <c r="O295" i="5" s="1"/>
  <c r="N61" i="5"/>
  <c r="O61" i="5" s="1"/>
  <c r="C118" i="5"/>
  <c r="AC141" i="5"/>
  <c r="AD141" i="5" s="1"/>
  <c r="H158" i="5"/>
  <c r="I158" i="5" s="1"/>
  <c r="N193" i="5"/>
  <c r="O193" i="5" s="1"/>
  <c r="AC193" i="5"/>
  <c r="AD193" i="5" s="1"/>
  <c r="H209" i="5"/>
  <c r="I209" i="5" s="1"/>
  <c r="AA403" i="5"/>
  <c r="AC403" i="5"/>
  <c r="AD403" i="5" s="1"/>
  <c r="U172" i="6"/>
  <c r="T198" i="6"/>
  <c r="R428" i="5"/>
  <c r="AC428" i="5"/>
  <c r="AD428" i="5" s="1"/>
  <c r="N18" i="6"/>
  <c r="O18" i="6" s="1"/>
  <c r="C73" i="6"/>
  <c r="H73" i="6"/>
  <c r="I73" i="6" s="1"/>
  <c r="N73" i="6"/>
  <c r="O73" i="6" s="1"/>
  <c r="AC343" i="5"/>
  <c r="AD343" i="5" s="1"/>
  <c r="AC396" i="5"/>
  <c r="AD396" i="5" s="1"/>
  <c r="W428" i="5"/>
  <c r="X428" i="5" s="1"/>
  <c r="F325" i="5"/>
  <c r="U325" i="5"/>
  <c r="C343" i="5"/>
  <c r="H343" i="5"/>
  <c r="I343" i="5" s="1"/>
  <c r="W442" i="5"/>
  <c r="X442" i="5" s="1"/>
  <c r="AC442" i="5"/>
  <c r="AD442" i="5" s="1"/>
  <c r="R18" i="6"/>
  <c r="W18" i="6"/>
  <c r="X18" i="6" s="1"/>
  <c r="U61" i="6"/>
  <c r="N236" i="5"/>
  <c r="O236" i="5" s="1"/>
  <c r="N284" i="5"/>
  <c r="O284" i="5" s="1"/>
  <c r="N324" i="5"/>
  <c r="O324" i="5" s="1"/>
  <c r="H344" i="5"/>
  <c r="I344" i="5" s="1"/>
  <c r="F428" i="5"/>
  <c r="H428" i="5"/>
  <c r="I428" i="5" s="1"/>
  <c r="L62" i="6"/>
  <c r="N62" i="6"/>
  <c r="O62" i="6" s="1"/>
  <c r="AC209" i="5"/>
  <c r="AD209" i="5" s="1"/>
  <c r="AC262" i="5"/>
  <c r="AD262" i="5" s="1"/>
  <c r="W342" i="5"/>
  <c r="X342" i="5" s="1"/>
  <c r="R342" i="5"/>
  <c r="N358" i="5"/>
  <c r="O358" i="5" s="1"/>
  <c r="N368" i="5"/>
  <c r="O368" i="5" s="1"/>
  <c r="AA393" i="5"/>
  <c r="AC393" i="5"/>
  <c r="AD393" i="5" s="1"/>
  <c r="H429" i="5"/>
  <c r="I429" i="5" s="1"/>
  <c r="N429" i="5"/>
  <c r="O429" i="5" s="1"/>
  <c r="N441" i="5"/>
  <c r="O441" i="5" s="1"/>
  <c r="C442" i="5"/>
  <c r="H442" i="5"/>
  <c r="I442" i="5" s="1"/>
  <c r="C29" i="6"/>
  <c r="W344" i="5"/>
  <c r="X344" i="5" s="1"/>
  <c r="W393" i="5"/>
  <c r="X393" i="5" s="1"/>
  <c r="W403" i="5"/>
  <c r="X403" i="5" s="1"/>
  <c r="I411" i="5"/>
  <c r="I420" i="5"/>
  <c r="AD438" i="5"/>
  <c r="AD434" i="5"/>
  <c r="AD426" i="5"/>
  <c r="AD422" i="5"/>
  <c r="AD418" i="5"/>
  <c r="AD414" i="5"/>
  <c r="AD410" i="5"/>
  <c r="AD402" i="5"/>
  <c r="AD398" i="5"/>
  <c r="AD395" i="5"/>
  <c r="AD392" i="5"/>
  <c r="AD388" i="5"/>
  <c r="AD382" i="5"/>
  <c r="AD378" i="5"/>
  <c r="AD374" i="5"/>
  <c r="AD370" i="5"/>
  <c r="AD367" i="5"/>
  <c r="AD363" i="5"/>
  <c r="AD355" i="5"/>
  <c r="AD351" i="5"/>
  <c r="AD341" i="5"/>
  <c r="AD337" i="5"/>
  <c r="AD332" i="5"/>
  <c r="AD328" i="5"/>
  <c r="H62" i="6"/>
  <c r="I62" i="6" s="1"/>
  <c r="AC88" i="6"/>
  <c r="AD88" i="6" s="1"/>
  <c r="H141" i="6"/>
  <c r="I141" i="6" s="1"/>
  <c r="N182" i="6"/>
  <c r="O182" i="6" s="1"/>
  <c r="AC197" i="6"/>
  <c r="AD197" i="6" s="1"/>
  <c r="N170" i="6"/>
  <c r="O170" i="6" s="1"/>
  <c r="C170" i="6"/>
  <c r="W170" i="6"/>
  <c r="X170" i="6" s="1"/>
  <c r="U171" i="6"/>
  <c r="U158" i="6"/>
  <c r="R166" i="6"/>
  <c r="AC166" i="6"/>
  <c r="AD166" i="6" s="1"/>
  <c r="H170" i="6"/>
  <c r="I170" i="6" s="1"/>
  <c r="I437" i="5"/>
  <c r="I433" i="5"/>
  <c r="I425" i="5"/>
  <c r="I421" i="5"/>
  <c r="I417" i="5"/>
  <c r="I413" i="5"/>
  <c r="I409" i="5"/>
  <c r="I401" i="5"/>
  <c r="I397" i="5"/>
  <c r="I394" i="5"/>
  <c r="I391" i="5"/>
  <c r="I386" i="5"/>
  <c r="I381" i="5"/>
  <c r="I377" i="5"/>
  <c r="I373" i="5"/>
  <c r="I369" i="5"/>
  <c r="I366" i="5"/>
  <c r="I362" i="5"/>
  <c r="I354" i="5"/>
  <c r="I350" i="5"/>
  <c r="I340" i="5"/>
  <c r="I335" i="5"/>
  <c r="I331" i="5"/>
  <c r="I323" i="5"/>
  <c r="AC40" i="6"/>
  <c r="AD40" i="6" s="1"/>
  <c r="R193" i="6"/>
  <c r="W193" i="6"/>
  <c r="X193" i="6" s="1"/>
  <c r="AC193" i="6"/>
  <c r="AD193" i="6" s="1"/>
  <c r="N166" i="6"/>
  <c r="O166" i="6" s="1"/>
  <c r="Z198" i="6"/>
  <c r="AA172" i="6"/>
  <c r="N325" i="5"/>
  <c r="O325" i="5" s="1"/>
  <c r="I376" i="5"/>
  <c r="N393" i="5"/>
  <c r="O393" i="5" s="1"/>
  <c r="W396" i="5"/>
  <c r="X396" i="5" s="1"/>
  <c r="N403" i="5"/>
  <c r="O403" i="5" s="1"/>
  <c r="AD409" i="5"/>
  <c r="AD425" i="5"/>
  <c r="I440" i="5"/>
  <c r="N40" i="6"/>
  <c r="O40" i="6" s="1"/>
  <c r="AC61" i="6"/>
  <c r="AD61" i="6" s="1"/>
  <c r="N88" i="6"/>
  <c r="O88" i="6" s="1"/>
  <c r="R149" i="6"/>
  <c r="AC149" i="6"/>
  <c r="AD149" i="6" s="1"/>
  <c r="W166" i="6"/>
  <c r="X166" i="6" s="1"/>
  <c r="L197" i="6"/>
  <c r="N197" i="6"/>
  <c r="O197" i="6" s="1"/>
  <c r="K198" i="6"/>
  <c r="W218" i="6"/>
  <c r="X218" i="6" s="1"/>
  <c r="AC236" i="6"/>
  <c r="AD236" i="6" s="1"/>
  <c r="AC262" i="6"/>
  <c r="AD262" i="6" s="1"/>
  <c r="AC358" i="6"/>
  <c r="AD358" i="6" s="1"/>
  <c r="AA358" i="6"/>
  <c r="E172" i="6"/>
  <c r="F124" i="6"/>
  <c r="W141" i="6"/>
  <c r="X141" i="6" s="1"/>
  <c r="H148" i="6"/>
  <c r="I148" i="6" s="1"/>
  <c r="W171" i="6"/>
  <c r="X171" i="6" s="1"/>
  <c r="B172" i="6"/>
  <c r="N227" i="6"/>
  <c r="O227" i="6" s="1"/>
  <c r="N236" i="6"/>
  <c r="O236" i="6" s="1"/>
  <c r="C263" i="6"/>
  <c r="H263" i="6"/>
  <c r="I263" i="6" s="1"/>
  <c r="AC218" i="6"/>
  <c r="AD218" i="6" s="1"/>
  <c r="R227" i="6"/>
  <c r="W227" i="6"/>
  <c r="X227" i="6" s="1"/>
  <c r="R236" i="6"/>
  <c r="L267" i="6"/>
  <c r="N267" i="6"/>
  <c r="O267" i="6" s="1"/>
  <c r="R273" i="6"/>
  <c r="AC273" i="6"/>
  <c r="AD273" i="6" s="1"/>
  <c r="H284" i="6"/>
  <c r="I284" i="6" s="1"/>
  <c r="H295" i="6"/>
  <c r="I295" i="6" s="1"/>
  <c r="N295" i="6"/>
  <c r="O295" i="6" s="1"/>
  <c r="W267" i="6"/>
  <c r="X267" i="6" s="1"/>
  <c r="AC267" i="6"/>
  <c r="AD267" i="6" s="1"/>
  <c r="C218" i="6"/>
  <c r="H236" i="6"/>
  <c r="I236" i="6" s="1"/>
  <c r="W262" i="6"/>
  <c r="X262" i="6" s="1"/>
  <c r="N263" i="6"/>
  <c r="O263" i="6" s="1"/>
  <c r="R267" i="6"/>
  <c r="W295" i="6"/>
  <c r="X295" i="6" s="1"/>
  <c r="W343" i="6"/>
  <c r="X343" i="6" s="1"/>
  <c r="U343" i="6"/>
  <c r="AC196" i="6"/>
  <c r="AD196" i="6" s="1"/>
  <c r="H209" i="6"/>
  <c r="I209" i="6" s="1"/>
  <c r="H273" i="6"/>
  <c r="I273" i="6" s="1"/>
  <c r="W273" i="6"/>
  <c r="X273" i="6" s="1"/>
  <c r="N284" i="6"/>
  <c r="O284" i="6" s="1"/>
  <c r="N124" i="6"/>
  <c r="O124" i="6" s="1"/>
  <c r="Q172" i="6"/>
  <c r="R124" i="6"/>
  <c r="AC141" i="6"/>
  <c r="AD141" i="6" s="1"/>
  <c r="N148" i="6"/>
  <c r="O148" i="6" s="1"/>
  <c r="AC171" i="6"/>
  <c r="AD171" i="6" s="1"/>
  <c r="AC182" i="6"/>
  <c r="AD182" i="6" s="1"/>
  <c r="N196" i="6"/>
  <c r="O196" i="6" s="1"/>
  <c r="H197" i="6"/>
  <c r="I197" i="6" s="1"/>
  <c r="H343" i="6"/>
  <c r="I343" i="6" s="1"/>
  <c r="H344" i="6"/>
  <c r="I344" i="6" s="1"/>
  <c r="N393" i="6"/>
  <c r="O393" i="6" s="1"/>
  <c r="C396" i="6"/>
  <c r="H396" i="6"/>
  <c r="I396" i="6" s="1"/>
  <c r="N403" i="6"/>
  <c r="O403" i="6" s="1"/>
  <c r="C324" i="6"/>
  <c r="H324" i="6"/>
  <c r="I324" i="6" s="1"/>
  <c r="N358" i="6"/>
  <c r="O358" i="6" s="1"/>
  <c r="N429" i="6"/>
  <c r="O429" i="6" s="1"/>
  <c r="N342" i="6"/>
  <c r="O342" i="6" s="1"/>
  <c r="N343" i="6"/>
  <c r="O343" i="6" s="1"/>
  <c r="AA344" i="6"/>
  <c r="C358" i="6"/>
  <c r="N344" i="6"/>
  <c r="O344" i="6" s="1"/>
  <c r="R342" i="6"/>
  <c r="W342" i="6"/>
  <c r="X342" i="6" s="1"/>
  <c r="AC343" i="6"/>
  <c r="AD343" i="6" s="1"/>
  <c r="H393" i="6"/>
  <c r="I393" i="6" s="1"/>
  <c r="R344" i="6"/>
  <c r="W344" i="6"/>
  <c r="X344" i="6" s="1"/>
  <c r="U368" i="6"/>
  <c r="N396" i="6"/>
  <c r="O396" i="6" s="1"/>
  <c r="C40" i="7"/>
  <c r="N40" i="7"/>
  <c r="O40" i="7" s="1"/>
  <c r="H40" i="7"/>
  <c r="I40" i="7" s="1"/>
  <c r="F18" i="7"/>
  <c r="H18" i="7"/>
  <c r="I18" i="7" s="1"/>
  <c r="AC393" i="6"/>
  <c r="AD393" i="6" s="1"/>
  <c r="W428" i="6"/>
  <c r="X428" i="6" s="1"/>
  <c r="U40" i="7"/>
  <c r="H29" i="7"/>
  <c r="I29" i="7" s="1"/>
  <c r="C29" i="7"/>
  <c r="N29" i="7"/>
  <c r="O29" i="7" s="1"/>
  <c r="C441" i="6"/>
  <c r="H441" i="6"/>
  <c r="I441" i="6" s="1"/>
  <c r="W18" i="7"/>
  <c r="X18" i="7" s="1"/>
  <c r="R18" i="7"/>
  <c r="AC18" i="7"/>
  <c r="AD18" i="7" s="1"/>
  <c r="F73" i="7"/>
  <c r="H73" i="7"/>
  <c r="I73" i="7" s="1"/>
  <c r="H166" i="7"/>
  <c r="I166" i="7" s="1"/>
  <c r="F166" i="7"/>
  <c r="AC428" i="6"/>
  <c r="AD428" i="6" s="1"/>
  <c r="AD432" i="6"/>
  <c r="AD424" i="6"/>
  <c r="L61" i="7"/>
  <c r="W358" i="6"/>
  <c r="X358" i="6" s="1"/>
  <c r="AD412" i="6"/>
  <c r="H428" i="6"/>
  <c r="I428" i="6" s="1"/>
  <c r="W29" i="7"/>
  <c r="X29" i="7" s="1"/>
  <c r="AC29" i="7"/>
  <c r="AD29" i="7" s="1"/>
  <c r="AC61" i="7"/>
  <c r="AD61" i="7" s="1"/>
  <c r="U172" i="7"/>
  <c r="T198" i="7"/>
  <c r="N428" i="6"/>
  <c r="O428" i="6" s="1"/>
  <c r="W73" i="7"/>
  <c r="X73" i="7" s="1"/>
  <c r="R73" i="7"/>
  <c r="AC118" i="7"/>
  <c r="AD118" i="7" s="1"/>
  <c r="U122" i="7"/>
  <c r="F172" i="7"/>
  <c r="E198" i="7"/>
  <c r="U124" i="7"/>
  <c r="AA171" i="7"/>
  <c r="Z172" i="7"/>
  <c r="R118" i="7"/>
  <c r="H122" i="7"/>
  <c r="I122" i="7" s="1"/>
  <c r="F124" i="7"/>
  <c r="W124" i="7"/>
  <c r="X124" i="7" s="1"/>
  <c r="AC158" i="7"/>
  <c r="AD158" i="7" s="1"/>
  <c r="W158" i="7"/>
  <c r="X158" i="7" s="1"/>
  <c r="R158" i="7"/>
  <c r="W62" i="7"/>
  <c r="X62" i="7" s="1"/>
  <c r="H124" i="7"/>
  <c r="I124" i="7" s="1"/>
  <c r="F193" i="7"/>
  <c r="H193" i="7"/>
  <c r="I193" i="7" s="1"/>
  <c r="AD435" i="6"/>
  <c r="AC73" i="7"/>
  <c r="AD73" i="7" s="1"/>
  <c r="AC88" i="7"/>
  <c r="AD88" i="7" s="1"/>
  <c r="K198" i="7"/>
  <c r="L172" i="7"/>
  <c r="F171" i="7"/>
  <c r="H171" i="7"/>
  <c r="I171" i="7" s="1"/>
  <c r="H88" i="7"/>
  <c r="I88" i="7" s="1"/>
  <c r="C88" i="7"/>
  <c r="N122" i="7"/>
  <c r="O122" i="7" s="1"/>
  <c r="AC141" i="7"/>
  <c r="AD141" i="7" s="1"/>
  <c r="AC149" i="7"/>
  <c r="AD149" i="7" s="1"/>
  <c r="H170" i="7"/>
  <c r="I170" i="7" s="1"/>
  <c r="N182" i="7"/>
  <c r="O182" i="7" s="1"/>
  <c r="H209" i="7"/>
  <c r="I209" i="7" s="1"/>
  <c r="C209" i="7"/>
  <c r="W262" i="7"/>
  <c r="X262" i="7" s="1"/>
  <c r="U262" i="7"/>
  <c r="W166" i="7"/>
  <c r="X166" i="7" s="1"/>
  <c r="W171" i="7"/>
  <c r="X171" i="7" s="1"/>
  <c r="R171" i="7"/>
  <c r="H197" i="7"/>
  <c r="I197" i="7" s="1"/>
  <c r="C197" i="7"/>
  <c r="U236" i="7"/>
  <c r="W236" i="7"/>
  <c r="X236" i="7" s="1"/>
  <c r="R263" i="7"/>
  <c r="AC263" i="7"/>
  <c r="AD263" i="7" s="1"/>
  <c r="W263" i="7"/>
  <c r="X263" i="7" s="1"/>
  <c r="H196" i="7"/>
  <c r="I196" i="7" s="1"/>
  <c r="H218" i="7"/>
  <c r="I218" i="7" s="1"/>
  <c r="C218" i="7"/>
  <c r="H61" i="7"/>
  <c r="I61" i="7" s="1"/>
  <c r="N170" i="7"/>
  <c r="O170" i="7" s="1"/>
  <c r="W193" i="7"/>
  <c r="X193" i="7" s="1"/>
  <c r="R193" i="7"/>
  <c r="H358" i="7"/>
  <c r="I358" i="7" s="1"/>
  <c r="F358" i="7"/>
  <c r="AC284" i="7"/>
  <c r="AD284" i="7" s="1"/>
  <c r="W284" i="7"/>
  <c r="X284" i="7" s="1"/>
  <c r="R284" i="7"/>
  <c r="AC171" i="7"/>
  <c r="AD171" i="7" s="1"/>
  <c r="W196" i="7"/>
  <c r="X196" i="7" s="1"/>
  <c r="R196" i="7"/>
  <c r="N197" i="7"/>
  <c r="O197" i="7" s="1"/>
  <c r="AC209" i="7"/>
  <c r="AD209" i="7" s="1"/>
  <c r="N62" i="7"/>
  <c r="O62" i="7" s="1"/>
  <c r="Q172" i="7"/>
  <c r="B172" i="7"/>
  <c r="AC193" i="7"/>
  <c r="AD193" i="7" s="1"/>
  <c r="AC197" i="7"/>
  <c r="AD197" i="7" s="1"/>
  <c r="N218" i="7"/>
  <c r="O218" i="7" s="1"/>
  <c r="H236" i="7"/>
  <c r="I236" i="7" s="1"/>
  <c r="H262" i="7"/>
  <c r="I262" i="7" s="1"/>
  <c r="N273" i="7"/>
  <c r="O273" i="7" s="1"/>
  <c r="AC324" i="7"/>
  <c r="AD324" i="7" s="1"/>
  <c r="AC325" i="7"/>
  <c r="AD325" i="7" s="1"/>
  <c r="H343" i="7"/>
  <c r="I343" i="7" s="1"/>
  <c r="N267" i="7"/>
  <c r="O267" i="7" s="1"/>
  <c r="N325" i="7"/>
  <c r="O325" i="7" s="1"/>
  <c r="N227" i="7"/>
  <c r="O227" i="7" s="1"/>
  <c r="N236" i="7"/>
  <c r="O236" i="7" s="1"/>
  <c r="N262" i="7"/>
  <c r="O262" i="7" s="1"/>
  <c r="AC267" i="7"/>
  <c r="AD267" i="7" s="1"/>
  <c r="AC273" i="7"/>
  <c r="AD273" i="7" s="1"/>
  <c r="AA295" i="7"/>
  <c r="F342" i="7"/>
  <c r="H342" i="7"/>
  <c r="I342" i="7" s="1"/>
  <c r="N118" i="7"/>
  <c r="O118" i="7" s="1"/>
  <c r="AC122" i="7"/>
  <c r="AD122" i="7" s="1"/>
  <c r="N124" i="7"/>
  <c r="O124" i="7" s="1"/>
  <c r="N149" i="7"/>
  <c r="O149" i="7" s="1"/>
  <c r="N158" i="7"/>
  <c r="O158" i="7" s="1"/>
  <c r="N166" i="7"/>
  <c r="O166" i="7" s="1"/>
  <c r="AC170" i="7"/>
  <c r="AD170" i="7" s="1"/>
  <c r="AC182" i="7"/>
  <c r="AD182" i="7" s="1"/>
  <c r="N193" i="7"/>
  <c r="O193" i="7" s="1"/>
  <c r="N196" i="7"/>
  <c r="O196" i="7" s="1"/>
  <c r="R324" i="7"/>
  <c r="H295" i="7"/>
  <c r="I295" i="7" s="1"/>
  <c r="R295" i="7"/>
  <c r="W295" i="7"/>
  <c r="X295" i="7" s="1"/>
  <c r="W325" i="7"/>
  <c r="X325" i="7" s="1"/>
  <c r="N358" i="7"/>
  <c r="O358" i="7" s="1"/>
  <c r="C358" i="7"/>
  <c r="W358" i="7"/>
  <c r="X358" i="7" s="1"/>
  <c r="N396" i="7"/>
  <c r="O396" i="7" s="1"/>
  <c r="N403" i="7"/>
  <c r="O403" i="7" s="1"/>
  <c r="W343" i="7"/>
  <c r="X343" i="7" s="1"/>
  <c r="AC358" i="7"/>
  <c r="AD358" i="7" s="1"/>
  <c r="N368" i="7"/>
  <c r="O368" i="7" s="1"/>
  <c r="W428" i="7"/>
  <c r="X428" i="7" s="1"/>
  <c r="N441" i="7"/>
  <c r="O441" i="7" s="1"/>
  <c r="H442" i="7"/>
  <c r="I442" i="7" s="1"/>
  <c r="N428" i="7"/>
  <c r="O428" i="7" s="1"/>
  <c r="AC441" i="7"/>
  <c r="AD441" i="7" s="1"/>
  <c r="W442" i="7"/>
  <c r="X442" i="7" s="1"/>
  <c r="C428" i="7"/>
  <c r="U429" i="7"/>
  <c r="F441" i="7"/>
  <c r="R441" i="7"/>
  <c r="AC342" i="7"/>
  <c r="AD342" i="7" s="1"/>
  <c r="AC344" i="7"/>
  <c r="AD344" i="7" s="1"/>
  <c r="AC368" i="7"/>
  <c r="AD368" i="7" s="1"/>
  <c r="AC393" i="7"/>
  <c r="AD393" i="7" s="1"/>
  <c r="AC396" i="7"/>
  <c r="AD396" i="7" s="1"/>
  <c r="AC403" i="7"/>
  <c r="AD403" i="7" s="1"/>
  <c r="N429" i="7"/>
  <c r="O429" i="7" s="1"/>
  <c r="AC442" i="7"/>
  <c r="AD442" i="7" s="1"/>
  <c r="K198" i="3" l="1"/>
  <c r="L172" i="3"/>
  <c r="Z404" i="4"/>
  <c r="AA345" i="4"/>
  <c r="T345" i="2"/>
  <c r="U198" i="2"/>
  <c r="Z198" i="7"/>
  <c r="AA172" i="7"/>
  <c r="B198" i="7"/>
  <c r="N172" i="7"/>
  <c r="O172" i="7" s="1"/>
  <c r="H172" i="7"/>
  <c r="I172" i="7" s="1"/>
  <c r="C172" i="7"/>
  <c r="E198" i="6"/>
  <c r="F172" i="6"/>
  <c r="Z345" i="6"/>
  <c r="AA198" i="6"/>
  <c r="T345" i="6"/>
  <c r="U198" i="6"/>
  <c r="T404" i="5"/>
  <c r="U345" i="5"/>
  <c r="Z345" i="5"/>
  <c r="AA198" i="5"/>
  <c r="F172" i="5"/>
  <c r="E198" i="5"/>
  <c r="T345" i="3"/>
  <c r="U198" i="3"/>
  <c r="E198" i="4"/>
  <c r="F172" i="4"/>
  <c r="R172" i="3"/>
  <c r="AC172" i="3"/>
  <c r="AD172" i="3" s="1"/>
  <c r="Q198" i="3"/>
  <c r="W172" i="3"/>
  <c r="X172" i="3" s="1"/>
  <c r="K404" i="2"/>
  <c r="L345" i="2"/>
  <c r="T345" i="1"/>
  <c r="U198" i="1"/>
  <c r="C172" i="5"/>
  <c r="N172" i="5"/>
  <c r="O172" i="5" s="1"/>
  <c r="H172" i="5"/>
  <c r="I172" i="5" s="1"/>
  <c r="B198" i="5"/>
  <c r="R172" i="5"/>
  <c r="AC172" i="5"/>
  <c r="AD172" i="5" s="1"/>
  <c r="W172" i="5"/>
  <c r="X172" i="5" s="1"/>
  <c r="Q198" i="5"/>
  <c r="T198" i="4"/>
  <c r="U172" i="4"/>
  <c r="W172" i="4"/>
  <c r="X172" i="4" s="1"/>
  <c r="R172" i="4"/>
  <c r="Q198" i="4"/>
  <c r="AC172" i="4"/>
  <c r="AD172" i="4" s="1"/>
  <c r="E345" i="2"/>
  <c r="F198" i="2"/>
  <c r="K198" i="5"/>
  <c r="L172" i="5"/>
  <c r="K345" i="4"/>
  <c r="L198" i="4"/>
  <c r="Z198" i="3"/>
  <c r="AA172" i="3"/>
  <c r="C345" i="1"/>
  <c r="B404" i="1"/>
  <c r="R172" i="7"/>
  <c r="AC172" i="7"/>
  <c r="AD172" i="7" s="1"/>
  <c r="Q198" i="7"/>
  <c r="W172" i="7"/>
  <c r="X172" i="7" s="1"/>
  <c r="N172" i="4"/>
  <c r="O172" i="4" s="1"/>
  <c r="B198" i="4"/>
  <c r="H172" i="4"/>
  <c r="I172" i="4" s="1"/>
  <c r="C172" i="4"/>
  <c r="B198" i="6"/>
  <c r="N172" i="6"/>
  <c r="O172" i="6" s="1"/>
  <c r="C172" i="6"/>
  <c r="H172" i="6"/>
  <c r="I172" i="6" s="1"/>
  <c r="K345" i="7"/>
  <c r="L198" i="7"/>
  <c r="T345" i="7"/>
  <c r="U198" i="7"/>
  <c r="E345" i="3"/>
  <c r="F198" i="3"/>
  <c r="C172" i="2"/>
  <c r="B198" i="2"/>
  <c r="N172" i="2"/>
  <c r="O172" i="2" s="1"/>
  <c r="H172" i="2"/>
  <c r="I172" i="2" s="1"/>
  <c r="F198" i="1"/>
  <c r="E345" i="1"/>
  <c r="AA345" i="1"/>
  <c r="Z404" i="1"/>
  <c r="R198" i="1"/>
  <c r="Q345" i="1"/>
  <c r="AC198" i="1"/>
  <c r="AD198" i="1" s="1"/>
  <c r="W198" i="1"/>
  <c r="X198" i="1" s="1"/>
  <c r="AC172" i="6"/>
  <c r="AD172" i="6" s="1"/>
  <c r="Q198" i="6"/>
  <c r="R172" i="6"/>
  <c r="W172" i="6"/>
  <c r="X172" i="6" s="1"/>
  <c r="E345" i="7"/>
  <c r="F198" i="7"/>
  <c r="K345" i="6"/>
  <c r="L198" i="6"/>
  <c r="C198" i="3"/>
  <c r="B345" i="3"/>
  <c r="N198" i="3"/>
  <c r="O198" i="3" s="1"/>
  <c r="H198" i="3"/>
  <c r="I198" i="3" s="1"/>
  <c r="W172" i="2"/>
  <c r="X172" i="2" s="1"/>
  <c r="Q198" i="2"/>
  <c r="R172" i="2"/>
  <c r="AC172" i="2"/>
  <c r="AD172" i="2" s="1"/>
  <c r="Z345" i="2"/>
  <c r="AA198" i="2"/>
  <c r="L172" i="1"/>
  <c r="K198" i="1"/>
  <c r="E404" i="2" l="1"/>
  <c r="F345" i="2"/>
  <c r="K345" i="1"/>
  <c r="L198" i="1"/>
  <c r="N198" i="1"/>
  <c r="O198" i="1" s="1"/>
  <c r="AA404" i="1"/>
  <c r="Z443" i="1"/>
  <c r="AA443" i="1" s="1"/>
  <c r="B345" i="5"/>
  <c r="H198" i="5"/>
  <c r="I198" i="5" s="1"/>
  <c r="C198" i="5"/>
  <c r="N198" i="5"/>
  <c r="O198" i="5" s="1"/>
  <c r="E345" i="5"/>
  <c r="F198" i="5"/>
  <c r="F345" i="3"/>
  <c r="E404" i="3"/>
  <c r="N198" i="6"/>
  <c r="O198" i="6" s="1"/>
  <c r="B345" i="6"/>
  <c r="C198" i="6"/>
  <c r="H198" i="6"/>
  <c r="I198" i="6" s="1"/>
  <c r="K404" i="4"/>
  <c r="L345" i="4"/>
  <c r="Q345" i="3"/>
  <c r="AC198" i="3"/>
  <c r="AD198" i="3" s="1"/>
  <c r="R198" i="3"/>
  <c r="W198" i="3"/>
  <c r="X198" i="3" s="1"/>
  <c r="Z404" i="6"/>
  <c r="AA345" i="6"/>
  <c r="AA198" i="7"/>
  <c r="Z345" i="7"/>
  <c r="C345" i="3"/>
  <c r="B404" i="3"/>
  <c r="N345" i="3"/>
  <c r="O345" i="3" s="1"/>
  <c r="H345" i="3"/>
  <c r="I345" i="3" s="1"/>
  <c r="Q345" i="6"/>
  <c r="R198" i="6"/>
  <c r="AC198" i="6"/>
  <c r="AD198" i="6" s="1"/>
  <c r="W198" i="6"/>
  <c r="X198" i="6" s="1"/>
  <c r="F345" i="1"/>
  <c r="E404" i="1"/>
  <c r="H345" i="1"/>
  <c r="I345" i="1" s="1"/>
  <c r="L198" i="5"/>
  <c r="K345" i="5"/>
  <c r="U198" i="4"/>
  <c r="T345" i="4"/>
  <c r="AA345" i="5"/>
  <c r="Z404" i="5"/>
  <c r="E345" i="6"/>
  <c r="F198" i="6"/>
  <c r="T404" i="2"/>
  <c r="U345" i="2"/>
  <c r="AA345" i="2"/>
  <c r="Z404" i="2"/>
  <c r="T404" i="7"/>
  <c r="U345" i="7"/>
  <c r="H198" i="4"/>
  <c r="I198" i="4" s="1"/>
  <c r="B345" i="4"/>
  <c r="C198" i="4"/>
  <c r="N198" i="4"/>
  <c r="O198" i="4" s="1"/>
  <c r="C404" i="1"/>
  <c r="B443" i="1"/>
  <c r="H404" i="1"/>
  <c r="I404" i="1" s="1"/>
  <c r="Q345" i="5"/>
  <c r="W198" i="5"/>
  <c r="X198" i="5" s="1"/>
  <c r="R198" i="5"/>
  <c r="AC198" i="5"/>
  <c r="AD198" i="5" s="1"/>
  <c r="K404" i="6"/>
  <c r="L345" i="6"/>
  <c r="F198" i="4"/>
  <c r="E345" i="4"/>
  <c r="U404" i="5"/>
  <c r="T443" i="5"/>
  <c r="U443" i="5" s="1"/>
  <c r="AA404" i="4"/>
  <c r="Z443" i="4"/>
  <c r="AA443" i="4" s="1"/>
  <c r="T404" i="1"/>
  <c r="U345" i="1"/>
  <c r="Q345" i="2"/>
  <c r="R198" i="2"/>
  <c r="AC198" i="2"/>
  <c r="AD198" i="2" s="1"/>
  <c r="W198" i="2"/>
  <c r="X198" i="2" s="1"/>
  <c r="L345" i="7"/>
  <c r="K404" i="7"/>
  <c r="R345" i="1"/>
  <c r="Q404" i="1"/>
  <c r="AC345" i="1"/>
  <c r="AD345" i="1" s="1"/>
  <c r="W345" i="1"/>
  <c r="X345" i="1" s="1"/>
  <c r="B345" i="2"/>
  <c r="C198" i="2"/>
  <c r="N198" i="2"/>
  <c r="O198" i="2" s="1"/>
  <c r="H198" i="2"/>
  <c r="I198" i="2" s="1"/>
  <c r="E404" i="7"/>
  <c r="F345" i="7"/>
  <c r="Q345" i="7"/>
  <c r="W198" i="7"/>
  <c r="X198" i="7" s="1"/>
  <c r="R198" i="7"/>
  <c r="AC198" i="7"/>
  <c r="AD198" i="7" s="1"/>
  <c r="AA198" i="3"/>
  <c r="Z345" i="3"/>
  <c r="R198" i="4"/>
  <c r="Q345" i="4"/>
  <c r="W198" i="4"/>
  <c r="X198" i="4" s="1"/>
  <c r="AC198" i="4"/>
  <c r="AD198" i="4" s="1"/>
  <c r="K443" i="2"/>
  <c r="L443" i="2" s="1"/>
  <c r="L404" i="2"/>
  <c r="U345" i="3"/>
  <c r="T404" i="3"/>
  <c r="T404" i="6"/>
  <c r="U345" i="6"/>
  <c r="B345" i="7"/>
  <c r="C198" i="7"/>
  <c r="N198" i="7"/>
  <c r="O198" i="7" s="1"/>
  <c r="H198" i="7"/>
  <c r="I198" i="7" s="1"/>
  <c r="L198" i="3"/>
  <c r="K345" i="3"/>
  <c r="H345" i="4" l="1"/>
  <c r="I345" i="4" s="1"/>
  <c r="C345" i="4"/>
  <c r="N345" i="4"/>
  <c r="O345" i="4" s="1"/>
  <c r="B404" i="4"/>
  <c r="B404" i="5"/>
  <c r="N345" i="5"/>
  <c r="O345" i="5" s="1"/>
  <c r="H345" i="5"/>
  <c r="I345" i="5" s="1"/>
  <c r="C345" i="5"/>
  <c r="H345" i="2"/>
  <c r="I345" i="2" s="1"/>
  <c r="C345" i="2"/>
  <c r="B404" i="2"/>
  <c r="N345" i="2"/>
  <c r="O345" i="2" s="1"/>
  <c r="R345" i="5"/>
  <c r="Q404" i="5"/>
  <c r="AC345" i="5"/>
  <c r="AD345" i="5" s="1"/>
  <c r="W345" i="5"/>
  <c r="X345" i="5" s="1"/>
  <c r="E404" i="6"/>
  <c r="F345" i="6"/>
  <c r="F404" i="1"/>
  <c r="E443" i="1"/>
  <c r="F443" i="1" s="1"/>
  <c r="C404" i="3"/>
  <c r="B443" i="3"/>
  <c r="H404" i="3"/>
  <c r="I404" i="3" s="1"/>
  <c r="E443" i="3"/>
  <c r="F443" i="3" s="1"/>
  <c r="F404" i="3"/>
  <c r="F345" i="4"/>
  <c r="E404" i="4"/>
  <c r="Z443" i="5"/>
  <c r="AA443" i="5" s="1"/>
  <c r="AA404" i="5"/>
  <c r="W345" i="3"/>
  <c r="X345" i="3" s="1"/>
  <c r="R345" i="3"/>
  <c r="Q404" i="3"/>
  <c r="AC345" i="3"/>
  <c r="AD345" i="3" s="1"/>
  <c r="Q404" i="2"/>
  <c r="AC345" i="2"/>
  <c r="AD345" i="2" s="1"/>
  <c r="W345" i="2"/>
  <c r="X345" i="2" s="1"/>
  <c r="R345" i="2"/>
  <c r="C443" i="1"/>
  <c r="T443" i="7"/>
  <c r="U443" i="7" s="1"/>
  <c r="U404" i="7"/>
  <c r="Z404" i="7"/>
  <c r="AA345" i="7"/>
  <c r="L404" i="4"/>
  <c r="K443" i="4"/>
  <c r="L443" i="4" s="1"/>
  <c r="F345" i="5"/>
  <c r="E404" i="5"/>
  <c r="W345" i="7"/>
  <c r="X345" i="7" s="1"/>
  <c r="Q404" i="7"/>
  <c r="R345" i="7"/>
  <c r="AC345" i="7"/>
  <c r="AD345" i="7" s="1"/>
  <c r="L345" i="1"/>
  <c r="K404" i="1"/>
  <c r="N345" i="1"/>
  <c r="O345" i="1" s="1"/>
  <c r="R345" i="4"/>
  <c r="AC345" i="4"/>
  <c r="AD345" i="4" s="1"/>
  <c r="Q404" i="4"/>
  <c r="W345" i="4"/>
  <c r="X345" i="4" s="1"/>
  <c r="R404" i="1"/>
  <c r="Q443" i="1"/>
  <c r="AC404" i="1"/>
  <c r="AD404" i="1" s="1"/>
  <c r="W404" i="1"/>
  <c r="X404" i="1" s="1"/>
  <c r="Z443" i="2"/>
  <c r="AA443" i="2" s="1"/>
  <c r="AA404" i="2"/>
  <c r="T443" i="6"/>
  <c r="U443" i="6" s="1"/>
  <c r="U404" i="6"/>
  <c r="K443" i="6"/>
  <c r="L443" i="6" s="1"/>
  <c r="L404" i="6"/>
  <c r="L345" i="3"/>
  <c r="K404" i="3"/>
  <c r="AA345" i="3"/>
  <c r="Z404" i="3"/>
  <c r="L345" i="5"/>
  <c r="K404" i="5"/>
  <c r="AC345" i="6"/>
  <c r="AD345" i="6" s="1"/>
  <c r="R345" i="6"/>
  <c r="Q404" i="6"/>
  <c r="W345" i="6"/>
  <c r="X345" i="6" s="1"/>
  <c r="Z443" i="6"/>
  <c r="AA443" i="6" s="1"/>
  <c r="AA404" i="6"/>
  <c r="B404" i="7"/>
  <c r="N345" i="7"/>
  <c r="O345" i="7" s="1"/>
  <c r="H345" i="7"/>
  <c r="I345" i="7" s="1"/>
  <c r="C345" i="7"/>
  <c r="T404" i="4"/>
  <c r="U345" i="4"/>
  <c r="F404" i="7"/>
  <c r="E443" i="7"/>
  <c r="F443" i="7" s="1"/>
  <c r="U404" i="1"/>
  <c r="T443" i="1"/>
  <c r="U443" i="1" s="1"/>
  <c r="T443" i="3"/>
  <c r="U443" i="3" s="1"/>
  <c r="U404" i="3"/>
  <c r="L404" i="7"/>
  <c r="K443" i="7"/>
  <c r="L443" i="7" s="1"/>
  <c r="T443" i="2"/>
  <c r="U443" i="2" s="1"/>
  <c r="U404" i="2"/>
  <c r="B404" i="6"/>
  <c r="C345" i="6"/>
  <c r="N345" i="6"/>
  <c r="O345" i="6" s="1"/>
  <c r="H345" i="6"/>
  <c r="I345" i="6" s="1"/>
  <c r="F404" i="2"/>
  <c r="E443" i="2"/>
  <c r="F443" i="2" s="1"/>
  <c r="L404" i="3" l="1"/>
  <c r="K443" i="3"/>
  <c r="L443" i="3" s="1"/>
  <c r="T443" i="4"/>
  <c r="U443" i="4" s="1"/>
  <c r="U404" i="4"/>
  <c r="W404" i="6"/>
  <c r="X404" i="6" s="1"/>
  <c r="R404" i="6"/>
  <c r="Q443" i="6"/>
  <c r="AC404" i="6"/>
  <c r="AD404" i="6" s="1"/>
  <c r="L404" i="1"/>
  <c r="K443" i="1"/>
  <c r="N404" i="1"/>
  <c r="O404" i="1" s="1"/>
  <c r="N404" i="3"/>
  <c r="O404" i="3" s="1"/>
  <c r="R443" i="1"/>
  <c r="AC443" i="1"/>
  <c r="AD443" i="1" s="1"/>
  <c r="W443" i="1"/>
  <c r="X443" i="1" s="1"/>
  <c r="C443" i="3"/>
  <c r="N443" i="3"/>
  <c r="O443" i="3" s="1"/>
  <c r="H443" i="3"/>
  <c r="I443" i="3" s="1"/>
  <c r="R404" i="5"/>
  <c r="Q443" i="5"/>
  <c r="AC404" i="5"/>
  <c r="AD404" i="5" s="1"/>
  <c r="W404" i="5"/>
  <c r="X404" i="5" s="1"/>
  <c r="C404" i="5"/>
  <c r="N404" i="5"/>
  <c r="O404" i="5" s="1"/>
  <c r="B443" i="5"/>
  <c r="H404" i="5"/>
  <c r="I404" i="5" s="1"/>
  <c r="K443" i="5"/>
  <c r="L443" i="5" s="1"/>
  <c r="L404" i="5"/>
  <c r="Z443" i="7"/>
  <c r="AA443" i="7" s="1"/>
  <c r="AA404" i="7"/>
  <c r="E443" i="4"/>
  <c r="F443" i="4" s="1"/>
  <c r="F404" i="4"/>
  <c r="C404" i="4"/>
  <c r="H404" i="4"/>
  <c r="I404" i="4" s="1"/>
  <c r="N404" i="4"/>
  <c r="O404" i="4" s="1"/>
  <c r="B443" i="4"/>
  <c r="B443" i="6"/>
  <c r="H404" i="6"/>
  <c r="I404" i="6" s="1"/>
  <c r="N404" i="6"/>
  <c r="O404" i="6" s="1"/>
  <c r="C404" i="6"/>
  <c r="W404" i="7"/>
  <c r="X404" i="7" s="1"/>
  <c r="R404" i="7"/>
  <c r="Q443" i="7"/>
  <c r="AC404" i="7"/>
  <c r="AD404" i="7" s="1"/>
  <c r="H404" i="2"/>
  <c r="I404" i="2" s="1"/>
  <c r="B443" i="2"/>
  <c r="C404" i="2"/>
  <c r="N404" i="2"/>
  <c r="O404" i="2" s="1"/>
  <c r="H404" i="7"/>
  <c r="I404" i="7" s="1"/>
  <c r="B443" i="7"/>
  <c r="N404" i="7"/>
  <c r="O404" i="7" s="1"/>
  <c r="C404" i="7"/>
  <c r="Q443" i="4"/>
  <c r="AC404" i="4"/>
  <c r="AD404" i="4" s="1"/>
  <c r="W404" i="4"/>
  <c r="X404" i="4" s="1"/>
  <c r="R404" i="4"/>
  <c r="R404" i="2"/>
  <c r="Q443" i="2"/>
  <c r="AC404" i="2"/>
  <c r="AD404" i="2" s="1"/>
  <c r="W404" i="2"/>
  <c r="X404" i="2" s="1"/>
  <c r="AA404" i="3"/>
  <c r="Z443" i="3"/>
  <c r="AA443" i="3" s="1"/>
  <c r="F404" i="5"/>
  <c r="E443" i="5"/>
  <c r="F443" i="5" s="1"/>
  <c r="H443" i="1"/>
  <c r="I443" i="1" s="1"/>
  <c r="Q443" i="3"/>
  <c r="W404" i="3"/>
  <c r="X404" i="3" s="1"/>
  <c r="R404" i="3"/>
  <c r="AC404" i="3"/>
  <c r="AD404" i="3" s="1"/>
  <c r="E443" i="6"/>
  <c r="F443" i="6" s="1"/>
  <c r="F404" i="6"/>
  <c r="R443" i="6" l="1"/>
  <c r="W443" i="6"/>
  <c r="X443" i="6" s="1"/>
  <c r="AC443" i="6"/>
  <c r="AD443" i="6" s="1"/>
  <c r="H443" i="2"/>
  <c r="I443" i="2" s="1"/>
  <c r="N443" i="2"/>
  <c r="O443" i="2" s="1"/>
  <c r="C443" i="2"/>
  <c r="H443" i="6"/>
  <c r="I443" i="6" s="1"/>
  <c r="C443" i="6"/>
  <c r="N443" i="6"/>
  <c r="O443" i="6" s="1"/>
  <c r="H443" i="4"/>
  <c r="I443" i="4" s="1"/>
  <c r="C443" i="4"/>
  <c r="N443" i="4"/>
  <c r="O443" i="4" s="1"/>
  <c r="R443" i="5"/>
  <c r="AC443" i="5"/>
  <c r="AD443" i="5" s="1"/>
  <c r="W443" i="5"/>
  <c r="X443" i="5" s="1"/>
  <c r="AC443" i="4"/>
  <c r="AD443" i="4" s="1"/>
  <c r="W443" i="4"/>
  <c r="X443" i="4" s="1"/>
  <c r="R443" i="4"/>
  <c r="W443" i="7"/>
  <c r="X443" i="7" s="1"/>
  <c r="R443" i="7"/>
  <c r="AC443" i="7"/>
  <c r="AD443" i="7" s="1"/>
  <c r="R443" i="3"/>
  <c r="AC443" i="3"/>
  <c r="AD443" i="3" s="1"/>
  <c r="W443" i="3"/>
  <c r="X443" i="3" s="1"/>
  <c r="R443" i="2"/>
  <c r="AC443" i="2"/>
  <c r="AD443" i="2" s="1"/>
  <c r="W443" i="2"/>
  <c r="X443" i="2" s="1"/>
  <c r="H443" i="7"/>
  <c r="I443" i="7" s="1"/>
  <c r="C443" i="7"/>
  <c r="N443" i="7"/>
  <c r="O443" i="7" s="1"/>
  <c r="L443" i="1"/>
  <c r="N443" i="1"/>
  <c r="O443" i="1" s="1"/>
  <c r="N443" i="5"/>
  <c r="O443" i="5" s="1"/>
  <c r="H443" i="5"/>
  <c r="I443" i="5" s="1"/>
  <c r="C443" i="5"/>
</calcChain>
</file>

<file path=xl/sharedStrings.xml><?xml version="1.0" encoding="utf-8"?>
<sst xmlns="http://schemas.openxmlformats.org/spreadsheetml/2006/main" count="3934" uniqueCount="417">
  <si>
    <t>P&amp;L - Per. &amp; YTD vs Budget and PY</t>
  </si>
  <si>
    <t>01/25/2026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</si>
  <si>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</si>
  <si>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</si>
  <si>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</si>
  <si>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</si>
  <si>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</si>
  <si>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</si>
  <si>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</si>
  <si>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</si>
  <si>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</si>
  <si>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</si>
  <si>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</si>
  <si>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</si>
  <si>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</si>
  <si>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</si>
  <si>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</si>
  <si>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</si>
  <si>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</si>
  <si>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</si>
  <si>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</si>
  <si>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</si>
  <si>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</si>
  <si>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</si>
  <si>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</si>
  <si>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</si>
  <si>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</si>
  <si>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</si>
  <si>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</si>
  <si>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</si>
  <si>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</si>
  <si>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</si>
  <si>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</si>
  <si>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</si>
  <si>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</si>
  <si>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</si>
  <si>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</si>
  <si>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</si>
  <si>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</si>
  <si>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</si>
  <si>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</si>
  <si>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</si>
  <si>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</si>
  <si>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</si>
  <si>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</si>
  <si>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</si>
  <si>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</si>
  <si>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</si>
  <si>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</si>
  <si>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</si>
  <si>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</si>
  <si>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</si>
  <si>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</si>
  <si>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</si>
  <si>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</si>
  <si>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</si>
  <si>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</si>
  <si>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</si>
  <si>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</si>
  <si>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</si>
  <si>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</si>
  <si>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</si>
  <si>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</si>
  <si>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</si>
  <si>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</si>
  <si>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</si>
  <si>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</si>
  <si>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</si>
  <si>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</si>
  <si>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</si>
  <si>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</si>
  <si>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</si>
  <si>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</si>
  <si>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</si>
  <si>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</si>
  <si>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</si>
  <si>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</si>
  <si>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</si>
  <si>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</si>
  <si>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</si>
  <si>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</si>
  <si>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</si>
  <si>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</si>
  <si>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</si>
  <si>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</si>
  <si>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</si>
  <si>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</si>
  <si>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</si>
  <si>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</si>
  <si>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</si>
  <si>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</si>
  <si>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</si>
  <si>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</si>
  <si>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</si>
  <si>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</si>
  <si>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</si>
  <si>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</si>
  <si>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</si>
  <si>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</si>
  <si>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</si>
  <si>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</si>
  <si>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</si>
  <si>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</si>
  <si>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</si>
  <si>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</si>
  <si>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</si>
  <si>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</si>
  <si>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</si>
  <si>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</si>
  <si>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</si>
  <si>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</si>
  <si>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</si>
  <si>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</si>
  <si>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</si>
  <si>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</si>
  <si>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</si>
  <si>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</si>
  <si>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</si>
  <si>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</si>
  <si>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</si>
  <si>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</si>
  <si>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</si>
  <si>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</si>
  <si>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</si>
  <si>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</si>
  <si>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</si>
  <si>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</si>
  <si>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</si>
  <si>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</si>
  <si>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</si>
  <si>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</si>
  <si>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</si>
  <si>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</si>
  <si>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</si>
  <si>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</si>
  <si>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</si>
  <si>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</si>
  <si>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</si>
  <si>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</si>
  <si>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</si>
  <si>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</si>
  <si>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</si>
  <si>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</si>
  <si>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</si>
  <si>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</si>
  <si>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</si>
  <si>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</si>
  <si>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</si>
  <si>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</si>
  <si>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</si>
  <si>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</si>
  <si>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</si>
  <si>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</si>
  <si>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</si>
  <si>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</si>
  <si>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</si>
  <si>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</si>
  <si>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</si>
  <si>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</si>
  <si>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</si>
  <si>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</si>
  <si>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</si>
  <si>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</si>
  <si>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</si>
  <si>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</si>
  <si>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</si>
  <si>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</si>
  <si>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</si>
  <si>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</si>
  <si>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</si>
  <si>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</si>
  <si>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</si>
  <si>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</si>
  <si>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</si>
  <si>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</si>
  <si>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</si>
  <si>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</si>
  <si>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</si>
  <si>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</si>
  <si>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</si>
  <si>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</si>
  <si>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</si>
  <si>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</si>
  <si>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</si>
  <si>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</si>
  <si>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</si>
  <si>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</si>
  <si>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</si>
  <si>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</si>
  <si>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</si>
  <si>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</si>
  <si>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</si>
  <si>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</si>
  <si>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</si>
  <si>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</si>
  <si>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</si>
  <si>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</si>
  <si>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</si>
  <si>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</si>
  <si>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</si>
  <si>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</si>
  <si>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</si>
  <si>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</si>
  <si>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</si>
  <si>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</si>
  <si>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</si>
  <si>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</si>
  <si>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</si>
  <si>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</si>
  <si>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</si>
  <si>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</si>
  <si>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</si>
  <si>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Thanx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</si>
  <si>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</si>
  <si>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</si>
  <si>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</si>
  <si>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</si>
  <si>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</si>
  <si>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</si>
  <si>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</si>
  <si>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</si>
  <si>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</si>
  <si>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</si>
  <si>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</si>
  <si>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</si>
  <si>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</si>
  <si>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</si>
  <si>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</si>
  <si>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</si>
  <si>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</si>
  <si>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</si>
  <si>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</si>
  <si>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</si>
  <si>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</si>
  <si>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</si>
  <si>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</si>
  <si>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</si>
  <si>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</si>
  <si>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</si>
  <si>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</si>
  <si>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</si>
  <si>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</si>
  <si>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</si>
  <si>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</si>
  <si>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</si>
  <si>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</si>
  <si>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</si>
  <si>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</si>
  <si>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</si>
  <si>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</si>
  <si>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</si>
  <si>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</si>
  <si>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</si>
  <si>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</si>
  <si>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</si>
  <si>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</si>
  <si>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</si>
  <si>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</si>
  <si>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</si>
  <si>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</si>
  <si>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</si>
  <si>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</si>
  <si>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</si>
  <si>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</si>
  <si>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</si>
  <si>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</si>
  <si>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</si>
  <si>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</si>
  <si>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</si>
  <si>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</si>
  <si>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</si>
  <si>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</si>
  <si>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</si>
  <si>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</si>
  <si>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</si>
  <si>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</si>
  <si>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</si>
  <si>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</si>
  <si>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</si>
  <si>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</si>
  <si>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</si>
  <si>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</si>
  <si>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</si>
  <si>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</si>
  <si>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</si>
  <si>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</si>
  <si>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</si>
  <si>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</si>
  <si>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</si>
  <si>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</si>
  <si>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</si>
  <si>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</si>
  <si>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</si>
  <si>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</si>
  <si>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</si>
  <si>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</si>
  <si>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</si>
  <si>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</si>
  <si>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</si>
  <si>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</si>
  <si>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</si>
  <si>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</si>
  <si>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</si>
  <si>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</si>
  <si>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</si>
  <si>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</si>
  <si>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</si>
  <si>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</si>
  <si>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</si>
  <si>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</si>
  <si>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</si>
  <si>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</si>
  <si>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</si>
  <si>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</si>
  <si>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</si>
  <si>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</si>
  <si>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</si>
  <si>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</si>
  <si>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</si>
  <si>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</si>
  <si>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</si>
  <si>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</si>
  <si>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</si>
  <si>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</si>
  <si>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</si>
  <si>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</si>
  <si>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</si>
  <si>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</si>
  <si>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</si>
  <si>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</si>
  <si>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</si>
  <si>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</si>
  <si>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</si>
  <si>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</si>
  <si>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</si>
  <si>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</si>
  <si>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</si>
  <si>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</si>
  <si>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</si>
  <si>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</si>
  <si>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</si>
  <si>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</si>
  <si>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</si>
  <si>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</si>
  <si>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</si>
  <si>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</si>
  <si>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</si>
  <si>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</si>
  <si>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</si>
  <si>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</si>
  <si>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</si>
  <si>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</si>
  <si>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</si>
  <si>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</si>
  <si>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</si>
  <si>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</si>
  <si>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</si>
  <si>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</si>
  <si>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</si>
  <si>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</si>
  <si>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</si>
  <si>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</si>
  <si>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</si>
  <si>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</si>
  <si>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</si>
  <si>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</si>
  <si>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</si>
  <si>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</si>
  <si>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</si>
  <si>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</si>
  <si>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</si>
  <si>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</si>
  <si>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</si>
  <si>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</si>
  <si>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</si>
  <si>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</si>
  <si>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</si>
  <si>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</si>
  <si>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</si>
  <si>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</si>
  <si>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</si>
  <si>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</si>
  <si>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</si>
  <si>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</si>
  <si>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</si>
  <si>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</si>
  <si>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</si>
  <si>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</si>
  <si>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</si>
  <si>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</si>
  <si>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</si>
  <si>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</si>
  <si>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</si>
  <si>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</si>
  <si>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</si>
  <si>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</si>
  <si>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</si>
  <si>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</si>
  <si>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</si>
  <si>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</si>
  <si>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</si>
  <si>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</si>
  <si>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</si>
  <si>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</si>
  <si>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</si>
  <si>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</si>
  <si>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</si>
  <si>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</si>
  <si>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</si>
  <si>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</si>
  <si>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04/06/2026 07:04 PM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</si>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</sst>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%"/>
    <numFmt numFmtId="165" formatCode="#,##0.0%;\(#,##0.0%\)"/>
    <numFmt numFmtId="166" formatCode="#,##0.0;\(#,##0.0\)"/>
  </numFmts>
  <fonts count="11" x14ac:knownFonts="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6" fillId="0" borderId="0" xfId="0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 wrapText="1" indent="2"/>
    </xf>
    <xf numFmtId="0" fontId="4" fillId="0" borderId="0" xfId="0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 wrapText="1" indent="3"/>
    </xf>
    <xf numFmtId="0" fontId="4" fillId="0" borderId="0" xfId="0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449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25" x14ac:dyDescent="0.45"/>
  <cols>
    <col min="1" max="1" width="42.86328125" customWidth="1"/>
    <col min="2" max="2" width="17.1328125" customWidth="1"/>
    <col min="3" max="3" width="9.3984375" customWidth="1"/>
    <col min="4" max="4" width="1.3984375" customWidth="1"/>
    <col min="5" max="5" width="17.1328125" customWidth="1"/>
    <col min="6" max="6" width="9.3984375" customWidth="1"/>
    <col min="7" max="7" width="1.3984375" customWidth="1"/>
    <col min="8" max="8" width="17.1328125" customWidth="1"/>
    <col min="9" max="9" width="9.3984375" customWidth="1"/>
    <col min="10" max="10" width="1.3984375" customWidth="1"/>
    <col min="11" max="11" width="17.1328125" customWidth="1"/>
    <col min="12" max="12" width="9.3984375" customWidth="1"/>
    <col min="13" max="13" width="1.3984375" customWidth="1"/>
    <col min="14" max="14" width="17.1328125" customWidth="1"/>
    <col min="15" max="15" width="9.3984375" customWidth="1"/>
    <col min="16" max="16" width="1.3984375" customWidth="1"/>
    <col min="17" max="17" width="17.1328125" customWidth="1"/>
    <col min="18" max="18" width="9.3984375" customWidth="1"/>
    <col min="19" max="19" width="1.3984375" customWidth="1"/>
    <col min="20" max="20" width="17.1328125" customWidth="1"/>
    <col min="21" max="21" width="9.3984375" customWidth="1"/>
    <col min="22" max="22" width="1.3984375" customWidth="1"/>
    <col min="23" max="23" width="17.1328125" customWidth="1"/>
    <col min="24" max="24" width="9.3984375" customWidth="1"/>
    <col min="25" max="25" width="1.3984375" customWidth="1"/>
    <col min="26" max="26" width="17.1328125" customWidth="1"/>
    <col min="27" max="27" width="9.3984375" customWidth="1"/>
    <col min="28" max="28" width="1.3984375" customWidth="1"/>
    <col min="29" max="29" width="17.1328125" customWidth="1"/>
    <col min="30" max="30" width="9.3984375" customWidth="1"/>
  </cols>
  <sheetData>
    <row r="1" spans="1:30" ht="33.4" x14ac:dyDescent="0.45">
      <c r="A1" s="29" t="s">
        <v>0</v>
      </c>
      <c r="B1" s="29" t="s">
        <v>0</v>
      </c>
      <c r="C1" s="29" t="s">
        <v>0</v>
      </c>
      <c r="D1" s="29" t="s">
        <v>0</v>
      </c>
      <c r="E1" s="29" t="s">
        <v>0</v>
      </c>
      <c r="F1" s="29" t="s">
        <v>0</v>
      </c>
      <c r="G1" s="29" t="s">
        <v>0</v>
      </c>
      <c r="H1" s="29" t="s">
        <v>0</v>
      </c>
      <c r="I1" s="29" t="s">
        <v>0</v>
      </c>
      <c r="J1" s="29" t="s">
        <v>0</v>
      </c>
      <c r="K1" s="29" t="s">
        <v>0</v>
      </c>
      <c r="L1" s="29" t="s">
        <v>0</v>
      </c>
      <c r="M1" s="29" t="s">
        <v>0</v>
      </c>
      <c r="N1" s="29" t="s">
        <v>0</v>
      </c>
      <c r="O1" s="29" t="s">
        <v>0</v>
      </c>
      <c r="P1" s="29" t="s">
        <v>0</v>
      </c>
      <c r="Q1" s="29" t="s">
        <v>0</v>
      </c>
      <c r="R1" s="29" t="s">
        <v>0</v>
      </c>
      <c r="S1" s="29" t="s">
        <v>0</v>
      </c>
      <c r="T1" s="29" t="s">
        <v>0</v>
      </c>
      <c r="U1" s="29" t="s">
        <v>0</v>
      </c>
      <c r="V1" s="29" t="s">
        <v>0</v>
      </c>
      <c r="W1" s="29" t="s">
        <v>0</v>
      </c>
      <c r="X1" s="29" t="s">
        <v>0</v>
      </c>
      <c r="Y1" s="29" t="s">
        <v>0</v>
      </c>
      <c r="Z1" s="29" t="s">
        <v>0</v>
      </c>
      <c r="AA1" s="29" t="s">
        <v>0</v>
      </c>
      <c r="AB1" s="29" t="s">
        <v>0</v>
      </c>
      <c r="AC1" s="29" t="s">
        <v>0</v>
      </c>
      <c r="AD1" s="29" t="s">
        <v>0</v>
      </c>
    </row>
    <row r="2" spans="1:30" ht="23.25" x14ac:dyDescent="0.45">
      <c r="A2" s="30" t="s">
        <v>1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0" t="s">
        <v>1</v>
      </c>
      <c r="O2" s="30" t="s">
        <v>1</v>
      </c>
      <c r="P2" s="30" t="s">
        <v>1</v>
      </c>
      <c r="Q2" s="30" t="s">
        <v>1</v>
      </c>
      <c r="R2" s="30" t="s">
        <v>1</v>
      </c>
      <c r="S2" s="30" t="s">
        <v>1</v>
      </c>
      <c r="T2" s="30" t="s">
        <v>1</v>
      </c>
      <c r="U2" s="30" t="s">
        <v>1</v>
      </c>
      <c r="V2" s="30" t="s">
        <v>1</v>
      </c>
      <c r="W2" s="30" t="s">
        <v>1</v>
      </c>
      <c r="X2" s="30" t="s">
        <v>1</v>
      </c>
      <c r="Y2" s="30" t="s">
        <v>1</v>
      </c>
      <c r="Z2" s="30" t="s">
        <v>1</v>
      </c>
      <c r="AA2" s="30" t="s">
        <v>1</v>
      </c>
      <c r="AB2" s="30" t="s">
        <v>1</v>
      </c>
      <c r="AC2" s="30" t="s">
        <v>1</v>
      </c>
      <c r="AD2" s="30" t="s">
        <v>1</v>
      </c>
    </row>
    <row r="3" spans="1:30" ht="15.75" x14ac:dyDescent="0.45">
      <c r="A3" s="31" t="s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31" t="s">
        <v>2</v>
      </c>
      <c r="M3" s="31" t="s">
        <v>2</v>
      </c>
      <c r="N3" s="31" t="s">
        <v>2</v>
      </c>
      <c r="O3" s="31" t="s">
        <v>2</v>
      </c>
      <c r="P3" s="31" t="s">
        <v>2</v>
      </c>
      <c r="Q3" s="31" t="s">
        <v>2</v>
      </c>
      <c r="R3" s="31" t="s">
        <v>2</v>
      </c>
      <c r="S3" s="31" t="s">
        <v>2</v>
      </c>
      <c r="T3" s="31" t="s">
        <v>2</v>
      </c>
      <c r="U3" s="31" t="s">
        <v>2</v>
      </c>
      <c r="V3" s="31" t="s">
        <v>2</v>
      </c>
      <c r="W3" s="31" t="s">
        <v>2</v>
      </c>
      <c r="X3" s="31" t="s">
        <v>2</v>
      </c>
      <c r="Y3" s="31" t="s">
        <v>2</v>
      </c>
      <c r="Z3" s="31" t="s">
        <v>2</v>
      </c>
      <c r="AA3" s="31" t="s">
        <v>2</v>
      </c>
      <c r="AB3" s="31" t="s">
        <v>2</v>
      </c>
      <c r="AC3" s="31" t="s">
        <v>2</v>
      </c>
      <c r="AD3" s="31" t="s">
        <v>2</v>
      </c>
    </row>
    <row r="5" spans="1:30" ht="16.5" customHeight="1" x14ac:dyDescent="0.45">
      <c r="A5" s="32" t="s">
        <v>3</v>
      </c>
      <c r="B5" s="33" t="s">
        <v>4</v>
      </c>
      <c r="C5" s="34" t="s">
        <v>3</v>
      </c>
      <c r="D5" s="32" t="s">
        <v>3</v>
      </c>
      <c r="E5" s="33" t="s">
        <v>5</v>
      </c>
      <c r="F5" s="34" t="s">
        <v>3</v>
      </c>
      <c r="G5" s="32" t="s">
        <v>3</v>
      </c>
      <c r="H5" s="33" t="s">
        <v>6</v>
      </c>
      <c r="I5" s="34" t="s">
        <v>3</v>
      </c>
      <c r="J5" s="32" t="s">
        <v>3</v>
      </c>
      <c r="K5" s="33" t="s">
        <v>7</v>
      </c>
      <c r="L5" s="34" t="s">
        <v>3</v>
      </c>
      <c r="M5" s="32" t="s">
        <v>3</v>
      </c>
      <c r="N5" s="33" t="s">
        <v>6</v>
      </c>
      <c r="O5" s="34" t="s">
        <v>3</v>
      </c>
      <c r="P5" s="32" t="s">
        <v>3</v>
      </c>
      <c r="Q5" s="33" t="s">
        <v>8</v>
      </c>
      <c r="R5" s="34" t="s">
        <v>3</v>
      </c>
      <c r="S5" s="32" t="s">
        <v>3</v>
      </c>
      <c r="T5" s="33" t="s">
        <v>9</v>
      </c>
      <c r="U5" s="34" t="s">
        <v>3</v>
      </c>
      <c r="V5" s="32" t="s">
        <v>3</v>
      </c>
      <c r="W5" s="33" t="s">
        <v>6</v>
      </c>
      <c r="X5" s="34" t="s">
        <v>3</v>
      </c>
      <c r="Y5" s="32" t="s">
        <v>3</v>
      </c>
      <c r="Z5" s="33" t="s">
        <v>10</v>
      </c>
      <c r="AA5" s="34" t="s">
        <v>3</v>
      </c>
      <c r="AB5" s="32" t="s">
        <v>3</v>
      </c>
      <c r="AC5" s="33" t="s">
        <v>6</v>
      </c>
      <c r="AD5" s="34" t="s">
        <v>3</v>
      </c>
    </row>
    <row r="6" spans="1:30" ht="16.5" customHeight="1" x14ac:dyDescent="0.45">
      <c r="A6" s="1" t="s">
        <v>11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45">
      <c r="A7" s="5" t="s">
        <v>11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45">
      <c r="A8" s="6" t="s">
        <v>11</v>
      </c>
      <c r="B8" s="7">
        <v>0</v>
      </c>
      <c r="C8" s="8">
        <f>IFERROR(B8/B444, "NA")</f>
        <v>0</v>
      </c>
      <c r="D8" s="9"/>
      <c r="E8" s="7">
        <v>0</v>
      </c>
      <c r="F8" s="8">
        <f>IFERROR(E8/E444, "NA")</f>
        <v>0</v>
      </c>
      <c r="G8" s="9"/>
      <c r="H8" s="10">
        <f>IFERROR(B8-E8, "NA")</f>
        <v>0</v>
      </c>
      <c r="I8" s="8">
        <f>IFERROR(H8/H444, "NA")</f>
        <v>0</v>
      </c>
      <c r="J8" s="9"/>
      <c r="K8" s="7">
        <v>0</v>
      </c>
      <c r="L8" s="8">
        <f>IFERROR(K8/K444, "NA")</f>
        <v>0</v>
      </c>
      <c r="M8" s="9"/>
      <c r="N8" s="10">
        <f>IFERROR(B8-K8, "NA")</f>
        <v>0</v>
      </c>
      <c r="O8" s="8">
        <f>IFERROR(N8/N444, "NA")</f>
        <v>0</v>
      </c>
      <c r="P8" s="9"/>
      <c r="Q8" s="7">
        <v>0</v>
      </c>
      <c r="R8" s="8">
        <f>IFERROR(Q8/Q444, "NA")</f>
        <v>0</v>
      </c>
      <c r="S8" s="9"/>
      <c r="T8" s="7">
        <v>0</v>
      </c>
      <c r="U8" s="8">
        <f>IFERROR(T8/T444, "NA")</f>
        <v>0</v>
      </c>
      <c r="V8" s="9"/>
      <c r="W8" s="10">
        <f>IFERROR(Q8-T8, "NA")</f>
        <v>0</v>
      </c>
      <c r="X8" s="8">
        <f>IFERROR(W8/W444, "NA")</f>
        <v>0</v>
      </c>
      <c r="Y8" s="9"/>
      <c r="Z8" s="7">
        <v>0</v>
      </c>
      <c r="AA8" s="8">
        <f>IFERROR(Z8/Z444, "NA")</f>
        <v>0</v>
      </c>
      <c r="AB8" s="9"/>
      <c r="AC8" s="10">
        <f>IFERROR(Q8-Z8, "NA")</f>
        <v>0</v>
      </c>
      <c r="AD8" s="8">
        <f>IFERROR(AC8/AC444, "NA")</f>
        <v>0</v>
      </c>
    </row>
    <row r="9" spans="1:30" ht="16.5" customHeight="1" x14ac:dyDescent="0.45">
      <c r="A9" s="11" t="s">
        <v>12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45">
      <c r="A10" s="12" t="s">
        <v>12</v>
      </c>
      <c r="B10" s="7">
        <v>0</v>
      </c>
      <c r="C10" s="8">
        <f>IFERROR(B10/B444, "NA")</f>
        <v>0</v>
      </c>
      <c r="D10" s="9"/>
      <c r="E10" s="7">
        <v>187139.57</v>
      </c>
      <c r="F10" s="8">
        <f>IFERROR(E10/E444, "NA")</f>
        <v>0.41706295984784769</v>
      </c>
      <c r="G10" s="9"/>
      <c r="H10" s="10">
        <f t="shared" ref="H10:H19" si="0">IFERROR(B10-E10, "NA")</f>
        <v>-187139.57</v>
      </c>
      <c r="I10" s="8">
        <f>IFERROR(H10/H444, "NA")</f>
        <v>13.70373459479643</v>
      </c>
      <c r="J10" s="9"/>
      <c r="K10" s="7">
        <v>0</v>
      </c>
      <c r="L10" s="8">
        <f>IFERROR(K10/K444, "NA")</f>
        <v>0</v>
      </c>
      <c r="M10" s="9"/>
      <c r="N10" s="10">
        <f t="shared" ref="N10:N19" si="1">IFERROR(B10-K10, "NA")</f>
        <v>0</v>
      </c>
      <c r="O10" s="8">
        <f>IFERROR(N10/N444, "NA")</f>
        <v>0</v>
      </c>
      <c r="P10" s="9"/>
      <c r="Q10" s="7">
        <v>0</v>
      </c>
      <c r="R10" s="8">
        <f>IFERROR(Q10/Q444, "NA")</f>
        <v>0</v>
      </c>
      <c r="S10" s="9"/>
      <c r="T10" s="7">
        <v>187139.57</v>
      </c>
      <c r="U10" s="8">
        <f>IFERROR(T10/T444, "NA")</f>
        <v>0.41706295984784769</v>
      </c>
      <c r="V10" s="9"/>
      <c r="W10" s="10">
        <f t="shared" ref="W10:W19" si="2">IFERROR(Q10-T10, "NA")</f>
        <v>-187139.57</v>
      </c>
      <c r="X10" s="8">
        <f>IFERROR(W10/W444, "NA")</f>
        <v>13.70373459479643</v>
      </c>
      <c r="Y10" s="9"/>
      <c r="Z10" s="7">
        <v>0</v>
      </c>
      <c r="AA10" s="8">
        <f>IFERROR(Z10/Z444, "NA")</f>
        <v>0</v>
      </c>
      <c r="AB10" s="9"/>
      <c r="AC10" s="10">
        <f t="shared" ref="AC10:AC19" si="3">IFERROR(Q10-Z10, "NA")</f>
        <v>0</v>
      </c>
      <c r="AD10" s="8">
        <f>IFERROR(AC10/AC444, "NA")</f>
        <v>0</v>
      </c>
    </row>
    <row r="11" spans="1:30" ht="16.5" customHeight="1" x14ac:dyDescent="0.45">
      <c r="A11" s="12" t="s">
        <v>13</v>
      </c>
      <c r="B11" s="7">
        <v>174637.37</v>
      </c>
      <c r="C11" s="8">
        <f>IFERROR(B11/B444, "NA")</f>
        <v>0.4014171406137334</v>
      </c>
      <c r="D11" s="9"/>
      <c r="E11" s="7">
        <v>0</v>
      </c>
      <c r="F11" s="8">
        <f>IFERROR(E11/E444, "NA")</f>
        <v>0</v>
      </c>
      <c r="G11" s="9"/>
      <c r="H11" s="10">
        <f t="shared" si="0"/>
        <v>174637.37</v>
      </c>
      <c r="I11" s="8">
        <f>IFERROR(H11/H444, "NA")</f>
        <v>-12.788231632750167</v>
      </c>
      <c r="J11" s="9"/>
      <c r="K11" s="7">
        <v>157993.03</v>
      </c>
      <c r="L11" s="8">
        <f>IFERROR(K11/K444, "NA")</f>
        <v>0.3627392040549236</v>
      </c>
      <c r="M11" s="9"/>
      <c r="N11" s="10">
        <f t="shared" si="1"/>
        <v>16644.339999999997</v>
      </c>
      <c r="O11" s="8">
        <f>IFERROR(N11/N444, "NA")</f>
        <v>-33.068444161880791</v>
      </c>
      <c r="P11" s="9"/>
      <c r="Q11" s="7">
        <v>174637.37</v>
      </c>
      <c r="R11" s="8">
        <f>IFERROR(Q11/Q444, "NA")</f>
        <v>0.4014171406137334</v>
      </c>
      <c r="S11" s="9"/>
      <c r="T11" s="7">
        <v>0</v>
      </c>
      <c r="U11" s="8">
        <f>IFERROR(T11/T444, "NA")</f>
        <v>0</v>
      </c>
      <c r="V11" s="9"/>
      <c r="W11" s="10">
        <f t="shared" si="2"/>
        <v>174637.37</v>
      </c>
      <c r="X11" s="8">
        <f>IFERROR(W11/W444, "NA")</f>
        <v>-12.788231632750167</v>
      </c>
      <c r="Y11" s="9"/>
      <c r="Z11" s="7">
        <v>157993.03</v>
      </c>
      <c r="AA11" s="8">
        <f>IFERROR(Z11/Z444, "NA")</f>
        <v>0.3627392040549236</v>
      </c>
      <c r="AB11" s="9"/>
      <c r="AC11" s="10">
        <f t="shared" si="3"/>
        <v>16644.339999999997</v>
      </c>
      <c r="AD11" s="8">
        <f>IFERROR(AC11/AC444, "NA")</f>
        <v>-33.068444161880791</v>
      </c>
    </row>
    <row r="12" spans="1:30" ht="16.5" customHeight="1" x14ac:dyDescent="0.45">
      <c r="A12" s="12" t="s">
        <v>14</v>
      </c>
      <c r="B12" s="7">
        <v>17034.150000000001</v>
      </c>
      <c r="C12" s="8">
        <f>IFERROR(B12/B444, "NA")</f>
        <v>3.9154276005103759E-2</v>
      </c>
      <c r="D12" s="9"/>
      <c r="E12" s="7">
        <v>0</v>
      </c>
      <c r="F12" s="8">
        <f>IFERROR(E12/E444, "NA")</f>
        <v>0</v>
      </c>
      <c r="G12" s="9"/>
      <c r="H12" s="10">
        <f t="shared" si="0"/>
        <v>17034.150000000001</v>
      </c>
      <c r="I12" s="8">
        <f>IFERROR(H12/H444, "NA")</f>
        <v>-1.2473656461215104</v>
      </c>
      <c r="J12" s="9"/>
      <c r="K12" s="7">
        <v>15303.55</v>
      </c>
      <c r="L12" s="8">
        <f>IFERROR(K12/K444, "NA")</f>
        <v>3.5135711659018923E-2</v>
      </c>
      <c r="M12" s="9"/>
      <c r="N12" s="10">
        <f t="shared" si="1"/>
        <v>1730.6000000000022</v>
      </c>
      <c r="O12" s="8">
        <f>IFERROR(N12/N444, "NA")</f>
        <v>-3.4383009158999984</v>
      </c>
      <c r="P12" s="9"/>
      <c r="Q12" s="7">
        <v>17034.150000000001</v>
      </c>
      <c r="R12" s="8">
        <f>IFERROR(Q12/Q444, "NA")</f>
        <v>3.9154276005103759E-2</v>
      </c>
      <c r="S12" s="9"/>
      <c r="T12" s="7">
        <v>0</v>
      </c>
      <c r="U12" s="8">
        <f>IFERROR(T12/T444, "NA")</f>
        <v>0</v>
      </c>
      <c r="V12" s="9"/>
      <c r="W12" s="10">
        <f t="shared" si="2"/>
        <v>17034.150000000001</v>
      </c>
      <c r="X12" s="8">
        <f>IFERROR(W12/W444, "NA")</f>
        <v>-1.2473656461215104</v>
      </c>
      <c r="Y12" s="9"/>
      <c r="Z12" s="7">
        <v>15303.55</v>
      </c>
      <c r="AA12" s="8">
        <f>IFERROR(Z12/Z444, "NA")</f>
        <v>3.5135711659018923E-2</v>
      </c>
      <c r="AB12" s="9"/>
      <c r="AC12" s="10">
        <f t="shared" si="3"/>
        <v>1730.6000000000022</v>
      </c>
      <c r="AD12" s="8">
        <f>IFERROR(AC12/AC444, "NA")</f>
        <v>-3.4383009158999984</v>
      </c>
    </row>
    <row r="13" spans="1:30" ht="16.5" customHeight="1" x14ac:dyDescent="0.45">
      <c r="A13" s="12" t="s">
        <v>15</v>
      </c>
      <c r="B13" s="7">
        <v>470.5</v>
      </c>
      <c r="C13" s="8">
        <f>IFERROR(B13/B444, "NA")</f>
        <v>1.0814796664583392E-3</v>
      </c>
      <c r="D13" s="9"/>
      <c r="E13" s="7">
        <v>0</v>
      </c>
      <c r="F13" s="8">
        <f>IFERROR(E13/E444, "NA")</f>
        <v>0</v>
      </c>
      <c r="G13" s="9"/>
      <c r="H13" s="10">
        <f t="shared" si="0"/>
        <v>470.5</v>
      </c>
      <c r="I13" s="8">
        <f>IFERROR(H13/H444, "NA")</f>
        <v>-3.4453467681109455E-2</v>
      </c>
      <c r="J13" s="9"/>
      <c r="K13" s="7">
        <v>430</v>
      </c>
      <c r="L13" s="8">
        <f>IFERROR(K13/K444, "NA")</f>
        <v>9.8724518254771835E-4</v>
      </c>
      <c r="M13" s="9"/>
      <c r="N13" s="10">
        <f t="shared" si="1"/>
        <v>40.5</v>
      </c>
      <c r="O13" s="8">
        <f>IFERROR(N13/N444, "NA")</f>
        <v>-8.0464109033832054E-2</v>
      </c>
      <c r="P13" s="9"/>
      <c r="Q13" s="7">
        <v>470.5</v>
      </c>
      <c r="R13" s="8">
        <f>IFERROR(Q13/Q444, "NA")</f>
        <v>1.0814796664583392E-3</v>
      </c>
      <c r="S13" s="9"/>
      <c r="T13" s="7">
        <v>0</v>
      </c>
      <c r="U13" s="8">
        <f>IFERROR(T13/T444, "NA")</f>
        <v>0</v>
      </c>
      <c r="V13" s="9"/>
      <c r="W13" s="10">
        <f t="shared" si="2"/>
        <v>470.5</v>
      </c>
      <c r="X13" s="8">
        <f>IFERROR(W13/W444, "NA")</f>
        <v>-3.4453467681109455E-2</v>
      </c>
      <c r="Y13" s="9"/>
      <c r="Z13" s="7">
        <v>430</v>
      </c>
      <c r="AA13" s="8">
        <f>IFERROR(Z13/Z444, "NA")</f>
        <v>9.8724518254771835E-4</v>
      </c>
      <c r="AB13" s="9"/>
      <c r="AC13" s="10">
        <f t="shared" si="3"/>
        <v>40.5</v>
      </c>
      <c r="AD13" s="8">
        <f>IFERROR(AC13/AC444, "NA")</f>
        <v>-8.0464109033832054E-2</v>
      </c>
    </row>
    <row r="14" spans="1:30" ht="16.5" customHeight="1" x14ac:dyDescent="0.45">
      <c r="A14" s="12" t="s">
        <v>16</v>
      </c>
      <c r="B14" s="7">
        <v>90</v>
      </c>
      <c r="C14" s="8">
        <f>IFERROR(B14/B444, "NA")</f>
        <v>2.0687177466790761E-4</v>
      </c>
      <c r="D14" s="9"/>
      <c r="E14" s="7">
        <v>0</v>
      </c>
      <c r="F14" s="8">
        <f>IFERROR(E14/E444, "NA")</f>
        <v>0</v>
      </c>
      <c r="G14" s="9"/>
      <c r="H14" s="10">
        <f t="shared" si="0"/>
        <v>90</v>
      </c>
      <c r="I14" s="8">
        <f>IFERROR(H14/H444, "NA")</f>
        <v>-6.5904614055257186E-3</v>
      </c>
      <c r="J14" s="9"/>
      <c r="K14" s="7">
        <v>1050</v>
      </c>
      <c r="L14" s="8">
        <f>IFERROR(K14/K444, "NA")</f>
        <v>2.4107149806397777E-3</v>
      </c>
      <c r="M14" s="9"/>
      <c r="N14" s="10">
        <f t="shared" si="1"/>
        <v>-960</v>
      </c>
      <c r="O14" s="8">
        <f>IFERROR(N14/N444, "NA")</f>
        <v>1.9072973993204636</v>
      </c>
      <c r="P14" s="9"/>
      <c r="Q14" s="7">
        <v>90</v>
      </c>
      <c r="R14" s="8">
        <f>IFERROR(Q14/Q444, "NA")</f>
        <v>2.0687177466790761E-4</v>
      </c>
      <c r="S14" s="9"/>
      <c r="T14" s="7">
        <v>0</v>
      </c>
      <c r="U14" s="8">
        <f>IFERROR(T14/T444, "NA")</f>
        <v>0</v>
      </c>
      <c r="V14" s="9"/>
      <c r="W14" s="10">
        <f t="shared" si="2"/>
        <v>90</v>
      </c>
      <c r="X14" s="8">
        <f>IFERROR(W14/W444, "NA")</f>
        <v>-6.5904614055257186E-3</v>
      </c>
      <c r="Y14" s="9"/>
      <c r="Z14" s="7">
        <v>1050</v>
      </c>
      <c r="AA14" s="8">
        <f>IFERROR(Z14/Z444, "NA")</f>
        <v>2.4107149806397777E-3</v>
      </c>
      <c r="AB14" s="9"/>
      <c r="AC14" s="10">
        <f t="shared" si="3"/>
        <v>-960</v>
      </c>
      <c r="AD14" s="8">
        <f>IFERROR(AC14/AC444, "NA")</f>
        <v>1.9072973993204636</v>
      </c>
    </row>
    <row r="15" spans="1:30" ht="16.5" customHeight="1" x14ac:dyDescent="0.45">
      <c r="A15" s="12" t="s">
        <v>17</v>
      </c>
      <c r="B15" s="7">
        <v>172</v>
      </c>
      <c r="C15" s="8">
        <f>IFERROR(B15/B444, "NA")</f>
        <v>3.9535494714311231E-4</v>
      </c>
      <c r="D15" s="9"/>
      <c r="E15" s="7">
        <v>0</v>
      </c>
      <c r="F15" s="8">
        <f>IFERROR(E15/E444, "NA")</f>
        <v>0</v>
      </c>
      <c r="G15" s="9"/>
      <c r="H15" s="10">
        <f t="shared" si="0"/>
        <v>172</v>
      </c>
      <c r="I15" s="8">
        <f>IFERROR(H15/H444, "NA")</f>
        <v>-1.2595104019449152E-2</v>
      </c>
      <c r="J15" s="9"/>
      <c r="K15" s="7">
        <v>147.5</v>
      </c>
      <c r="L15" s="8">
        <f>IFERROR(K15/K444, "NA")</f>
        <v>3.3864805680415924E-4</v>
      </c>
      <c r="M15" s="9"/>
      <c r="N15" s="10">
        <f t="shared" si="1"/>
        <v>24.5</v>
      </c>
      <c r="O15" s="8">
        <f>IFERROR(N15/N444, "NA")</f>
        <v>-4.8675819045157664E-2</v>
      </c>
      <c r="P15" s="9"/>
      <c r="Q15" s="7">
        <v>172</v>
      </c>
      <c r="R15" s="8">
        <f>IFERROR(Q15/Q444, "NA")</f>
        <v>3.9535494714311231E-4</v>
      </c>
      <c r="S15" s="9"/>
      <c r="T15" s="7">
        <v>0</v>
      </c>
      <c r="U15" s="8">
        <f>IFERROR(T15/T444, "NA")</f>
        <v>0</v>
      </c>
      <c r="V15" s="9"/>
      <c r="W15" s="10">
        <f t="shared" si="2"/>
        <v>172</v>
      </c>
      <c r="X15" s="8">
        <f>IFERROR(W15/W444, "NA")</f>
        <v>-1.2595104019449152E-2</v>
      </c>
      <c r="Y15" s="9"/>
      <c r="Z15" s="7">
        <v>147.5</v>
      </c>
      <c r="AA15" s="8">
        <f>IFERROR(Z15/Z444, "NA")</f>
        <v>3.3864805680415924E-4</v>
      </c>
      <c r="AB15" s="9"/>
      <c r="AC15" s="10">
        <f t="shared" si="3"/>
        <v>24.5</v>
      </c>
      <c r="AD15" s="8">
        <f>IFERROR(AC15/AC444, "NA")</f>
        <v>-4.8675819045157664E-2</v>
      </c>
    </row>
    <row r="16" spans="1:30" ht="16.5" customHeight="1" x14ac:dyDescent="0.45">
      <c r="A16" s="12" t="s">
        <v>18</v>
      </c>
      <c r="B16" s="7">
        <v>1.37</v>
      </c>
      <c r="C16" s="8">
        <f>IFERROR(B16/B444, "NA")</f>
        <v>3.1490481255003714E-6</v>
      </c>
      <c r="D16" s="9"/>
      <c r="E16" s="7">
        <v>0</v>
      </c>
      <c r="F16" s="8">
        <f>IFERROR(E16/E444, "NA")</f>
        <v>0</v>
      </c>
      <c r="G16" s="9"/>
      <c r="H16" s="10">
        <f t="shared" si="0"/>
        <v>1.37</v>
      </c>
      <c r="I16" s="8">
        <f>IFERROR(H16/H444, "NA")</f>
        <v>-1.0032146806189151E-4</v>
      </c>
      <c r="J16" s="9"/>
      <c r="K16" s="7">
        <v>1.1000000000000001</v>
      </c>
      <c r="L16" s="8">
        <f>IFERROR(K16/K444, "NA")</f>
        <v>2.5255109320988149E-6</v>
      </c>
      <c r="M16" s="9"/>
      <c r="N16" s="10">
        <f t="shared" si="1"/>
        <v>0.27</v>
      </c>
      <c r="O16" s="8">
        <f>IFERROR(N16/N444, "NA")</f>
        <v>-5.3642739355888038E-4</v>
      </c>
      <c r="P16" s="9"/>
      <c r="Q16" s="7">
        <v>1.37</v>
      </c>
      <c r="R16" s="8">
        <f>IFERROR(Q16/Q444, "NA")</f>
        <v>3.1490481255003714E-6</v>
      </c>
      <c r="S16" s="9"/>
      <c r="T16" s="7">
        <v>0</v>
      </c>
      <c r="U16" s="8">
        <f>IFERROR(T16/T444, "NA")</f>
        <v>0</v>
      </c>
      <c r="V16" s="9"/>
      <c r="W16" s="10">
        <f t="shared" si="2"/>
        <v>1.37</v>
      </c>
      <c r="X16" s="8">
        <f>IFERROR(W16/W444, "NA")</f>
        <v>-1.0032146806189151E-4</v>
      </c>
      <c r="Y16" s="9"/>
      <c r="Z16" s="7">
        <v>1.1000000000000001</v>
      </c>
      <c r="AA16" s="8">
        <f>IFERROR(Z16/Z444, "NA")</f>
        <v>2.5255109320988149E-6</v>
      </c>
      <c r="AB16" s="9"/>
      <c r="AC16" s="10">
        <f t="shared" si="3"/>
        <v>0.27</v>
      </c>
      <c r="AD16" s="8">
        <f>IFERROR(AC16/AC444, "NA")</f>
        <v>-5.3642739355888038E-4</v>
      </c>
    </row>
    <row r="17" spans="1:30" ht="16.5" hidden="1" customHeight="1" x14ac:dyDescent="0.45">
      <c r="A17" s="12" t="s">
        <v>19</v>
      </c>
      <c r="B17" s="7">
        <v>0</v>
      </c>
      <c r="C17" s="8">
        <f>IFERROR(B17/B444, "NA")</f>
        <v>0</v>
      </c>
      <c r="D17" s="9"/>
      <c r="E17" s="7">
        <v>0</v>
      </c>
      <c r="F17" s="8">
        <f>IFERROR(E17/E444, "NA")</f>
        <v>0</v>
      </c>
      <c r="G17" s="9"/>
      <c r="H17" s="10">
        <f t="shared" si="0"/>
        <v>0</v>
      </c>
      <c r="I17" s="8">
        <f>IFERROR(H17/H444, "NA")</f>
        <v>0</v>
      </c>
      <c r="J17" s="9"/>
      <c r="K17" s="7">
        <v>0</v>
      </c>
      <c r="L17" s="8">
        <f>IFERROR(K17/K444, "NA")</f>
        <v>0</v>
      </c>
      <c r="M17" s="9"/>
      <c r="N17" s="10">
        <f t="shared" si="1"/>
        <v>0</v>
      </c>
      <c r="O17" s="8">
        <f>IFERROR(N17/N444, "NA")</f>
        <v>0</v>
      </c>
      <c r="P17" s="9"/>
      <c r="Q17" s="7">
        <v>0</v>
      </c>
      <c r="R17" s="8">
        <f>IFERROR(Q17/Q444, "NA")</f>
        <v>0</v>
      </c>
      <c r="S17" s="9"/>
      <c r="T17" s="7">
        <v>0</v>
      </c>
      <c r="U17" s="8">
        <f>IFERROR(T17/T444, "NA")</f>
        <v>0</v>
      </c>
      <c r="V17" s="9"/>
      <c r="W17" s="10">
        <f t="shared" si="2"/>
        <v>0</v>
      </c>
      <c r="X17" s="8">
        <f>IFERROR(W17/W444, "NA")</f>
        <v>0</v>
      </c>
      <c r="Y17" s="9"/>
      <c r="Z17" s="7">
        <v>0</v>
      </c>
      <c r="AA17" s="8">
        <f>IFERROR(Z17/Z444, "NA")</f>
        <v>0</v>
      </c>
      <c r="AB17" s="9"/>
      <c r="AC17" s="10">
        <f t="shared" si="3"/>
        <v>0</v>
      </c>
      <c r="AD17" s="8">
        <f>IFERROR(AC17/AC444, "NA")</f>
        <v>0</v>
      </c>
    </row>
    <row r="18" spans="1:30" ht="16.5" customHeight="1" x14ac:dyDescent="0.45">
      <c r="A18" s="13" t="s">
        <v>20</v>
      </c>
      <c r="B18" s="14">
        <f>IFERROR(B10+B11+B12+B13+B14+B15+B16+B17, "NA")</f>
        <v>192405.38999999998</v>
      </c>
      <c r="C18" s="15">
        <f>IFERROR(B18/B444, "NA")</f>
        <v>0.44225827205523199</v>
      </c>
      <c r="D18" s="2"/>
      <c r="E18" s="14">
        <f>IFERROR(E10+E11+E12+E13+E14+E15+E16+E17, "NA")</f>
        <v>187139.57</v>
      </c>
      <c r="F18" s="15">
        <f>IFERROR(E18/E444, "NA")</f>
        <v>0.41706295984784769</v>
      </c>
      <c r="G18" s="2"/>
      <c r="H18" s="14">
        <f t="shared" si="0"/>
        <v>5265.8199999999779</v>
      </c>
      <c r="I18" s="15">
        <f>IFERROR(H18/H444, "NA")</f>
        <v>-0.38560203864939219</v>
      </c>
      <c r="J18" s="2"/>
      <c r="K18" s="14">
        <f>IFERROR(K10+K11+K12+K13+K14+K15+K16+K17, "NA")</f>
        <v>174925.18</v>
      </c>
      <c r="L18" s="15">
        <f>IFERROR(K18/K444, "NA")</f>
        <v>0.40161404944486628</v>
      </c>
      <c r="M18" s="2"/>
      <c r="N18" s="14">
        <f t="shared" si="1"/>
        <v>17480.209999999992</v>
      </c>
      <c r="O18" s="15">
        <f>IFERROR(N18/N444, "NA")</f>
        <v>-34.729124033932855</v>
      </c>
      <c r="P18" s="2"/>
      <c r="Q18" s="14">
        <f>IFERROR(Q10+Q11+Q12+Q13+Q14+Q15+Q16+Q17, "NA")</f>
        <v>192405.38999999998</v>
      </c>
      <c r="R18" s="15">
        <f>IFERROR(Q18/Q444, "NA")</f>
        <v>0.44225827205523199</v>
      </c>
      <c r="S18" s="2"/>
      <c r="T18" s="14">
        <f>IFERROR(T10+T11+T12+T13+T14+T15+T16+T17, "NA")</f>
        <v>187139.57</v>
      </c>
      <c r="U18" s="15">
        <f>IFERROR(T18/T444, "NA")</f>
        <v>0.41706295984784769</v>
      </c>
      <c r="V18" s="2"/>
      <c r="W18" s="14">
        <f t="shared" si="2"/>
        <v>5265.8199999999779</v>
      </c>
      <c r="X18" s="15">
        <f>IFERROR(W18/W444, "NA")</f>
        <v>-0.38560203864939219</v>
      </c>
      <c r="Y18" s="2"/>
      <c r="Z18" s="14">
        <f>IFERROR(Z10+Z11+Z12+Z13+Z14+Z15+Z16+Z17, "NA")</f>
        <v>174925.18</v>
      </c>
      <c r="AA18" s="15">
        <f>IFERROR(Z18/Z444, "NA")</f>
        <v>0.40161404944486628</v>
      </c>
      <c r="AB18" s="2"/>
      <c r="AC18" s="14">
        <f t="shared" si="3"/>
        <v>17480.209999999992</v>
      </c>
      <c r="AD18" s="15">
        <f>IFERROR(AC18/AC444, "NA")</f>
        <v>-34.729124033932855</v>
      </c>
    </row>
    <row r="19" spans="1:30" ht="16.5" hidden="1" customHeight="1" x14ac:dyDescent="0.45">
      <c r="A19" s="6" t="s">
        <v>21</v>
      </c>
      <c r="B19" s="7">
        <v>0</v>
      </c>
      <c r="C19" s="8">
        <f>IFERROR(B19/B444, "NA")</f>
        <v>0</v>
      </c>
      <c r="D19" s="9"/>
      <c r="E19" s="7">
        <v>0</v>
      </c>
      <c r="F19" s="8">
        <f>IFERROR(E19/E444, "NA")</f>
        <v>0</v>
      </c>
      <c r="G19" s="9"/>
      <c r="H19" s="10">
        <f t="shared" si="0"/>
        <v>0</v>
      </c>
      <c r="I19" s="8">
        <f>IFERROR(H19/H444, "NA")</f>
        <v>0</v>
      </c>
      <c r="J19" s="9"/>
      <c r="K19" s="7">
        <v>0</v>
      </c>
      <c r="L19" s="8">
        <f>IFERROR(K19/K444, "NA")</f>
        <v>0</v>
      </c>
      <c r="M19" s="9"/>
      <c r="N19" s="10">
        <f t="shared" si="1"/>
        <v>0</v>
      </c>
      <c r="O19" s="8">
        <f>IFERROR(N19/N444, "NA")</f>
        <v>0</v>
      </c>
      <c r="P19" s="9"/>
      <c r="Q19" s="7">
        <v>0</v>
      </c>
      <c r="R19" s="8">
        <f>IFERROR(Q19/Q444, "NA")</f>
        <v>0</v>
      </c>
      <c r="S19" s="9"/>
      <c r="T19" s="7">
        <v>0</v>
      </c>
      <c r="U19" s="8">
        <f>IFERROR(T19/T444, "NA")</f>
        <v>0</v>
      </c>
      <c r="V19" s="9"/>
      <c r="W19" s="10">
        <f t="shared" si="2"/>
        <v>0</v>
      </c>
      <c r="X19" s="8">
        <f>IFERROR(W19/W444, "NA")</f>
        <v>0</v>
      </c>
      <c r="Y19" s="9"/>
      <c r="Z19" s="7">
        <v>0</v>
      </c>
      <c r="AA19" s="8">
        <f>IFERROR(Z19/Z444, "NA")</f>
        <v>0</v>
      </c>
      <c r="AB19" s="9"/>
      <c r="AC19" s="10">
        <f t="shared" si="3"/>
        <v>0</v>
      </c>
      <c r="AD19" s="8">
        <f>IFERROR(AC19/AC444, "NA")</f>
        <v>0</v>
      </c>
    </row>
    <row r="20" spans="1:30" ht="16.5" customHeight="1" x14ac:dyDescent="0.45">
      <c r="A20" s="11" t="s">
        <v>22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45">
      <c r="A21" s="12" t="s">
        <v>22</v>
      </c>
      <c r="B21" s="7">
        <v>0</v>
      </c>
      <c r="C21" s="8">
        <f>IFERROR(B21/B444, "NA")</f>
        <v>0</v>
      </c>
      <c r="D21" s="9"/>
      <c r="E21" s="7">
        <v>41982.97</v>
      </c>
      <c r="F21" s="8">
        <f>IFERROR(E21/E444, "NA")</f>
        <v>9.3564080175044723E-2</v>
      </c>
      <c r="G21" s="9"/>
      <c r="H21" s="10">
        <f t="shared" ref="H21:H29" si="4">IFERROR(B21-E21, "NA")</f>
        <v>-41982.97</v>
      </c>
      <c r="I21" s="8">
        <f>IFERROR(H21/H444, "NA")</f>
        <v>3.0743015941593788</v>
      </c>
      <c r="J21" s="9"/>
      <c r="K21" s="7">
        <v>0</v>
      </c>
      <c r="L21" s="8">
        <f>IFERROR(K21/K444, "NA")</f>
        <v>0</v>
      </c>
      <c r="M21" s="9"/>
      <c r="N21" s="10">
        <f t="shared" ref="N21:N29" si="5">IFERROR(B21-K21, "NA")</f>
        <v>0</v>
      </c>
      <c r="O21" s="8">
        <f>IFERROR(N21/N444, "NA")</f>
        <v>0</v>
      </c>
      <c r="P21" s="9"/>
      <c r="Q21" s="7">
        <v>0</v>
      </c>
      <c r="R21" s="8">
        <f>IFERROR(Q21/Q444, "NA")</f>
        <v>0</v>
      </c>
      <c r="S21" s="9"/>
      <c r="T21" s="7">
        <v>41982.97</v>
      </c>
      <c r="U21" s="8">
        <f>IFERROR(T21/T444, "NA")</f>
        <v>9.3564080175044723E-2</v>
      </c>
      <c r="V21" s="9"/>
      <c r="W21" s="10">
        <f t="shared" ref="W21:W29" si="6">IFERROR(Q21-T21, "NA")</f>
        <v>-41982.97</v>
      </c>
      <c r="X21" s="8">
        <f>IFERROR(W21/W444, "NA")</f>
        <v>3.0743015941593788</v>
      </c>
      <c r="Y21" s="9"/>
      <c r="Z21" s="7">
        <v>0</v>
      </c>
      <c r="AA21" s="8">
        <f>IFERROR(Z21/Z444, "NA")</f>
        <v>0</v>
      </c>
      <c r="AB21" s="9"/>
      <c r="AC21" s="10">
        <f t="shared" ref="AC21:AC29" si="7">IFERROR(Q21-Z21, "NA")</f>
        <v>0</v>
      </c>
      <c r="AD21" s="8">
        <f>IFERROR(AC21/AC444, "NA")</f>
        <v>0</v>
      </c>
    </row>
    <row r="22" spans="1:30" ht="16.5" customHeight="1" x14ac:dyDescent="0.45">
      <c r="A22" s="12" t="s">
        <v>23</v>
      </c>
      <c r="B22" s="7">
        <v>16260.11</v>
      </c>
      <c r="C22" s="8">
        <f>IFERROR(B22/B444, "NA")</f>
        <v>3.737508679994879E-2</v>
      </c>
      <c r="D22" s="9"/>
      <c r="E22" s="7">
        <v>0</v>
      </c>
      <c r="F22" s="8">
        <f>IFERROR(E22/E444, "NA")</f>
        <v>0</v>
      </c>
      <c r="G22" s="9"/>
      <c r="H22" s="10">
        <f t="shared" si="4"/>
        <v>16260.11</v>
      </c>
      <c r="I22" s="8">
        <f>IFERROR(H22/H444, "NA")</f>
        <v>-1.1906847489400312</v>
      </c>
      <c r="J22" s="9"/>
      <c r="K22" s="7">
        <v>27940.1</v>
      </c>
      <c r="L22" s="8">
        <f>IFERROR(K22/K444, "NA")</f>
        <v>6.4148207267212806E-2</v>
      </c>
      <c r="M22" s="9"/>
      <c r="N22" s="10">
        <f t="shared" si="5"/>
        <v>-11679.989999999998</v>
      </c>
      <c r="O22" s="8">
        <f>IFERROR(N22/N444, "NA")</f>
        <v>23.205431824051061</v>
      </c>
      <c r="P22" s="9"/>
      <c r="Q22" s="7">
        <v>16260.11</v>
      </c>
      <c r="R22" s="8">
        <f>IFERROR(Q22/Q444, "NA")</f>
        <v>3.737508679994879E-2</v>
      </c>
      <c r="S22" s="9"/>
      <c r="T22" s="7">
        <v>0</v>
      </c>
      <c r="U22" s="8">
        <f>IFERROR(T22/T444, "NA")</f>
        <v>0</v>
      </c>
      <c r="V22" s="9"/>
      <c r="W22" s="10">
        <f t="shared" si="6"/>
        <v>16260.11</v>
      </c>
      <c r="X22" s="8">
        <f>IFERROR(W22/W444, "NA")</f>
        <v>-1.1906847489400312</v>
      </c>
      <c r="Y22" s="9"/>
      <c r="Z22" s="7">
        <v>27940.1</v>
      </c>
      <c r="AA22" s="8">
        <f>IFERROR(Z22/Z444, "NA")</f>
        <v>6.4148207267212806E-2</v>
      </c>
      <c r="AB22" s="9"/>
      <c r="AC22" s="10">
        <f t="shared" si="7"/>
        <v>-11679.989999999998</v>
      </c>
      <c r="AD22" s="8">
        <f>IFERROR(AC22/AC444, "NA")</f>
        <v>23.205431824051061</v>
      </c>
    </row>
    <row r="23" spans="1:30" ht="16.5" customHeight="1" x14ac:dyDescent="0.45">
      <c r="A23" s="12" t="s">
        <v>24</v>
      </c>
      <c r="B23" s="7">
        <v>13102.2</v>
      </c>
      <c r="C23" s="8">
        <f>IFERROR(B23/B444, "NA")</f>
        <v>3.0116392956153992E-2</v>
      </c>
      <c r="D23" s="9"/>
      <c r="E23" s="7">
        <v>0</v>
      </c>
      <c r="F23" s="8">
        <f>IFERROR(E23/E444, "NA")</f>
        <v>0</v>
      </c>
      <c r="G23" s="9"/>
      <c r="H23" s="10">
        <f t="shared" si="4"/>
        <v>13102.2</v>
      </c>
      <c r="I23" s="8">
        <f>IFERROR(H23/H444, "NA")</f>
        <v>-0.95943937141643421</v>
      </c>
      <c r="J23" s="9"/>
      <c r="K23" s="7">
        <v>0</v>
      </c>
      <c r="L23" s="8">
        <f>IFERROR(K23/K444, "NA")</f>
        <v>0</v>
      </c>
      <c r="M23" s="9"/>
      <c r="N23" s="10">
        <f t="shared" si="5"/>
        <v>13102.2</v>
      </c>
      <c r="O23" s="8">
        <f>IFERROR(N23/N444, "NA")</f>
        <v>-26.031033318100604</v>
      </c>
      <c r="P23" s="9"/>
      <c r="Q23" s="7">
        <v>13102.2</v>
      </c>
      <c r="R23" s="8">
        <f>IFERROR(Q23/Q444, "NA")</f>
        <v>3.0116392956153992E-2</v>
      </c>
      <c r="S23" s="9"/>
      <c r="T23" s="7">
        <v>0</v>
      </c>
      <c r="U23" s="8">
        <f>IFERROR(T23/T444, "NA")</f>
        <v>0</v>
      </c>
      <c r="V23" s="9"/>
      <c r="W23" s="10">
        <f t="shared" si="6"/>
        <v>13102.2</v>
      </c>
      <c r="X23" s="8">
        <f>IFERROR(W23/W444, "NA")</f>
        <v>-0.95943937141643421</v>
      </c>
      <c r="Y23" s="9"/>
      <c r="Z23" s="7">
        <v>0</v>
      </c>
      <c r="AA23" s="8">
        <f>IFERROR(Z23/Z444, "NA")</f>
        <v>0</v>
      </c>
      <c r="AB23" s="9"/>
      <c r="AC23" s="10">
        <f t="shared" si="7"/>
        <v>13102.2</v>
      </c>
      <c r="AD23" s="8">
        <f>IFERROR(AC23/AC444, "NA")</f>
        <v>-26.031033318100604</v>
      </c>
    </row>
    <row r="24" spans="1:30" ht="16.5" customHeight="1" x14ac:dyDescent="0.45">
      <c r="A24" s="12" t="s">
        <v>25</v>
      </c>
      <c r="B24" s="7">
        <v>4221.68</v>
      </c>
      <c r="C24" s="8">
        <f>IFERROR(B24/B444, "NA")</f>
        <v>9.7038492631112468E-3</v>
      </c>
      <c r="D24" s="9"/>
      <c r="E24" s="7">
        <v>0</v>
      </c>
      <c r="F24" s="8">
        <f>IFERROR(E24/E444, "NA")</f>
        <v>0</v>
      </c>
      <c r="G24" s="9"/>
      <c r="H24" s="10">
        <f t="shared" si="4"/>
        <v>4221.68</v>
      </c>
      <c r="I24" s="8">
        <f>IFERROR(H24/H444, "NA")</f>
        <v>-0.30914243451644241</v>
      </c>
      <c r="J24" s="9"/>
      <c r="K24" s="7">
        <v>3795.58</v>
      </c>
      <c r="L24" s="8">
        <f>IFERROR(K24/K444, "NA")</f>
        <v>8.7143443487778353E-3</v>
      </c>
      <c r="M24" s="9"/>
      <c r="N24" s="10">
        <f t="shared" si="5"/>
        <v>426.10000000000036</v>
      </c>
      <c r="O24" s="8">
        <f>IFERROR(N24/N444, "NA")</f>
        <v>-0.84656189776088564</v>
      </c>
      <c r="P24" s="9"/>
      <c r="Q24" s="7">
        <v>4221.68</v>
      </c>
      <c r="R24" s="8">
        <f>IFERROR(Q24/Q444, "NA")</f>
        <v>9.7038492631112468E-3</v>
      </c>
      <c r="S24" s="9"/>
      <c r="T24" s="7">
        <v>0</v>
      </c>
      <c r="U24" s="8">
        <f>IFERROR(T24/T444, "NA")</f>
        <v>0</v>
      </c>
      <c r="V24" s="9"/>
      <c r="W24" s="10">
        <f t="shared" si="6"/>
        <v>4221.68</v>
      </c>
      <c r="X24" s="8">
        <f>IFERROR(W24/W444, "NA")</f>
        <v>-0.30914243451644241</v>
      </c>
      <c r="Y24" s="9"/>
      <c r="Z24" s="7">
        <v>3795.58</v>
      </c>
      <c r="AA24" s="8">
        <f>IFERROR(Z24/Z444, "NA")</f>
        <v>8.7143443487778353E-3</v>
      </c>
      <c r="AB24" s="9"/>
      <c r="AC24" s="10">
        <f t="shared" si="7"/>
        <v>426.10000000000036</v>
      </c>
      <c r="AD24" s="8">
        <f>IFERROR(AC24/AC444, "NA")</f>
        <v>-0.84656189776088564</v>
      </c>
    </row>
    <row r="25" spans="1:30" ht="16.5" customHeight="1" x14ac:dyDescent="0.45">
      <c r="A25" s="12" t="s">
        <v>26</v>
      </c>
      <c r="B25" s="7">
        <v>611.11</v>
      </c>
      <c r="C25" s="8">
        <f>IFERROR(B25/B444, "NA")</f>
        <v>1.4046823357478336E-3</v>
      </c>
      <c r="D25" s="9"/>
      <c r="E25" s="7">
        <v>0</v>
      </c>
      <c r="F25" s="8">
        <f>IFERROR(E25/E444, "NA")</f>
        <v>0</v>
      </c>
      <c r="G25" s="9"/>
      <c r="H25" s="10">
        <f t="shared" si="4"/>
        <v>611.11</v>
      </c>
      <c r="I25" s="8">
        <f>IFERROR(H25/H444, "NA")</f>
        <v>-4.4749965217009136E-2</v>
      </c>
      <c r="J25" s="9"/>
      <c r="K25" s="7">
        <v>0</v>
      </c>
      <c r="L25" s="8">
        <f>IFERROR(K25/K444, "NA")</f>
        <v>0</v>
      </c>
      <c r="M25" s="9"/>
      <c r="N25" s="10">
        <f t="shared" si="5"/>
        <v>611.11</v>
      </c>
      <c r="O25" s="8">
        <f>IFERROR(N25/N444, "NA")</f>
        <v>-1.2141338684361755</v>
      </c>
      <c r="P25" s="9"/>
      <c r="Q25" s="7">
        <v>611.11</v>
      </c>
      <c r="R25" s="8">
        <f>IFERROR(Q25/Q444, "NA")</f>
        <v>1.4046823357478336E-3</v>
      </c>
      <c r="S25" s="9"/>
      <c r="T25" s="7">
        <v>0</v>
      </c>
      <c r="U25" s="8">
        <f>IFERROR(T25/T444, "NA")</f>
        <v>0</v>
      </c>
      <c r="V25" s="9"/>
      <c r="W25" s="10">
        <f t="shared" si="6"/>
        <v>611.11</v>
      </c>
      <c r="X25" s="8">
        <f>IFERROR(W25/W444, "NA")</f>
        <v>-4.4749965217009136E-2</v>
      </c>
      <c r="Y25" s="9"/>
      <c r="Z25" s="7">
        <v>0</v>
      </c>
      <c r="AA25" s="8">
        <f>IFERROR(Z25/Z444, "NA")</f>
        <v>0</v>
      </c>
      <c r="AB25" s="9"/>
      <c r="AC25" s="10">
        <f t="shared" si="7"/>
        <v>611.11</v>
      </c>
      <c r="AD25" s="8">
        <f>IFERROR(AC25/AC444, "NA")</f>
        <v>-1.2141338684361755</v>
      </c>
    </row>
    <row r="26" spans="1:30" ht="16.5" customHeight="1" x14ac:dyDescent="0.45">
      <c r="A26" s="12" t="s">
        <v>27</v>
      </c>
      <c r="B26" s="7">
        <v>3708.5</v>
      </c>
      <c r="C26" s="8">
        <f>IFERROR(B26/B444, "NA")</f>
        <v>8.5242664039548374E-3</v>
      </c>
      <c r="D26" s="9"/>
      <c r="E26" s="7">
        <v>0</v>
      </c>
      <c r="F26" s="8">
        <f>IFERROR(E26/E444, "NA")</f>
        <v>0</v>
      </c>
      <c r="G26" s="9"/>
      <c r="H26" s="10">
        <f t="shared" si="4"/>
        <v>3708.5</v>
      </c>
      <c r="I26" s="8">
        <f>IFERROR(H26/H444, "NA")</f>
        <v>-0.27156362358213476</v>
      </c>
      <c r="J26" s="9"/>
      <c r="K26" s="7">
        <v>2055.46</v>
      </c>
      <c r="L26" s="8">
        <f>IFERROR(K26/K444, "NA")</f>
        <v>4.7191697277198449E-3</v>
      </c>
      <c r="M26" s="9"/>
      <c r="N26" s="10">
        <f t="shared" si="5"/>
        <v>1653.04</v>
      </c>
      <c r="O26" s="8">
        <f>IFERROR(N26/N444, "NA")</f>
        <v>-3.2842071801798949</v>
      </c>
      <c r="P26" s="9"/>
      <c r="Q26" s="7">
        <v>3708.5</v>
      </c>
      <c r="R26" s="8">
        <f>IFERROR(Q26/Q444, "NA")</f>
        <v>8.5242664039548374E-3</v>
      </c>
      <c r="S26" s="9"/>
      <c r="T26" s="7">
        <v>0</v>
      </c>
      <c r="U26" s="8">
        <f>IFERROR(T26/T444, "NA")</f>
        <v>0</v>
      </c>
      <c r="V26" s="9"/>
      <c r="W26" s="10">
        <f t="shared" si="6"/>
        <v>3708.5</v>
      </c>
      <c r="X26" s="8">
        <f>IFERROR(W26/W444, "NA")</f>
        <v>-0.27156362358213476</v>
      </c>
      <c r="Y26" s="9"/>
      <c r="Z26" s="7">
        <v>2055.46</v>
      </c>
      <c r="AA26" s="8">
        <f>IFERROR(Z26/Z444, "NA")</f>
        <v>4.7191697277198449E-3</v>
      </c>
      <c r="AB26" s="9"/>
      <c r="AC26" s="10">
        <f t="shared" si="7"/>
        <v>1653.04</v>
      </c>
      <c r="AD26" s="8">
        <f>IFERROR(AC26/AC444, "NA")</f>
        <v>-3.2842071801798949</v>
      </c>
    </row>
    <row r="27" spans="1:30" ht="16.5" hidden="1" customHeight="1" x14ac:dyDescent="0.45">
      <c r="A27" s="12" t="s">
        <v>28</v>
      </c>
      <c r="B27" s="7">
        <v>0</v>
      </c>
      <c r="C27" s="8">
        <f>IFERROR(B27/B444, "NA")</f>
        <v>0</v>
      </c>
      <c r="D27" s="9"/>
      <c r="E27" s="7">
        <v>0</v>
      </c>
      <c r="F27" s="8">
        <f>IFERROR(E27/E444, "NA")</f>
        <v>0</v>
      </c>
      <c r="G27" s="9"/>
      <c r="H27" s="10">
        <f t="shared" si="4"/>
        <v>0</v>
      </c>
      <c r="I27" s="8">
        <f>IFERROR(H27/H444, "NA")</f>
        <v>0</v>
      </c>
      <c r="J27" s="9"/>
      <c r="K27" s="7">
        <v>0</v>
      </c>
      <c r="L27" s="8">
        <f>IFERROR(K27/K444, "NA")</f>
        <v>0</v>
      </c>
      <c r="M27" s="9"/>
      <c r="N27" s="10">
        <f t="shared" si="5"/>
        <v>0</v>
      </c>
      <c r="O27" s="8">
        <f>IFERROR(N27/N444, "NA")</f>
        <v>0</v>
      </c>
      <c r="P27" s="9"/>
      <c r="Q27" s="7">
        <v>0</v>
      </c>
      <c r="R27" s="8">
        <f>IFERROR(Q27/Q444, "NA")</f>
        <v>0</v>
      </c>
      <c r="S27" s="9"/>
      <c r="T27" s="7">
        <v>0</v>
      </c>
      <c r="U27" s="8">
        <f>IFERROR(T27/T444, "NA")</f>
        <v>0</v>
      </c>
      <c r="V27" s="9"/>
      <c r="W27" s="10">
        <f t="shared" si="6"/>
        <v>0</v>
      </c>
      <c r="X27" s="8">
        <f>IFERROR(W27/W444, "NA")</f>
        <v>0</v>
      </c>
      <c r="Y27" s="9"/>
      <c r="Z27" s="7">
        <v>0</v>
      </c>
      <c r="AA27" s="8">
        <f>IFERROR(Z27/Z444, "NA")</f>
        <v>0</v>
      </c>
      <c r="AB27" s="9"/>
      <c r="AC27" s="10">
        <f t="shared" si="7"/>
        <v>0</v>
      </c>
      <c r="AD27" s="8">
        <f>IFERROR(AC27/AC444, "NA")</f>
        <v>0</v>
      </c>
    </row>
    <row r="28" spans="1:30" ht="16.5" customHeight="1" x14ac:dyDescent="0.45">
      <c r="A28" s="12" t="s">
        <v>29</v>
      </c>
      <c r="B28" s="7">
        <v>4115.1299999999992</v>
      </c>
      <c r="C28" s="8">
        <f>IFERROR(B28/B444, "NA")</f>
        <v>9.4589360676571831E-3</v>
      </c>
      <c r="D28" s="9"/>
      <c r="E28" s="7">
        <v>0</v>
      </c>
      <c r="F28" s="8">
        <f>IFERROR(E28/E444, "NA")</f>
        <v>0</v>
      </c>
      <c r="G28" s="9"/>
      <c r="H28" s="10">
        <f t="shared" si="4"/>
        <v>4115.1299999999992</v>
      </c>
      <c r="I28" s="8">
        <f>IFERROR(H28/H444, "NA")</f>
        <v>-0.30134006048578943</v>
      </c>
      <c r="J28" s="9"/>
      <c r="K28" s="7">
        <v>4151.0700000000006</v>
      </c>
      <c r="L28" s="8">
        <f>IFERROR(K28/K444, "NA")</f>
        <v>9.5305206044612976E-3</v>
      </c>
      <c r="M28" s="9"/>
      <c r="N28" s="10">
        <f t="shared" si="5"/>
        <v>-35.940000000001419</v>
      </c>
      <c r="O28" s="8">
        <f>IFERROR(N28/N444, "NA")</f>
        <v>7.140444638706267E-2</v>
      </c>
      <c r="P28" s="9"/>
      <c r="Q28" s="7">
        <v>4115.1299999999992</v>
      </c>
      <c r="R28" s="8">
        <f>IFERROR(Q28/Q444, "NA")</f>
        <v>9.4589360676571831E-3</v>
      </c>
      <c r="S28" s="9"/>
      <c r="T28" s="7">
        <v>0</v>
      </c>
      <c r="U28" s="8">
        <f>IFERROR(T28/T444, "NA")</f>
        <v>0</v>
      </c>
      <c r="V28" s="9"/>
      <c r="W28" s="10">
        <f t="shared" si="6"/>
        <v>4115.1299999999992</v>
      </c>
      <c r="X28" s="8">
        <f>IFERROR(W28/W444, "NA")</f>
        <v>-0.30134006048578943</v>
      </c>
      <c r="Y28" s="9"/>
      <c r="Z28" s="7">
        <v>4151.0700000000006</v>
      </c>
      <c r="AA28" s="8">
        <f>IFERROR(Z28/Z444, "NA")</f>
        <v>9.5305206044612976E-3</v>
      </c>
      <c r="AB28" s="9"/>
      <c r="AC28" s="10">
        <f t="shared" si="7"/>
        <v>-35.940000000001419</v>
      </c>
      <c r="AD28" s="8">
        <f>IFERROR(AC28/AC444, "NA")</f>
        <v>7.140444638706267E-2</v>
      </c>
    </row>
    <row r="29" spans="1:30" ht="16.5" customHeight="1" x14ac:dyDescent="0.45">
      <c r="A29" s="13" t="s">
        <v>30</v>
      </c>
      <c r="B29" s="14">
        <f>IFERROR(B21+B22+B23+B24+B25+B26+B27+B28, "NA")</f>
        <v>42018.73</v>
      </c>
      <c r="C29" s="15">
        <f>IFERROR(B29/B444, "NA")</f>
        <v>9.6583213826573894E-2</v>
      </c>
      <c r="D29" s="2"/>
      <c r="E29" s="14">
        <f>IFERROR(E21+E22+E23+E24+E25+E26+E27+E28, "NA")</f>
        <v>41982.97</v>
      </c>
      <c r="F29" s="15">
        <f>IFERROR(E29/E444, "NA")</f>
        <v>9.3564080175044723E-2</v>
      </c>
      <c r="G29" s="2"/>
      <c r="H29" s="14">
        <f t="shared" si="4"/>
        <v>35.760000000002037</v>
      </c>
      <c r="I29" s="15">
        <f>IFERROR(H29/H444, "NA")</f>
        <v>-2.6186099984623679E-3</v>
      </c>
      <c r="J29" s="2"/>
      <c r="K29" s="14">
        <f>IFERROR(K21+K22+K23+K24+K25+K26+K27+K28, "NA")</f>
        <v>37942.21</v>
      </c>
      <c r="L29" s="15">
        <f>IFERROR(K29/K444, "NA")</f>
        <v>8.7112241948171784E-2</v>
      </c>
      <c r="M29" s="2"/>
      <c r="N29" s="14">
        <f t="shared" si="5"/>
        <v>4076.5200000000041</v>
      </c>
      <c r="O29" s="15">
        <f>IFERROR(N29/N444, "NA")</f>
        <v>-8.0990999940394417</v>
      </c>
      <c r="P29" s="2"/>
      <c r="Q29" s="14">
        <f>IFERROR(Q21+Q22+Q23+Q24+Q25+Q26+Q27+Q28, "NA")</f>
        <v>42018.73</v>
      </c>
      <c r="R29" s="15">
        <f>IFERROR(Q29/Q444, "NA")</f>
        <v>9.6583213826573894E-2</v>
      </c>
      <c r="S29" s="2"/>
      <c r="T29" s="14">
        <f>IFERROR(T21+T22+T23+T24+T25+T26+T27+T28, "NA")</f>
        <v>41982.97</v>
      </c>
      <c r="U29" s="15">
        <f>IFERROR(T29/T444, "NA")</f>
        <v>9.3564080175044723E-2</v>
      </c>
      <c r="V29" s="2"/>
      <c r="W29" s="14">
        <f t="shared" si="6"/>
        <v>35.760000000002037</v>
      </c>
      <c r="X29" s="15">
        <f>IFERROR(W29/W444, "NA")</f>
        <v>-2.6186099984623679E-3</v>
      </c>
      <c r="Y29" s="2"/>
      <c r="Z29" s="14">
        <f>IFERROR(Z21+Z22+Z23+Z24+Z25+Z26+Z27+Z28, "NA")</f>
        <v>37942.21</v>
      </c>
      <c r="AA29" s="15">
        <f>IFERROR(Z29/Z444, "NA")</f>
        <v>8.7112241948171784E-2</v>
      </c>
      <c r="AB29" s="2"/>
      <c r="AC29" s="14">
        <f t="shared" si="7"/>
        <v>4076.5200000000041</v>
      </c>
      <c r="AD29" s="15">
        <f>IFERROR(AC29/AC444, "NA")</f>
        <v>-8.0990999940394417</v>
      </c>
    </row>
    <row r="30" spans="1:30" ht="16.5" customHeight="1" x14ac:dyDescent="0.45">
      <c r="A30" s="11" t="s">
        <v>31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45">
      <c r="A31" s="12" t="s">
        <v>31</v>
      </c>
      <c r="B31" s="7">
        <v>0</v>
      </c>
      <c r="C31" s="8">
        <f>IFERROR(B31/B444, "NA")</f>
        <v>0</v>
      </c>
      <c r="D31" s="9"/>
      <c r="E31" s="7">
        <v>91287.05</v>
      </c>
      <c r="F31" s="8">
        <f>IFERROR(E31/E444, "NA")</f>
        <v>0.20344413139764328</v>
      </c>
      <c r="G31" s="9"/>
      <c r="H31" s="10">
        <f t="shared" ref="H31:H40" si="8">IFERROR(B31-E31, "NA")</f>
        <v>-91287.05</v>
      </c>
      <c r="I31" s="8">
        <f>IFERROR(H31/H444, "NA")</f>
        <v>6.6847086649921845</v>
      </c>
      <c r="J31" s="9"/>
      <c r="K31" s="7">
        <v>0</v>
      </c>
      <c r="L31" s="8">
        <f>IFERROR(K31/K444, "NA")</f>
        <v>0</v>
      </c>
      <c r="M31" s="9"/>
      <c r="N31" s="10">
        <f t="shared" ref="N31:N40" si="9">IFERROR(B31-K31, "NA")</f>
        <v>0</v>
      </c>
      <c r="O31" s="8">
        <f>IFERROR(N31/N444, "NA")</f>
        <v>0</v>
      </c>
      <c r="P31" s="9"/>
      <c r="Q31" s="7">
        <v>0</v>
      </c>
      <c r="R31" s="8">
        <f>IFERROR(Q31/Q444, "NA")</f>
        <v>0</v>
      </c>
      <c r="S31" s="9"/>
      <c r="T31" s="7">
        <v>91287.05</v>
      </c>
      <c r="U31" s="8">
        <f>IFERROR(T31/T444, "NA")</f>
        <v>0.20344413139764328</v>
      </c>
      <c r="V31" s="9"/>
      <c r="W31" s="10">
        <f t="shared" ref="W31:W40" si="10">IFERROR(Q31-T31, "NA")</f>
        <v>-91287.05</v>
      </c>
      <c r="X31" s="8">
        <f>IFERROR(W31/W444, "NA")</f>
        <v>6.6847086649921845</v>
      </c>
      <c r="Y31" s="9"/>
      <c r="Z31" s="7">
        <v>0</v>
      </c>
      <c r="AA31" s="8">
        <f>IFERROR(Z31/Z444, "NA")</f>
        <v>0</v>
      </c>
      <c r="AB31" s="9"/>
      <c r="AC31" s="10">
        <f t="shared" ref="AC31:AC40" si="11">IFERROR(Q31-Z31, "NA")</f>
        <v>0</v>
      </c>
      <c r="AD31" s="8">
        <f>IFERROR(AC31/AC444, "NA")</f>
        <v>0</v>
      </c>
    </row>
    <row r="32" spans="1:30" ht="16.5" hidden="1" customHeight="1" x14ac:dyDescent="0.45">
      <c r="A32" s="12" t="s">
        <v>32</v>
      </c>
      <c r="B32" s="7">
        <v>0</v>
      </c>
      <c r="C32" s="8">
        <f>IFERROR(B32/B444, "NA")</f>
        <v>0</v>
      </c>
      <c r="D32" s="9"/>
      <c r="E32" s="7">
        <v>0</v>
      </c>
      <c r="F32" s="8">
        <f>IFERROR(E32/E444, "NA")</f>
        <v>0</v>
      </c>
      <c r="G32" s="9"/>
      <c r="H32" s="10">
        <f t="shared" si="8"/>
        <v>0</v>
      </c>
      <c r="I32" s="8">
        <f>IFERROR(H32/H444, "NA")</f>
        <v>0</v>
      </c>
      <c r="J32" s="9"/>
      <c r="K32" s="7">
        <v>0</v>
      </c>
      <c r="L32" s="8">
        <f>IFERROR(K32/K444, "NA")</f>
        <v>0</v>
      </c>
      <c r="M32" s="9"/>
      <c r="N32" s="10">
        <f t="shared" si="9"/>
        <v>0</v>
      </c>
      <c r="O32" s="8">
        <f>IFERROR(N32/N444, "NA")</f>
        <v>0</v>
      </c>
      <c r="P32" s="9"/>
      <c r="Q32" s="7">
        <v>0</v>
      </c>
      <c r="R32" s="8">
        <f>IFERROR(Q32/Q444, "NA")</f>
        <v>0</v>
      </c>
      <c r="S32" s="9"/>
      <c r="T32" s="7">
        <v>0</v>
      </c>
      <c r="U32" s="8">
        <f>IFERROR(T32/T444, "NA")</f>
        <v>0</v>
      </c>
      <c r="V32" s="9"/>
      <c r="W32" s="10">
        <f t="shared" si="10"/>
        <v>0</v>
      </c>
      <c r="X32" s="8">
        <f>IFERROR(W32/W444, "NA")</f>
        <v>0</v>
      </c>
      <c r="Y32" s="9"/>
      <c r="Z32" s="7">
        <v>0</v>
      </c>
      <c r="AA32" s="8">
        <f>IFERROR(Z32/Z444, "NA")</f>
        <v>0</v>
      </c>
      <c r="AB32" s="9"/>
      <c r="AC32" s="10">
        <f t="shared" si="11"/>
        <v>0</v>
      </c>
      <c r="AD32" s="8">
        <f>IFERROR(AC32/AC444, "NA")</f>
        <v>0</v>
      </c>
    </row>
    <row r="33" spans="1:30" ht="16.5" customHeight="1" x14ac:dyDescent="0.45">
      <c r="A33" s="12" t="s">
        <v>33</v>
      </c>
      <c r="B33" s="7">
        <v>52469.11</v>
      </c>
      <c r="C33" s="8">
        <f>IFERROR(B33/B444, "NA")</f>
        <v>0.12060419889939619</v>
      </c>
      <c r="D33" s="9"/>
      <c r="E33" s="7">
        <v>0</v>
      </c>
      <c r="F33" s="8">
        <f>IFERROR(E33/E444, "NA")</f>
        <v>0</v>
      </c>
      <c r="G33" s="9"/>
      <c r="H33" s="10">
        <f t="shared" si="8"/>
        <v>52469.11</v>
      </c>
      <c r="I33" s="8">
        <f>IFERROR(H33/H444, "NA")</f>
        <v>-3.8421738270809285</v>
      </c>
      <c r="J33" s="9"/>
      <c r="K33" s="7">
        <v>46014.04</v>
      </c>
      <c r="L33" s="8">
        <f>IFERROR(K33/K444, "NA")</f>
        <v>0.10564451004548377</v>
      </c>
      <c r="M33" s="9"/>
      <c r="N33" s="10">
        <f t="shared" si="9"/>
        <v>6455.07</v>
      </c>
      <c r="O33" s="8">
        <f>IFERROR(N33/N444, "NA")</f>
        <v>-12.824727316074526</v>
      </c>
      <c r="P33" s="9"/>
      <c r="Q33" s="7">
        <v>52469.11</v>
      </c>
      <c r="R33" s="8">
        <f>IFERROR(Q33/Q444, "NA")</f>
        <v>0.12060419889939619</v>
      </c>
      <c r="S33" s="9"/>
      <c r="T33" s="7">
        <v>0</v>
      </c>
      <c r="U33" s="8">
        <f>IFERROR(T33/T444, "NA")</f>
        <v>0</v>
      </c>
      <c r="V33" s="9"/>
      <c r="W33" s="10">
        <f t="shared" si="10"/>
        <v>52469.11</v>
      </c>
      <c r="X33" s="8">
        <f>IFERROR(W33/W444, "NA")</f>
        <v>-3.8421738270809285</v>
      </c>
      <c r="Y33" s="9"/>
      <c r="Z33" s="7">
        <v>46014.04</v>
      </c>
      <c r="AA33" s="8">
        <f>IFERROR(Z33/Z444, "NA")</f>
        <v>0.10564451004548377</v>
      </c>
      <c r="AB33" s="9"/>
      <c r="AC33" s="10">
        <f t="shared" si="11"/>
        <v>6455.07</v>
      </c>
      <c r="AD33" s="8">
        <f>IFERROR(AC33/AC444, "NA")</f>
        <v>-12.824727316074526</v>
      </c>
    </row>
    <row r="34" spans="1:30" ht="16.5" hidden="1" customHeight="1" x14ac:dyDescent="0.45">
      <c r="A34" s="12" t="s">
        <v>34</v>
      </c>
      <c r="B34" s="7">
        <v>0</v>
      </c>
      <c r="C34" s="8">
        <f>IFERROR(B34/B444, "NA")</f>
        <v>0</v>
      </c>
      <c r="D34" s="9"/>
      <c r="E34" s="7">
        <v>0</v>
      </c>
      <c r="F34" s="8">
        <f>IFERROR(E34/E444, "NA")</f>
        <v>0</v>
      </c>
      <c r="G34" s="9"/>
      <c r="H34" s="10">
        <f t="shared" si="8"/>
        <v>0</v>
      </c>
      <c r="I34" s="8">
        <f>IFERROR(H34/H444, "NA")</f>
        <v>0</v>
      </c>
      <c r="J34" s="9"/>
      <c r="K34" s="7">
        <v>0</v>
      </c>
      <c r="L34" s="8">
        <f>IFERROR(K34/K444, "NA")</f>
        <v>0</v>
      </c>
      <c r="M34" s="9"/>
      <c r="N34" s="10">
        <f t="shared" si="9"/>
        <v>0</v>
      </c>
      <c r="O34" s="8">
        <f>IFERROR(N34/N444, "NA")</f>
        <v>0</v>
      </c>
      <c r="P34" s="9"/>
      <c r="Q34" s="7">
        <v>0</v>
      </c>
      <c r="R34" s="8">
        <f>IFERROR(Q34/Q444, "NA")</f>
        <v>0</v>
      </c>
      <c r="S34" s="9"/>
      <c r="T34" s="7">
        <v>0</v>
      </c>
      <c r="U34" s="8">
        <f>IFERROR(T34/T444, "NA")</f>
        <v>0</v>
      </c>
      <c r="V34" s="9"/>
      <c r="W34" s="10">
        <f t="shared" si="10"/>
        <v>0</v>
      </c>
      <c r="X34" s="8">
        <f>IFERROR(W34/W444, "NA")</f>
        <v>0</v>
      </c>
      <c r="Y34" s="9"/>
      <c r="Z34" s="7">
        <v>0</v>
      </c>
      <c r="AA34" s="8">
        <f>IFERROR(Z34/Z444, "NA")</f>
        <v>0</v>
      </c>
      <c r="AB34" s="9"/>
      <c r="AC34" s="10">
        <f t="shared" si="11"/>
        <v>0</v>
      </c>
      <c r="AD34" s="8">
        <f>IFERROR(AC34/AC444, "NA")</f>
        <v>0</v>
      </c>
    </row>
    <row r="35" spans="1:30" ht="16.5" customHeight="1" x14ac:dyDescent="0.45">
      <c r="A35" s="12" t="s">
        <v>35</v>
      </c>
      <c r="B35" s="7">
        <v>3784.0299999999997</v>
      </c>
      <c r="C35" s="8">
        <f>IFERROR(B35/B444, "NA")</f>
        <v>8.6978777944066929E-3</v>
      </c>
      <c r="D35" s="9"/>
      <c r="E35" s="7">
        <v>0</v>
      </c>
      <c r="F35" s="8">
        <f>IFERROR(E35/E444, "NA")</f>
        <v>0</v>
      </c>
      <c r="G35" s="9"/>
      <c r="H35" s="10">
        <f t="shared" si="8"/>
        <v>3784.0299999999997</v>
      </c>
      <c r="I35" s="8">
        <f>IFERROR(H35/H444, "NA")</f>
        <v>-0.27709448524834984</v>
      </c>
      <c r="J35" s="9"/>
      <c r="K35" s="7">
        <v>4257.7199999999993</v>
      </c>
      <c r="L35" s="8">
        <f>IFERROR(K35/K444, "NA")</f>
        <v>9.7753803689234215E-3</v>
      </c>
      <c r="M35" s="9"/>
      <c r="N35" s="10">
        <f t="shared" si="9"/>
        <v>-473.6899999999996</v>
      </c>
      <c r="O35" s="8">
        <f>IFERROR(N35/N444, "NA")</f>
        <v>0.94111219279594749</v>
      </c>
      <c r="P35" s="9"/>
      <c r="Q35" s="7">
        <v>3784.0299999999997</v>
      </c>
      <c r="R35" s="8">
        <f>IFERROR(Q35/Q444, "NA")</f>
        <v>8.6978777944066929E-3</v>
      </c>
      <c r="S35" s="9"/>
      <c r="T35" s="7">
        <v>0</v>
      </c>
      <c r="U35" s="8">
        <f>IFERROR(T35/T444, "NA")</f>
        <v>0</v>
      </c>
      <c r="V35" s="9"/>
      <c r="W35" s="10">
        <f t="shared" si="10"/>
        <v>3784.0299999999997</v>
      </c>
      <c r="X35" s="8">
        <f>IFERROR(W35/W444, "NA")</f>
        <v>-0.27709448524834984</v>
      </c>
      <c r="Y35" s="9"/>
      <c r="Z35" s="7">
        <v>4257.7199999999993</v>
      </c>
      <c r="AA35" s="8">
        <f>IFERROR(Z35/Z444, "NA")</f>
        <v>9.7753803689234215E-3</v>
      </c>
      <c r="AB35" s="9"/>
      <c r="AC35" s="10">
        <f t="shared" si="11"/>
        <v>-473.6899999999996</v>
      </c>
      <c r="AD35" s="8">
        <f>IFERROR(AC35/AC444, "NA")</f>
        <v>0.94111219279594749</v>
      </c>
    </row>
    <row r="36" spans="1:30" ht="16.5" customHeight="1" x14ac:dyDescent="0.45">
      <c r="A36" s="12" t="s">
        <v>36</v>
      </c>
      <c r="B36" s="7">
        <v>43685.979999999996</v>
      </c>
      <c r="C36" s="8">
        <f>IFERROR(B36/B444, "NA")</f>
        <v>0.10041551345229686</v>
      </c>
      <c r="D36" s="9"/>
      <c r="E36" s="7">
        <v>0</v>
      </c>
      <c r="F36" s="8">
        <f>IFERROR(E36/E444, "NA")</f>
        <v>0</v>
      </c>
      <c r="G36" s="9"/>
      <c r="H36" s="10">
        <f t="shared" si="8"/>
        <v>43685.979999999996</v>
      </c>
      <c r="I36" s="8">
        <f>IFERROR(H36/H444, "NA")</f>
        <v>-3.1990085016952046</v>
      </c>
      <c r="J36" s="9"/>
      <c r="K36" s="7">
        <v>53487.72</v>
      </c>
      <c r="L36" s="8">
        <f>IFERROR(K36/K444, "NA")</f>
        <v>0.12280347417549128</v>
      </c>
      <c r="M36" s="9"/>
      <c r="N36" s="10">
        <f t="shared" si="9"/>
        <v>-9801.7400000000052</v>
      </c>
      <c r="O36" s="8">
        <f>IFERROR(N36/N444, "NA")</f>
        <v>19.473784594599344</v>
      </c>
      <c r="P36" s="9"/>
      <c r="Q36" s="7">
        <v>43685.979999999996</v>
      </c>
      <c r="R36" s="8">
        <f>IFERROR(Q36/Q444, "NA")</f>
        <v>0.10041551345229686</v>
      </c>
      <c r="S36" s="9"/>
      <c r="T36" s="7">
        <v>0</v>
      </c>
      <c r="U36" s="8">
        <f>IFERROR(T36/T444, "NA")</f>
        <v>0</v>
      </c>
      <c r="V36" s="9"/>
      <c r="W36" s="10">
        <f t="shared" si="10"/>
        <v>43685.979999999996</v>
      </c>
      <c r="X36" s="8">
        <f>IFERROR(W36/W444, "NA")</f>
        <v>-3.1990085016952046</v>
      </c>
      <c r="Y36" s="9"/>
      <c r="Z36" s="7">
        <v>53487.72</v>
      </c>
      <c r="AA36" s="8">
        <f>IFERROR(Z36/Z444, "NA")</f>
        <v>0.12280347417549128</v>
      </c>
      <c r="AB36" s="9"/>
      <c r="AC36" s="10">
        <f t="shared" si="11"/>
        <v>-9801.7400000000052</v>
      </c>
      <c r="AD36" s="8">
        <f>IFERROR(AC36/AC444, "NA")</f>
        <v>19.473784594599344</v>
      </c>
    </row>
    <row r="37" spans="1:30" ht="16.5" customHeight="1" x14ac:dyDescent="0.45">
      <c r="A37" s="12" t="s">
        <v>37</v>
      </c>
      <c r="B37" s="7">
        <v>2627.44</v>
      </c>
      <c r="C37" s="8">
        <f>IFERROR(B37/B444, "NA")</f>
        <v>6.0393686181494126E-3</v>
      </c>
      <c r="D37" s="9"/>
      <c r="E37" s="7">
        <v>0</v>
      </c>
      <c r="F37" s="8">
        <f>IFERROR(E37/E444, "NA")</f>
        <v>0</v>
      </c>
      <c r="G37" s="9"/>
      <c r="H37" s="10">
        <f t="shared" si="8"/>
        <v>2627.44</v>
      </c>
      <c r="I37" s="8">
        <f>IFERROR(H37/H444, "NA")</f>
        <v>-0.19240046572593883</v>
      </c>
      <c r="J37" s="9"/>
      <c r="K37" s="7">
        <v>0</v>
      </c>
      <c r="L37" s="8">
        <f>IFERROR(K37/K444, "NA")</f>
        <v>0</v>
      </c>
      <c r="M37" s="9"/>
      <c r="N37" s="10">
        <f t="shared" si="9"/>
        <v>2627.44</v>
      </c>
      <c r="O37" s="8">
        <f>IFERROR(N37/N444, "NA")</f>
        <v>-5.2201140404901656</v>
      </c>
      <c r="P37" s="9"/>
      <c r="Q37" s="7">
        <v>2627.44</v>
      </c>
      <c r="R37" s="8">
        <f>IFERROR(Q37/Q444, "NA")</f>
        <v>6.0393686181494126E-3</v>
      </c>
      <c r="S37" s="9"/>
      <c r="T37" s="7">
        <v>0</v>
      </c>
      <c r="U37" s="8">
        <f>IFERROR(T37/T444, "NA")</f>
        <v>0</v>
      </c>
      <c r="V37" s="9"/>
      <c r="W37" s="10">
        <f t="shared" si="10"/>
        <v>2627.44</v>
      </c>
      <c r="X37" s="8">
        <f>IFERROR(W37/W444, "NA")</f>
        <v>-0.19240046572593883</v>
      </c>
      <c r="Y37" s="9"/>
      <c r="Z37" s="7">
        <v>0</v>
      </c>
      <c r="AA37" s="8">
        <f>IFERROR(Z37/Z444, "NA")</f>
        <v>0</v>
      </c>
      <c r="AB37" s="9"/>
      <c r="AC37" s="10">
        <f t="shared" si="11"/>
        <v>2627.44</v>
      </c>
      <c r="AD37" s="8">
        <f>IFERROR(AC37/AC444, "NA")</f>
        <v>-5.2201140404901656</v>
      </c>
    </row>
    <row r="38" spans="1:30" ht="16.5" hidden="1" customHeight="1" x14ac:dyDescent="0.45">
      <c r="A38" s="12" t="s">
        <v>38</v>
      </c>
      <c r="B38" s="7">
        <v>0</v>
      </c>
      <c r="C38" s="8">
        <f>IFERROR(B38/B444, "NA")</f>
        <v>0</v>
      </c>
      <c r="D38" s="9"/>
      <c r="E38" s="7">
        <v>0</v>
      </c>
      <c r="F38" s="8">
        <f>IFERROR(E38/E444, "NA")</f>
        <v>0</v>
      </c>
      <c r="G38" s="9"/>
      <c r="H38" s="10">
        <f t="shared" si="8"/>
        <v>0</v>
      </c>
      <c r="I38" s="8">
        <f>IFERROR(H38/H444, "NA")</f>
        <v>0</v>
      </c>
      <c r="J38" s="9"/>
      <c r="K38" s="7">
        <v>0</v>
      </c>
      <c r="L38" s="8">
        <f>IFERROR(K38/K444, "NA")</f>
        <v>0</v>
      </c>
      <c r="M38" s="9"/>
      <c r="N38" s="10">
        <f t="shared" si="9"/>
        <v>0</v>
      </c>
      <c r="O38" s="8">
        <f>IFERROR(N38/N444, "NA")</f>
        <v>0</v>
      </c>
      <c r="P38" s="9"/>
      <c r="Q38" s="7">
        <v>0</v>
      </c>
      <c r="R38" s="8">
        <f>IFERROR(Q38/Q444, "NA")</f>
        <v>0</v>
      </c>
      <c r="S38" s="9"/>
      <c r="T38" s="7">
        <v>0</v>
      </c>
      <c r="U38" s="8">
        <f>IFERROR(T38/T444, "NA")</f>
        <v>0</v>
      </c>
      <c r="V38" s="9"/>
      <c r="W38" s="10">
        <f t="shared" si="10"/>
        <v>0</v>
      </c>
      <c r="X38" s="8">
        <f>IFERROR(W38/W444, "NA")</f>
        <v>0</v>
      </c>
      <c r="Y38" s="9"/>
      <c r="Z38" s="7">
        <v>0</v>
      </c>
      <c r="AA38" s="8">
        <f>IFERROR(Z38/Z444, "NA")</f>
        <v>0</v>
      </c>
      <c r="AB38" s="9"/>
      <c r="AC38" s="10">
        <f t="shared" si="11"/>
        <v>0</v>
      </c>
      <c r="AD38" s="8">
        <f>IFERROR(AC38/AC444, "NA")</f>
        <v>0</v>
      </c>
    </row>
    <row r="39" spans="1:30" ht="16.5" customHeight="1" x14ac:dyDescent="0.45">
      <c r="A39" s="12" t="s">
        <v>39</v>
      </c>
      <c r="B39" s="7">
        <v>1657.3899999999999</v>
      </c>
      <c r="C39" s="8">
        <f>IFERROR(B39/B444, "NA")</f>
        <v>3.8096356735204816E-3</v>
      </c>
      <c r="D39" s="9"/>
      <c r="E39" s="7">
        <v>0</v>
      </c>
      <c r="F39" s="8">
        <f>IFERROR(E39/E444, "NA")</f>
        <v>0</v>
      </c>
      <c r="G39" s="9"/>
      <c r="H39" s="10">
        <f t="shared" si="8"/>
        <v>1657.3899999999999</v>
      </c>
      <c r="I39" s="8">
        <f>IFERROR(H39/H444, "NA")</f>
        <v>-0.12136627587671411</v>
      </c>
      <c r="J39" s="9"/>
      <c r="K39" s="7">
        <v>4101.3500000000004</v>
      </c>
      <c r="L39" s="8">
        <f>IFERROR(K39/K444, "NA")</f>
        <v>9.4163675103304308E-3</v>
      </c>
      <c r="M39" s="9"/>
      <c r="N39" s="10">
        <f t="shared" si="9"/>
        <v>-2443.9600000000005</v>
      </c>
      <c r="O39" s="8">
        <f>IFERROR(N39/N444, "NA")</f>
        <v>4.8555818250450429</v>
      </c>
      <c r="P39" s="9"/>
      <c r="Q39" s="7">
        <v>1657.3899999999999</v>
      </c>
      <c r="R39" s="8">
        <f>IFERROR(Q39/Q444, "NA")</f>
        <v>3.8096356735204816E-3</v>
      </c>
      <c r="S39" s="9"/>
      <c r="T39" s="7">
        <v>0</v>
      </c>
      <c r="U39" s="8">
        <f>IFERROR(T39/T444, "NA")</f>
        <v>0</v>
      </c>
      <c r="V39" s="9"/>
      <c r="W39" s="10">
        <f t="shared" si="10"/>
        <v>1657.3899999999999</v>
      </c>
      <c r="X39" s="8">
        <f>IFERROR(W39/W444, "NA")</f>
        <v>-0.12136627587671411</v>
      </c>
      <c r="Y39" s="9"/>
      <c r="Z39" s="7">
        <v>4101.3500000000004</v>
      </c>
      <c r="AA39" s="8">
        <f>IFERROR(Z39/Z444, "NA")</f>
        <v>9.4163675103304308E-3</v>
      </c>
      <c r="AB39" s="9"/>
      <c r="AC39" s="10">
        <f t="shared" si="11"/>
        <v>-2443.9600000000005</v>
      </c>
      <c r="AD39" s="8">
        <f>IFERROR(AC39/AC444, "NA")</f>
        <v>4.8555818250450429</v>
      </c>
    </row>
    <row r="40" spans="1:30" ht="16.5" customHeight="1" x14ac:dyDescent="0.45">
      <c r="A40" s="13" t="s">
        <v>40</v>
      </c>
      <c r="B40" s="14">
        <f>IFERROR(B31+B32+B33+B34+B35+B36+B37+B38+B39, "NA")</f>
        <v>104223.95</v>
      </c>
      <c r="C40" s="15">
        <f>IFERROR(B40/B444, "NA")</f>
        <v>0.23956659443776965</v>
      </c>
      <c r="D40" s="2"/>
      <c r="E40" s="14">
        <f>IFERROR(E31+E32+E33+E34+E35+E36+E37+E38+E39, "NA")</f>
        <v>91287.05</v>
      </c>
      <c r="F40" s="15">
        <f>IFERROR(E40/E444, "NA")</f>
        <v>0.20344413139764328</v>
      </c>
      <c r="G40" s="2"/>
      <c r="H40" s="14">
        <f t="shared" si="8"/>
        <v>12936.899999999994</v>
      </c>
      <c r="I40" s="15">
        <f>IFERROR(H40/H444, "NA")</f>
        <v>-0.94733489063495147</v>
      </c>
      <c r="J40" s="2"/>
      <c r="K40" s="14">
        <f>IFERROR(K31+K32+K33+K34+K35+K36+K37+K38+K39, "NA")</f>
        <v>107860.83000000002</v>
      </c>
      <c r="L40" s="15">
        <f>IFERROR(K40/K444, "NA")</f>
        <v>0.24763973210022894</v>
      </c>
      <c r="M40" s="2"/>
      <c r="N40" s="14">
        <f t="shared" si="9"/>
        <v>-3636.8800000000192</v>
      </c>
      <c r="O40" s="15">
        <f>IFERROR(N40/N444, "NA")</f>
        <v>7.2256372558756707</v>
      </c>
      <c r="P40" s="2"/>
      <c r="Q40" s="14">
        <f>IFERROR(Q31+Q32+Q33+Q34+Q35+Q36+Q37+Q38+Q39, "NA")</f>
        <v>104223.95</v>
      </c>
      <c r="R40" s="15">
        <f>IFERROR(Q40/Q444, "NA")</f>
        <v>0.23956659443776965</v>
      </c>
      <c r="S40" s="2"/>
      <c r="T40" s="14">
        <f>IFERROR(T31+T32+T33+T34+T35+T36+T37+T38+T39, "NA")</f>
        <v>91287.05</v>
      </c>
      <c r="U40" s="15">
        <f>IFERROR(T40/T444, "NA")</f>
        <v>0.20344413139764328</v>
      </c>
      <c r="V40" s="2"/>
      <c r="W40" s="14">
        <f t="shared" si="10"/>
        <v>12936.899999999994</v>
      </c>
      <c r="X40" s="15">
        <f>IFERROR(W40/W444, "NA")</f>
        <v>-0.94733489063495147</v>
      </c>
      <c r="Y40" s="2"/>
      <c r="Z40" s="14">
        <f>IFERROR(Z31+Z32+Z33+Z34+Z35+Z36+Z37+Z38+Z39, "NA")</f>
        <v>107860.83000000002</v>
      </c>
      <c r="AA40" s="15">
        <f>IFERROR(Z40/Z444, "NA")</f>
        <v>0.24763973210022894</v>
      </c>
      <c r="AB40" s="2"/>
      <c r="AC40" s="14">
        <f t="shared" si="11"/>
        <v>-3636.8800000000192</v>
      </c>
      <c r="AD40" s="15">
        <f>IFERROR(AC40/AC444, "NA")</f>
        <v>7.2256372558756707</v>
      </c>
    </row>
    <row r="41" spans="1:30" ht="16.5" customHeight="1" x14ac:dyDescent="0.45">
      <c r="A41" s="11" t="s">
        <v>41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45">
      <c r="A42" s="12" t="s">
        <v>41</v>
      </c>
      <c r="B42" s="7">
        <v>0</v>
      </c>
      <c r="C42" s="8">
        <f>IFERROR(B42/B444, "NA")</f>
        <v>0</v>
      </c>
      <c r="D42" s="9"/>
      <c r="E42" s="7">
        <v>107369.5</v>
      </c>
      <c r="F42" s="8">
        <f>IFERROR(E42/E444, "NA")</f>
        <v>0.23928579865489419</v>
      </c>
      <c r="G42" s="9"/>
      <c r="H42" s="10">
        <f>IFERROR(B42-E42, "NA")</f>
        <v>-107369.5</v>
      </c>
      <c r="I42" s="8">
        <f>IFERROR(H42/H444, "NA")</f>
        <v>7.8623838431177075</v>
      </c>
      <c r="J42" s="9"/>
      <c r="K42" s="7">
        <v>0</v>
      </c>
      <c r="L42" s="8">
        <f>IFERROR(K42/K444, "NA")</f>
        <v>0</v>
      </c>
      <c r="M42" s="9"/>
      <c r="N42" s="10">
        <f>IFERROR(B42-K42, "NA")</f>
        <v>0</v>
      </c>
      <c r="O42" s="8">
        <f>IFERROR(N42/N444, "NA")</f>
        <v>0</v>
      </c>
      <c r="P42" s="9"/>
      <c r="Q42" s="7">
        <v>0</v>
      </c>
      <c r="R42" s="8">
        <f>IFERROR(Q42/Q444, "NA")</f>
        <v>0</v>
      </c>
      <c r="S42" s="9"/>
      <c r="T42" s="7">
        <v>107369.5</v>
      </c>
      <c r="U42" s="8">
        <f>IFERROR(T42/T444, "NA")</f>
        <v>0.23928579865489419</v>
      </c>
      <c r="V42" s="9"/>
      <c r="W42" s="10">
        <f>IFERROR(Q42-T42, "NA")</f>
        <v>-107369.5</v>
      </c>
      <c r="X42" s="8">
        <f>IFERROR(W42/W444, "NA")</f>
        <v>7.8623838431177075</v>
      </c>
      <c r="Y42" s="9"/>
      <c r="Z42" s="7">
        <v>0</v>
      </c>
      <c r="AA42" s="8">
        <f>IFERROR(Z42/Z444, "NA")</f>
        <v>0</v>
      </c>
      <c r="AB42" s="9"/>
      <c r="AC42" s="10">
        <f>IFERROR(Q42-Z42, "NA")</f>
        <v>0</v>
      </c>
      <c r="AD42" s="8">
        <f>IFERROR(AC42/AC444, "NA")</f>
        <v>0</v>
      </c>
    </row>
    <row r="43" spans="1:30" ht="16.5" customHeight="1" x14ac:dyDescent="0.45">
      <c r="A43" s="12" t="s">
        <v>42</v>
      </c>
      <c r="B43" s="7">
        <v>11178.740000000002</v>
      </c>
      <c r="C43" s="8">
        <f>IFERROR(B43/B444, "NA")</f>
        <v>2.5695175359456954E-2</v>
      </c>
      <c r="D43" s="9"/>
      <c r="E43" s="7">
        <v>0</v>
      </c>
      <c r="F43" s="8">
        <f>IFERROR(E43/E444, "NA")</f>
        <v>0</v>
      </c>
      <c r="G43" s="9"/>
      <c r="H43" s="10">
        <f>IFERROR(B43-E43, "NA")</f>
        <v>11178.740000000002</v>
      </c>
      <c r="I43" s="8">
        <f>IFERROR(H43/H444, "NA")</f>
        <v>-0.81858949480451759</v>
      </c>
      <c r="J43" s="9"/>
      <c r="K43" s="7">
        <v>17587.05</v>
      </c>
      <c r="L43" s="8">
        <f>IFERROR(K43/K444, "NA")</f>
        <v>4.037844276215314E-2</v>
      </c>
      <c r="M43" s="9"/>
      <c r="N43" s="10">
        <f>IFERROR(B43-K43, "NA")</f>
        <v>-6408.3099999999977</v>
      </c>
      <c r="O43" s="8">
        <f>IFERROR(N43/N444, "NA")</f>
        <v>12.73182603858262</v>
      </c>
      <c r="P43" s="9"/>
      <c r="Q43" s="7">
        <v>11178.740000000002</v>
      </c>
      <c r="R43" s="8">
        <f>IFERROR(Q43/Q444, "NA")</f>
        <v>2.5695175359456954E-2</v>
      </c>
      <c r="S43" s="9"/>
      <c r="T43" s="7">
        <v>0</v>
      </c>
      <c r="U43" s="8">
        <f>IFERROR(T43/T444, "NA")</f>
        <v>0</v>
      </c>
      <c r="V43" s="9"/>
      <c r="W43" s="10">
        <f>IFERROR(Q43-T43, "NA")</f>
        <v>11178.740000000002</v>
      </c>
      <c r="X43" s="8">
        <f>IFERROR(W43/W444, "NA")</f>
        <v>-0.81858949480451759</v>
      </c>
      <c r="Y43" s="9"/>
      <c r="Z43" s="7">
        <v>17587.05</v>
      </c>
      <c r="AA43" s="8">
        <f>IFERROR(Z43/Z444, "NA")</f>
        <v>4.037844276215314E-2</v>
      </c>
      <c r="AB43" s="9"/>
      <c r="AC43" s="10">
        <f>IFERROR(Q43-Z43, "NA")</f>
        <v>-6408.3099999999977</v>
      </c>
      <c r="AD43" s="8">
        <f>IFERROR(AC43/AC444, "NA")</f>
        <v>12.73182603858262</v>
      </c>
    </row>
    <row r="44" spans="1:30" ht="16.5" hidden="1" customHeight="1" x14ac:dyDescent="0.45">
      <c r="A44" s="12" t="s">
        <v>43</v>
      </c>
      <c r="B44" s="7">
        <v>0</v>
      </c>
      <c r="C44" s="8">
        <f>IFERROR(B44/B444, "NA")</f>
        <v>0</v>
      </c>
      <c r="D44" s="9"/>
      <c r="E44" s="7">
        <v>0</v>
      </c>
      <c r="F44" s="8">
        <f>IFERROR(E44/E444, "NA")</f>
        <v>0</v>
      </c>
      <c r="G44" s="9"/>
      <c r="H44" s="10">
        <f>IFERROR(B44-E44, "NA")</f>
        <v>0</v>
      </c>
      <c r="I44" s="8">
        <f>IFERROR(H44/H444, "NA")</f>
        <v>0</v>
      </c>
      <c r="J44" s="9"/>
      <c r="K44" s="7">
        <v>0</v>
      </c>
      <c r="L44" s="8">
        <f>IFERROR(K44/K444, "NA")</f>
        <v>0</v>
      </c>
      <c r="M44" s="9"/>
      <c r="N44" s="10">
        <f>IFERROR(B44-K44, "NA")</f>
        <v>0</v>
      </c>
      <c r="O44" s="8">
        <f>IFERROR(N44/N444, "NA")</f>
        <v>0</v>
      </c>
      <c r="P44" s="9"/>
      <c r="Q44" s="7">
        <v>0</v>
      </c>
      <c r="R44" s="8">
        <f>IFERROR(Q44/Q444, "NA")</f>
        <v>0</v>
      </c>
      <c r="S44" s="9"/>
      <c r="T44" s="7">
        <v>0</v>
      </c>
      <c r="U44" s="8">
        <f>IFERROR(T44/T444, "NA")</f>
        <v>0</v>
      </c>
      <c r="V44" s="9"/>
      <c r="W44" s="10">
        <f>IFERROR(Q44-T44, "NA")</f>
        <v>0</v>
      </c>
      <c r="X44" s="8">
        <f>IFERROR(W44/W444, "NA")</f>
        <v>0</v>
      </c>
      <c r="Y44" s="9"/>
      <c r="Z44" s="7">
        <v>0</v>
      </c>
      <c r="AA44" s="8">
        <f>IFERROR(Z44/Z444, "NA")</f>
        <v>0</v>
      </c>
      <c r="AB44" s="9"/>
      <c r="AC44" s="10">
        <f>IFERROR(Q44-Z44, "NA")</f>
        <v>0</v>
      </c>
      <c r="AD44" s="8">
        <f>IFERROR(AC44/AC444, "NA")</f>
        <v>0</v>
      </c>
    </row>
    <row r="45" spans="1:30" ht="16.5" customHeight="1" x14ac:dyDescent="0.45">
      <c r="A45" s="16" t="s">
        <v>44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45">
      <c r="A46" s="17" t="s">
        <v>44</v>
      </c>
      <c r="B46" s="7">
        <v>0</v>
      </c>
      <c r="C46" s="8">
        <f>IFERROR(B46/B444, "NA")</f>
        <v>0</v>
      </c>
      <c r="D46" s="9"/>
      <c r="E46" s="7">
        <v>0</v>
      </c>
      <c r="F46" s="8">
        <f>IFERROR(E46/E444, "NA")</f>
        <v>0</v>
      </c>
      <c r="G46" s="9"/>
      <c r="H46" s="10">
        <f t="shared" ref="H46:H62" si="12">IFERROR(B46-E46, "NA")</f>
        <v>0</v>
      </c>
      <c r="I46" s="8">
        <f>IFERROR(H46/H444, "NA")</f>
        <v>0</v>
      </c>
      <c r="J46" s="9"/>
      <c r="K46" s="7">
        <v>0</v>
      </c>
      <c r="L46" s="8">
        <f>IFERROR(K46/K444, "NA")</f>
        <v>0</v>
      </c>
      <c r="M46" s="9"/>
      <c r="N46" s="10">
        <f t="shared" ref="N46:N62" si="13">IFERROR(B46-K46, "NA")</f>
        <v>0</v>
      </c>
      <c r="O46" s="8">
        <f>IFERROR(N46/N444, "NA")</f>
        <v>0</v>
      </c>
      <c r="P46" s="9"/>
      <c r="Q46" s="7">
        <v>0</v>
      </c>
      <c r="R46" s="8">
        <f>IFERROR(Q46/Q444, "NA")</f>
        <v>0</v>
      </c>
      <c r="S46" s="9"/>
      <c r="T46" s="7">
        <v>0</v>
      </c>
      <c r="U46" s="8">
        <f>IFERROR(T46/T444, "NA")</f>
        <v>0</v>
      </c>
      <c r="V46" s="9"/>
      <c r="W46" s="10">
        <f t="shared" ref="W46:W62" si="14">IFERROR(Q46-T46, "NA")</f>
        <v>0</v>
      </c>
      <c r="X46" s="8">
        <f>IFERROR(W46/W444, "NA")</f>
        <v>0</v>
      </c>
      <c r="Y46" s="9"/>
      <c r="Z46" s="7">
        <v>0</v>
      </c>
      <c r="AA46" s="8">
        <f>IFERROR(Z46/Z444, "NA")</f>
        <v>0</v>
      </c>
      <c r="AB46" s="9"/>
      <c r="AC46" s="10">
        <f t="shared" ref="AC46:AC62" si="15">IFERROR(Q46-Z46, "NA")</f>
        <v>0</v>
      </c>
      <c r="AD46" s="8">
        <f>IFERROR(AC46/AC444, "NA")</f>
        <v>0</v>
      </c>
    </row>
    <row r="47" spans="1:30" ht="16.5" customHeight="1" x14ac:dyDescent="0.45">
      <c r="A47" s="17" t="s">
        <v>45</v>
      </c>
      <c r="B47" s="7">
        <v>0</v>
      </c>
      <c r="C47" s="8">
        <f>IFERROR(B47/B444, "NA")</f>
        <v>0</v>
      </c>
      <c r="D47" s="9"/>
      <c r="E47" s="7">
        <v>0</v>
      </c>
      <c r="F47" s="8">
        <f>IFERROR(E47/E444, "NA")</f>
        <v>0</v>
      </c>
      <c r="G47" s="9"/>
      <c r="H47" s="10">
        <f t="shared" si="12"/>
        <v>0</v>
      </c>
      <c r="I47" s="8">
        <f>IFERROR(H47/H444, "NA")</f>
        <v>0</v>
      </c>
      <c r="J47" s="9"/>
      <c r="K47" s="7">
        <v>516.70000000000005</v>
      </c>
      <c r="L47" s="8">
        <f>IFERROR(K47/K444, "NA")</f>
        <v>1.1863013623776887E-3</v>
      </c>
      <c r="M47" s="9"/>
      <c r="N47" s="10">
        <f t="shared" si="13"/>
        <v>-516.70000000000005</v>
      </c>
      <c r="O47" s="8">
        <f>IFERROR(N47/N444, "NA")</f>
        <v>1.0265630898217537</v>
      </c>
      <c r="P47" s="9"/>
      <c r="Q47" s="7">
        <v>0</v>
      </c>
      <c r="R47" s="8">
        <f>IFERROR(Q47/Q444, "NA")</f>
        <v>0</v>
      </c>
      <c r="S47" s="9"/>
      <c r="T47" s="7">
        <v>0</v>
      </c>
      <c r="U47" s="8">
        <f>IFERROR(T47/T444, "NA")</f>
        <v>0</v>
      </c>
      <c r="V47" s="9"/>
      <c r="W47" s="10">
        <f t="shared" si="14"/>
        <v>0</v>
      </c>
      <c r="X47" s="8">
        <f>IFERROR(W47/W444, "NA")</f>
        <v>0</v>
      </c>
      <c r="Y47" s="9"/>
      <c r="Z47" s="7">
        <v>516.70000000000005</v>
      </c>
      <c r="AA47" s="8">
        <f>IFERROR(Z47/Z444, "NA")</f>
        <v>1.1863013623776887E-3</v>
      </c>
      <c r="AB47" s="9"/>
      <c r="AC47" s="10">
        <f t="shared" si="15"/>
        <v>-516.70000000000005</v>
      </c>
      <c r="AD47" s="8">
        <f>IFERROR(AC47/AC444, "NA")</f>
        <v>1.0265630898217537</v>
      </c>
    </row>
    <row r="48" spans="1:30" ht="16.5" customHeight="1" x14ac:dyDescent="0.45">
      <c r="A48" s="17" t="s">
        <v>46</v>
      </c>
      <c r="B48" s="7">
        <v>56641.070000000007</v>
      </c>
      <c r="C48" s="8">
        <f>IFERROR(B48/B444, "NA")</f>
        <v>0.13019376299987981</v>
      </c>
      <c r="D48" s="9"/>
      <c r="E48" s="7">
        <v>0</v>
      </c>
      <c r="F48" s="8">
        <f>IFERROR(E48/E444, "NA")</f>
        <v>0</v>
      </c>
      <c r="G48" s="9"/>
      <c r="H48" s="10">
        <f t="shared" si="12"/>
        <v>56641.070000000007</v>
      </c>
      <c r="I48" s="8">
        <f>IFERROR(H48/H444, "NA")</f>
        <v>-4.1476753978075633</v>
      </c>
      <c r="J48" s="9"/>
      <c r="K48" s="7">
        <v>82076.25</v>
      </c>
      <c r="L48" s="8">
        <f>IFERROR(K48/K444, "NA")</f>
        <v>0.18844042421879575</v>
      </c>
      <c r="M48" s="9"/>
      <c r="N48" s="10">
        <f t="shared" si="13"/>
        <v>-25435.179999999993</v>
      </c>
      <c r="O48" s="8">
        <f>IFERROR(N48/N444, "NA")</f>
        <v>50.533804859633179</v>
      </c>
      <c r="P48" s="9"/>
      <c r="Q48" s="7">
        <v>56641.070000000007</v>
      </c>
      <c r="R48" s="8">
        <f>IFERROR(Q48/Q444, "NA")</f>
        <v>0.13019376299987981</v>
      </c>
      <c r="S48" s="9"/>
      <c r="T48" s="7">
        <v>0</v>
      </c>
      <c r="U48" s="8">
        <f>IFERROR(T48/T444, "NA")</f>
        <v>0</v>
      </c>
      <c r="V48" s="9"/>
      <c r="W48" s="10">
        <f t="shared" si="14"/>
        <v>56641.070000000007</v>
      </c>
      <c r="X48" s="8">
        <f>IFERROR(W48/W444, "NA")</f>
        <v>-4.1476753978075633</v>
      </c>
      <c r="Y48" s="9"/>
      <c r="Z48" s="7">
        <v>82076.25</v>
      </c>
      <c r="AA48" s="8">
        <f>IFERROR(Z48/Z444, "NA")</f>
        <v>0.18844042421879575</v>
      </c>
      <c r="AB48" s="9"/>
      <c r="AC48" s="10">
        <f t="shared" si="15"/>
        <v>-25435.179999999993</v>
      </c>
      <c r="AD48" s="8">
        <f>IFERROR(AC48/AC444, "NA")</f>
        <v>50.533804859633179</v>
      </c>
    </row>
    <row r="49" spans="1:30" ht="16.5" hidden="1" customHeight="1" x14ac:dyDescent="0.45">
      <c r="A49" s="17" t="s">
        <v>47</v>
      </c>
      <c r="B49" s="7">
        <v>0</v>
      </c>
      <c r="C49" s="8">
        <f>IFERROR(B49/B444, "NA")</f>
        <v>0</v>
      </c>
      <c r="D49" s="9"/>
      <c r="E49" s="7">
        <v>0</v>
      </c>
      <c r="F49" s="8">
        <f>IFERROR(E49/E444, "NA")</f>
        <v>0</v>
      </c>
      <c r="G49" s="9"/>
      <c r="H49" s="10">
        <f t="shared" si="12"/>
        <v>0</v>
      </c>
      <c r="I49" s="8">
        <f>IFERROR(H49/H444, "NA")</f>
        <v>0</v>
      </c>
      <c r="J49" s="9"/>
      <c r="K49" s="7">
        <v>0</v>
      </c>
      <c r="L49" s="8">
        <f>IFERROR(K49/K444, "NA")</f>
        <v>0</v>
      </c>
      <c r="M49" s="9"/>
      <c r="N49" s="10">
        <f t="shared" si="13"/>
        <v>0</v>
      </c>
      <c r="O49" s="8">
        <f>IFERROR(N49/N444, "NA")</f>
        <v>0</v>
      </c>
      <c r="P49" s="9"/>
      <c r="Q49" s="7">
        <v>0</v>
      </c>
      <c r="R49" s="8">
        <f>IFERROR(Q49/Q444, "NA")</f>
        <v>0</v>
      </c>
      <c r="S49" s="9"/>
      <c r="T49" s="7">
        <v>0</v>
      </c>
      <c r="U49" s="8">
        <f>IFERROR(T49/T444, "NA")</f>
        <v>0</v>
      </c>
      <c r="V49" s="9"/>
      <c r="W49" s="10">
        <f t="shared" si="14"/>
        <v>0</v>
      </c>
      <c r="X49" s="8">
        <f>IFERROR(W49/W444, "NA")</f>
        <v>0</v>
      </c>
      <c r="Y49" s="9"/>
      <c r="Z49" s="7">
        <v>0</v>
      </c>
      <c r="AA49" s="8">
        <f>IFERROR(Z49/Z444, "NA")</f>
        <v>0</v>
      </c>
      <c r="AB49" s="9"/>
      <c r="AC49" s="10">
        <f t="shared" si="15"/>
        <v>0</v>
      </c>
      <c r="AD49" s="8">
        <f>IFERROR(AC49/AC444, "NA")</f>
        <v>0</v>
      </c>
    </row>
    <row r="50" spans="1:30" ht="16.5" customHeight="1" x14ac:dyDescent="0.45">
      <c r="A50" s="17" t="s">
        <v>48</v>
      </c>
      <c r="B50" s="7">
        <v>547</v>
      </c>
      <c r="C50" s="8">
        <f>IFERROR(B50/B444, "NA")</f>
        <v>1.2573206749260607E-3</v>
      </c>
      <c r="D50" s="9"/>
      <c r="E50" s="7">
        <v>0</v>
      </c>
      <c r="F50" s="8">
        <f>IFERROR(E50/E444, "NA")</f>
        <v>0</v>
      </c>
      <c r="G50" s="9"/>
      <c r="H50" s="10">
        <f t="shared" si="12"/>
        <v>547</v>
      </c>
      <c r="I50" s="8">
        <f>IFERROR(H50/H444, "NA")</f>
        <v>-4.0055359875806315E-2</v>
      </c>
      <c r="J50" s="9"/>
      <c r="K50" s="7">
        <v>137.13999999999999</v>
      </c>
      <c r="L50" s="8">
        <f>IFERROR(K50/K444, "NA")</f>
        <v>3.1486233566184674E-4</v>
      </c>
      <c r="M50" s="9"/>
      <c r="N50" s="10">
        <f t="shared" si="13"/>
        <v>409.86</v>
      </c>
      <c r="O50" s="8">
        <f>IFERROR(N50/N444, "NA")</f>
        <v>-0.81429678342238043</v>
      </c>
      <c r="P50" s="9"/>
      <c r="Q50" s="7">
        <v>547</v>
      </c>
      <c r="R50" s="8">
        <f>IFERROR(Q50/Q444, "NA")</f>
        <v>1.2573206749260607E-3</v>
      </c>
      <c r="S50" s="9"/>
      <c r="T50" s="7">
        <v>0</v>
      </c>
      <c r="U50" s="8">
        <f>IFERROR(T50/T444, "NA")</f>
        <v>0</v>
      </c>
      <c r="V50" s="9"/>
      <c r="W50" s="10">
        <f t="shared" si="14"/>
        <v>547</v>
      </c>
      <c r="X50" s="8">
        <f>IFERROR(W50/W444, "NA")</f>
        <v>-4.0055359875806315E-2</v>
      </c>
      <c r="Y50" s="9"/>
      <c r="Z50" s="7">
        <v>137.13999999999999</v>
      </c>
      <c r="AA50" s="8">
        <f>IFERROR(Z50/Z444, "NA")</f>
        <v>3.1486233566184674E-4</v>
      </c>
      <c r="AB50" s="9"/>
      <c r="AC50" s="10">
        <f t="shared" si="15"/>
        <v>409.86</v>
      </c>
      <c r="AD50" s="8">
        <f>IFERROR(AC50/AC444, "NA")</f>
        <v>-0.81429678342238043</v>
      </c>
    </row>
    <row r="51" spans="1:30" ht="16.5" customHeight="1" x14ac:dyDescent="0.45">
      <c r="A51" s="17" t="s">
        <v>49</v>
      </c>
      <c r="B51" s="7">
        <v>2158.5100000000002</v>
      </c>
      <c r="C51" s="8">
        <f>IFERROR(B51/B444, "NA")</f>
        <v>4.9614977148713917E-3</v>
      </c>
      <c r="D51" s="9"/>
      <c r="E51" s="7">
        <v>0</v>
      </c>
      <c r="F51" s="8">
        <f>IFERROR(E51/E444, "NA")</f>
        <v>0</v>
      </c>
      <c r="G51" s="9"/>
      <c r="H51" s="10">
        <f t="shared" si="12"/>
        <v>2158.5100000000002</v>
      </c>
      <c r="I51" s="8">
        <f>IFERROR(H51/H444, "NA")</f>
        <v>-0.15806196498268135</v>
      </c>
      <c r="J51" s="9"/>
      <c r="K51" s="7">
        <v>3542.99</v>
      </c>
      <c r="L51" s="8">
        <f>IFERROR(K51/K444, "NA")</f>
        <v>8.1344181611970722E-3</v>
      </c>
      <c r="M51" s="9"/>
      <c r="N51" s="10">
        <f t="shared" si="13"/>
        <v>-1384.4799999999996</v>
      </c>
      <c r="O51" s="8">
        <f>IFERROR(N51/N444, "NA")</f>
        <v>2.7506407327199942</v>
      </c>
      <c r="P51" s="9"/>
      <c r="Q51" s="7">
        <v>2158.5100000000002</v>
      </c>
      <c r="R51" s="8">
        <f>IFERROR(Q51/Q444, "NA")</f>
        <v>4.9614977148713917E-3</v>
      </c>
      <c r="S51" s="9"/>
      <c r="T51" s="7">
        <v>0</v>
      </c>
      <c r="U51" s="8">
        <f>IFERROR(T51/T444, "NA")</f>
        <v>0</v>
      </c>
      <c r="V51" s="9"/>
      <c r="W51" s="10">
        <f t="shared" si="14"/>
        <v>2158.5100000000002</v>
      </c>
      <c r="X51" s="8">
        <f>IFERROR(W51/W444, "NA")</f>
        <v>-0.15806196498268135</v>
      </c>
      <c r="Y51" s="9"/>
      <c r="Z51" s="7">
        <v>3542.99</v>
      </c>
      <c r="AA51" s="8">
        <f>IFERROR(Z51/Z444, "NA")</f>
        <v>8.1344181611970722E-3</v>
      </c>
      <c r="AB51" s="9"/>
      <c r="AC51" s="10">
        <f t="shared" si="15"/>
        <v>-1384.4799999999996</v>
      </c>
      <c r="AD51" s="8">
        <f>IFERROR(AC51/AC444, "NA")</f>
        <v>2.7506407327199942</v>
      </c>
    </row>
    <row r="52" spans="1:30" ht="16.5" hidden="1" customHeight="1" x14ac:dyDescent="0.45">
      <c r="A52" s="17" t="s">
        <v>50</v>
      </c>
      <c r="B52" s="7">
        <v>0</v>
      </c>
      <c r="C52" s="8">
        <f>IFERROR(B52/B444, "NA")</f>
        <v>0</v>
      </c>
      <c r="D52" s="9"/>
      <c r="E52" s="7">
        <v>0</v>
      </c>
      <c r="F52" s="8">
        <f>IFERROR(E52/E444, "NA")</f>
        <v>0</v>
      </c>
      <c r="G52" s="9"/>
      <c r="H52" s="10">
        <f t="shared" si="12"/>
        <v>0</v>
      </c>
      <c r="I52" s="8">
        <f>IFERROR(H52/H444, "NA")</f>
        <v>0</v>
      </c>
      <c r="J52" s="9"/>
      <c r="K52" s="7">
        <v>0</v>
      </c>
      <c r="L52" s="8">
        <f>IFERROR(K52/K444, "NA")</f>
        <v>0</v>
      </c>
      <c r="M52" s="9"/>
      <c r="N52" s="10">
        <f t="shared" si="13"/>
        <v>0</v>
      </c>
      <c r="O52" s="8">
        <f>IFERROR(N52/N444, "NA")</f>
        <v>0</v>
      </c>
      <c r="P52" s="9"/>
      <c r="Q52" s="7">
        <v>0</v>
      </c>
      <c r="R52" s="8">
        <f>IFERROR(Q52/Q444, "NA")</f>
        <v>0</v>
      </c>
      <c r="S52" s="9"/>
      <c r="T52" s="7">
        <v>0</v>
      </c>
      <c r="U52" s="8">
        <f>IFERROR(T52/T444, "NA")</f>
        <v>0</v>
      </c>
      <c r="V52" s="9"/>
      <c r="W52" s="10">
        <f t="shared" si="14"/>
        <v>0</v>
      </c>
      <c r="X52" s="8">
        <f>IFERROR(W52/W444, "NA")</f>
        <v>0</v>
      </c>
      <c r="Y52" s="9"/>
      <c r="Z52" s="7">
        <v>0</v>
      </c>
      <c r="AA52" s="8">
        <f>IFERROR(Z52/Z444, "NA")</f>
        <v>0</v>
      </c>
      <c r="AB52" s="9"/>
      <c r="AC52" s="10">
        <f t="shared" si="15"/>
        <v>0</v>
      </c>
      <c r="AD52" s="8">
        <f>IFERROR(AC52/AC444, "NA")</f>
        <v>0</v>
      </c>
    </row>
    <row r="53" spans="1:30" ht="16.5" hidden="1" customHeight="1" x14ac:dyDescent="0.45">
      <c r="A53" s="17" t="s">
        <v>51</v>
      </c>
      <c r="B53" s="7">
        <v>0</v>
      </c>
      <c r="C53" s="8">
        <f>IFERROR(B53/B444, "NA")</f>
        <v>0</v>
      </c>
      <c r="D53" s="9"/>
      <c r="E53" s="7">
        <v>0</v>
      </c>
      <c r="F53" s="8">
        <f>IFERROR(E53/E444, "NA")</f>
        <v>0</v>
      </c>
      <c r="G53" s="9"/>
      <c r="H53" s="10">
        <f t="shared" si="12"/>
        <v>0</v>
      </c>
      <c r="I53" s="8">
        <f>IFERROR(H53/H444, "NA")</f>
        <v>0</v>
      </c>
      <c r="J53" s="9"/>
      <c r="K53" s="7">
        <v>0</v>
      </c>
      <c r="L53" s="8">
        <f>IFERROR(K53/K444, "NA")</f>
        <v>0</v>
      </c>
      <c r="M53" s="9"/>
      <c r="N53" s="10">
        <f t="shared" si="13"/>
        <v>0</v>
      </c>
      <c r="O53" s="8">
        <f>IFERROR(N53/N444, "NA")</f>
        <v>0</v>
      </c>
      <c r="P53" s="9"/>
      <c r="Q53" s="7">
        <v>0</v>
      </c>
      <c r="R53" s="8">
        <f>IFERROR(Q53/Q444, "NA")</f>
        <v>0</v>
      </c>
      <c r="S53" s="9"/>
      <c r="T53" s="7">
        <v>0</v>
      </c>
      <c r="U53" s="8">
        <f>IFERROR(T53/T444, "NA")</f>
        <v>0</v>
      </c>
      <c r="V53" s="9"/>
      <c r="W53" s="10">
        <f t="shared" si="14"/>
        <v>0</v>
      </c>
      <c r="X53" s="8">
        <f>IFERROR(W53/W444, "NA")</f>
        <v>0</v>
      </c>
      <c r="Y53" s="9"/>
      <c r="Z53" s="7">
        <v>0</v>
      </c>
      <c r="AA53" s="8">
        <f>IFERROR(Z53/Z444, "NA")</f>
        <v>0</v>
      </c>
      <c r="AB53" s="9"/>
      <c r="AC53" s="10">
        <f t="shared" si="15"/>
        <v>0</v>
      </c>
      <c r="AD53" s="8">
        <f>IFERROR(AC53/AC444, "NA")</f>
        <v>0</v>
      </c>
    </row>
    <row r="54" spans="1:30" ht="16.5" hidden="1" customHeight="1" x14ac:dyDescent="0.45">
      <c r="A54" s="17" t="s">
        <v>52</v>
      </c>
      <c r="B54" s="7">
        <v>0</v>
      </c>
      <c r="C54" s="8">
        <f>IFERROR(B54/B444, "NA")</f>
        <v>0</v>
      </c>
      <c r="D54" s="9"/>
      <c r="E54" s="7">
        <v>0</v>
      </c>
      <c r="F54" s="8">
        <f>IFERROR(E54/E444, "NA")</f>
        <v>0</v>
      </c>
      <c r="G54" s="9"/>
      <c r="H54" s="10">
        <f t="shared" si="12"/>
        <v>0</v>
      </c>
      <c r="I54" s="8">
        <f>IFERROR(H54/H444, "NA")</f>
        <v>0</v>
      </c>
      <c r="J54" s="9"/>
      <c r="K54" s="7">
        <v>0</v>
      </c>
      <c r="L54" s="8">
        <f>IFERROR(K54/K444, "NA")</f>
        <v>0</v>
      </c>
      <c r="M54" s="9"/>
      <c r="N54" s="10">
        <f t="shared" si="13"/>
        <v>0</v>
      </c>
      <c r="O54" s="8">
        <f>IFERROR(N54/N444, "NA")</f>
        <v>0</v>
      </c>
      <c r="P54" s="9"/>
      <c r="Q54" s="7">
        <v>0</v>
      </c>
      <c r="R54" s="8">
        <f>IFERROR(Q54/Q444, "NA")</f>
        <v>0</v>
      </c>
      <c r="S54" s="9"/>
      <c r="T54" s="7">
        <v>0</v>
      </c>
      <c r="U54" s="8">
        <f>IFERROR(T54/T444, "NA")</f>
        <v>0</v>
      </c>
      <c r="V54" s="9"/>
      <c r="W54" s="10">
        <f t="shared" si="14"/>
        <v>0</v>
      </c>
      <c r="X54" s="8">
        <f>IFERROR(W54/W444, "NA")</f>
        <v>0</v>
      </c>
      <c r="Y54" s="9"/>
      <c r="Z54" s="7">
        <v>0</v>
      </c>
      <c r="AA54" s="8">
        <f>IFERROR(Z54/Z444, "NA")</f>
        <v>0</v>
      </c>
      <c r="AB54" s="9"/>
      <c r="AC54" s="10">
        <f t="shared" si="15"/>
        <v>0</v>
      </c>
      <c r="AD54" s="8">
        <f>IFERROR(AC54/AC444, "NA")</f>
        <v>0</v>
      </c>
    </row>
    <row r="55" spans="1:30" ht="16.5" customHeight="1" x14ac:dyDescent="0.45">
      <c r="A55" s="17" t="s">
        <v>53</v>
      </c>
      <c r="B55" s="7">
        <v>2551.6999999999998</v>
      </c>
      <c r="C55" s="8">
        <f>IFERROR(B55/B444, "NA")</f>
        <v>5.865274526889998E-3</v>
      </c>
      <c r="D55" s="9"/>
      <c r="E55" s="7">
        <v>0</v>
      </c>
      <c r="F55" s="8">
        <f>IFERROR(E55/E444, "NA")</f>
        <v>0</v>
      </c>
      <c r="G55" s="9"/>
      <c r="H55" s="10">
        <f t="shared" si="12"/>
        <v>2551.6999999999998</v>
      </c>
      <c r="I55" s="8">
        <f>IFERROR(H55/H444, "NA")</f>
        <v>-0.18685422631644416</v>
      </c>
      <c r="J55" s="9"/>
      <c r="K55" s="7">
        <v>0</v>
      </c>
      <c r="L55" s="8">
        <f>IFERROR(K55/K444, "NA")</f>
        <v>0</v>
      </c>
      <c r="M55" s="9"/>
      <c r="N55" s="10">
        <f t="shared" si="13"/>
        <v>2551.6999999999998</v>
      </c>
      <c r="O55" s="8">
        <f>IFERROR(N55/N444, "NA")</f>
        <v>-5.0696362227562775</v>
      </c>
      <c r="P55" s="9"/>
      <c r="Q55" s="7">
        <v>2551.6999999999998</v>
      </c>
      <c r="R55" s="8">
        <f>IFERROR(Q55/Q444, "NA")</f>
        <v>5.865274526889998E-3</v>
      </c>
      <c r="S55" s="9"/>
      <c r="T55" s="7">
        <v>0</v>
      </c>
      <c r="U55" s="8">
        <f>IFERROR(T55/T444, "NA")</f>
        <v>0</v>
      </c>
      <c r="V55" s="9"/>
      <c r="W55" s="10">
        <f t="shared" si="14"/>
        <v>2551.6999999999998</v>
      </c>
      <c r="X55" s="8">
        <f>IFERROR(W55/W444, "NA")</f>
        <v>-0.18685422631644416</v>
      </c>
      <c r="Y55" s="9"/>
      <c r="Z55" s="7">
        <v>0</v>
      </c>
      <c r="AA55" s="8">
        <f>IFERROR(Z55/Z444, "NA")</f>
        <v>0</v>
      </c>
      <c r="AB55" s="9"/>
      <c r="AC55" s="10">
        <f t="shared" si="15"/>
        <v>2551.6999999999998</v>
      </c>
      <c r="AD55" s="8">
        <f>IFERROR(AC55/AC444, "NA")</f>
        <v>-5.0696362227562775</v>
      </c>
    </row>
    <row r="56" spans="1:30" ht="16.5" hidden="1" customHeight="1" x14ac:dyDescent="0.45">
      <c r="A56" s="17" t="s">
        <v>54</v>
      </c>
      <c r="B56" s="7">
        <v>0</v>
      </c>
      <c r="C56" s="8">
        <f>IFERROR(B56/B444, "NA")</f>
        <v>0</v>
      </c>
      <c r="D56" s="9"/>
      <c r="E56" s="7">
        <v>0</v>
      </c>
      <c r="F56" s="8">
        <f>IFERROR(E56/E444, "NA")</f>
        <v>0</v>
      </c>
      <c r="G56" s="9"/>
      <c r="H56" s="10">
        <f t="shared" si="12"/>
        <v>0</v>
      </c>
      <c r="I56" s="8">
        <f>IFERROR(H56/H444, "NA")</f>
        <v>0</v>
      </c>
      <c r="J56" s="9"/>
      <c r="K56" s="7">
        <v>0</v>
      </c>
      <c r="L56" s="8">
        <f>IFERROR(K56/K444, "NA")</f>
        <v>0</v>
      </c>
      <c r="M56" s="9"/>
      <c r="N56" s="10">
        <f t="shared" si="13"/>
        <v>0</v>
      </c>
      <c r="O56" s="8">
        <f>IFERROR(N56/N444, "NA")</f>
        <v>0</v>
      </c>
      <c r="P56" s="9"/>
      <c r="Q56" s="7">
        <v>0</v>
      </c>
      <c r="R56" s="8">
        <f>IFERROR(Q56/Q444, "NA")</f>
        <v>0</v>
      </c>
      <c r="S56" s="9"/>
      <c r="T56" s="7">
        <v>0</v>
      </c>
      <c r="U56" s="8">
        <f>IFERROR(T56/T444, "NA")</f>
        <v>0</v>
      </c>
      <c r="V56" s="9"/>
      <c r="W56" s="10">
        <f t="shared" si="14"/>
        <v>0</v>
      </c>
      <c r="X56" s="8">
        <f>IFERROR(W56/W444, "NA")</f>
        <v>0</v>
      </c>
      <c r="Y56" s="9"/>
      <c r="Z56" s="7">
        <v>0</v>
      </c>
      <c r="AA56" s="8">
        <f>IFERROR(Z56/Z444, "NA")</f>
        <v>0</v>
      </c>
      <c r="AB56" s="9"/>
      <c r="AC56" s="10">
        <f t="shared" si="15"/>
        <v>0</v>
      </c>
      <c r="AD56" s="8">
        <f>IFERROR(AC56/AC444, "NA")</f>
        <v>0</v>
      </c>
    </row>
    <row r="57" spans="1:30" ht="16.5" customHeight="1" x14ac:dyDescent="0.45">
      <c r="A57" s="17" t="s">
        <v>55</v>
      </c>
      <c r="B57" s="7">
        <v>2077.6999999999998</v>
      </c>
      <c r="C57" s="8">
        <f>IFERROR(B57/B444, "NA")</f>
        <v>4.7757498469723509E-3</v>
      </c>
      <c r="D57" s="9"/>
      <c r="E57" s="7">
        <v>0</v>
      </c>
      <c r="F57" s="8">
        <f>IFERROR(E57/E444, "NA")</f>
        <v>0</v>
      </c>
      <c r="G57" s="9"/>
      <c r="H57" s="10">
        <f t="shared" si="12"/>
        <v>2077.6999999999998</v>
      </c>
      <c r="I57" s="8">
        <f>IFERROR(H57/H444, "NA")</f>
        <v>-0.15214446291400871</v>
      </c>
      <c r="J57" s="9"/>
      <c r="K57" s="7">
        <v>0</v>
      </c>
      <c r="L57" s="8">
        <f>IFERROR(K57/K444, "NA")</f>
        <v>0</v>
      </c>
      <c r="M57" s="9"/>
      <c r="N57" s="10">
        <f t="shared" si="13"/>
        <v>2077.6999999999998</v>
      </c>
      <c r="O57" s="8">
        <f>IFERROR(N57/N444, "NA")</f>
        <v>-4.1279081318417985</v>
      </c>
      <c r="P57" s="9"/>
      <c r="Q57" s="7">
        <v>2077.6999999999998</v>
      </c>
      <c r="R57" s="8">
        <f>IFERROR(Q57/Q444, "NA")</f>
        <v>4.7757498469723509E-3</v>
      </c>
      <c r="S57" s="9"/>
      <c r="T57" s="7">
        <v>0</v>
      </c>
      <c r="U57" s="8">
        <f>IFERROR(T57/T444, "NA")</f>
        <v>0</v>
      </c>
      <c r="V57" s="9"/>
      <c r="W57" s="10">
        <f t="shared" si="14"/>
        <v>2077.6999999999998</v>
      </c>
      <c r="X57" s="8">
        <f>IFERROR(W57/W444, "NA")</f>
        <v>-0.15214446291400871</v>
      </c>
      <c r="Y57" s="9"/>
      <c r="Z57" s="7">
        <v>0</v>
      </c>
      <c r="AA57" s="8">
        <f>IFERROR(Z57/Z444, "NA")</f>
        <v>0</v>
      </c>
      <c r="AB57" s="9"/>
      <c r="AC57" s="10">
        <f t="shared" si="15"/>
        <v>2077.6999999999998</v>
      </c>
      <c r="AD57" s="8">
        <f>IFERROR(AC57/AC444, "NA")</f>
        <v>-4.1279081318417985</v>
      </c>
    </row>
    <row r="58" spans="1:30" ht="16.5" hidden="1" customHeight="1" x14ac:dyDescent="0.45">
      <c r="A58" s="17" t="s">
        <v>56</v>
      </c>
      <c r="B58" s="7">
        <v>0</v>
      </c>
      <c r="C58" s="8">
        <f>IFERROR(B58/B444, "NA")</f>
        <v>0</v>
      </c>
      <c r="D58" s="9"/>
      <c r="E58" s="7">
        <v>0</v>
      </c>
      <c r="F58" s="8">
        <f>IFERROR(E58/E444, "NA")</f>
        <v>0</v>
      </c>
      <c r="G58" s="9"/>
      <c r="H58" s="10">
        <f t="shared" si="12"/>
        <v>0</v>
      </c>
      <c r="I58" s="8">
        <f>IFERROR(H58/H444, "NA")</f>
        <v>0</v>
      </c>
      <c r="J58" s="9"/>
      <c r="K58" s="7">
        <v>0</v>
      </c>
      <c r="L58" s="8">
        <f>IFERROR(K58/K444, "NA")</f>
        <v>0</v>
      </c>
      <c r="M58" s="9"/>
      <c r="N58" s="10">
        <f t="shared" si="13"/>
        <v>0</v>
      </c>
      <c r="O58" s="8">
        <f>IFERROR(N58/N444, "NA")</f>
        <v>0</v>
      </c>
      <c r="P58" s="9"/>
      <c r="Q58" s="7">
        <v>0</v>
      </c>
      <c r="R58" s="8">
        <f>IFERROR(Q58/Q444, "NA")</f>
        <v>0</v>
      </c>
      <c r="S58" s="9"/>
      <c r="T58" s="7">
        <v>0</v>
      </c>
      <c r="U58" s="8">
        <f>IFERROR(T58/T444, "NA")</f>
        <v>0</v>
      </c>
      <c r="V58" s="9"/>
      <c r="W58" s="10">
        <f t="shared" si="14"/>
        <v>0</v>
      </c>
      <c r="X58" s="8">
        <f>IFERROR(W58/W444, "NA")</f>
        <v>0</v>
      </c>
      <c r="Y58" s="9"/>
      <c r="Z58" s="7">
        <v>0</v>
      </c>
      <c r="AA58" s="8">
        <f>IFERROR(Z58/Z444, "NA")</f>
        <v>0</v>
      </c>
      <c r="AB58" s="9"/>
      <c r="AC58" s="10">
        <f t="shared" si="15"/>
        <v>0</v>
      </c>
      <c r="AD58" s="8">
        <f>IFERROR(AC58/AC444, "NA")</f>
        <v>0</v>
      </c>
    </row>
    <row r="59" spans="1:30" ht="16.5" hidden="1" customHeight="1" x14ac:dyDescent="0.45">
      <c r="A59" s="17" t="s">
        <v>57</v>
      </c>
      <c r="B59" s="7">
        <v>0</v>
      </c>
      <c r="C59" s="8">
        <f>IFERROR(B59/B444, "NA")</f>
        <v>0</v>
      </c>
      <c r="D59" s="9"/>
      <c r="E59" s="7">
        <v>0</v>
      </c>
      <c r="F59" s="8">
        <f>IFERROR(E59/E444, "NA")</f>
        <v>0</v>
      </c>
      <c r="G59" s="9"/>
      <c r="H59" s="10">
        <f t="shared" si="12"/>
        <v>0</v>
      </c>
      <c r="I59" s="8">
        <f>IFERROR(H59/H444, "NA")</f>
        <v>0</v>
      </c>
      <c r="J59" s="9"/>
      <c r="K59" s="7">
        <v>0</v>
      </c>
      <c r="L59" s="8">
        <f>IFERROR(K59/K444, "NA")</f>
        <v>0</v>
      </c>
      <c r="M59" s="9"/>
      <c r="N59" s="10">
        <f t="shared" si="13"/>
        <v>0</v>
      </c>
      <c r="O59" s="8">
        <f>IFERROR(N59/N444, "NA")</f>
        <v>0</v>
      </c>
      <c r="P59" s="9"/>
      <c r="Q59" s="7">
        <v>0</v>
      </c>
      <c r="R59" s="8">
        <f>IFERROR(Q59/Q444, "NA")</f>
        <v>0</v>
      </c>
      <c r="S59" s="9"/>
      <c r="T59" s="7">
        <v>0</v>
      </c>
      <c r="U59" s="8">
        <f>IFERROR(T59/T444, "NA")</f>
        <v>0</v>
      </c>
      <c r="V59" s="9"/>
      <c r="W59" s="10">
        <f t="shared" si="14"/>
        <v>0</v>
      </c>
      <c r="X59" s="8">
        <f>IFERROR(W59/W444, "NA")</f>
        <v>0</v>
      </c>
      <c r="Y59" s="9"/>
      <c r="Z59" s="7">
        <v>0</v>
      </c>
      <c r="AA59" s="8">
        <f>IFERROR(Z59/Z444, "NA")</f>
        <v>0</v>
      </c>
      <c r="AB59" s="9"/>
      <c r="AC59" s="10">
        <f t="shared" si="15"/>
        <v>0</v>
      </c>
      <c r="AD59" s="8">
        <f>IFERROR(AC59/AC444, "NA")</f>
        <v>0</v>
      </c>
    </row>
    <row r="60" spans="1:30" ht="16.5" hidden="1" customHeight="1" x14ac:dyDescent="0.45">
      <c r="A60" s="17" t="s">
        <v>58</v>
      </c>
      <c r="B60" s="7">
        <v>0</v>
      </c>
      <c r="C60" s="8">
        <f>IFERROR(B60/B444, "NA")</f>
        <v>0</v>
      </c>
      <c r="D60" s="9"/>
      <c r="E60" s="7">
        <v>0</v>
      </c>
      <c r="F60" s="8">
        <f>IFERROR(E60/E444, "NA")</f>
        <v>0</v>
      </c>
      <c r="G60" s="9"/>
      <c r="H60" s="10">
        <f t="shared" si="12"/>
        <v>0</v>
      </c>
      <c r="I60" s="8">
        <f>IFERROR(H60/H444, "NA")</f>
        <v>0</v>
      </c>
      <c r="J60" s="9"/>
      <c r="K60" s="7">
        <v>0</v>
      </c>
      <c r="L60" s="8">
        <f>IFERROR(K60/K444, "NA")</f>
        <v>0</v>
      </c>
      <c r="M60" s="9"/>
      <c r="N60" s="10">
        <f t="shared" si="13"/>
        <v>0</v>
      </c>
      <c r="O60" s="8">
        <f>IFERROR(N60/N444, "NA")</f>
        <v>0</v>
      </c>
      <c r="P60" s="9"/>
      <c r="Q60" s="7">
        <v>0</v>
      </c>
      <c r="R60" s="8">
        <f>IFERROR(Q60/Q444, "NA")</f>
        <v>0</v>
      </c>
      <c r="S60" s="9"/>
      <c r="T60" s="7">
        <v>0</v>
      </c>
      <c r="U60" s="8">
        <f>IFERROR(T60/T444, "NA")</f>
        <v>0</v>
      </c>
      <c r="V60" s="9"/>
      <c r="W60" s="10">
        <f t="shared" si="14"/>
        <v>0</v>
      </c>
      <c r="X60" s="8">
        <f>IFERROR(W60/W444, "NA")</f>
        <v>0</v>
      </c>
      <c r="Y60" s="9"/>
      <c r="Z60" s="7">
        <v>0</v>
      </c>
      <c r="AA60" s="8">
        <f>IFERROR(Z60/Z444, "NA")</f>
        <v>0</v>
      </c>
      <c r="AB60" s="9"/>
      <c r="AC60" s="10">
        <f t="shared" si="15"/>
        <v>0</v>
      </c>
      <c r="AD60" s="8">
        <f>IFERROR(AC60/AC444, "NA")</f>
        <v>0</v>
      </c>
    </row>
    <row r="61" spans="1:30" ht="16.5" customHeight="1" x14ac:dyDescent="0.45">
      <c r="A61" s="18" t="s">
        <v>59</v>
      </c>
      <c r="B61" s="14">
        <f>IFERROR(B46+B47+B48+B49+B50+B51+B52+B53+B54+B55+B56+B57+B58+B59+B60, "NA")</f>
        <v>63975.98</v>
      </c>
      <c r="C61" s="15">
        <f>IFERROR(B61/B444, "NA")</f>
        <v>0.1470536057635396</v>
      </c>
      <c r="D61" s="2"/>
      <c r="E61" s="14">
        <f>IFERROR(E46+E47+E48+E49+E50+E51+E52+E53+E54+E55+E56+E57+E58+E59+E60, "NA")</f>
        <v>0</v>
      </c>
      <c r="F61" s="15">
        <f>IFERROR(E61/E444, "NA")</f>
        <v>0</v>
      </c>
      <c r="G61" s="2"/>
      <c r="H61" s="14">
        <f t="shared" si="12"/>
        <v>63975.98</v>
      </c>
      <c r="I61" s="15">
        <f>IFERROR(H61/H444, "NA")</f>
        <v>-4.6847914118965033</v>
      </c>
      <c r="J61" s="2"/>
      <c r="K61" s="14">
        <f>IFERROR(K46+K47+K48+K49+K50+K51+K52+K53+K54+K55+K56+K57+K58+K59+K60, "NA")</f>
        <v>86273.08</v>
      </c>
      <c r="L61" s="15">
        <f>IFERROR(K61/K444, "NA")</f>
        <v>0.19807600607803239</v>
      </c>
      <c r="M61" s="2"/>
      <c r="N61" s="14">
        <f t="shared" si="13"/>
        <v>-22297.1</v>
      </c>
      <c r="O61" s="15">
        <f>IFERROR(N61/N444, "NA")</f>
        <v>44.299167544154486</v>
      </c>
      <c r="P61" s="2"/>
      <c r="Q61" s="14">
        <f>IFERROR(Q46+Q47+Q48+Q49+Q50+Q51+Q52+Q53+Q54+Q55+Q56+Q57+Q58+Q59+Q60, "NA")</f>
        <v>63975.98</v>
      </c>
      <c r="R61" s="15">
        <f>IFERROR(Q61/Q444, "NA")</f>
        <v>0.1470536057635396</v>
      </c>
      <c r="S61" s="2"/>
      <c r="T61" s="14">
        <f>IFERROR(T46+T47+T48+T49+T50+T51+T52+T53+T54+T55+T56+T57+T58+T59+T60, "NA")</f>
        <v>0</v>
      </c>
      <c r="U61" s="15">
        <f>IFERROR(T61/T444, "NA")</f>
        <v>0</v>
      </c>
      <c r="V61" s="2"/>
      <c r="W61" s="14">
        <f t="shared" si="14"/>
        <v>63975.98</v>
      </c>
      <c r="X61" s="15">
        <f>IFERROR(W61/W444, "NA")</f>
        <v>-4.6847914118965033</v>
      </c>
      <c r="Y61" s="2"/>
      <c r="Z61" s="14">
        <f>IFERROR(Z46+Z47+Z48+Z49+Z50+Z51+Z52+Z53+Z54+Z55+Z56+Z57+Z58+Z59+Z60, "NA")</f>
        <v>86273.08</v>
      </c>
      <c r="AA61" s="15">
        <f>IFERROR(Z61/Z444, "NA")</f>
        <v>0.19807600607803239</v>
      </c>
      <c r="AB61" s="2"/>
      <c r="AC61" s="14">
        <f t="shared" si="15"/>
        <v>-22297.1</v>
      </c>
      <c r="AD61" s="15">
        <f>IFERROR(AC61/AC444, "NA")</f>
        <v>44.299167544154486</v>
      </c>
    </row>
    <row r="62" spans="1:30" ht="16.5" customHeight="1" x14ac:dyDescent="0.45">
      <c r="A62" s="13" t="s">
        <v>60</v>
      </c>
      <c r="B62" s="14">
        <f>IFERROR(B42+B43+B44+B46+B47+B48+B49+B50+B51+B52+B53+B54+B55+B56+B57+B58+B59+B60, "NA")</f>
        <v>75154.720000000001</v>
      </c>
      <c r="C62" s="15">
        <f>IFERROR(B62/B444, "NA")</f>
        <v>0.17274878112299655</v>
      </c>
      <c r="D62" s="2"/>
      <c r="E62" s="14">
        <f>IFERROR(E42+E43+E44+E46+E47+E48+E49+E50+E51+E52+E53+E54+E55+E56+E57+E58+E59+E60, "NA")</f>
        <v>107369.5</v>
      </c>
      <c r="F62" s="15">
        <f>IFERROR(E62/E444, "NA")</f>
        <v>0.23928579865489419</v>
      </c>
      <c r="G62" s="2"/>
      <c r="H62" s="14">
        <f t="shared" si="12"/>
        <v>-32214.78</v>
      </c>
      <c r="I62" s="15">
        <f>IFERROR(H62/H444, "NA")</f>
        <v>2.3590029364166867</v>
      </c>
      <c r="J62" s="2"/>
      <c r="K62" s="14">
        <f>IFERROR(K42+K43+K44+K46+K47+K48+K49+K50+K51+K52+K53+K54+K55+K56+K57+K58+K59+K60, "NA")</f>
        <v>103860.13</v>
      </c>
      <c r="L62" s="15">
        <f>IFERROR(K62/K444, "NA")</f>
        <v>0.23845444884018552</v>
      </c>
      <c r="M62" s="2"/>
      <c r="N62" s="14">
        <f t="shared" si="13"/>
        <v>-28705.410000000003</v>
      </c>
      <c r="O62" s="15">
        <f>IFERROR(N62/N444, "NA")</f>
        <v>57.030993582737118</v>
      </c>
      <c r="P62" s="2"/>
      <c r="Q62" s="14">
        <f>IFERROR(Q42+Q43+Q44+Q46+Q47+Q48+Q49+Q50+Q51+Q52+Q53+Q54+Q55+Q56+Q57+Q58+Q59+Q60, "NA")</f>
        <v>75154.720000000001</v>
      </c>
      <c r="R62" s="15">
        <f>IFERROR(Q62/Q444, "NA")</f>
        <v>0.17274878112299655</v>
      </c>
      <c r="S62" s="2"/>
      <c r="T62" s="14">
        <f>IFERROR(T42+T43+T44+T46+T47+T48+T49+T50+T51+T52+T53+T54+T55+T56+T57+T58+T59+T60, "NA")</f>
        <v>107369.5</v>
      </c>
      <c r="U62" s="15">
        <f>IFERROR(T62/T444, "NA")</f>
        <v>0.23928579865489419</v>
      </c>
      <c r="V62" s="2"/>
      <c r="W62" s="14">
        <f t="shared" si="14"/>
        <v>-32214.78</v>
      </c>
      <c r="X62" s="15">
        <f>IFERROR(W62/W444, "NA")</f>
        <v>2.3590029364166867</v>
      </c>
      <c r="Y62" s="2"/>
      <c r="Z62" s="14">
        <f>IFERROR(Z42+Z43+Z44+Z46+Z47+Z48+Z49+Z50+Z51+Z52+Z53+Z54+Z55+Z56+Z57+Z58+Z59+Z60, "NA")</f>
        <v>103860.13</v>
      </c>
      <c r="AA62" s="15">
        <f>IFERROR(Z62/Z444, "NA")</f>
        <v>0.23845444884018552</v>
      </c>
      <c r="AB62" s="2"/>
      <c r="AC62" s="14">
        <f t="shared" si="15"/>
        <v>-28705.410000000003</v>
      </c>
      <c r="AD62" s="15">
        <f>IFERROR(AC62/AC444, "NA")</f>
        <v>57.030993582737118</v>
      </c>
    </row>
    <row r="63" spans="1:30" ht="16.5" customHeight="1" x14ac:dyDescent="0.45">
      <c r="A63" s="11" t="s">
        <v>61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45">
      <c r="A64" s="12" t="s">
        <v>61</v>
      </c>
      <c r="B64" s="7">
        <v>0</v>
      </c>
      <c r="C64" s="8">
        <f>IFERROR(B64/B444, "NA")</f>
        <v>0</v>
      </c>
      <c r="D64" s="9"/>
      <c r="E64" s="7">
        <v>35452.19</v>
      </c>
      <c r="F64" s="8">
        <f>IFERROR(E64/E444, "NA")</f>
        <v>7.900945425111465E-2</v>
      </c>
      <c r="G64" s="9"/>
      <c r="H64" s="10">
        <f t="shared" ref="H64:H73" si="16">IFERROR(B64-E64, "NA")</f>
        <v>-35452.19</v>
      </c>
      <c r="I64" s="8">
        <f>IFERROR(H64/H444, "NA")</f>
        <v>2.5960698881818316</v>
      </c>
      <c r="J64" s="9"/>
      <c r="K64" s="7">
        <v>0</v>
      </c>
      <c r="L64" s="8">
        <f>IFERROR(K64/K444, "NA")</f>
        <v>0</v>
      </c>
      <c r="M64" s="9"/>
      <c r="N64" s="10">
        <f t="shared" ref="N64:N73" si="17">IFERROR(B64-K64, "NA")</f>
        <v>0</v>
      </c>
      <c r="O64" s="8">
        <f>IFERROR(N64/N444, "NA")</f>
        <v>0</v>
      </c>
      <c r="P64" s="9"/>
      <c r="Q64" s="7">
        <v>0</v>
      </c>
      <c r="R64" s="8">
        <f>IFERROR(Q64/Q444, "NA")</f>
        <v>0</v>
      </c>
      <c r="S64" s="9"/>
      <c r="T64" s="7">
        <v>35452.19</v>
      </c>
      <c r="U64" s="8">
        <f>IFERROR(T64/T444, "NA")</f>
        <v>7.900945425111465E-2</v>
      </c>
      <c r="V64" s="9"/>
      <c r="W64" s="10">
        <f t="shared" ref="W64:W73" si="18">IFERROR(Q64-T64, "NA")</f>
        <v>-35452.19</v>
      </c>
      <c r="X64" s="8">
        <f>IFERROR(W64/W444, "NA")</f>
        <v>2.5960698881818316</v>
      </c>
      <c r="Y64" s="9"/>
      <c r="Z64" s="7">
        <v>0</v>
      </c>
      <c r="AA64" s="8">
        <f>IFERROR(Z64/Z444, "NA")</f>
        <v>0</v>
      </c>
      <c r="AB64" s="9"/>
      <c r="AC64" s="10">
        <f t="shared" ref="AC64:AC73" si="19">IFERROR(Q64-Z64, "NA")</f>
        <v>0</v>
      </c>
      <c r="AD64" s="8">
        <f>IFERROR(AC64/AC444, "NA")</f>
        <v>0</v>
      </c>
    </row>
    <row r="65" spans="1:30" ht="16.5" customHeight="1" x14ac:dyDescent="0.45">
      <c r="A65" s="12" t="s">
        <v>62</v>
      </c>
      <c r="B65" s="7">
        <v>14517.640000000001</v>
      </c>
      <c r="C65" s="8">
        <f>IFERROR(B65/B444, "NA")</f>
        <v>3.3369888342108918E-2</v>
      </c>
      <c r="D65" s="9"/>
      <c r="E65" s="7">
        <v>0</v>
      </c>
      <c r="F65" s="8">
        <f>IFERROR(E65/E444, "NA")</f>
        <v>0</v>
      </c>
      <c r="G65" s="9"/>
      <c r="H65" s="10">
        <f t="shared" si="16"/>
        <v>14517.640000000001</v>
      </c>
      <c r="I65" s="8">
        <f>IFERROR(H65/H444, "NA")</f>
        <v>-1.0630882902146268</v>
      </c>
      <c r="J65" s="9"/>
      <c r="K65" s="7">
        <v>2110.1999999999998</v>
      </c>
      <c r="L65" s="8">
        <f>IFERROR(K65/K444, "NA")</f>
        <v>4.8448483353771988E-3</v>
      </c>
      <c r="M65" s="9"/>
      <c r="N65" s="10">
        <f t="shared" si="17"/>
        <v>12407.440000000002</v>
      </c>
      <c r="O65" s="8">
        <f>IFERROR(N65/N444, "NA")</f>
        <v>-24.650706296067391</v>
      </c>
      <c r="P65" s="9"/>
      <c r="Q65" s="7">
        <v>14517.640000000001</v>
      </c>
      <c r="R65" s="8">
        <f>IFERROR(Q65/Q444, "NA")</f>
        <v>3.3369888342108918E-2</v>
      </c>
      <c r="S65" s="9"/>
      <c r="T65" s="7">
        <v>0</v>
      </c>
      <c r="U65" s="8">
        <f>IFERROR(T65/T444, "NA")</f>
        <v>0</v>
      </c>
      <c r="V65" s="9"/>
      <c r="W65" s="10">
        <f t="shared" si="18"/>
        <v>14517.640000000001</v>
      </c>
      <c r="X65" s="8">
        <f>IFERROR(W65/W444, "NA")</f>
        <v>-1.0630882902146268</v>
      </c>
      <c r="Y65" s="9"/>
      <c r="Z65" s="7">
        <v>2110.1999999999998</v>
      </c>
      <c r="AA65" s="8">
        <f>IFERROR(Z65/Z444, "NA")</f>
        <v>4.8448483353771988E-3</v>
      </c>
      <c r="AB65" s="9"/>
      <c r="AC65" s="10">
        <f t="shared" si="19"/>
        <v>12407.440000000002</v>
      </c>
      <c r="AD65" s="8">
        <f>IFERROR(AC65/AC444, "NA")</f>
        <v>-24.650706296067391</v>
      </c>
    </row>
    <row r="66" spans="1:30" ht="16.5" customHeight="1" x14ac:dyDescent="0.45">
      <c r="A66" s="12" t="s">
        <v>63</v>
      </c>
      <c r="B66" s="7">
        <v>13148.34</v>
      </c>
      <c r="C66" s="8">
        <f>IFERROR(B66/B444, "NA")</f>
        <v>3.0222449219300403E-2</v>
      </c>
      <c r="D66" s="9"/>
      <c r="E66" s="7">
        <v>0</v>
      </c>
      <c r="F66" s="8">
        <f>IFERROR(E66/E444, "NA")</f>
        <v>0</v>
      </c>
      <c r="G66" s="9"/>
      <c r="H66" s="10">
        <f t="shared" si="16"/>
        <v>13148.34</v>
      </c>
      <c r="I66" s="8">
        <f>IFERROR(H66/H444, "NA")</f>
        <v>-0.96281808129700031</v>
      </c>
      <c r="J66" s="9"/>
      <c r="K66" s="7">
        <v>13489.66</v>
      </c>
      <c r="L66" s="8">
        <f>IFERROR(K66/K444, "NA")</f>
        <v>3.0971167091178267E-2</v>
      </c>
      <c r="M66" s="9"/>
      <c r="N66" s="10">
        <f t="shared" si="17"/>
        <v>-341.31999999999971</v>
      </c>
      <c r="O66" s="8">
        <f>IFERROR(N66/N444, "NA")</f>
        <v>0.67812369618339585</v>
      </c>
      <c r="P66" s="9"/>
      <c r="Q66" s="7">
        <v>13148.34</v>
      </c>
      <c r="R66" s="8">
        <f>IFERROR(Q66/Q444, "NA")</f>
        <v>3.0222449219300403E-2</v>
      </c>
      <c r="S66" s="9"/>
      <c r="T66" s="7">
        <v>0</v>
      </c>
      <c r="U66" s="8">
        <f>IFERROR(T66/T444, "NA")</f>
        <v>0</v>
      </c>
      <c r="V66" s="9"/>
      <c r="W66" s="10">
        <f t="shared" si="18"/>
        <v>13148.34</v>
      </c>
      <c r="X66" s="8">
        <f>IFERROR(W66/W444, "NA")</f>
        <v>-0.96281808129700031</v>
      </c>
      <c r="Y66" s="9"/>
      <c r="Z66" s="7">
        <v>13489.66</v>
      </c>
      <c r="AA66" s="8">
        <f>IFERROR(Z66/Z444, "NA")</f>
        <v>3.0971167091178267E-2</v>
      </c>
      <c r="AB66" s="9"/>
      <c r="AC66" s="10">
        <f t="shared" si="19"/>
        <v>-341.31999999999971</v>
      </c>
      <c r="AD66" s="8">
        <f>IFERROR(AC66/AC444, "NA")</f>
        <v>0.67812369618339585</v>
      </c>
    </row>
    <row r="67" spans="1:30" ht="16.5" customHeight="1" x14ac:dyDescent="0.45">
      <c r="A67" s="12" t="s">
        <v>64</v>
      </c>
      <c r="B67" s="7">
        <v>0</v>
      </c>
      <c r="C67" s="8">
        <f>IFERROR(B67/B444, "NA")</f>
        <v>0</v>
      </c>
      <c r="D67" s="9"/>
      <c r="E67" s="7">
        <v>0</v>
      </c>
      <c r="F67" s="8">
        <f>IFERROR(E67/E444, "NA")</f>
        <v>0</v>
      </c>
      <c r="G67" s="9"/>
      <c r="H67" s="10">
        <f t="shared" si="16"/>
        <v>0</v>
      </c>
      <c r="I67" s="8">
        <f>IFERROR(H67/H444, "NA")</f>
        <v>0</v>
      </c>
      <c r="J67" s="9"/>
      <c r="K67" s="7">
        <v>9882.75</v>
      </c>
      <c r="L67" s="8">
        <f>IFERROR(K67/K444, "NA")</f>
        <v>2.2689993785635965E-2</v>
      </c>
      <c r="M67" s="9"/>
      <c r="N67" s="10">
        <f t="shared" si="17"/>
        <v>-9882.75</v>
      </c>
      <c r="O67" s="8">
        <f>IFERROR(N67/N444, "NA")</f>
        <v>19.63473268034824</v>
      </c>
      <c r="P67" s="9"/>
      <c r="Q67" s="7">
        <v>0</v>
      </c>
      <c r="R67" s="8">
        <f>IFERROR(Q67/Q444, "NA")</f>
        <v>0</v>
      </c>
      <c r="S67" s="9"/>
      <c r="T67" s="7">
        <v>0</v>
      </c>
      <c r="U67" s="8">
        <f>IFERROR(T67/T444, "NA")</f>
        <v>0</v>
      </c>
      <c r="V67" s="9"/>
      <c r="W67" s="10">
        <f t="shared" si="18"/>
        <v>0</v>
      </c>
      <c r="X67" s="8">
        <f>IFERROR(W67/W444, "NA")</f>
        <v>0</v>
      </c>
      <c r="Y67" s="9"/>
      <c r="Z67" s="7">
        <v>9882.75</v>
      </c>
      <c r="AA67" s="8">
        <f>IFERROR(Z67/Z444, "NA")</f>
        <v>2.2689993785635965E-2</v>
      </c>
      <c r="AB67" s="9"/>
      <c r="AC67" s="10">
        <f t="shared" si="19"/>
        <v>-9882.75</v>
      </c>
      <c r="AD67" s="8">
        <f>IFERROR(AC67/AC444, "NA")</f>
        <v>19.63473268034824</v>
      </c>
    </row>
    <row r="68" spans="1:30" ht="16.5" customHeight="1" x14ac:dyDescent="0.45">
      <c r="A68" s="12" t="s">
        <v>65</v>
      </c>
      <c r="B68" s="7">
        <v>705.41</v>
      </c>
      <c r="C68" s="8">
        <f>IFERROR(B68/B444, "NA")</f>
        <v>1.6214379840943189E-3</v>
      </c>
      <c r="D68" s="9"/>
      <c r="E68" s="7">
        <v>0</v>
      </c>
      <c r="F68" s="8">
        <f>IFERROR(E68/E444, "NA")</f>
        <v>0</v>
      </c>
      <c r="G68" s="9"/>
      <c r="H68" s="10">
        <f t="shared" si="16"/>
        <v>705.41</v>
      </c>
      <c r="I68" s="8">
        <f>IFERROR(H68/H444, "NA")</f>
        <v>-5.165530422302108E-2</v>
      </c>
      <c r="J68" s="9"/>
      <c r="K68" s="7">
        <v>0</v>
      </c>
      <c r="L68" s="8">
        <f>IFERROR(K68/K444, "NA")</f>
        <v>0</v>
      </c>
      <c r="M68" s="9"/>
      <c r="N68" s="10">
        <f t="shared" si="17"/>
        <v>705.41</v>
      </c>
      <c r="O68" s="8">
        <f>IFERROR(N68/N444, "NA")</f>
        <v>-1.4014861025569252</v>
      </c>
      <c r="P68" s="9"/>
      <c r="Q68" s="7">
        <v>705.41</v>
      </c>
      <c r="R68" s="8">
        <f>IFERROR(Q68/Q444, "NA")</f>
        <v>1.6214379840943189E-3</v>
      </c>
      <c r="S68" s="9"/>
      <c r="T68" s="7">
        <v>0</v>
      </c>
      <c r="U68" s="8">
        <f>IFERROR(T68/T444, "NA")</f>
        <v>0</v>
      </c>
      <c r="V68" s="9"/>
      <c r="W68" s="10">
        <f t="shared" si="18"/>
        <v>705.41</v>
      </c>
      <c r="X68" s="8">
        <f>IFERROR(W68/W444, "NA")</f>
        <v>-5.165530422302108E-2</v>
      </c>
      <c r="Y68" s="9"/>
      <c r="Z68" s="7">
        <v>0</v>
      </c>
      <c r="AA68" s="8">
        <f>IFERROR(Z68/Z444, "NA")</f>
        <v>0</v>
      </c>
      <c r="AB68" s="9"/>
      <c r="AC68" s="10">
        <f t="shared" si="19"/>
        <v>705.41</v>
      </c>
      <c r="AD68" s="8">
        <f>IFERROR(AC68/AC444, "NA")</f>
        <v>-1.4014861025569252</v>
      </c>
    </row>
    <row r="69" spans="1:30" ht="16.5" customHeight="1" x14ac:dyDescent="0.45">
      <c r="A69" s="12" t="s">
        <v>66</v>
      </c>
      <c r="B69" s="7">
        <v>3367.15</v>
      </c>
      <c r="C69" s="8">
        <f>IFERROR(B69/B444, "NA")</f>
        <v>7.7396477341449459E-3</v>
      </c>
      <c r="D69" s="9"/>
      <c r="E69" s="7">
        <v>0</v>
      </c>
      <c r="F69" s="8">
        <f>IFERROR(E69/E444, "NA")</f>
        <v>0</v>
      </c>
      <c r="G69" s="9"/>
      <c r="H69" s="10">
        <f t="shared" si="16"/>
        <v>3367.15</v>
      </c>
      <c r="I69" s="8">
        <f>IFERROR(H69/H444, "NA")</f>
        <v>-0.24656746801795473</v>
      </c>
      <c r="J69" s="9"/>
      <c r="K69" s="7">
        <v>0</v>
      </c>
      <c r="L69" s="8">
        <f>IFERROR(K69/K444, "NA")</f>
        <v>0</v>
      </c>
      <c r="M69" s="9"/>
      <c r="N69" s="10">
        <f t="shared" si="17"/>
        <v>3367.15</v>
      </c>
      <c r="O69" s="8">
        <f>IFERROR(N69/N444, "NA")</f>
        <v>-6.6897462897103113</v>
      </c>
      <c r="P69" s="9"/>
      <c r="Q69" s="7">
        <v>3367.15</v>
      </c>
      <c r="R69" s="8">
        <f>IFERROR(Q69/Q444, "NA")</f>
        <v>7.7396477341449459E-3</v>
      </c>
      <c r="S69" s="9"/>
      <c r="T69" s="7">
        <v>0</v>
      </c>
      <c r="U69" s="8">
        <f>IFERROR(T69/T444, "NA")</f>
        <v>0</v>
      </c>
      <c r="V69" s="9"/>
      <c r="W69" s="10">
        <f t="shared" si="18"/>
        <v>3367.15</v>
      </c>
      <c r="X69" s="8">
        <f>IFERROR(W69/W444, "NA")</f>
        <v>-0.24656746801795473</v>
      </c>
      <c r="Y69" s="9"/>
      <c r="Z69" s="7">
        <v>0</v>
      </c>
      <c r="AA69" s="8">
        <f>IFERROR(Z69/Z444, "NA")</f>
        <v>0</v>
      </c>
      <c r="AB69" s="9"/>
      <c r="AC69" s="10">
        <f t="shared" si="19"/>
        <v>3367.15</v>
      </c>
      <c r="AD69" s="8">
        <f>IFERROR(AC69/AC444, "NA")</f>
        <v>-6.6897462897103113</v>
      </c>
    </row>
    <row r="70" spans="1:30" ht="16.5" customHeight="1" x14ac:dyDescent="0.45">
      <c r="A70" s="12" t="s">
        <v>67</v>
      </c>
      <c r="B70" s="7">
        <v>5452.5</v>
      </c>
      <c r="C70" s="8">
        <f>IFERROR(B70/B444, "NA")</f>
        <v>1.2532981681964069E-2</v>
      </c>
      <c r="D70" s="9"/>
      <c r="E70" s="7">
        <v>0</v>
      </c>
      <c r="F70" s="8">
        <f>IFERROR(E70/E444, "NA")</f>
        <v>0</v>
      </c>
      <c r="G70" s="9"/>
      <c r="H70" s="10">
        <f t="shared" si="16"/>
        <v>5452.5</v>
      </c>
      <c r="I70" s="8">
        <f>IFERROR(H70/H444, "NA")</f>
        <v>-0.39927212015143315</v>
      </c>
      <c r="J70" s="9"/>
      <c r="K70" s="7">
        <v>0</v>
      </c>
      <c r="L70" s="8">
        <f>IFERROR(K70/K444, "NA")</f>
        <v>0</v>
      </c>
      <c r="M70" s="9"/>
      <c r="N70" s="10">
        <f t="shared" si="17"/>
        <v>5452.5</v>
      </c>
      <c r="O70" s="8">
        <f>IFERROR(N70/N444, "NA")</f>
        <v>-10.832853197702946</v>
      </c>
      <c r="P70" s="9"/>
      <c r="Q70" s="7">
        <v>5452.5</v>
      </c>
      <c r="R70" s="8">
        <f>IFERROR(Q70/Q444, "NA")</f>
        <v>1.2532981681964069E-2</v>
      </c>
      <c r="S70" s="9"/>
      <c r="T70" s="7">
        <v>0</v>
      </c>
      <c r="U70" s="8">
        <f>IFERROR(T70/T444, "NA")</f>
        <v>0</v>
      </c>
      <c r="V70" s="9"/>
      <c r="W70" s="10">
        <f t="shared" si="18"/>
        <v>5452.5</v>
      </c>
      <c r="X70" s="8">
        <f>IFERROR(W70/W444, "NA")</f>
        <v>-0.39927212015143315</v>
      </c>
      <c r="Y70" s="9"/>
      <c r="Z70" s="7">
        <v>0</v>
      </c>
      <c r="AA70" s="8">
        <f>IFERROR(Z70/Z444, "NA")</f>
        <v>0</v>
      </c>
      <c r="AB70" s="9"/>
      <c r="AC70" s="10">
        <f t="shared" si="19"/>
        <v>5452.5</v>
      </c>
      <c r="AD70" s="8">
        <f>IFERROR(AC70/AC444, "NA")</f>
        <v>-10.832853197702946</v>
      </c>
    </row>
    <row r="71" spans="1:30" ht="16.5" hidden="1" customHeight="1" x14ac:dyDescent="0.45">
      <c r="A71" s="12" t="s">
        <v>68</v>
      </c>
      <c r="B71" s="7">
        <v>0</v>
      </c>
      <c r="C71" s="8">
        <f>IFERROR(B71/B444, "NA")</f>
        <v>0</v>
      </c>
      <c r="D71" s="9"/>
      <c r="E71" s="7">
        <v>0</v>
      </c>
      <c r="F71" s="8">
        <f>IFERROR(E71/E444, "NA")</f>
        <v>0</v>
      </c>
      <c r="G71" s="9"/>
      <c r="H71" s="10">
        <f t="shared" si="16"/>
        <v>0</v>
      </c>
      <c r="I71" s="8">
        <f>IFERROR(H71/H444, "NA")</f>
        <v>0</v>
      </c>
      <c r="J71" s="9"/>
      <c r="K71" s="7">
        <v>0</v>
      </c>
      <c r="L71" s="8">
        <f>IFERROR(K71/K444, "NA")</f>
        <v>0</v>
      </c>
      <c r="M71" s="9"/>
      <c r="N71" s="10">
        <f t="shared" si="17"/>
        <v>0</v>
      </c>
      <c r="O71" s="8">
        <f>IFERROR(N71/N444, "NA")</f>
        <v>0</v>
      </c>
      <c r="P71" s="9"/>
      <c r="Q71" s="7">
        <v>0</v>
      </c>
      <c r="R71" s="8">
        <f>IFERROR(Q71/Q444, "NA")</f>
        <v>0</v>
      </c>
      <c r="S71" s="9"/>
      <c r="T71" s="7">
        <v>0</v>
      </c>
      <c r="U71" s="8">
        <f>IFERROR(T71/T444, "NA")</f>
        <v>0</v>
      </c>
      <c r="V71" s="9"/>
      <c r="W71" s="10">
        <f t="shared" si="18"/>
        <v>0</v>
      </c>
      <c r="X71" s="8">
        <f>IFERROR(W71/W444, "NA")</f>
        <v>0</v>
      </c>
      <c r="Y71" s="9"/>
      <c r="Z71" s="7">
        <v>0</v>
      </c>
      <c r="AA71" s="8">
        <f>IFERROR(Z71/Z444, "NA")</f>
        <v>0</v>
      </c>
      <c r="AB71" s="9"/>
      <c r="AC71" s="10">
        <f t="shared" si="19"/>
        <v>0</v>
      </c>
      <c r="AD71" s="8">
        <f>IFERROR(AC71/AC444, "NA")</f>
        <v>0</v>
      </c>
    </row>
    <row r="72" spans="1:30" ht="16.5" hidden="1" customHeight="1" x14ac:dyDescent="0.45">
      <c r="A72" s="12" t="s">
        <v>69</v>
      </c>
      <c r="B72" s="7">
        <v>0</v>
      </c>
      <c r="C72" s="8">
        <f>IFERROR(B72/B444, "NA")</f>
        <v>0</v>
      </c>
      <c r="D72" s="9"/>
      <c r="E72" s="7">
        <v>0</v>
      </c>
      <c r="F72" s="8">
        <f>IFERROR(E72/E444, "NA")</f>
        <v>0</v>
      </c>
      <c r="G72" s="9"/>
      <c r="H72" s="10">
        <f t="shared" si="16"/>
        <v>0</v>
      </c>
      <c r="I72" s="8">
        <f>IFERROR(H72/H444, "NA")</f>
        <v>0</v>
      </c>
      <c r="J72" s="9"/>
      <c r="K72" s="7">
        <v>0</v>
      </c>
      <c r="L72" s="8">
        <f>IFERROR(K72/K444, "NA")</f>
        <v>0</v>
      </c>
      <c r="M72" s="9"/>
      <c r="N72" s="10">
        <f t="shared" si="17"/>
        <v>0</v>
      </c>
      <c r="O72" s="8">
        <f>IFERROR(N72/N444, "NA")</f>
        <v>0</v>
      </c>
      <c r="P72" s="9"/>
      <c r="Q72" s="7">
        <v>0</v>
      </c>
      <c r="R72" s="8">
        <f>IFERROR(Q72/Q444, "NA")</f>
        <v>0</v>
      </c>
      <c r="S72" s="9"/>
      <c r="T72" s="7">
        <v>0</v>
      </c>
      <c r="U72" s="8">
        <f>IFERROR(T72/T444, "NA")</f>
        <v>0</v>
      </c>
      <c r="V72" s="9"/>
      <c r="W72" s="10">
        <f t="shared" si="18"/>
        <v>0</v>
      </c>
      <c r="X72" s="8">
        <f>IFERROR(W72/W444, "NA")</f>
        <v>0</v>
      </c>
      <c r="Y72" s="9"/>
      <c r="Z72" s="7">
        <v>0</v>
      </c>
      <c r="AA72" s="8">
        <f>IFERROR(Z72/Z444, "NA")</f>
        <v>0</v>
      </c>
      <c r="AB72" s="9"/>
      <c r="AC72" s="10">
        <f t="shared" si="19"/>
        <v>0</v>
      </c>
      <c r="AD72" s="8">
        <f>IFERROR(AC72/AC444, "NA")</f>
        <v>0</v>
      </c>
    </row>
    <row r="73" spans="1:30" ht="16.5" customHeight="1" x14ac:dyDescent="0.45">
      <c r="A73" s="13" t="s">
        <v>70</v>
      </c>
      <c r="B73" s="14">
        <f>IFERROR(B64+B65+B66+B67+B68+B69+B70+B71+B72, "NA")</f>
        <v>37191.040000000008</v>
      </c>
      <c r="C73" s="15">
        <f>IFERROR(B73/B444, "NA")</f>
        <v>8.5486404961612666E-2</v>
      </c>
      <c r="D73" s="2"/>
      <c r="E73" s="14">
        <f>IFERROR(E64+E65+E66+E67+E68+E69+E70+E71+E72, "NA")</f>
        <v>35452.19</v>
      </c>
      <c r="F73" s="15">
        <f>IFERROR(E73/E444, "NA")</f>
        <v>7.900945425111465E-2</v>
      </c>
      <c r="G73" s="2"/>
      <c r="H73" s="14">
        <f t="shared" si="16"/>
        <v>1738.8500000000058</v>
      </c>
      <c r="I73" s="15">
        <f>IFERROR(H73/H444, "NA")</f>
        <v>-0.12733137572220482</v>
      </c>
      <c r="J73" s="2"/>
      <c r="K73" s="14">
        <f>IFERROR(K64+K65+K66+K67+K68+K69+K70+K71+K72, "NA")</f>
        <v>25482.61</v>
      </c>
      <c r="L73" s="15">
        <f>IFERROR(K73/K444, "NA")</f>
        <v>5.8506009212191436E-2</v>
      </c>
      <c r="M73" s="2"/>
      <c r="N73" s="14">
        <f t="shared" si="17"/>
        <v>11708.430000000008</v>
      </c>
      <c r="O73" s="15">
        <f>IFERROR(N73/N444, "NA")</f>
        <v>-23.261935509505946</v>
      </c>
      <c r="P73" s="2"/>
      <c r="Q73" s="14">
        <f>IFERROR(Q64+Q65+Q66+Q67+Q68+Q69+Q70+Q71+Q72, "NA")</f>
        <v>37191.040000000008</v>
      </c>
      <c r="R73" s="15">
        <f>IFERROR(Q73/Q444, "NA")</f>
        <v>8.5486404961612666E-2</v>
      </c>
      <c r="S73" s="2"/>
      <c r="T73" s="14">
        <f>IFERROR(T64+T65+T66+T67+T68+T69+T70+T71+T72, "NA")</f>
        <v>35452.19</v>
      </c>
      <c r="U73" s="15">
        <f>IFERROR(T73/T444, "NA")</f>
        <v>7.900945425111465E-2</v>
      </c>
      <c r="V73" s="2"/>
      <c r="W73" s="14">
        <f t="shared" si="18"/>
        <v>1738.8500000000058</v>
      </c>
      <c r="X73" s="15">
        <f>IFERROR(W73/W444, "NA")</f>
        <v>-0.12733137572220482</v>
      </c>
      <c r="Y73" s="2"/>
      <c r="Z73" s="14">
        <f>IFERROR(Z64+Z65+Z66+Z67+Z68+Z69+Z70+Z71+Z72, "NA")</f>
        <v>25482.61</v>
      </c>
      <c r="AA73" s="15">
        <f>IFERROR(Z73/Z444, "NA")</f>
        <v>5.8506009212191436E-2</v>
      </c>
      <c r="AB73" s="2"/>
      <c r="AC73" s="14">
        <f t="shared" si="19"/>
        <v>11708.430000000008</v>
      </c>
      <c r="AD73" s="15">
        <f>IFERROR(AC73/AC444, "NA")</f>
        <v>-23.261935509505946</v>
      </c>
    </row>
    <row r="74" spans="1:30" ht="16.5" customHeight="1" x14ac:dyDescent="0.45">
      <c r="A74" s="11" t="s">
        <v>71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45">
      <c r="A75" s="12" t="s">
        <v>71</v>
      </c>
      <c r="B75" s="7">
        <v>0</v>
      </c>
      <c r="C75" s="8">
        <f>IFERROR(B75/B444, "NA")</f>
        <v>0</v>
      </c>
      <c r="D75" s="9"/>
      <c r="E75" s="7">
        <v>8044.11</v>
      </c>
      <c r="F75" s="8">
        <f>IFERROR(E75/E444, "NA")</f>
        <v>1.7927263196883852E-2</v>
      </c>
      <c r="G75" s="9"/>
      <c r="H75" s="10">
        <f t="shared" ref="H75:H92" si="20">IFERROR(B75-E75, "NA")</f>
        <v>-8044.11</v>
      </c>
      <c r="I75" s="8">
        <f>IFERROR(H75/H444, "NA")</f>
        <v>0.58904884996448326</v>
      </c>
      <c r="J75" s="9"/>
      <c r="K75" s="7">
        <v>0</v>
      </c>
      <c r="L75" s="8">
        <f>IFERROR(K75/K444, "NA")</f>
        <v>0</v>
      </c>
      <c r="M75" s="9"/>
      <c r="N75" s="10">
        <f t="shared" ref="N75:N92" si="21">IFERROR(B75-K75, "NA")</f>
        <v>0</v>
      </c>
      <c r="O75" s="8">
        <f>IFERROR(N75/N444, "NA")</f>
        <v>0</v>
      </c>
      <c r="P75" s="9"/>
      <c r="Q75" s="7">
        <v>0</v>
      </c>
      <c r="R75" s="8">
        <f>IFERROR(Q75/Q444, "NA")</f>
        <v>0</v>
      </c>
      <c r="S75" s="9"/>
      <c r="T75" s="7">
        <v>8044.11</v>
      </c>
      <c r="U75" s="8">
        <f>IFERROR(T75/T444, "NA")</f>
        <v>1.7927263196883852E-2</v>
      </c>
      <c r="V75" s="9"/>
      <c r="W75" s="10">
        <f t="shared" ref="W75:W92" si="22">IFERROR(Q75-T75, "NA")</f>
        <v>-8044.11</v>
      </c>
      <c r="X75" s="8">
        <f>IFERROR(W75/W444, "NA")</f>
        <v>0.58904884996448326</v>
      </c>
      <c r="Y75" s="9"/>
      <c r="Z75" s="7">
        <v>0</v>
      </c>
      <c r="AA75" s="8">
        <f>IFERROR(Z75/Z444, "NA")</f>
        <v>0</v>
      </c>
      <c r="AB75" s="9"/>
      <c r="AC75" s="10">
        <f t="shared" ref="AC75:AC92" si="23">IFERROR(Q75-Z75, "NA")</f>
        <v>0</v>
      </c>
      <c r="AD75" s="8">
        <f>IFERROR(AC75/AC444, "NA")</f>
        <v>0</v>
      </c>
    </row>
    <row r="76" spans="1:30" ht="16.5" hidden="1" customHeight="1" x14ac:dyDescent="0.45">
      <c r="A76" s="12" t="s">
        <v>72</v>
      </c>
      <c r="B76" s="7">
        <v>0</v>
      </c>
      <c r="C76" s="8">
        <f>IFERROR(B76/B444, "NA")</f>
        <v>0</v>
      </c>
      <c r="D76" s="9"/>
      <c r="E76" s="7">
        <v>0</v>
      </c>
      <c r="F76" s="8">
        <f>IFERROR(E76/E444, "NA")</f>
        <v>0</v>
      </c>
      <c r="G76" s="9"/>
      <c r="H76" s="10">
        <f t="shared" si="20"/>
        <v>0</v>
      </c>
      <c r="I76" s="8">
        <f>IFERROR(H76/H444, "NA")</f>
        <v>0</v>
      </c>
      <c r="J76" s="9"/>
      <c r="K76" s="7">
        <v>0</v>
      </c>
      <c r="L76" s="8">
        <f>IFERROR(K76/K444, "NA")</f>
        <v>0</v>
      </c>
      <c r="M76" s="9"/>
      <c r="N76" s="10">
        <f t="shared" si="21"/>
        <v>0</v>
      </c>
      <c r="O76" s="8">
        <f>IFERROR(N76/N444, "NA")</f>
        <v>0</v>
      </c>
      <c r="P76" s="9"/>
      <c r="Q76" s="7">
        <v>0</v>
      </c>
      <c r="R76" s="8">
        <f>IFERROR(Q76/Q444, "NA")</f>
        <v>0</v>
      </c>
      <c r="S76" s="9"/>
      <c r="T76" s="7">
        <v>0</v>
      </c>
      <c r="U76" s="8">
        <f>IFERROR(T76/T444, "NA")</f>
        <v>0</v>
      </c>
      <c r="V76" s="9"/>
      <c r="W76" s="10">
        <f t="shared" si="22"/>
        <v>0</v>
      </c>
      <c r="X76" s="8">
        <f>IFERROR(W76/W444, "NA")</f>
        <v>0</v>
      </c>
      <c r="Y76" s="9"/>
      <c r="Z76" s="7">
        <v>0</v>
      </c>
      <c r="AA76" s="8">
        <f>IFERROR(Z76/Z444, "NA")</f>
        <v>0</v>
      </c>
      <c r="AB76" s="9"/>
      <c r="AC76" s="10">
        <f t="shared" si="23"/>
        <v>0</v>
      </c>
      <c r="AD76" s="8">
        <f>IFERROR(AC76/AC444, "NA")</f>
        <v>0</v>
      </c>
    </row>
    <row r="77" spans="1:30" ht="16.5" customHeight="1" x14ac:dyDescent="0.45">
      <c r="A77" s="12" t="s">
        <v>73</v>
      </c>
      <c r="B77" s="7">
        <v>1114.74</v>
      </c>
      <c r="C77" s="8">
        <f>IFERROR(B77/B444, "NA")</f>
        <v>2.5623138010367036E-3</v>
      </c>
      <c r="D77" s="9"/>
      <c r="E77" s="7">
        <v>0</v>
      </c>
      <c r="F77" s="8">
        <f>IFERROR(E77/E444, "NA")</f>
        <v>0</v>
      </c>
      <c r="G77" s="9"/>
      <c r="H77" s="10">
        <f t="shared" si="20"/>
        <v>1114.74</v>
      </c>
      <c r="I77" s="8">
        <f>IFERROR(H77/H444, "NA")</f>
        <v>-8.1629454968841553E-2</v>
      </c>
      <c r="J77" s="9"/>
      <c r="K77" s="7">
        <v>1470.65</v>
      </c>
      <c r="L77" s="8">
        <f>IFERROR(K77/K444, "NA")</f>
        <v>3.3764933202646563E-3</v>
      </c>
      <c r="M77" s="9"/>
      <c r="N77" s="10">
        <f t="shared" si="21"/>
        <v>-355.91000000000008</v>
      </c>
      <c r="O77" s="8">
        <f>IFERROR(N77/N444, "NA")</f>
        <v>0.70711064311681915</v>
      </c>
      <c r="P77" s="9"/>
      <c r="Q77" s="7">
        <v>1114.74</v>
      </c>
      <c r="R77" s="8">
        <f>IFERROR(Q77/Q444, "NA")</f>
        <v>2.5623138010367036E-3</v>
      </c>
      <c r="S77" s="9"/>
      <c r="T77" s="7">
        <v>0</v>
      </c>
      <c r="U77" s="8">
        <f>IFERROR(T77/T444, "NA")</f>
        <v>0</v>
      </c>
      <c r="V77" s="9"/>
      <c r="W77" s="10">
        <f t="shared" si="22"/>
        <v>1114.74</v>
      </c>
      <c r="X77" s="8">
        <f>IFERROR(W77/W444, "NA")</f>
        <v>-8.1629454968841553E-2</v>
      </c>
      <c r="Y77" s="9"/>
      <c r="Z77" s="7">
        <v>1470.65</v>
      </c>
      <c r="AA77" s="8">
        <f>IFERROR(Z77/Z444, "NA")</f>
        <v>3.3764933202646563E-3</v>
      </c>
      <c r="AB77" s="9"/>
      <c r="AC77" s="10">
        <f t="shared" si="23"/>
        <v>-355.91000000000008</v>
      </c>
      <c r="AD77" s="8">
        <f>IFERROR(AC77/AC444, "NA")</f>
        <v>0.70711064311681915</v>
      </c>
    </row>
    <row r="78" spans="1:30" ht="16.5" customHeight="1" x14ac:dyDescent="0.45">
      <c r="A78" s="12" t="s">
        <v>74</v>
      </c>
      <c r="B78" s="7">
        <v>0</v>
      </c>
      <c r="C78" s="8">
        <f>IFERROR(B78/B444, "NA")</f>
        <v>0</v>
      </c>
      <c r="D78" s="9"/>
      <c r="E78" s="7">
        <v>0</v>
      </c>
      <c r="F78" s="8">
        <f>IFERROR(E78/E444, "NA")</f>
        <v>0</v>
      </c>
      <c r="G78" s="9"/>
      <c r="H78" s="10">
        <f t="shared" si="20"/>
        <v>0</v>
      </c>
      <c r="I78" s="8">
        <f>IFERROR(H78/H444, "NA")</f>
        <v>0</v>
      </c>
      <c r="J78" s="9"/>
      <c r="K78" s="7">
        <v>25</v>
      </c>
      <c r="L78" s="8">
        <f>IFERROR(K78/K444, "NA")</f>
        <v>5.7397975729518517E-5</v>
      </c>
      <c r="M78" s="9"/>
      <c r="N78" s="10">
        <f t="shared" si="21"/>
        <v>-25</v>
      </c>
      <c r="O78" s="8">
        <f>IFERROR(N78/N444, "NA")</f>
        <v>4.9669203107303737E-2</v>
      </c>
      <c r="P78" s="9"/>
      <c r="Q78" s="7">
        <v>0</v>
      </c>
      <c r="R78" s="8">
        <f>IFERROR(Q78/Q444, "NA")</f>
        <v>0</v>
      </c>
      <c r="S78" s="9"/>
      <c r="T78" s="7">
        <v>0</v>
      </c>
      <c r="U78" s="8">
        <f>IFERROR(T78/T444, "NA")</f>
        <v>0</v>
      </c>
      <c r="V78" s="9"/>
      <c r="W78" s="10">
        <f t="shared" si="22"/>
        <v>0</v>
      </c>
      <c r="X78" s="8">
        <f>IFERROR(W78/W444, "NA")</f>
        <v>0</v>
      </c>
      <c r="Y78" s="9"/>
      <c r="Z78" s="7">
        <v>25</v>
      </c>
      <c r="AA78" s="8">
        <f>IFERROR(Z78/Z444, "NA")</f>
        <v>5.7397975729518517E-5</v>
      </c>
      <c r="AB78" s="9"/>
      <c r="AC78" s="10">
        <f t="shared" si="23"/>
        <v>-25</v>
      </c>
      <c r="AD78" s="8">
        <f>IFERROR(AC78/AC444, "NA")</f>
        <v>4.9669203107303737E-2</v>
      </c>
    </row>
    <row r="79" spans="1:30" ht="16.5" customHeight="1" x14ac:dyDescent="0.45">
      <c r="A79" s="12" t="s">
        <v>75</v>
      </c>
      <c r="B79" s="7">
        <v>5.98</v>
      </c>
      <c r="C79" s="8">
        <f>IFERROR(B79/B444, "NA")</f>
        <v>1.3745480139045418E-5</v>
      </c>
      <c r="D79" s="9"/>
      <c r="E79" s="7">
        <v>0</v>
      </c>
      <c r="F79" s="8">
        <f>IFERROR(E79/E444, "NA")</f>
        <v>0</v>
      </c>
      <c r="G79" s="9"/>
      <c r="H79" s="10">
        <f t="shared" si="20"/>
        <v>5.98</v>
      </c>
      <c r="I79" s="8">
        <f>IFERROR(H79/H444, "NA")</f>
        <v>-4.3789954672270888E-4</v>
      </c>
      <c r="J79" s="9"/>
      <c r="K79" s="7">
        <v>0</v>
      </c>
      <c r="L79" s="8">
        <f>IFERROR(K79/K444, "NA")</f>
        <v>0</v>
      </c>
      <c r="M79" s="9"/>
      <c r="N79" s="10">
        <f t="shared" si="21"/>
        <v>5.98</v>
      </c>
      <c r="O79" s="8">
        <f>IFERROR(N79/N444, "NA")</f>
        <v>-1.1880873383267055E-2</v>
      </c>
      <c r="P79" s="9"/>
      <c r="Q79" s="7">
        <v>5.98</v>
      </c>
      <c r="R79" s="8">
        <f>IFERROR(Q79/Q444, "NA")</f>
        <v>1.3745480139045418E-5</v>
      </c>
      <c r="S79" s="9"/>
      <c r="T79" s="7">
        <v>0</v>
      </c>
      <c r="U79" s="8">
        <f>IFERROR(T79/T444, "NA")</f>
        <v>0</v>
      </c>
      <c r="V79" s="9"/>
      <c r="W79" s="10">
        <f t="shared" si="22"/>
        <v>5.98</v>
      </c>
      <c r="X79" s="8">
        <f>IFERROR(W79/W444, "NA")</f>
        <v>-4.3789954672270888E-4</v>
      </c>
      <c r="Y79" s="9"/>
      <c r="Z79" s="7">
        <v>0</v>
      </c>
      <c r="AA79" s="8">
        <f>IFERROR(Z79/Z444, "NA")</f>
        <v>0</v>
      </c>
      <c r="AB79" s="9"/>
      <c r="AC79" s="10">
        <f t="shared" si="23"/>
        <v>5.98</v>
      </c>
      <c r="AD79" s="8">
        <f>IFERROR(AC79/AC444, "NA")</f>
        <v>-1.1880873383267055E-2</v>
      </c>
    </row>
    <row r="80" spans="1:30" ht="16.5" customHeight="1" x14ac:dyDescent="0.45">
      <c r="A80" s="12" t="s">
        <v>76</v>
      </c>
      <c r="B80" s="7">
        <v>5295.4699999999993</v>
      </c>
      <c r="C80" s="8">
        <f>IFERROR(B80/B444, "NA")</f>
        <v>1.2172036406674051E-2</v>
      </c>
      <c r="D80" s="9"/>
      <c r="E80" s="7">
        <v>0</v>
      </c>
      <c r="F80" s="8">
        <f>IFERROR(E80/E444, "NA")</f>
        <v>0</v>
      </c>
      <c r="G80" s="9"/>
      <c r="H80" s="10">
        <f t="shared" si="20"/>
        <v>5295.4699999999993</v>
      </c>
      <c r="I80" s="8">
        <f>IFERROR(H80/H444, "NA")</f>
        <v>-0.3877732295457697</v>
      </c>
      <c r="J80" s="9"/>
      <c r="K80" s="7">
        <v>7987.380000000001</v>
      </c>
      <c r="L80" s="8">
        <f>IFERROR(K80/K444, "NA")</f>
        <v>1.8338377735297666E-2</v>
      </c>
      <c r="M80" s="9"/>
      <c r="N80" s="10">
        <f t="shared" si="21"/>
        <v>-2691.9100000000017</v>
      </c>
      <c r="O80" s="8">
        <f>IFERROR(N80/N444, "NA")</f>
        <v>5.3482009814632834</v>
      </c>
      <c r="P80" s="9"/>
      <c r="Q80" s="7">
        <v>5295.4699999999993</v>
      </c>
      <c r="R80" s="8">
        <f>IFERROR(Q80/Q444, "NA")</f>
        <v>1.2172036406674051E-2</v>
      </c>
      <c r="S80" s="9"/>
      <c r="T80" s="7">
        <v>0</v>
      </c>
      <c r="U80" s="8">
        <f>IFERROR(T80/T444, "NA")</f>
        <v>0</v>
      </c>
      <c r="V80" s="9"/>
      <c r="W80" s="10">
        <f t="shared" si="22"/>
        <v>5295.4699999999993</v>
      </c>
      <c r="X80" s="8">
        <f>IFERROR(W80/W444, "NA")</f>
        <v>-0.3877732295457697</v>
      </c>
      <c r="Y80" s="9"/>
      <c r="Z80" s="7">
        <v>7987.380000000001</v>
      </c>
      <c r="AA80" s="8">
        <f>IFERROR(Z80/Z444, "NA")</f>
        <v>1.8338377735297666E-2</v>
      </c>
      <c r="AB80" s="9"/>
      <c r="AC80" s="10">
        <f t="shared" si="23"/>
        <v>-2691.9100000000017</v>
      </c>
      <c r="AD80" s="8">
        <f>IFERROR(AC80/AC444, "NA")</f>
        <v>5.3482009814632834</v>
      </c>
    </row>
    <row r="81" spans="1:30" ht="16.5" hidden="1" customHeight="1" x14ac:dyDescent="0.45">
      <c r="A81" s="12" t="s">
        <v>77</v>
      </c>
      <c r="B81" s="7">
        <v>0</v>
      </c>
      <c r="C81" s="8">
        <f>IFERROR(B81/B444, "NA")</f>
        <v>0</v>
      </c>
      <c r="D81" s="9"/>
      <c r="E81" s="7">
        <v>0</v>
      </c>
      <c r="F81" s="8">
        <f>IFERROR(E81/E444, "NA")</f>
        <v>0</v>
      </c>
      <c r="G81" s="9"/>
      <c r="H81" s="10">
        <f t="shared" si="20"/>
        <v>0</v>
      </c>
      <c r="I81" s="8">
        <f>IFERROR(H81/H444, "NA")</f>
        <v>0</v>
      </c>
      <c r="J81" s="9"/>
      <c r="K81" s="7">
        <v>0</v>
      </c>
      <c r="L81" s="8">
        <f>IFERROR(K81/K444, "NA")</f>
        <v>0</v>
      </c>
      <c r="M81" s="9"/>
      <c r="N81" s="10">
        <f t="shared" si="21"/>
        <v>0</v>
      </c>
      <c r="O81" s="8">
        <f>IFERROR(N81/N444, "NA")</f>
        <v>0</v>
      </c>
      <c r="P81" s="9"/>
      <c r="Q81" s="7">
        <v>0</v>
      </c>
      <c r="R81" s="8">
        <f>IFERROR(Q81/Q444, "NA")</f>
        <v>0</v>
      </c>
      <c r="S81" s="9"/>
      <c r="T81" s="7">
        <v>0</v>
      </c>
      <c r="U81" s="8">
        <f>IFERROR(T81/T444, "NA")</f>
        <v>0</v>
      </c>
      <c r="V81" s="9"/>
      <c r="W81" s="10">
        <f t="shared" si="22"/>
        <v>0</v>
      </c>
      <c r="X81" s="8">
        <f>IFERROR(W81/W444, "NA")</f>
        <v>0</v>
      </c>
      <c r="Y81" s="9"/>
      <c r="Z81" s="7">
        <v>0</v>
      </c>
      <c r="AA81" s="8">
        <f>IFERROR(Z81/Z444, "NA")</f>
        <v>0</v>
      </c>
      <c r="AB81" s="9"/>
      <c r="AC81" s="10">
        <f t="shared" si="23"/>
        <v>0</v>
      </c>
      <c r="AD81" s="8">
        <f>IFERROR(AC81/AC444, "NA")</f>
        <v>0</v>
      </c>
    </row>
    <row r="82" spans="1:30" ht="16.5" hidden="1" customHeight="1" x14ac:dyDescent="0.45">
      <c r="A82" s="12" t="s">
        <v>78</v>
      </c>
      <c r="B82" s="7">
        <v>0</v>
      </c>
      <c r="C82" s="8">
        <f>IFERROR(B82/B444, "NA")</f>
        <v>0</v>
      </c>
      <c r="D82" s="9"/>
      <c r="E82" s="7">
        <v>0</v>
      </c>
      <c r="F82" s="8">
        <f>IFERROR(E82/E444, "NA")</f>
        <v>0</v>
      </c>
      <c r="G82" s="9"/>
      <c r="H82" s="10">
        <f t="shared" si="20"/>
        <v>0</v>
      </c>
      <c r="I82" s="8">
        <f>IFERROR(H82/H444, "NA")</f>
        <v>0</v>
      </c>
      <c r="J82" s="9"/>
      <c r="K82" s="7">
        <v>0</v>
      </c>
      <c r="L82" s="8">
        <f>IFERROR(K82/K444, "NA")</f>
        <v>0</v>
      </c>
      <c r="M82" s="9"/>
      <c r="N82" s="10">
        <f t="shared" si="21"/>
        <v>0</v>
      </c>
      <c r="O82" s="8">
        <f>IFERROR(N82/N444, "NA")</f>
        <v>0</v>
      </c>
      <c r="P82" s="9"/>
      <c r="Q82" s="7">
        <v>0</v>
      </c>
      <c r="R82" s="8">
        <f>IFERROR(Q82/Q444, "NA")</f>
        <v>0</v>
      </c>
      <c r="S82" s="9"/>
      <c r="T82" s="7">
        <v>0</v>
      </c>
      <c r="U82" s="8">
        <f>IFERROR(T82/T444, "NA")</f>
        <v>0</v>
      </c>
      <c r="V82" s="9"/>
      <c r="W82" s="10">
        <f t="shared" si="22"/>
        <v>0</v>
      </c>
      <c r="X82" s="8">
        <f>IFERROR(W82/W444, "NA")</f>
        <v>0</v>
      </c>
      <c r="Y82" s="9"/>
      <c r="Z82" s="7">
        <v>0</v>
      </c>
      <c r="AA82" s="8">
        <f>IFERROR(Z82/Z444, "NA")</f>
        <v>0</v>
      </c>
      <c r="AB82" s="9"/>
      <c r="AC82" s="10">
        <f t="shared" si="23"/>
        <v>0</v>
      </c>
      <c r="AD82" s="8">
        <f>IFERROR(AC82/AC444, "NA")</f>
        <v>0</v>
      </c>
    </row>
    <row r="83" spans="1:30" ht="16.5" customHeight="1" x14ac:dyDescent="0.45">
      <c r="A83" s="12" t="s">
        <v>79</v>
      </c>
      <c r="B83" s="7">
        <v>121.46</v>
      </c>
      <c r="C83" s="8">
        <f>IFERROR(B83/B444, "NA")</f>
        <v>2.7918495279071175E-4</v>
      </c>
      <c r="D83" s="9"/>
      <c r="E83" s="7">
        <v>0</v>
      </c>
      <c r="F83" s="8">
        <f>IFERROR(E83/E444, "NA")</f>
        <v>0</v>
      </c>
      <c r="G83" s="9"/>
      <c r="H83" s="10">
        <f t="shared" si="20"/>
        <v>121.46</v>
      </c>
      <c r="I83" s="8">
        <f>IFERROR(H83/H444, "NA")</f>
        <v>-8.8941938035017078E-3</v>
      </c>
      <c r="J83" s="9"/>
      <c r="K83" s="7">
        <v>0</v>
      </c>
      <c r="L83" s="8">
        <f>IFERROR(K83/K444, "NA")</f>
        <v>0</v>
      </c>
      <c r="M83" s="9"/>
      <c r="N83" s="10">
        <f t="shared" si="21"/>
        <v>121.46</v>
      </c>
      <c r="O83" s="8">
        <f>IFERROR(N83/N444, "NA")</f>
        <v>-0.24131285637652447</v>
      </c>
      <c r="P83" s="9"/>
      <c r="Q83" s="7">
        <v>121.46</v>
      </c>
      <c r="R83" s="8">
        <f>IFERROR(Q83/Q444, "NA")</f>
        <v>2.7918495279071175E-4</v>
      </c>
      <c r="S83" s="9"/>
      <c r="T83" s="7">
        <v>0</v>
      </c>
      <c r="U83" s="8">
        <f>IFERROR(T83/T444, "NA")</f>
        <v>0</v>
      </c>
      <c r="V83" s="9"/>
      <c r="W83" s="10">
        <f t="shared" si="22"/>
        <v>121.46</v>
      </c>
      <c r="X83" s="8">
        <f>IFERROR(W83/W444, "NA")</f>
        <v>-8.8941938035017078E-3</v>
      </c>
      <c r="Y83" s="9"/>
      <c r="Z83" s="7">
        <v>0</v>
      </c>
      <c r="AA83" s="8">
        <f>IFERROR(Z83/Z444, "NA")</f>
        <v>0</v>
      </c>
      <c r="AB83" s="9"/>
      <c r="AC83" s="10">
        <f t="shared" si="23"/>
        <v>121.46</v>
      </c>
      <c r="AD83" s="8">
        <f>IFERROR(AC83/AC444, "NA")</f>
        <v>-0.24131285637652447</v>
      </c>
    </row>
    <row r="84" spans="1:30" ht="16.5" hidden="1" customHeight="1" x14ac:dyDescent="0.45">
      <c r="A84" s="12" t="s">
        <v>80</v>
      </c>
      <c r="B84" s="7">
        <v>0</v>
      </c>
      <c r="C84" s="8">
        <f>IFERROR(B84/B444, "NA")</f>
        <v>0</v>
      </c>
      <c r="D84" s="9"/>
      <c r="E84" s="7">
        <v>0</v>
      </c>
      <c r="F84" s="8">
        <f>IFERROR(E84/E444, "NA")</f>
        <v>0</v>
      </c>
      <c r="G84" s="9"/>
      <c r="H84" s="10">
        <f t="shared" si="20"/>
        <v>0</v>
      </c>
      <c r="I84" s="8">
        <f>IFERROR(H84/H444, "NA")</f>
        <v>0</v>
      </c>
      <c r="J84" s="9"/>
      <c r="K84" s="7">
        <v>0</v>
      </c>
      <c r="L84" s="8">
        <f>IFERROR(K84/K444, "NA")</f>
        <v>0</v>
      </c>
      <c r="M84" s="9"/>
      <c r="N84" s="10">
        <f t="shared" si="21"/>
        <v>0</v>
      </c>
      <c r="O84" s="8">
        <f>IFERROR(N84/N444, "NA")</f>
        <v>0</v>
      </c>
      <c r="P84" s="9"/>
      <c r="Q84" s="7">
        <v>0</v>
      </c>
      <c r="R84" s="8">
        <f>IFERROR(Q84/Q444, "NA")</f>
        <v>0</v>
      </c>
      <c r="S84" s="9"/>
      <c r="T84" s="7">
        <v>0</v>
      </c>
      <c r="U84" s="8">
        <f>IFERROR(T84/T444, "NA")</f>
        <v>0</v>
      </c>
      <c r="V84" s="9"/>
      <c r="W84" s="10">
        <f t="shared" si="22"/>
        <v>0</v>
      </c>
      <c r="X84" s="8">
        <f>IFERROR(W84/W444, "NA")</f>
        <v>0</v>
      </c>
      <c r="Y84" s="9"/>
      <c r="Z84" s="7">
        <v>0</v>
      </c>
      <c r="AA84" s="8">
        <f>IFERROR(Z84/Z444, "NA")</f>
        <v>0</v>
      </c>
      <c r="AB84" s="9"/>
      <c r="AC84" s="10">
        <f t="shared" si="23"/>
        <v>0</v>
      </c>
      <c r="AD84" s="8">
        <f>IFERROR(AC84/AC444, "NA")</f>
        <v>0</v>
      </c>
    </row>
    <row r="85" spans="1:30" ht="16.5" hidden="1" customHeight="1" x14ac:dyDescent="0.45">
      <c r="A85" s="12" t="s">
        <v>81</v>
      </c>
      <c r="B85" s="7">
        <v>0</v>
      </c>
      <c r="C85" s="8">
        <f>IFERROR(B85/B444, "NA")</f>
        <v>0</v>
      </c>
      <c r="D85" s="9"/>
      <c r="E85" s="7">
        <v>0</v>
      </c>
      <c r="F85" s="8">
        <f>IFERROR(E85/E444, "NA")</f>
        <v>0</v>
      </c>
      <c r="G85" s="9"/>
      <c r="H85" s="10">
        <f t="shared" si="20"/>
        <v>0</v>
      </c>
      <c r="I85" s="8">
        <f>IFERROR(H85/H444, "NA")</f>
        <v>0</v>
      </c>
      <c r="J85" s="9"/>
      <c r="K85" s="7">
        <v>0</v>
      </c>
      <c r="L85" s="8">
        <f>IFERROR(K85/K444, "NA")</f>
        <v>0</v>
      </c>
      <c r="M85" s="9"/>
      <c r="N85" s="10">
        <f t="shared" si="21"/>
        <v>0</v>
      </c>
      <c r="O85" s="8">
        <f>IFERROR(N85/N444, "NA")</f>
        <v>0</v>
      </c>
      <c r="P85" s="9"/>
      <c r="Q85" s="7">
        <v>0</v>
      </c>
      <c r="R85" s="8">
        <f>IFERROR(Q85/Q444, "NA")</f>
        <v>0</v>
      </c>
      <c r="S85" s="9"/>
      <c r="T85" s="7">
        <v>0</v>
      </c>
      <c r="U85" s="8">
        <f>IFERROR(T85/T444, "NA")</f>
        <v>0</v>
      </c>
      <c r="V85" s="9"/>
      <c r="W85" s="10">
        <f t="shared" si="22"/>
        <v>0</v>
      </c>
      <c r="X85" s="8">
        <f>IFERROR(W85/W444, "NA")</f>
        <v>0</v>
      </c>
      <c r="Y85" s="9"/>
      <c r="Z85" s="7">
        <v>0</v>
      </c>
      <c r="AA85" s="8">
        <f>IFERROR(Z85/Z444, "NA")</f>
        <v>0</v>
      </c>
      <c r="AB85" s="9"/>
      <c r="AC85" s="10">
        <f t="shared" si="23"/>
        <v>0</v>
      </c>
      <c r="AD85" s="8">
        <f>IFERROR(AC85/AC444, "NA")</f>
        <v>0</v>
      </c>
    </row>
    <row r="86" spans="1:30" ht="16.5" customHeight="1" x14ac:dyDescent="0.45">
      <c r="A86" s="12" t="s">
        <v>82</v>
      </c>
      <c r="B86" s="7">
        <v>25</v>
      </c>
      <c r="C86" s="8">
        <f>IFERROR(B86/B444, "NA")</f>
        <v>5.7464381852196555E-5</v>
      </c>
      <c r="D86" s="9"/>
      <c r="E86" s="7">
        <v>0</v>
      </c>
      <c r="F86" s="8">
        <f>IFERROR(E86/E444, "NA")</f>
        <v>0</v>
      </c>
      <c r="G86" s="9"/>
      <c r="H86" s="10">
        <f t="shared" si="20"/>
        <v>25</v>
      </c>
      <c r="I86" s="8">
        <f>IFERROR(H86/H444, "NA")</f>
        <v>-1.8306837237571441E-3</v>
      </c>
      <c r="J86" s="9"/>
      <c r="K86" s="7">
        <v>0</v>
      </c>
      <c r="L86" s="8">
        <f>IFERROR(K86/K444, "NA")</f>
        <v>0</v>
      </c>
      <c r="M86" s="9"/>
      <c r="N86" s="10">
        <f t="shared" si="21"/>
        <v>25</v>
      </c>
      <c r="O86" s="8">
        <f>IFERROR(N86/N444, "NA")</f>
        <v>-4.9669203107303737E-2</v>
      </c>
      <c r="P86" s="9"/>
      <c r="Q86" s="7">
        <v>25</v>
      </c>
      <c r="R86" s="8">
        <f>IFERROR(Q86/Q444, "NA")</f>
        <v>5.7464381852196555E-5</v>
      </c>
      <c r="S86" s="9"/>
      <c r="T86" s="7">
        <v>0</v>
      </c>
      <c r="U86" s="8">
        <f>IFERROR(T86/T444, "NA")</f>
        <v>0</v>
      </c>
      <c r="V86" s="9"/>
      <c r="W86" s="10">
        <f t="shared" si="22"/>
        <v>25</v>
      </c>
      <c r="X86" s="8">
        <f>IFERROR(W86/W444, "NA")</f>
        <v>-1.8306837237571441E-3</v>
      </c>
      <c r="Y86" s="9"/>
      <c r="Z86" s="7">
        <v>0</v>
      </c>
      <c r="AA86" s="8">
        <f>IFERROR(Z86/Z444, "NA")</f>
        <v>0</v>
      </c>
      <c r="AB86" s="9"/>
      <c r="AC86" s="10">
        <f t="shared" si="23"/>
        <v>25</v>
      </c>
      <c r="AD86" s="8">
        <f>IFERROR(AC86/AC444, "NA")</f>
        <v>-4.9669203107303737E-2</v>
      </c>
    </row>
    <row r="87" spans="1:30" ht="16.5" customHeight="1" x14ac:dyDescent="0.45">
      <c r="A87" s="12" t="s">
        <v>83</v>
      </c>
      <c r="B87" s="7">
        <v>0</v>
      </c>
      <c r="C87" s="8">
        <f>IFERROR(B87/B444, "NA")</f>
        <v>0</v>
      </c>
      <c r="D87" s="9"/>
      <c r="E87" s="7">
        <v>0</v>
      </c>
      <c r="F87" s="8">
        <f>IFERROR(E87/E444, "NA")</f>
        <v>0</v>
      </c>
      <c r="G87" s="9"/>
      <c r="H87" s="10">
        <f t="shared" si="20"/>
        <v>0</v>
      </c>
      <c r="I87" s="8">
        <f>IFERROR(H87/H444, "NA")</f>
        <v>0</v>
      </c>
      <c r="J87" s="9"/>
      <c r="K87" s="7">
        <v>988.28</v>
      </c>
      <c r="L87" s="8">
        <f>IFERROR(K87/K444, "NA")</f>
        <v>2.2690108581587421E-3</v>
      </c>
      <c r="M87" s="9"/>
      <c r="N87" s="10">
        <f t="shared" si="21"/>
        <v>-988.28</v>
      </c>
      <c r="O87" s="8">
        <f>IFERROR(N87/N444, "NA")</f>
        <v>1.9634832018754456</v>
      </c>
      <c r="P87" s="9"/>
      <c r="Q87" s="7">
        <v>0</v>
      </c>
      <c r="R87" s="8">
        <f>IFERROR(Q87/Q444, "NA")</f>
        <v>0</v>
      </c>
      <c r="S87" s="9"/>
      <c r="T87" s="7">
        <v>0</v>
      </c>
      <c r="U87" s="8">
        <f>IFERROR(T87/T444, "NA")</f>
        <v>0</v>
      </c>
      <c r="V87" s="9"/>
      <c r="W87" s="10">
        <f t="shared" si="22"/>
        <v>0</v>
      </c>
      <c r="X87" s="8">
        <f>IFERROR(W87/W444, "NA")</f>
        <v>0</v>
      </c>
      <c r="Y87" s="9"/>
      <c r="Z87" s="7">
        <v>988.28</v>
      </c>
      <c r="AA87" s="8">
        <f>IFERROR(Z87/Z444, "NA")</f>
        <v>2.2690108581587421E-3</v>
      </c>
      <c r="AB87" s="9"/>
      <c r="AC87" s="10">
        <f t="shared" si="23"/>
        <v>-988.28</v>
      </c>
      <c r="AD87" s="8">
        <f>IFERROR(AC87/AC444, "NA")</f>
        <v>1.9634832018754456</v>
      </c>
    </row>
    <row r="88" spans="1:30" ht="16.5" customHeight="1" x14ac:dyDescent="0.45">
      <c r="A88" s="13" t="s">
        <v>84</v>
      </c>
      <c r="B88" s="14">
        <f>IFERROR(B75+B76+B77+B78+B79+B80+B81+B82+B83+B84+B85+B86+B87, "NA")</f>
        <v>6562.65</v>
      </c>
      <c r="C88" s="15">
        <f>IFERROR(B88/B444, "NA")</f>
        <v>1.5084745022492709E-2</v>
      </c>
      <c r="D88" s="2"/>
      <c r="E88" s="14">
        <f>IFERROR(E75+E76+E77+E78+E79+E80+E81+E82+E83+E84+E85+E86+E87, "NA")</f>
        <v>8044.11</v>
      </c>
      <c r="F88" s="15">
        <f>IFERROR(E88/E444, "NA")</f>
        <v>1.7927263196883852E-2</v>
      </c>
      <c r="G88" s="2"/>
      <c r="H88" s="14">
        <f t="shared" si="20"/>
        <v>-1481.46</v>
      </c>
      <c r="I88" s="15">
        <f>IFERROR(H88/H444, "NA")</f>
        <v>0.10848338837589035</v>
      </c>
      <c r="J88" s="2"/>
      <c r="K88" s="14">
        <f>IFERROR(K75+K76+K77+K78+K79+K80+K81+K82+K83+K84+K85+K86+K87, "NA")</f>
        <v>10471.310000000001</v>
      </c>
      <c r="L88" s="15">
        <f>IFERROR(K88/K444, "NA")</f>
        <v>2.4041279889450585E-2</v>
      </c>
      <c r="M88" s="2"/>
      <c r="N88" s="14">
        <f t="shared" si="21"/>
        <v>-3908.6600000000017</v>
      </c>
      <c r="O88" s="15">
        <f>IFERROR(N88/N444, "NA")</f>
        <v>7.7656010966957565</v>
      </c>
      <c r="P88" s="2"/>
      <c r="Q88" s="14">
        <f>IFERROR(Q75+Q76+Q77+Q78+Q79+Q80+Q81+Q82+Q83+Q84+Q85+Q86+Q87, "NA")</f>
        <v>6562.65</v>
      </c>
      <c r="R88" s="15">
        <f>IFERROR(Q88/Q444, "NA")</f>
        <v>1.5084745022492709E-2</v>
      </c>
      <c r="S88" s="2"/>
      <c r="T88" s="14">
        <f>IFERROR(T75+T76+T77+T78+T79+T80+T81+T82+T83+T84+T85+T86+T87, "NA")</f>
        <v>8044.11</v>
      </c>
      <c r="U88" s="15">
        <f>IFERROR(T88/T444, "NA")</f>
        <v>1.7927263196883852E-2</v>
      </c>
      <c r="V88" s="2"/>
      <c r="W88" s="14">
        <f t="shared" si="22"/>
        <v>-1481.46</v>
      </c>
      <c r="X88" s="15">
        <f>IFERROR(W88/W444, "NA")</f>
        <v>0.10848338837589035</v>
      </c>
      <c r="Y88" s="2"/>
      <c r="Z88" s="14">
        <f>IFERROR(Z75+Z76+Z77+Z78+Z79+Z80+Z81+Z82+Z83+Z84+Z85+Z86+Z87, "NA")</f>
        <v>10471.310000000001</v>
      </c>
      <c r="AA88" s="15">
        <f>IFERROR(Z88/Z444, "NA")</f>
        <v>2.4041279889450585E-2</v>
      </c>
      <c r="AB88" s="2"/>
      <c r="AC88" s="14">
        <f t="shared" si="23"/>
        <v>-3908.6600000000017</v>
      </c>
      <c r="AD88" s="15">
        <f>IFERROR(AC88/AC444, "NA")</f>
        <v>7.7656010966957565</v>
      </c>
    </row>
    <row r="89" spans="1:30" ht="16.5" customHeight="1" x14ac:dyDescent="0.45">
      <c r="A89" s="6" t="s">
        <v>85</v>
      </c>
      <c r="B89" s="7">
        <v>-12.95</v>
      </c>
      <c r="C89" s="8">
        <f>IFERROR(B89/B444, "NA")</f>
        <v>-2.9766549799437815E-5</v>
      </c>
      <c r="D89" s="9"/>
      <c r="E89" s="7">
        <v>0</v>
      </c>
      <c r="F89" s="8">
        <f>IFERROR(E89/E444, "NA")</f>
        <v>0</v>
      </c>
      <c r="G89" s="9"/>
      <c r="H89" s="10">
        <f t="shared" si="20"/>
        <v>-12.95</v>
      </c>
      <c r="I89" s="8">
        <f>IFERROR(H89/H444, "NA")</f>
        <v>9.4829416890620057E-4</v>
      </c>
      <c r="J89" s="9"/>
      <c r="K89" s="7">
        <v>-19.260000000000002</v>
      </c>
      <c r="L89" s="8">
        <f>IFERROR(K89/K444, "NA")</f>
        <v>-4.4219400502021065E-5</v>
      </c>
      <c r="M89" s="9"/>
      <c r="N89" s="10">
        <f t="shared" si="21"/>
        <v>6.3100000000000023</v>
      </c>
      <c r="O89" s="8">
        <f>IFERROR(N89/N444, "NA")</f>
        <v>-1.2536506864283469E-2</v>
      </c>
      <c r="P89" s="9"/>
      <c r="Q89" s="7">
        <v>-12.95</v>
      </c>
      <c r="R89" s="8">
        <f>IFERROR(Q89/Q444, "NA")</f>
        <v>-2.9766549799437815E-5</v>
      </c>
      <c r="S89" s="9"/>
      <c r="T89" s="7">
        <v>0</v>
      </c>
      <c r="U89" s="8">
        <f>IFERROR(T89/T444, "NA")</f>
        <v>0</v>
      </c>
      <c r="V89" s="9"/>
      <c r="W89" s="10">
        <f t="shared" si="22"/>
        <v>-12.95</v>
      </c>
      <c r="X89" s="8">
        <f>IFERROR(W89/W444, "NA")</f>
        <v>9.4829416890620057E-4</v>
      </c>
      <c r="Y89" s="9"/>
      <c r="Z89" s="7">
        <v>-19.260000000000002</v>
      </c>
      <c r="AA89" s="8">
        <f>IFERROR(Z89/Z444, "NA")</f>
        <v>-4.4219400502021065E-5</v>
      </c>
      <c r="AB89" s="9"/>
      <c r="AC89" s="10">
        <f t="shared" si="23"/>
        <v>6.3100000000000023</v>
      </c>
      <c r="AD89" s="8">
        <f>IFERROR(AC89/AC444, "NA")</f>
        <v>-1.2536506864283469E-2</v>
      </c>
    </row>
    <row r="90" spans="1:30" ht="16.5" customHeight="1" x14ac:dyDescent="0.45">
      <c r="A90" s="6" t="s">
        <v>86</v>
      </c>
      <c r="B90" s="7">
        <v>-673.99</v>
      </c>
      <c r="C90" s="8">
        <f>IFERROR(B90/B444, "NA")</f>
        <v>-1.5492167489824782E-3</v>
      </c>
      <c r="D90" s="9"/>
      <c r="E90" s="7">
        <v>0</v>
      </c>
      <c r="F90" s="8">
        <f>IFERROR(E90/E444, "NA")</f>
        <v>0</v>
      </c>
      <c r="G90" s="9"/>
      <c r="H90" s="10">
        <f t="shared" si="20"/>
        <v>-673.99</v>
      </c>
      <c r="I90" s="8">
        <f>IFERROR(H90/H444, "NA")</f>
        <v>4.9354500919003105E-2</v>
      </c>
      <c r="J90" s="9"/>
      <c r="K90" s="7">
        <v>0</v>
      </c>
      <c r="L90" s="8">
        <f>IFERROR(K90/K444, "NA")</f>
        <v>0</v>
      </c>
      <c r="M90" s="9"/>
      <c r="N90" s="10">
        <f t="shared" si="21"/>
        <v>-673.99</v>
      </c>
      <c r="O90" s="8">
        <f>IFERROR(N90/N444, "NA")</f>
        <v>1.3390618480916658</v>
      </c>
      <c r="P90" s="9"/>
      <c r="Q90" s="7">
        <v>-673.99</v>
      </c>
      <c r="R90" s="8">
        <f>IFERROR(Q90/Q444, "NA")</f>
        <v>-1.5492167489824782E-3</v>
      </c>
      <c r="S90" s="9"/>
      <c r="T90" s="7">
        <v>0</v>
      </c>
      <c r="U90" s="8">
        <f>IFERROR(T90/T444, "NA")</f>
        <v>0</v>
      </c>
      <c r="V90" s="9"/>
      <c r="W90" s="10">
        <f t="shared" si="22"/>
        <v>-673.99</v>
      </c>
      <c r="X90" s="8">
        <f>IFERROR(W90/W444, "NA")</f>
        <v>4.9354500919003105E-2</v>
      </c>
      <c r="Y90" s="9"/>
      <c r="Z90" s="7">
        <v>0</v>
      </c>
      <c r="AA90" s="8">
        <f>IFERROR(Z90/Z444, "NA")</f>
        <v>0</v>
      </c>
      <c r="AB90" s="9"/>
      <c r="AC90" s="10">
        <f t="shared" si="23"/>
        <v>-673.99</v>
      </c>
      <c r="AD90" s="8">
        <f>IFERROR(AC90/AC444, "NA")</f>
        <v>1.3390618480916658</v>
      </c>
    </row>
    <row r="91" spans="1:30" ht="16.5" hidden="1" customHeight="1" x14ac:dyDescent="0.45">
      <c r="A91" s="6" t="s">
        <v>87</v>
      </c>
      <c r="B91" s="7">
        <v>0</v>
      </c>
      <c r="C91" s="8">
        <f>IFERROR(B91/B444, "NA")</f>
        <v>0</v>
      </c>
      <c r="D91" s="9"/>
      <c r="E91" s="7">
        <v>0</v>
      </c>
      <c r="F91" s="8">
        <f>IFERROR(E91/E444, "NA")</f>
        <v>0</v>
      </c>
      <c r="G91" s="9"/>
      <c r="H91" s="10">
        <f t="shared" si="20"/>
        <v>0</v>
      </c>
      <c r="I91" s="8">
        <f>IFERROR(H91/H444, "NA")</f>
        <v>0</v>
      </c>
      <c r="J91" s="9"/>
      <c r="K91" s="7">
        <v>0</v>
      </c>
      <c r="L91" s="8">
        <f>IFERROR(K91/K444, "NA")</f>
        <v>0</v>
      </c>
      <c r="M91" s="9"/>
      <c r="N91" s="10">
        <f t="shared" si="21"/>
        <v>0</v>
      </c>
      <c r="O91" s="8">
        <f>IFERROR(N91/N444, "NA")</f>
        <v>0</v>
      </c>
      <c r="P91" s="9"/>
      <c r="Q91" s="7">
        <v>0</v>
      </c>
      <c r="R91" s="8">
        <f>IFERROR(Q91/Q444, "NA")</f>
        <v>0</v>
      </c>
      <c r="S91" s="9"/>
      <c r="T91" s="7">
        <v>0</v>
      </c>
      <c r="U91" s="8">
        <f>IFERROR(T91/T444, "NA")</f>
        <v>0</v>
      </c>
      <c r="V91" s="9"/>
      <c r="W91" s="10">
        <f t="shared" si="22"/>
        <v>0</v>
      </c>
      <c r="X91" s="8">
        <f>IFERROR(W91/W444, "NA")</f>
        <v>0</v>
      </c>
      <c r="Y91" s="9"/>
      <c r="Z91" s="7">
        <v>0</v>
      </c>
      <c r="AA91" s="8">
        <f>IFERROR(Z91/Z444, "NA")</f>
        <v>0</v>
      </c>
      <c r="AB91" s="9"/>
      <c r="AC91" s="10">
        <f t="shared" si="23"/>
        <v>0</v>
      </c>
      <c r="AD91" s="8">
        <f>IFERROR(AC91/AC444, "NA")</f>
        <v>0</v>
      </c>
    </row>
    <row r="92" spans="1:30" ht="16.5" hidden="1" customHeight="1" x14ac:dyDescent="0.45">
      <c r="A92" s="6" t="s">
        <v>88</v>
      </c>
      <c r="B92" s="7">
        <v>0</v>
      </c>
      <c r="C92" s="8">
        <f>IFERROR(B92/B444, "NA")</f>
        <v>0</v>
      </c>
      <c r="D92" s="9"/>
      <c r="E92" s="7">
        <v>0</v>
      </c>
      <c r="F92" s="8">
        <f>IFERROR(E92/E444, "NA")</f>
        <v>0</v>
      </c>
      <c r="G92" s="9"/>
      <c r="H92" s="10">
        <f t="shared" si="20"/>
        <v>0</v>
      </c>
      <c r="I92" s="8">
        <f>IFERROR(H92/H444, "NA")</f>
        <v>0</v>
      </c>
      <c r="J92" s="9"/>
      <c r="K92" s="7">
        <v>0</v>
      </c>
      <c r="L92" s="8">
        <f>IFERROR(K92/K444, "NA")</f>
        <v>0</v>
      </c>
      <c r="M92" s="9"/>
      <c r="N92" s="10">
        <f t="shared" si="21"/>
        <v>0</v>
      </c>
      <c r="O92" s="8">
        <f>IFERROR(N92/N444, "NA")</f>
        <v>0</v>
      </c>
      <c r="P92" s="9"/>
      <c r="Q92" s="7">
        <v>0</v>
      </c>
      <c r="R92" s="8">
        <f>IFERROR(Q92/Q444, "NA")</f>
        <v>0</v>
      </c>
      <c r="S92" s="9"/>
      <c r="T92" s="7">
        <v>0</v>
      </c>
      <c r="U92" s="8">
        <f>IFERROR(T92/T444, "NA")</f>
        <v>0</v>
      </c>
      <c r="V92" s="9"/>
      <c r="W92" s="10">
        <f t="shared" si="22"/>
        <v>0</v>
      </c>
      <c r="X92" s="8">
        <f>IFERROR(W92/W444, "NA")</f>
        <v>0</v>
      </c>
      <c r="Y92" s="9"/>
      <c r="Z92" s="7">
        <v>0</v>
      </c>
      <c r="AA92" s="8">
        <f>IFERROR(Z92/Z444, "NA")</f>
        <v>0</v>
      </c>
      <c r="AB92" s="9"/>
      <c r="AC92" s="10">
        <f t="shared" si="23"/>
        <v>0</v>
      </c>
      <c r="AD92" s="8">
        <f>IFERROR(AC92/AC444, "NA")</f>
        <v>0</v>
      </c>
    </row>
    <row r="93" spans="1:30" ht="16.5" customHeight="1" x14ac:dyDescent="0.45">
      <c r="A93" s="11" t="s">
        <v>89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45">
      <c r="A94" s="12" t="s">
        <v>89</v>
      </c>
      <c r="B94" s="7">
        <v>0</v>
      </c>
      <c r="C94" s="8">
        <f>IFERROR(B94/B444, "NA")</f>
        <v>0</v>
      </c>
      <c r="D94" s="9"/>
      <c r="E94" s="7">
        <v>-22567.190000000002</v>
      </c>
      <c r="F94" s="8">
        <f>IFERROR(E94/E444, "NA")</f>
        <v>-5.0293687523428367E-2</v>
      </c>
      <c r="G94" s="9"/>
      <c r="H94" s="10">
        <f t="shared" ref="H94:H124" si="24">IFERROR(B94-E94, "NA")</f>
        <v>22567.190000000002</v>
      </c>
      <c r="I94" s="8">
        <f>IFERROR(H94/H444, "NA")</f>
        <v>-1.6525354969573995</v>
      </c>
      <c r="J94" s="9"/>
      <c r="K94" s="7">
        <v>0</v>
      </c>
      <c r="L94" s="8">
        <f>IFERROR(K94/K444, "NA")</f>
        <v>0</v>
      </c>
      <c r="M94" s="9"/>
      <c r="N94" s="10">
        <f t="shared" ref="N94:N124" si="25">IFERROR(B94-K94, "NA")</f>
        <v>0</v>
      </c>
      <c r="O94" s="8">
        <f>IFERROR(N94/N444, "NA")</f>
        <v>0</v>
      </c>
      <c r="P94" s="9"/>
      <c r="Q94" s="7">
        <v>0</v>
      </c>
      <c r="R94" s="8">
        <f>IFERROR(Q94/Q444, "NA")</f>
        <v>0</v>
      </c>
      <c r="S94" s="9"/>
      <c r="T94" s="7">
        <v>-22567.190000000002</v>
      </c>
      <c r="U94" s="8">
        <f>IFERROR(T94/T444, "NA")</f>
        <v>-5.0293687523428367E-2</v>
      </c>
      <c r="V94" s="9"/>
      <c r="W94" s="10">
        <f t="shared" ref="W94:W124" si="26">IFERROR(Q94-T94, "NA")</f>
        <v>22567.190000000002</v>
      </c>
      <c r="X94" s="8">
        <f>IFERROR(W94/W444, "NA")</f>
        <v>-1.6525354969573995</v>
      </c>
      <c r="Y94" s="9"/>
      <c r="Z94" s="7">
        <v>0</v>
      </c>
      <c r="AA94" s="8">
        <f>IFERROR(Z94/Z444, "NA")</f>
        <v>0</v>
      </c>
      <c r="AB94" s="9"/>
      <c r="AC94" s="10">
        <f t="shared" ref="AC94:AC124" si="27">IFERROR(Q94-Z94, "NA")</f>
        <v>0</v>
      </c>
      <c r="AD94" s="8">
        <f>IFERROR(AC94/AC444, "NA")</f>
        <v>0</v>
      </c>
    </row>
    <row r="95" spans="1:30" ht="16.5" hidden="1" customHeight="1" x14ac:dyDescent="0.45">
      <c r="A95" s="12" t="s">
        <v>90</v>
      </c>
      <c r="B95" s="7">
        <v>0</v>
      </c>
      <c r="C95" s="8">
        <f>IFERROR(B95/B444, "NA")</f>
        <v>0</v>
      </c>
      <c r="D95" s="9"/>
      <c r="E95" s="7">
        <v>0</v>
      </c>
      <c r="F95" s="8">
        <f>IFERROR(E95/E444, "NA")</f>
        <v>0</v>
      </c>
      <c r="G95" s="9"/>
      <c r="H95" s="10">
        <f t="shared" si="24"/>
        <v>0</v>
      </c>
      <c r="I95" s="8">
        <f>IFERROR(H95/H444, "NA")</f>
        <v>0</v>
      </c>
      <c r="J95" s="9"/>
      <c r="K95" s="7">
        <v>0</v>
      </c>
      <c r="L95" s="8">
        <f>IFERROR(K95/K444, "NA")</f>
        <v>0</v>
      </c>
      <c r="M95" s="9"/>
      <c r="N95" s="10">
        <f t="shared" si="25"/>
        <v>0</v>
      </c>
      <c r="O95" s="8">
        <f>IFERROR(N95/N444, "NA")</f>
        <v>0</v>
      </c>
      <c r="P95" s="9"/>
      <c r="Q95" s="7">
        <v>0</v>
      </c>
      <c r="R95" s="8">
        <f>IFERROR(Q95/Q444, "NA")</f>
        <v>0</v>
      </c>
      <c r="S95" s="9"/>
      <c r="T95" s="7">
        <v>0</v>
      </c>
      <c r="U95" s="8">
        <f>IFERROR(T95/T444, "NA")</f>
        <v>0</v>
      </c>
      <c r="V95" s="9"/>
      <c r="W95" s="10">
        <f t="shared" si="26"/>
        <v>0</v>
      </c>
      <c r="X95" s="8">
        <f>IFERROR(W95/W444, "NA")</f>
        <v>0</v>
      </c>
      <c r="Y95" s="9"/>
      <c r="Z95" s="7">
        <v>0</v>
      </c>
      <c r="AA95" s="8">
        <f>IFERROR(Z95/Z444, "NA")</f>
        <v>0</v>
      </c>
      <c r="AB95" s="9"/>
      <c r="AC95" s="10">
        <f t="shared" si="27"/>
        <v>0</v>
      </c>
      <c r="AD95" s="8">
        <f>IFERROR(AC95/AC444, "NA")</f>
        <v>0</v>
      </c>
    </row>
    <row r="96" spans="1:30" ht="16.5" customHeight="1" x14ac:dyDescent="0.45">
      <c r="A96" s="12" t="s">
        <v>91</v>
      </c>
      <c r="B96" s="7">
        <v>-5625.04</v>
      </c>
      <c r="C96" s="8">
        <f>IFERROR(B96/B444, "NA")</f>
        <v>-1.2929577859755188E-2</v>
      </c>
      <c r="D96" s="9"/>
      <c r="E96" s="7">
        <v>0</v>
      </c>
      <c r="F96" s="8">
        <f>IFERROR(E96/E444, "NA")</f>
        <v>0</v>
      </c>
      <c r="G96" s="9"/>
      <c r="H96" s="10">
        <f t="shared" si="24"/>
        <v>-5625.04</v>
      </c>
      <c r="I96" s="8">
        <f>IFERROR(H96/H444, "NA")</f>
        <v>0.41190676693931544</v>
      </c>
      <c r="J96" s="9"/>
      <c r="K96" s="7">
        <v>-6974.02</v>
      </c>
      <c r="L96" s="8">
        <f>IFERROR(K96/K444, "NA")</f>
        <v>-1.6011785227887071E-2</v>
      </c>
      <c r="M96" s="9"/>
      <c r="N96" s="10">
        <f t="shared" si="25"/>
        <v>1348.9800000000005</v>
      </c>
      <c r="O96" s="8">
        <f>IFERROR(N96/N444, "NA")</f>
        <v>-2.6801104643076248</v>
      </c>
      <c r="P96" s="9"/>
      <c r="Q96" s="7">
        <v>-5625.04</v>
      </c>
      <c r="R96" s="8">
        <f>IFERROR(Q96/Q444, "NA")</f>
        <v>-1.2929577859755188E-2</v>
      </c>
      <c r="S96" s="9"/>
      <c r="T96" s="7">
        <v>0</v>
      </c>
      <c r="U96" s="8">
        <f>IFERROR(T96/T444, "NA")</f>
        <v>0</v>
      </c>
      <c r="V96" s="9"/>
      <c r="W96" s="10">
        <f t="shared" si="26"/>
        <v>-5625.04</v>
      </c>
      <c r="X96" s="8">
        <f>IFERROR(W96/W444, "NA")</f>
        <v>0.41190676693931544</v>
      </c>
      <c r="Y96" s="9"/>
      <c r="Z96" s="7">
        <v>-6974.02</v>
      </c>
      <c r="AA96" s="8">
        <f>IFERROR(Z96/Z444, "NA")</f>
        <v>-1.6011785227887071E-2</v>
      </c>
      <c r="AB96" s="9"/>
      <c r="AC96" s="10">
        <f t="shared" si="27"/>
        <v>1348.9800000000005</v>
      </c>
      <c r="AD96" s="8">
        <f>IFERROR(AC96/AC444, "NA")</f>
        <v>-2.6801104643076248</v>
      </c>
    </row>
    <row r="97" spans="1:30" ht="16.5" hidden="1" customHeight="1" x14ac:dyDescent="0.45">
      <c r="A97" s="12" t="s">
        <v>92</v>
      </c>
      <c r="B97" s="7">
        <v>0</v>
      </c>
      <c r="C97" s="8">
        <f>IFERROR(B97/B444, "NA")</f>
        <v>0</v>
      </c>
      <c r="D97" s="9"/>
      <c r="E97" s="7">
        <v>0</v>
      </c>
      <c r="F97" s="8">
        <f>IFERROR(E97/E444, "NA")</f>
        <v>0</v>
      </c>
      <c r="G97" s="9"/>
      <c r="H97" s="10">
        <f t="shared" si="24"/>
        <v>0</v>
      </c>
      <c r="I97" s="8">
        <f>IFERROR(H97/H444, "NA")</f>
        <v>0</v>
      </c>
      <c r="J97" s="9"/>
      <c r="K97" s="7">
        <v>0</v>
      </c>
      <c r="L97" s="8">
        <f>IFERROR(K97/K444, "NA")</f>
        <v>0</v>
      </c>
      <c r="M97" s="9"/>
      <c r="N97" s="10">
        <f t="shared" si="25"/>
        <v>0</v>
      </c>
      <c r="O97" s="8">
        <f>IFERROR(N97/N444, "NA")</f>
        <v>0</v>
      </c>
      <c r="P97" s="9"/>
      <c r="Q97" s="7">
        <v>0</v>
      </c>
      <c r="R97" s="8">
        <f>IFERROR(Q97/Q444, "NA")</f>
        <v>0</v>
      </c>
      <c r="S97" s="9"/>
      <c r="T97" s="7">
        <v>0</v>
      </c>
      <c r="U97" s="8">
        <f>IFERROR(T97/T444, "NA")</f>
        <v>0</v>
      </c>
      <c r="V97" s="9"/>
      <c r="W97" s="10">
        <f t="shared" si="26"/>
        <v>0</v>
      </c>
      <c r="X97" s="8">
        <f>IFERROR(W97/W444, "NA")</f>
        <v>0</v>
      </c>
      <c r="Y97" s="9"/>
      <c r="Z97" s="7">
        <v>0</v>
      </c>
      <c r="AA97" s="8">
        <f>IFERROR(Z97/Z444, "NA")</f>
        <v>0</v>
      </c>
      <c r="AB97" s="9"/>
      <c r="AC97" s="10">
        <f t="shared" si="27"/>
        <v>0</v>
      </c>
      <c r="AD97" s="8">
        <f>IFERROR(AC97/AC444, "NA")</f>
        <v>0</v>
      </c>
    </row>
    <row r="98" spans="1:30" ht="16.5" customHeight="1" x14ac:dyDescent="0.45">
      <c r="A98" s="12" t="s">
        <v>93</v>
      </c>
      <c r="B98" s="7">
        <v>-9843.77</v>
      </c>
      <c r="C98" s="8">
        <f>IFERROR(B98/B444, "NA")</f>
        <v>-2.2626646325807877E-2</v>
      </c>
      <c r="D98" s="9"/>
      <c r="E98" s="7">
        <v>0</v>
      </c>
      <c r="F98" s="8">
        <f>IFERROR(E98/E444, "NA")</f>
        <v>0</v>
      </c>
      <c r="G98" s="9"/>
      <c r="H98" s="10">
        <f t="shared" si="24"/>
        <v>-9843.77</v>
      </c>
      <c r="I98" s="8">
        <f>IFERROR(H98/H444, "NA")</f>
        <v>0.7208331807763545</v>
      </c>
      <c r="J98" s="9"/>
      <c r="K98" s="7">
        <v>-8172.2099999999991</v>
      </c>
      <c r="L98" s="8">
        <f>IFERROR(K98/K444, "NA")</f>
        <v>-1.8762732449461139E-2</v>
      </c>
      <c r="M98" s="9"/>
      <c r="N98" s="10">
        <f t="shared" si="25"/>
        <v>-1671.5600000000013</v>
      </c>
      <c r="O98" s="8">
        <f>IFERROR(N98/N444, "NA")</f>
        <v>3.3210021258417881</v>
      </c>
      <c r="P98" s="9"/>
      <c r="Q98" s="7">
        <v>-9843.77</v>
      </c>
      <c r="R98" s="8">
        <f>IFERROR(Q98/Q444, "NA")</f>
        <v>-2.2626646325807877E-2</v>
      </c>
      <c r="S98" s="9"/>
      <c r="T98" s="7">
        <v>0</v>
      </c>
      <c r="U98" s="8">
        <f>IFERROR(T98/T444, "NA")</f>
        <v>0</v>
      </c>
      <c r="V98" s="9"/>
      <c r="W98" s="10">
        <f t="shared" si="26"/>
        <v>-9843.77</v>
      </c>
      <c r="X98" s="8">
        <f>IFERROR(W98/W444, "NA")</f>
        <v>0.7208331807763545</v>
      </c>
      <c r="Y98" s="9"/>
      <c r="Z98" s="7">
        <v>-8172.2099999999991</v>
      </c>
      <c r="AA98" s="8">
        <f>IFERROR(Z98/Z444, "NA")</f>
        <v>-1.8762732449461139E-2</v>
      </c>
      <c r="AB98" s="9"/>
      <c r="AC98" s="10">
        <f t="shared" si="27"/>
        <v>-1671.5600000000013</v>
      </c>
      <c r="AD98" s="8">
        <f>IFERROR(AC98/AC444, "NA")</f>
        <v>3.3210021258417881</v>
      </c>
    </row>
    <row r="99" spans="1:30" ht="16.5" hidden="1" customHeight="1" x14ac:dyDescent="0.45">
      <c r="A99" s="12" t="s">
        <v>94</v>
      </c>
      <c r="B99" s="7">
        <v>0</v>
      </c>
      <c r="C99" s="8">
        <f>IFERROR(B99/B444, "NA")</f>
        <v>0</v>
      </c>
      <c r="D99" s="9"/>
      <c r="E99" s="7">
        <v>0</v>
      </c>
      <c r="F99" s="8">
        <f>IFERROR(E99/E444, "NA")</f>
        <v>0</v>
      </c>
      <c r="G99" s="9"/>
      <c r="H99" s="10">
        <f t="shared" si="24"/>
        <v>0</v>
      </c>
      <c r="I99" s="8">
        <f>IFERROR(H99/H444, "NA")</f>
        <v>0</v>
      </c>
      <c r="J99" s="9"/>
      <c r="K99" s="7">
        <v>0</v>
      </c>
      <c r="L99" s="8">
        <f>IFERROR(K99/K444, "NA")</f>
        <v>0</v>
      </c>
      <c r="M99" s="9"/>
      <c r="N99" s="10">
        <f t="shared" si="25"/>
        <v>0</v>
      </c>
      <c r="O99" s="8">
        <f>IFERROR(N99/N444, "NA")</f>
        <v>0</v>
      </c>
      <c r="P99" s="9"/>
      <c r="Q99" s="7">
        <v>0</v>
      </c>
      <c r="R99" s="8">
        <f>IFERROR(Q99/Q444, "NA")</f>
        <v>0</v>
      </c>
      <c r="S99" s="9"/>
      <c r="T99" s="7">
        <v>0</v>
      </c>
      <c r="U99" s="8">
        <f>IFERROR(T99/T444, "NA")</f>
        <v>0</v>
      </c>
      <c r="V99" s="9"/>
      <c r="W99" s="10">
        <f t="shared" si="26"/>
        <v>0</v>
      </c>
      <c r="X99" s="8">
        <f>IFERROR(W99/W444, "NA")</f>
        <v>0</v>
      </c>
      <c r="Y99" s="9"/>
      <c r="Z99" s="7">
        <v>0</v>
      </c>
      <c r="AA99" s="8">
        <f>IFERROR(Z99/Z444, "NA")</f>
        <v>0</v>
      </c>
      <c r="AB99" s="9"/>
      <c r="AC99" s="10">
        <f t="shared" si="27"/>
        <v>0</v>
      </c>
      <c r="AD99" s="8">
        <f>IFERROR(AC99/AC444, "NA")</f>
        <v>0</v>
      </c>
    </row>
    <row r="100" spans="1:30" ht="16.5" customHeight="1" x14ac:dyDescent="0.45">
      <c r="A100" s="12" t="s">
        <v>95</v>
      </c>
      <c r="B100" s="7">
        <v>-129.75</v>
      </c>
      <c r="C100" s="8">
        <f>IFERROR(B100/B444, "NA")</f>
        <v>-2.9824014181290015E-4</v>
      </c>
      <c r="D100" s="9"/>
      <c r="E100" s="7">
        <v>0</v>
      </c>
      <c r="F100" s="8">
        <f>IFERROR(E100/E444, "NA")</f>
        <v>0</v>
      </c>
      <c r="G100" s="9"/>
      <c r="H100" s="10">
        <f t="shared" si="24"/>
        <v>-129.75</v>
      </c>
      <c r="I100" s="8">
        <f>IFERROR(H100/H444, "NA")</f>
        <v>9.5012485262995789E-3</v>
      </c>
      <c r="J100" s="9"/>
      <c r="K100" s="7">
        <v>-1527.11</v>
      </c>
      <c r="L100" s="8">
        <f>IFERROR(K100/K444, "NA")</f>
        <v>-3.5061209086522005E-3</v>
      </c>
      <c r="M100" s="9"/>
      <c r="N100" s="10">
        <f t="shared" si="25"/>
        <v>1397.36</v>
      </c>
      <c r="O100" s="8">
        <f>IFERROR(N100/N444, "NA")</f>
        <v>-2.776230306160878</v>
      </c>
      <c r="P100" s="9"/>
      <c r="Q100" s="7">
        <v>-129.75</v>
      </c>
      <c r="R100" s="8">
        <f>IFERROR(Q100/Q444, "NA")</f>
        <v>-2.9824014181290015E-4</v>
      </c>
      <c r="S100" s="9"/>
      <c r="T100" s="7">
        <v>0</v>
      </c>
      <c r="U100" s="8">
        <f>IFERROR(T100/T444, "NA")</f>
        <v>0</v>
      </c>
      <c r="V100" s="9"/>
      <c r="W100" s="10">
        <f t="shared" si="26"/>
        <v>-129.75</v>
      </c>
      <c r="X100" s="8">
        <f>IFERROR(W100/W444, "NA")</f>
        <v>9.5012485262995789E-3</v>
      </c>
      <c r="Y100" s="9"/>
      <c r="Z100" s="7">
        <v>-1527.11</v>
      </c>
      <c r="AA100" s="8">
        <f>IFERROR(Z100/Z444, "NA")</f>
        <v>-3.5061209086522005E-3</v>
      </c>
      <c r="AB100" s="9"/>
      <c r="AC100" s="10">
        <f t="shared" si="27"/>
        <v>1397.36</v>
      </c>
      <c r="AD100" s="8">
        <f>IFERROR(AC100/AC444, "NA")</f>
        <v>-2.776230306160878</v>
      </c>
    </row>
    <row r="101" spans="1:30" ht="16.5" hidden="1" customHeight="1" x14ac:dyDescent="0.45">
      <c r="A101" s="12" t="s">
        <v>96</v>
      </c>
      <c r="B101" s="7">
        <v>0</v>
      </c>
      <c r="C101" s="8">
        <f>IFERROR(B101/B444, "NA")</f>
        <v>0</v>
      </c>
      <c r="D101" s="9"/>
      <c r="E101" s="7">
        <v>0</v>
      </c>
      <c r="F101" s="8">
        <f>IFERROR(E101/E444, "NA")</f>
        <v>0</v>
      </c>
      <c r="G101" s="9"/>
      <c r="H101" s="10">
        <f t="shared" si="24"/>
        <v>0</v>
      </c>
      <c r="I101" s="8">
        <f>IFERROR(H101/H444, "NA")</f>
        <v>0</v>
      </c>
      <c r="J101" s="9"/>
      <c r="K101" s="7">
        <v>0</v>
      </c>
      <c r="L101" s="8">
        <f>IFERROR(K101/K444, "NA")</f>
        <v>0</v>
      </c>
      <c r="M101" s="9"/>
      <c r="N101" s="10">
        <f t="shared" si="25"/>
        <v>0</v>
      </c>
      <c r="O101" s="8">
        <f>IFERROR(N101/N444, "NA")</f>
        <v>0</v>
      </c>
      <c r="P101" s="9"/>
      <c r="Q101" s="7">
        <v>0</v>
      </c>
      <c r="R101" s="8">
        <f>IFERROR(Q101/Q444, "NA")</f>
        <v>0</v>
      </c>
      <c r="S101" s="9"/>
      <c r="T101" s="7">
        <v>0</v>
      </c>
      <c r="U101" s="8">
        <f>IFERROR(T101/T444, "NA")</f>
        <v>0</v>
      </c>
      <c r="V101" s="9"/>
      <c r="W101" s="10">
        <f t="shared" si="26"/>
        <v>0</v>
      </c>
      <c r="X101" s="8">
        <f>IFERROR(W101/W444, "NA")</f>
        <v>0</v>
      </c>
      <c r="Y101" s="9"/>
      <c r="Z101" s="7">
        <v>0</v>
      </c>
      <c r="AA101" s="8">
        <f>IFERROR(Z101/Z444, "NA")</f>
        <v>0</v>
      </c>
      <c r="AB101" s="9"/>
      <c r="AC101" s="10">
        <f t="shared" si="27"/>
        <v>0</v>
      </c>
      <c r="AD101" s="8">
        <f>IFERROR(AC101/AC444, "NA")</f>
        <v>0</v>
      </c>
    </row>
    <row r="102" spans="1:30" ht="16.5" customHeight="1" x14ac:dyDescent="0.45">
      <c r="A102" s="12" t="s">
        <v>97</v>
      </c>
      <c r="B102" s="7">
        <v>-4046.59</v>
      </c>
      <c r="C102" s="8">
        <f>IFERROR(B102/B444, "NA")</f>
        <v>-9.3013917183712037E-3</v>
      </c>
      <c r="D102" s="9"/>
      <c r="E102" s="7">
        <v>0</v>
      </c>
      <c r="F102" s="8">
        <f>IFERROR(E102/E444, "NA")</f>
        <v>0</v>
      </c>
      <c r="G102" s="9"/>
      <c r="H102" s="10">
        <f t="shared" si="24"/>
        <v>-4046.59</v>
      </c>
      <c r="I102" s="8">
        <f>IFERROR(H102/H444, "NA")</f>
        <v>0.29632105798873687</v>
      </c>
      <c r="J102" s="9"/>
      <c r="K102" s="7">
        <v>-4521.2300000000005</v>
      </c>
      <c r="L102" s="8">
        <f>IFERROR(K102/K444, "NA")</f>
        <v>-1.038037799230284E-2</v>
      </c>
      <c r="M102" s="9"/>
      <c r="N102" s="10">
        <f t="shared" si="25"/>
        <v>474.64000000000033</v>
      </c>
      <c r="O102" s="8">
        <f>IFERROR(N102/N444, "NA")</f>
        <v>-0.94299962251402647</v>
      </c>
      <c r="P102" s="9"/>
      <c r="Q102" s="7">
        <v>-4046.59</v>
      </c>
      <c r="R102" s="8">
        <f>IFERROR(Q102/Q444, "NA")</f>
        <v>-9.3013917183712037E-3</v>
      </c>
      <c r="S102" s="9"/>
      <c r="T102" s="7">
        <v>0</v>
      </c>
      <c r="U102" s="8">
        <f>IFERROR(T102/T444, "NA")</f>
        <v>0</v>
      </c>
      <c r="V102" s="9"/>
      <c r="W102" s="10">
        <f t="shared" si="26"/>
        <v>-4046.59</v>
      </c>
      <c r="X102" s="8">
        <f>IFERROR(W102/W444, "NA")</f>
        <v>0.29632105798873687</v>
      </c>
      <c r="Y102" s="9"/>
      <c r="Z102" s="7">
        <v>-4521.2300000000005</v>
      </c>
      <c r="AA102" s="8">
        <f>IFERROR(Z102/Z444, "NA")</f>
        <v>-1.038037799230284E-2</v>
      </c>
      <c r="AB102" s="9"/>
      <c r="AC102" s="10">
        <f t="shared" si="27"/>
        <v>474.64000000000033</v>
      </c>
      <c r="AD102" s="8">
        <f>IFERROR(AC102/AC444, "NA")</f>
        <v>-0.94299962251402647</v>
      </c>
    </row>
    <row r="103" spans="1:30" ht="16.5" customHeight="1" x14ac:dyDescent="0.45">
      <c r="A103" s="12" t="s">
        <v>98</v>
      </c>
      <c r="B103" s="7">
        <v>-146</v>
      </c>
      <c r="C103" s="8">
        <f>IFERROR(B103/B444, "NA")</f>
        <v>-3.355919900168279E-4</v>
      </c>
      <c r="D103" s="9"/>
      <c r="E103" s="7">
        <v>0</v>
      </c>
      <c r="F103" s="8">
        <f>IFERROR(E103/E444, "NA")</f>
        <v>0</v>
      </c>
      <c r="G103" s="9"/>
      <c r="H103" s="10">
        <f t="shared" si="24"/>
        <v>-146</v>
      </c>
      <c r="I103" s="8">
        <f>IFERROR(H103/H444, "NA")</f>
        <v>1.0691192946741722E-2</v>
      </c>
      <c r="J103" s="9"/>
      <c r="K103" s="7">
        <v>0</v>
      </c>
      <c r="L103" s="8">
        <f>IFERROR(K103/K444, "NA")</f>
        <v>0</v>
      </c>
      <c r="M103" s="9"/>
      <c r="N103" s="10">
        <f t="shared" si="25"/>
        <v>-146</v>
      </c>
      <c r="O103" s="8">
        <f>IFERROR(N103/N444, "NA")</f>
        <v>0.29006814614665383</v>
      </c>
      <c r="P103" s="9"/>
      <c r="Q103" s="7">
        <v>-146</v>
      </c>
      <c r="R103" s="8">
        <f>IFERROR(Q103/Q444, "NA")</f>
        <v>-3.355919900168279E-4</v>
      </c>
      <c r="S103" s="9"/>
      <c r="T103" s="7">
        <v>0</v>
      </c>
      <c r="U103" s="8">
        <f>IFERROR(T103/T444, "NA")</f>
        <v>0</v>
      </c>
      <c r="V103" s="9"/>
      <c r="W103" s="10">
        <f t="shared" si="26"/>
        <v>-146</v>
      </c>
      <c r="X103" s="8">
        <f>IFERROR(W103/W444, "NA")</f>
        <v>1.0691192946741722E-2</v>
      </c>
      <c r="Y103" s="9"/>
      <c r="Z103" s="7">
        <v>0</v>
      </c>
      <c r="AA103" s="8">
        <f>IFERROR(Z103/Z444, "NA")</f>
        <v>0</v>
      </c>
      <c r="AB103" s="9"/>
      <c r="AC103" s="10">
        <f t="shared" si="27"/>
        <v>-146</v>
      </c>
      <c r="AD103" s="8">
        <f>IFERROR(AC103/AC444, "NA")</f>
        <v>0.29006814614665383</v>
      </c>
    </row>
    <row r="104" spans="1:30" ht="16.5" customHeight="1" x14ac:dyDescent="0.45">
      <c r="A104" s="12" t="s">
        <v>99</v>
      </c>
      <c r="B104" s="7">
        <v>-1952.3</v>
      </c>
      <c r="C104" s="8">
        <f>IFERROR(B104/B444, "NA")</f>
        <v>-4.4875085076017335E-3</v>
      </c>
      <c r="D104" s="9"/>
      <c r="E104" s="7">
        <v>0</v>
      </c>
      <c r="F104" s="8">
        <f>IFERROR(E104/E444, "NA")</f>
        <v>0</v>
      </c>
      <c r="G104" s="9"/>
      <c r="H104" s="10">
        <f t="shared" si="24"/>
        <v>-1952.3</v>
      </c>
      <c r="I104" s="8">
        <f>IFERROR(H104/H444, "NA")</f>
        <v>0.1429617533556429</v>
      </c>
      <c r="J104" s="9"/>
      <c r="K104" s="7">
        <v>-2687.4</v>
      </c>
      <c r="L104" s="8">
        <f>IFERROR(K104/K444, "NA")</f>
        <v>-6.1700527990203227E-3</v>
      </c>
      <c r="M104" s="9"/>
      <c r="N104" s="10">
        <f t="shared" si="25"/>
        <v>735.10000000000014</v>
      </c>
      <c r="O104" s="8">
        <f>IFERROR(N104/N444, "NA")</f>
        <v>-1.4604732481671594</v>
      </c>
      <c r="P104" s="9"/>
      <c r="Q104" s="7">
        <v>-1952.3</v>
      </c>
      <c r="R104" s="8">
        <f>IFERROR(Q104/Q444, "NA")</f>
        <v>-4.4875085076017335E-3</v>
      </c>
      <c r="S104" s="9"/>
      <c r="T104" s="7">
        <v>0</v>
      </c>
      <c r="U104" s="8">
        <f>IFERROR(T104/T444, "NA")</f>
        <v>0</v>
      </c>
      <c r="V104" s="9"/>
      <c r="W104" s="10">
        <f t="shared" si="26"/>
        <v>-1952.3</v>
      </c>
      <c r="X104" s="8">
        <f>IFERROR(W104/W444, "NA")</f>
        <v>0.1429617533556429</v>
      </c>
      <c r="Y104" s="9"/>
      <c r="Z104" s="7">
        <v>-2687.4</v>
      </c>
      <c r="AA104" s="8">
        <f>IFERROR(Z104/Z444, "NA")</f>
        <v>-6.1700527990203227E-3</v>
      </c>
      <c r="AB104" s="9"/>
      <c r="AC104" s="10">
        <f t="shared" si="27"/>
        <v>735.10000000000014</v>
      </c>
      <c r="AD104" s="8">
        <f>IFERROR(AC104/AC444, "NA")</f>
        <v>-1.4604732481671594</v>
      </c>
    </row>
    <row r="105" spans="1:30" ht="16.5" hidden="1" customHeight="1" x14ac:dyDescent="0.45">
      <c r="A105" s="12" t="s">
        <v>100</v>
      </c>
      <c r="B105" s="7">
        <v>0</v>
      </c>
      <c r="C105" s="8">
        <f>IFERROR(B105/B444, "NA")</f>
        <v>0</v>
      </c>
      <c r="D105" s="9"/>
      <c r="E105" s="7">
        <v>0</v>
      </c>
      <c r="F105" s="8">
        <f>IFERROR(E105/E444, "NA")</f>
        <v>0</v>
      </c>
      <c r="G105" s="9"/>
      <c r="H105" s="10">
        <f t="shared" si="24"/>
        <v>0</v>
      </c>
      <c r="I105" s="8">
        <f>IFERROR(H105/H444, "NA")</f>
        <v>0</v>
      </c>
      <c r="J105" s="9"/>
      <c r="K105" s="7">
        <v>0</v>
      </c>
      <c r="L105" s="8">
        <f>IFERROR(K105/K444, "NA")</f>
        <v>0</v>
      </c>
      <c r="M105" s="9"/>
      <c r="N105" s="10">
        <f t="shared" si="25"/>
        <v>0</v>
      </c>
      <c r="O105" s="8">
        <f>IFERROR(N105/N444, "NA")</f>
        <v>0</v>
      </c>
      <c r="P105" s="9"/>
      <c r="Q105" s="7">
        <v>0</v>
      </c>
      <c r="R105" s="8">
        <f>IFERROR(Q105/Q444, "NA")</f>
        <v>0</v>
      </c>
      <c r="S105" s="9"/>
      <c r="T105" s="7">
        <v>0</v>
      </c>
      <c r="U105" s="8">
        <f>IFERROR(T105/T444, "NA")</f>
        <v>0</v>
      </c>
      <c r="V105" s="9"/>
      <c r="W105" s="10">
        <f t="shared" si="26"/>
        <v>0</v>
      </c>
      <c r="X105" s="8">
        <f>IFERROR(W105/W444, "NA")</f>
        <v>0</v>
      </c>
      <c r="Y105" s="9"/>
      <c r="Z105" s="7">
        <v>0</v>
      </c>
      <c r="AA105" s="8">
        <f>IFERROR(Z105/Z444, "NA")</f>
        <v>0</v>
      </c>
      <c r="AB105" s="9"/>
      <c r="AC105" s="10">
        <f t="shared" si="27"/>
        <v>0</v>
      </c>
      <c r="AD105" s="8">
        <f>IFERROR(AC105/AC444, "NA")</f>
        <v>0</v>
      </c>
    </row>
    <row r="106" spans="1:30" ht="16.5" customHeight="1" x14ac:dyDescent="0.45">
      <c r="A106" s="12" t="s">
        <v>101</v>
      </c>
      <c r="B106" s="7">
        <v>-73.990000000000009</v>
      </c>
      <c r="C106" s="8">
        <f>IFERROR(B106/B444, "NA")</f>
        <v>-1.7007158452976096E-4</v>
      </c>
      <c r="D106" s="9"/>
      <c r="E106" s="7">
        <v>0</v>
      </c>
      <c r="F106" s="8">
        <f>IFERROR(E106/E444, "NA")</f>
        <v>0</v>
      </c>
      <c r="G106" s="9"/>
      <c r="H106" s="10">
        <f t="shared" si="24"/>
        <v>-73.990000000000009</v>
      </c>
      <c r="I106" s="8">
        <f>IFERROR(H106/H444, "NA")</f>
        <v>5.4180915488316441E-3</v>
      </c>
      <c r="J106" s="9"/>
      <c r="K106" s="7">
        <v>-1085.6100000000001</v>
      </c>
      <c r="L106" s="8">
        <f>IFERROR(K106/K444, "NA")</f>
        <v>-2.4924726572689042E-3</v>
      </c>
      <c r="M106" s="9"/>
      <c r="N106" s="10">
        <f t="shared" si="25"/>
        <v>1011.6200000000001</v>
      </c>
      <c r="O106" s="8">
        <f>IFERROR(N106/N444, "NA")</f>
        <v>-2.0098543698964244</v>
      </c>
      <c r="P106" s="9"/>
      <c r="Q106" s="7">
        <v>-73.990000000000009</v>
      </c>
      <c r="R106" s="8">
        <f>IFERROR(Q106/Q444, "NA")</f>
        <v>-1.7007158452976096E-4</v>
      </c>
      <c r="S106" s="9"/>
      <c r="T106" s="7">
        <v>0</v>
      </c>
      <c r="U106" s="8">
        <f>IFERROR(T106/T444, "NA")</f>
        <v>0</v>
      </c>
      <c r="V106" s="9"/>
      <c r="W106" s="10">
        <f t="shared" si="26"/>
        <v>-73.990000000000009</v>
      </c>
      <c r="X106" s="8">
        <f>IFERROR(W106/W444, "NA")</f>
        <v>5.4180915488316441E-3</v>
      </c>
      <c r="Y106" s="9"/>
      <c r="Z106" s="7">
        <v>-1085.6100000000001</v>
      </c>
      <c r="AA106" s="8">
        <f>IFERROR(Z106/Z444, "NA")</f>
        <v>-2.4924726572689042E-3</v>
      </c>
      <c r="AB106" s="9"/>
      <c r="AC106" s="10">
        <f t="shared" si="27"/>
        <v>1011.6200000000001</v>
      </c>
      <c r="AD106" s="8">
        <f>IFERROR(AC106/AC444, "NA")</f>
        <v>-2.0098543698964244</v>
      </c>
    </row>
    <row r="107" spans="1:30" ht="16.5" hidden="1" customHeight="1" x14ac:dyDescent="0.45">
      <c r="A107" s="12" t="s">
        <v>102</v>
      </c>
      <c r="B107" s="7">
        <v>0</v>
      </c>
      <c r="C107" s="8">
        <f>IFERROR(B107/B444, "NA")</f>
        <v>0</v>
      </c>
      <c r="D107" s="9"/>
      <c r="E107" s="7">
        <v>0</v>
      </c>
      <c r="F107" s="8">
        <f>IFERROR(E107/E444, "NA")</f>
        <v>0</v>
      </c>
      <c r="G107" s="9"/>
      <c r="H107" s="10">
        <f t="shared" si="24"/>
        <v>0</v>
      </c>
      <c r="I107" s="8">
        <f>IFERROR(H107/H444, "NA")</f>
        <v>0</v>
      </c>
      <c r="J107" s="9"/>
      <c r="K107" s="7">
        <v>0</v>
      </c>
      <c r="L107" s="8">
        <f>IFERROR(K107/K444, "NA")</f>
        <v>0</v>
      </c>
      <c r="M107" s="9"/>
      <c r="N107" s="10">
        <f t="shared" si="25"/>
        <v>0</v>
      </c>
      <c r="O107" s="8">
        <f>IFERROR(N107/N444, "NA")</f>
        <v>0</v>
      </c>
      <c r="P107" s="9"/>
      <c r="Q107" s="7">
        <v>0</v>
      </c>
      <c r="R107" s="8">
        <f>IFERROR(Q107/Q444, "NA")</f>
        <v>0</v>
      </c>
      <c r="S107" s="9"/>
      <c r="T107" s="7">
        <v>0</v>
      </c>
      <c r="U107" s="8">
        <f>IFERROR(T107/T444, "NA")</f>
        <v>0</v>
      </c>
      <c r="V107" s="9"/>
      <c r="W107" s="10">
        <f t="shared" si="26"/>
        <v>0</v>
      </c>
      <c r="X107" s="8">
        <f>IFERROR(W107/W444, "NA")</f>
        <v>0</v>
      </c>
      <c r="Y107" s="9"/>
      <c r="Z107" s="7">
        <v>0</v>
      </c>
      <c r="AA107" s="8">
        <f>IFERROR(Z107/Z444, "NA")</f>
        <v>0</v>
      </c>
      <c r="AB107" s="9"/>
      <c r="AC107" s="10">
        <f t="shared" si="27"/>
        <v>0</v>
      </c>
      <c r="AD107" s="8">
        <f>IFERROR(AC107/AC444, "NA")</f>
        <v>0</v>
      </c>
    </row>
    <row r="108" spans="1:30" ht="16.5" hidden="1" customHeight="1" x14ac:dyDescent="0.45">
      <c r="A108" s="12" t="s">
        <v>103</v>
      </c>
      <c r="B108" s="7">
        <v>0</v>
      </c>
      <c r="C108" s="8">
        <f>IFERROR(B108/B444, "NA")</f>
        <v>0</v>
      </c>
      <c r="D108" s="9"/>
      <c r="E108" s="7">
        <v>0</v>
      </c>
      <c r="F108" s="8">
        <f>IFERROR(E108/E444, "NA")</f>
        <v>0</v>
      </c>
      <c r="G108" s="9"/>
      <c r="H108" s="10">
        <f t="shared" si="24"/>
        <v>0</v>
      </c>
      <c r="I108" s="8">
        <f>IFERROR(H108/H444, "NA")</f>
        <v>0</v>
      </c>
      <c r="J108" s="9"/>
      <c r="K108" s="7">
        <v>0</v>
      </c>
      <c r="L108" s="8">
        <f>IFERROR(K108/K444, "NA")</f>
        <v>0</v>
      </c>
      <c r="M108" s="9"/>
      <c r="N108" s="10">
        <f t="shared" si="25"/>
        <v>0</v>
      </c>
      <c r="O108" s="8">
        <f>IFERROR(N108/N444, "NA")</f>
        <v>0</v>
      </c>
      <c r="P108" s="9"/>
      <c r="Q108" s="7">
        <v>0</v>
      </c>
      <c r="R108" s="8">
        <f>IFERROR(Q108/Q444, "NA")</f>
        <v>0</v>
      </c>
      <c r="S108" s="9"/>
      <c r="T108" s="7">
        <v>0</v>
      </c>
      <c r="U108" s="8">
        <f>IFERROR(T108/T444, "NA")</f>
        <v>0</v>
      </c>
      <c r="V108" s="9"/>
      <c r="W108" s="10">
        <f t="shared" si="26"/>
        <v>0</v>
      </c>
      <c r="X108" s="8">
        <f>IFERROR(W108/W444, "NA")</f>
        <v>0</v>
      </c>
      <c r="Y108" s="9"/>
      <c r="Z108" s="7">
        <v>0</v>
      </c>
      <c r="AA108" s="8">
        <f>IFERROR(Z108/Z444, "NA")</f>
        <v>0</v>
      </c>
      <c r="AB108" s="9"/>
      <c r="AC108" s="10">
        <f t="shared" si="27"/>
        <v>0</v>
      </c>
      <c r="AD108" s="8">
        <f>IFERROR(AC108/AC444, "NA")</f>
        <v>0</v>
      </c>
    </row>
    <row r="109" spans="1:30" ht="16.5" hidden="1" customHeight="1" x14ac:dyDescent="0.45">
      <c r="A109" s="12" t="s">
        <v>104</v>
      </c>
      <c r="B109" s="7">
        <v>0</v>
      </c>
      <c r="C109" s="8">
        <f>IFERROR(B109/B444, "NA")</f>
        <v>0</v>
      </c>
      <c r="D109" s="9"/>
      <c r="E109" s="7">
        <v>0</v>
      </c>
      <c r="F109" s="8">
        <f>IFERROR(E109/E444, "NA")</f>
        <v>0</v>
      </c>
      <c r="G109" s="9"/>
      <c r="H109" s="10">
        <f t="shared" si="24"/>
        <v>0</v>
      </c>
      <c r="I109" s="8">
        <f>IFERROR(H109/H444, "NA")</f>
        <v>0</v>
      </c>
      <c r="J109" s="9"/>
      <c r="K109" s="7">
        <v>0</v>
      </c>
      <c r="L109" s="8">
        <f>IFERROR(K109/K444, "NA")</f>
        <v>0</v>
      </c>
      <c r="M109" s="9"/>
      <c r="N109" s="10">
        <f t="shared" si="25"/>
        <v>0</v>
      </c>
      <c r="O109" s="8">
        <f>IFERROR(N109/N444, "NA")</f>
        <v>0</v>
      </c>
      <c r="P109" s="9"/>
      <c r="Q109" s="7">
        <v>0</v>
      </c>
      <c r="R109" s="8">
        <f>IFERROR(Q109/Q444, "NA")</f>
        <v>0</v>
      </c>
      <c r="S109" s="9"/>
      <c r="T109" s="7">
        <v>0</v>
      </c>
      <c r="U109" s="8">
        <f>IFERROR(T109/T444, "NA")</f>
        <v>0</v>
      </c>
      <c r="V109" s="9"/>
      <c r="W109" s="10">
        <f t="shared" si="26"/>
        <v>0</v>
      </c>
      <c r="X109" s="8">
        <f>IFERROR(W109/W444, "NA")</f>
        <v>0</v>
      </c>
      <c r="Y109" s="9"/>
      <c r="Z109" s="7">
        <v>0</v>
      </c>
      <c r="AA109" s="8">
        <f>IFERROR(Z109/Z444, "NA")</f>
        <v>0</v>
      </c>
      <c r="AB109" s="9"/>
      <c r="AC109" s="10">
        <f t="shared" si="27"/>
        <v>0</v>
      </c>
      <c r="AD109" s="8">
        <f>IFERROR(AC109/AC444, "NA")</f>
        <v>0</v>
      </c>
    </row>
    <row r="110" spans="1:30" ht="16.5" hidden="1" customHeight="1" x14ac:dyDescent="0.45">
      <c r="A110" s="12" t="s">
        <v>105</v>
      </c>
      <c r="B110" s="7">
        <v>0</v>
      </c>
      <c r="C110" s="8">
        <f>IFERROR(B110/B444, "NA")</f>
        <v>0</v>
      </c>
      <c r="D110" s="9"/>
      <c r="E110" s="7">
        <v>0</v>
      </c>
      <c r="F110" s="8">
        <f>IFERROR(E110/E444, "NA")</f>
        <v>0</v>
      </c>
      <c r="G110" s="9"/>
      <c r="H110" s="10">
        <f t="shared" si="24"/>
        <v>0</v>
      </c>
      <c r="I110" s="8">
        <f>IFERROR(H110/H444, "NA")</f>
        <v>0</v>
      </c>
      <c r="J110" s="9"/>
      <c r="K110" s="7">
        <v>0</v>
      </c>
      <c r="L110" s="8">
        <f>IFERROR(K110/K444, "NA")</f>
        <v>0</v>
      </c>
      <c r="M110" s="9"/>
      <c r="N110" s="10">
        <f t="shared" si="25"/>
        <v>0</v>
      </c>
      <c r="O110" s="8">
        <f>IFERROR(N110/N444, "NA")</f>
        <v>0</v>
      </c>
      <c r="P110" s="9"/>
      <c r="Q110" s="7">
        <v>0</v>
      </c>
      <c r="R110" s="8">
        <f>IFERROR(Q110/Q444, "NA")</f>
        <v>0</v>
      </c>
      <c r="S110" s="9"/>
      <c r="T110" s="7">
        <v>0</v>
      </c>
      <c r="U110" s="8">
        <f>IFERROR(T110/T444, "NA")</f>
        <v>0</v>
      </c>
      <c r="V110" s="9"/>
      <c r="W110" s="10">
        <f t="shared" si="26"/>
        <v>0</v>
      </c>
      <c r="X110" s="8">
        <f>IFERROR(W110/W444, "NA")</f>
        <v>0</v>
      </c>
      <c r="Y110" s="9"/>
      <c r="Z110" s="7">
        <v>0</v>
      </c>
      <c r="AA110" s="8">
        <f>IFERROR(Z110/Z444, "NA")</f>
        <v>0</v>
      </c>
      <c r="AB110" s="9"/>
      <c r="AC110" s="10">
        <f t="shared" si="27"/>
        <v>0</v>
      </c>
      <c r="AD110" s="8">
        <f>IFERROR(AC110/AC444, "NA")</f>
        <v>0</v>
      </c>
    </row>
    <row r="111" spans="1:30" ht="16.5" hidden="1" customHeight="1" x14ac:dyDescent="0.45">
      <c r="A111" s="12" t="s">
        <v>106</v>
      </c>
      <c r="B111" s="7">
        <v>0</v>
      </c>
      <c r="C111" s="8">
        <f>IFERROR(B111/B444, "NA")</f>
        <v>0</v>
      </c>
      <c r="D111" s="9"/>
      <c r="E111" s="7">
        <v>0</v>
      </c>
      <c r="F111" s="8">
        <f>IFERROR(E111/E444, "NA")</f>
        <v>0</v>
      </c>
      <c r="G111" s="9"/>
      <c r="H111" s="10">
        <f t="shared" si="24"/>
        <v>0</v>
      </c>
      <c r="I111" s="8">
        <f>IFERROR(H111/H444, "NA")</f>
        <v>0</v>
      </c>
      <c r="J111" s="9"/>
      <c r="K111" s="7">
        <v>0</v>
      </c>
      <c r="L111" s="8">
        <f>IFERROR(K111/K444, "NA")</f>
        <v>0</v>
      </c>
      <c r="M111" s="9"/>
      <c r="N111" s="10">
        <f t="shared" si="25"/>
        <v>0</v>
      </c>
      <c r="O111" s="8">
        <f>IFERROR(N111/N444, "NA")</f>
        <v>0</v>
      </c>
      <c r="P111" s="9"/>
      <c r="Q111" s="7">
        <v>0</v>
      </c>
      <c r="R111" s="8">
        <f>IFERROR(Q111/Q444, "NA")</f>
        <v>0</v>
      </c>
      <c r="S111" s="9"/>
      <c r="T111" s="7">
        <v>0</v>
      </c>
      <c r="U111" s="8">
        <f>IFERROR(T111/T444, "NA")</f>
        <v>0</v>
      </c>
      <c r="V111" s="9"/>
      <c r="W111" s="10">
        <f t="shared" si="26"/>
        <v>0</v>
      </c>
      <c r="X111" s="8">
        <f>IFERROR(W111/W444, "NA")</f>
        <v>0</v>
      </c>
      <c r="Y111" s="9"/>
      <c r="Z111" s="7">
        <v>0</v>
      </c>
      <c r="AA111" s="8">
        <f>IFERROR(Z111/Z444, "NA")</f>
        <v>0</v>
      </c>
      <c r="AB111" s="9"/>
      <c r="AC111" s="10">
        <f t="shared" si="27"/>
        <v>0</v>
      </c>
      <c r="AD111" s="8">
        <f>IFERROR(AC111/AC444, "NA")</f>
        <v>0</v>
      </c>
    </row>
    <row r="112" spans="1:30" ht="16.5" hidden="1" customHeight="1" x14ac:dyDescent="0.45">
      <c r="A112" s="12" t="s">
        <v>107</v>
      </c>
      <c r="B112" s="7">
        <v>0</v>
      </c>
      <c r="C112" s="8">
        <f>IFERROR(B112/B444, "NA")</f>
        <v>0</v>
      </c>
      <c r="D112" s="9"/>
      <c r="E112" s="7">
        <v>0</v>
      </c>
      <c r="F112" s="8">
        <f>IFERROR(E112/E444, "NA")</f>
        <v>0</v>
      </c>
      <c r="G112" s="9"/>
      <c r="H112" s="10">
        <f t="shared" si="24"/>
        <v>0</v>
      </c>
      <c r="I112" s="8">
        <f>IFERROR(H112/H444, "NA")</f>
        <v>0</v>
      </c>
      <c r="J112" s="9"/>
      <c r="K112" s="7">
        <v>0</v>
      </c>
      <c r="L112" s="8">
        <f>IFERROR(K112/K444, "NA")</f>
        <v>0</v>
      </c>
      <c r="M112" s="9"/>
      <c r="N112" s="10">
        <f t="shared" si="25"/>
        <v>0</v>
      </c>
      <c r="O112" s="8">
        <f>IFERROR(N112/N444, "NA")</f>
        <v>0</v>
      </c>
      <c r="P112" s="9"/>
      <c r="Q112" s="7">
        <v>0</v>
      </c>
      <c r="R112" s="8">
        <f>IFERROR(Q112/Q444, "NA")</f>
        <v>0</v>
      </c>
      <c r="S112" s="9"/>
      <c r="T112" s="7">
        <v>0</v>
      </c>
      <c r="U112" s="8">
        <f>IFERROR(T112/T444, "NA")</f>
        <v>0</v>
      </c>
      <c r="V112" s="9"/>
      <c r="W112" s="10">
        <f t="shared" si="26"/>
        <v>0</v>
      </c>
      <c r="X112" s="8">
        <f>IFERROR(W112/W444, "NA")</f>
        <v>0</v>
      </c>
      <c r="Y112" s="9"/>
      <c r="Z112" s="7">
        <v>0</v>
      </c>
      <c r="AA112" s="8">
        <f>IFERROR(Z112/Z444, "NA")</f>
        <v>0</v>
      </c>
      <c r="AB112" s="9"/>
      <c r="AC112" s="10">
        <f t="shared" si="27"/>
        <v>0</v>
      </c>
      <c r="AD112" s="8">
        <f>IFERROR(AC112/AC444, "NA")</f>
        <v>0</v>
      </c>
    </row>
    <row r="113" spans="1:30" ht="16.5" hidden="1" customHeight="1" x14ac:dyDescent="0.45">
      <c r="A113" s="12" t="s">
        <v>108</v>
      </c>
      <c r="B113" s="7">
        <v>0</v>
      </c>
      <c r="C113" s="8">
        <f>IFERROR(B113/B444, "NA")</f>
        <v>0</v>
      </c>
      <c r="D113" s="9"/>
      <c r="E113" s="7">
        <v>0</v>
      </c>
      <c r="F113" s="8">
        <f>IFERROR(E113/E444, "NA")</f>
        <v>0</v>
      </c>
      <c r="G113" s="9"/>
      <c r="H113" s="10">
        <f t="shared" si="24"/>
        <v>0</v>
      </c>
      <c r="I113" s="8">
        <f>IFERROR(H113/H444, "NA")</f>
        <v>0</v>
      </c>
      <c r="J113" s="9"/>
      <c r="K113" s="7">
        <v>0</v>
      </c>
      <c r="L113" s="8">
        <f>IFERROR(K113/K444, "NA")</f>
        <v>0</v>
      </c>
      <c r="M113" s="9"/>
      <c r="N113" s="10">
        <f t="shared" si="25"/>
        <v>0</v>
      </c>
      <c r="O113" s="8">
        <f>IFERROR(N113/N444, "NA")</f>
        <v>0</v>
      </c>
      <c r="P113" s="9"/>
      <c r="Q113" s="7">
        <v>0</v>
      </c>
      <c r="R113" s="8">
        <f>IFERROR(Q113/Q444, "NA")</f>
        <v>0</v>
      </c>
      <c r="S113" s="9"/>
      <c r="T113" s="7">
        <v>0</v>
      </c>
      <c r="U113" s="8">
        <f>IFERROR(T113/T444, "NA")</f>
        <v>0</v>
      </c>
      <c r="V113" s="9"/>
      <c r="W113" s="10">
        <f t="shared" si="26"/>
        <v>0</v>
      </c>
      <c r="X113" s="8">
        <f>IFERROR(W113/W444, "NA")</f>
        <v>0</v>
      </c>
      <c r="Y113" s="9"/>
      <c r="Z113" s="7">
        <v>0</v>
      </c>
      <c r="AA113" s="8">
        <f>IFERROR(Z113/Z444, "NA")</f>
        <v>0</v>
      </c>
      <c r="AB113" s="9"/>
      <c r="AC113" s="10">
        <f t="shared" si="27"/>
        <v>0</v>
      </c>
      <c r="AD113" s="8">
        <f>IFERROR(AC113/AC444, "NA")</f>
        <v>0</v>
      </c>
    </row>
    <row r="114" spans="1:30" ht="16.5" hidden="1" customHeight="1" x14ac:dyDescent="0.45">
      <c r="A114" s="12" t="s">
        <v>109</v>
      </c>
      <c r="B114" s="7">
        <v>0</v>
      </c>
      <c r="C114" s="8">
        <f>IFERROR(B114/B444, "NA")</f>
        <v>0</v>
      </c>
      <c r="D114" s="9"/>
      <c r="E114" s="7">
        <v>0</v>
      </c>
      <c r="F114" s="8">
        <f>IFERROR(E114/E444, "NA")</f>
        <v>0</v>
      </c>
      <c r="G114" s="9"/>
      <c r="H114" s="10">
        <f t="shared" si="24"/>
        <v>0</v>
      </c>
      <c r="I114" s="8">
        <f>IFERROR(H114/H444, "NA")</f>
        <v>0</v>
      </c>
      <c r="J114" s="9"/>
      <c r="K114" s="7">
        <v>0</v>
      </c>
      <c r="L114" s="8">
        <f>IFERROR(K114/K444, "NA")</f>
        <v>0</v>
      </c>
      <c r="M114" s="9"/>
      <c r="N114" s="10">
        <f t="shared" si="25"/>
        <v>0</v>
      </c>
      <c r="O114" s="8">
        <f>IFERROR(N114/N444, "NA")</f>
        <v>0</v>
      </c>
      <c r="P114" s="9"/>
      <c r="Q114" s="7">
        <v>0</v>
      </c>
      <c r="R114" s="8">
        <f>IFERROR(Q114/Q444, "NA")</f>
        <v>0</v>
      </c>
      <c r="S114" s="9"/>
      <c r="T114" s="7">
        <v>0</v>
      </c>
      <c r="U114" s="8">
        <f>IFERROR(T114/T444, "NA")</f>
        <v>0</v>
      </c>
      <c r="V114" s="9"/>
      <c r="W114" s="10">
        <f t="shared" si="26"/>
        <v>0</v>
      </c>
      <c r="X114" s="8">
        <f>IFERROR(W114/W444, "NA")</f>
        <v>0</v>
      </c>
      <c r="Y114" s="9"/>
      <c r="Z114" s="7">
        <v>0</v>
      </c>
      <c r="AA114" s="8">
        <f>IFERROR(Z114/Z444, "NA")</f>
        <v>0</v>
      </c>
      <c r="AB114" s="9"/>
      <c r="AC114" s="10">
        <f t="shared" si="27"/>
        <v>0</v>
      </c>
      <c r="AD114" s="8">
        <f>IFERROR(AC114/AC444, "NA")</f>
        <v>0</v>
      </c>
    </row>
    <row r="115" spans="1:30" ht="16.5" hidden="1" customHeight="1" x14ac:dyDescent="0.45">
      <c r="A115" s="12" t="s">
        <v>110</v>
      </c>
      <c r="B115" s="7">
        <v>0</v>
      </c>
      <c r="C115" s="8">
        <f>IFERROR(B115/B444, "NA")</f>
        <v>0</v>
      </c>
      <c r="D115" s="9"/>
      <c r="E115" s="7">
        <v>0</v>
      </c>
      <c r="F115" s="8">
        <f>IFERROR(E115/E444, "NA")</f>
        <v>0</v>
      </c>
      <c r="G115" s="9"/>
      <c r="H115" s="10">
        <f t="shared" si="24"/>
        <v>0</v>
      </c>
      <c r="I115" s="8">
        <f>IFERROR(H115/H444, "NA")</f>
        <v>0</v>
      </c>
      <c r="J115" s="9"/>
      <c r="K115" s="7">
        <v>0</v>
      </c>
      <c r="L115" s="8">
        <f>IFERROR(K115/K444, "NA")</f>
        <v>0</v>
      </c>
      <c r="M115" s="9"/>
      <c r="N115" s="10">
        <f t="shared" si="25"/>
        <v>0</v>
      </c>
      <c r="O115" s="8">
        <f>IFERROR(N115/N444, "NA")</f>
        <v>0</v>
      </c>
      <c r="P115" s="9"/>
      <c r="Q115" s="7">
        <v>0</v>
      </c>
      <c r="R115" s="8">
        <f>IFERROR(Q115/Q444, "NA")</f>
        <v>0</v>
      </c>
      <c r="S115" s="9"/>
      <c r="T115" s="7">
        <v>0</v>
      </c>
      <c r="U115" s="8">
        <f>IFERROR(T115/T444, "NA")</f>
        <v>0</v>
      </c>
      <c r="V115" s="9"/>
      <c r="W115" s="10">
        <f t="shared" si="26"/>
        <v>0</v>
      </c>
      <c r="X115" s="8">
        <f>IFERROR(W115/W444, "NA")</f>
        <v>0</v>
      </c>
      <c r="Y115" s="9"/>
      <c r="Z115" s="7">
        <v>0</v>
      </c>
      <c r="AA115" s="8">
        <f>IFERROR(Z115/Z444, "NA")</f>
        <v>0</v>
      </c>
      <c r="AB115" s="9"/>
      <c r="AC115" s="10">
        <f t="shared" si="27"/>
        <v>0</v>
      </c>
      <c r="AD115" s="8">
        <f>IFERROR(AC115/AC444, "NA")</f>
        <v>0</v>
      </c>
    </row>
    <row r="116" spans="1:30" ht="16.5" hidden="1" customHeight="1" x14ac:dyDescent="0.45">
      <c r="A116" s="12" t="s">
        <v>111</v>
      </c>
      <c r="B116" s="7">
        <v>0</v>
      </c>
      <c r="C116" s="8">
        <f>IFERROR(B116/B444, "NA")</f>
        <v>0</v>
      </c>
      <c r="D116" s="9"/>
      <c r="E116" s="7">
        <v>0</v>
      </c>
      <c r="F116" s="8">
        <f>IFERROR(E116/E444, "NA")</f>
        <v>0</v>
      </c>
      <c r="G116" s="9"/>
      <c r="H116" s="10">
        <f t="shared" si="24"/>
        <v>0</v>
      </c>
      <c r="I116" s="8">
        <f>IFERROR(H116/H444, "NA")</f>
        <v>0</v>
      </c>
      <c r="J116" s="9"/>
      <c r="K116" s="7">
        <v>0</v>
      </c>
      <c r="L116" s="8">
        <f>IFERROR(K116/K444, "NA")</f>
        <v>0</v>
      </c>
      <c r="M116" s="9"/>
      <c r="N116" s="10">
        <f t="shared" si="25"/>
        <v>0</v>
      </c>
      <c r="O116" s="8">
        <f>IFERROR(N116/N444, "NA")</f>
        <v>0</v>
      </c>
      <c r="P116" s="9"/>
      <c r="Q116" s="7">
        <v>0</v>
      </c>
      <c r="R116" s="8">
        <f>IFERROR(Q116/Q444, "NA")</f>
        <v>0</v>
      </c>
      <c r="S116" s="9"/>
      <c r="T116" s="7">
        <v>0</v>
      </c>
      <c r="U116" s="8">
        <f>IFERROR(T116/T444, "NA")</f>
        <v>0</v>
      </c>
      <c r="V116" s="9"/>
      <c r="W116" s="10">
        <f t="shared" si="26"/>
        <v>0</v>
      </c>
      <c r="X116" s="8">
        <f>IFERROR(W116/W444, "NA")</f>
        <v>0</v>
      </c>
      <c r="Y116" s="9"/>
      <c r="Z116" s="7">
        <v>0</v>
      </c>
      <c r="AA116" s="8">
        <f>IFERROR(Z116/Z444, "NA")</f>
        <v>0</v>
      </c>
      <c r="AB116" s="9"/>
      <c r="AC116" s="10">
        <f t="shared" si="27"/>
        <v>0</v>
      </c>
      <c r="AD116" s="8">
        <f>IFERROR(AC116/AC444, "NA")</f>
        <v>0</v>
      </c>
    </row>
    <row r="117" spans="1:30" ht="16.5" hidden="1" customHeight="1" x14ac:dyDescent="0.45">
      <c r="A117" s="12" t="s">
        <v>112</v>
      </c>
      <c r="B117" s="7">
        <v>0</v>
      </c>
      <c r="C117" s="8">
        <f>IFERROR(B117/B444, "NA")</f>
        <v>0</v>
      </c>
      <c r="D117" s="9"/>
      <c r="E117" s="7">
        <v>0</v>
      </c>
      <c r="F117" s="8">
        <f>IFERROR(E117/E444, "NA")</f>
        <v>0</v>
      </c>
      <c r="G117" s="9"/>
      <c r="H117" s="10">
        <f t="shared" si="24"/>
        <v>0</v>
      </c>
      <c r="I117" s="8">
        <f>IFERROR(H117/H444, "NA")</f>
        <v>0</v>
      </c>
      <c r="J117" s="9"/>
      <c r="K117" s="7">
        <v>0</v>
      </c>
      <c r="L117" s="8">
        <f>IFERROR(K117/K444, "NA")</f>
        <v>0</v>
      </c>
      <c r="M117" s="9"/>
      <c r="N117" s="10">
        <f t="shared" si="25"/>
        <v>0</v>
      </c>
      <c r="O117" s="8">
        <f>IFERROR(N117/N444, "NA")</f>
        <v>0</v>
      </c>
      <c r="P117" s="9"/>
      <c r="Q117" s="7">
        <v>0</v>
      </c>
      <c r="R117" s="8">
        <f>IFERROR(Q117/Q444, "NA")</f>
        <v>0</v>
      </c>
      <c r="S117" s="9"/>
      <c r="T117" s="7">
        <v>0</v>
      </c>
      <c r="U117" s="8">
        <f>IFERROR(T117/T444, "NA")</f>
        <v>0</v>
      </c>
      <c r="V117" s="9"/>
      <c r="W117" s="10">
        <f t="shared" si="26"/>
        <v>0</v>
      </c>
      <c r="X117" s="8">
        <f>IFERROR(W117/W444, "NA")</f>
        <v>0</v>
      </c>
      <c r="Y117" s="9"/>
      <c r="Z117" s="7">
        <v>0</v>
      </c>
      <c r="AA117" s="8">
        <f>IFERROR(Z117/Z444, "NA")</f>
        <v>0</v>
      </c>
      <c r="AB117" s="9"/>
      <c r="AC117" s="10">
        <f t="shared" si="27"/>
        <v>0</v>
      </c>
      <c r="AD117" s="8">
        <f>IFERROR(AC117/AC444, "NA")</f>
        <v>0</v>
      </c>
    </row>
    <row r="118" spans="1:30" ht="16.5" customHeight="1" x14ac:dyDescent="0.45">
      <c r="A118" s="13" t="s">
        <v>113</v>
      </c>
      <c r="B118" s="14">
        <f>IFERROR(B94+B95+B96+B97+B98+B99+B100+B101+B102+B103+B104+B105+B106+B107+B108+B109+B110+B111+B112+B113+B114+B115+B116+B117, "NA")</f>
        <v>-21817.440000000002</v>
      </c>
      <c r="C118" s="15">
        <f>IFERROR(B118/B444, "NA")</f>
        <v>-5.0149028127895498E-2</v>
      </c>
      <c r="D118" s="2"/>
      <c r="E118" s="14">
        <f>IFERROR(E94+E95+E96+E97+E98+E99+E100+E101+E102+E103+E104+E105+E106+E107+E108+E109+E110+E111+E112+E113+E114+E115+E116+E117, "NA")</f>
        <v>-22567.190000000002</v>
      </c>
      <c r="F118" s="15">
        <f>IFERROR(E118/E444, "NA")</f>
        <v>-5.0293687523428367E-2</v>
      </c>
      <c r="G118" s="2"/>
      <c r="H118" s="14">
        <f t="shared" si="24"/>
        <v>749.75</v>
      </c>
      <c r="I118" s="15">
        <f>IFERROR(H118/H444, "NA")</f>
        <v>-5.490220487547675E-2</v>
      </c>
      <c r="J118" s="2"/>
      <c r="K118" s="14">
        <f>IFERROR(K94+K95+K96+K97+K98+K99+K100+K101+K102+K103+K104+K105+K106+K107+K108+K109+K110+K111+K112+K113+K114+K115+K116+K117, "NA")</f>
        <v>-24967.58</v>
      </c>
      <c r="L118" s="15">
        <f>IFERROR(K118/K444, "NA")</f>
        <v>-5.732354203459248E-2</v>
      </c>
      <c r="M118" s="2"/>
      <c r="N118" s="14">
        <f t="shared" si="25"/>
        <v>3150.1399999999994</v>
      </c>
      <c r="O118" s="15">
        <f>IFERROR(N118/N444, "NA")</f>
        <v>-6.258597739057671</v>
      </c>
      <c r="P118" s="2"/>
      <c r="Q118" s="14">
        <f>IFERROR(Q94+Q95+Q96+Q97+Q98+Q99+Q100+Q101+Q102+Q103+Q104+Q105+Q106+Q107+Q108+Q109+Q110+Q111+Q112+Q113+Q114+Q115+Q116+Q117, "NA")</f>
        <v>-21817.440000000002</v>
      </c>
      <c r="R118" s="15">
        <f>IFERROR(Q118/Q444, "NA")</f>
        <v>-5.0149028127895498E-2</v>
      </c>
      <c r="S118" s="2"/>
      <c r="T118" s="14">
        <f>IFERROR(T94+T95+T96+T97+T98+T99+T100+T101+T102+T103+T104+T105+T106+T107+T108+T109+T110+T111+T112+T113+T114+T115+T116+T117, "NA")</f>
        <v>-22567.190000000002</v>
      </c>
      <c r="U118" s="15">
        <f>IFERROR(T118/T444, "NA")</f>
        <v>-5.0293687523428367E-2</v>
      </c>
      <c r="V118" s="2"/>
      <c r="W118" s="14">
        <f t="shared" si="26"/>
        <v>749.75</v>
      </c>
      <c r="X118" s="15">
        <f>IFERROR(W118/W444, "NA")</f>
        <v>-5.490220487547675E-2</v>
      </c>
      <c r="Y118" s="2"/>
      <c r="Z118" s="14">
        <f>IFERROR(Z94+Z95+Z96+Z97+Z98+Z99+Z100+Z101+Z102+Z103+Z104+Z105+Z106+Z107+Z108+Z109+Z110+Z111+Z112+Z113+Z114+Z115+Z116+Z117, "NA")</f>
        <v>-24967.58</v>
      </c>
      <c r="AA118" s="15">
        <f>IFERROR(Z118/Z444, "NA")</f>
        <v>-5.732354203459248E-2</v>
      </c>
      <c r="AB118" s="2"/>
      <c r="AC118" s="14">
        <f t="shared" si="27"/>
        <v>3150.1399999999994</v>
      </c>
      <c r="AD118" s="15">
        <f>IFERROR(AC118/AC444, "NA")</f>
        <v>-6.258597739057671</v>
      </c>
    </row>
    <row r="119" spans="1:30" ht="16.5" hidden="1" customHeight="1" x14ac:dyDescent="0.45">
      <c r="A119" s="6" t="s">
        <v>114</v>
      </c>
      <c r="B119" s="7">
        <v>0</v>
      </c>
      <c r="C119" s="8">
        <f>IFERROR(B119/B444, "NA")</f>
        <v>0</v>
      </c>
      <c r="D119" s="9"/>
      <c r="E119" s="7">
        <v>0</v>
      </c>
      <c r="F119" s="8">
        <f>IFERROR(E119/E444, "NA")</f>
        <v>0</v>
      </c>
      <c r="G119" s="9"/>
      <c r="H119" s="10">
        <f t="shared" si="24"/>
        <v>0</v>
      </c>
      <c r="I119" s="8">
        <f>IFERROR(H119/H444, "NA")</f>
        <v>0</v>
      </c>
      <c r="J119" s="9"/>
      <c r="K119" s="7">
        <v>0</v>
      </c>
      <c r="L119" s="8">
        <f>IFERROR(K119/K444, "NA")</f>
        <v>0</v>
      </c>
      <c r="M119" s="9"/>
      <c r="N119" s="10">
        <f t="shared" si="25"/>
        <v>0</v>
      </c>
      <c r="O119" s="8">
        <f>IFERROR(N119/N444, "NA")</f>
        <v>0</v>
      </c>
      <c r="P119" s="9"/>
      <c r="Q119" s="7">
        <v>0</v>
      </c>
      <c r="R119" s="8">
        <f>IFERROR(Q119/Q444, "NA")</f>
        <v>0</v>
      </c>
      <c r="S119" s="9"/>
      <c r="T119" s="7">
        <v>0</v>
      </c>
      <c r="U119" s="8">
        <f>IFERROR(T119/T444, "NA")</f>
        <v>0</v>
      </c>
      <c r="V119" s="9"/>
      <c r="W119" s="10">
        <f t="shared" si="26"/>
        <v>0</v>
      </c>
      <c r="X119" s="8">
        <f>IFERROR(W119/W444, "NA")</f>
        <v>0</v>
      </c>
      <c r="Y119" s="9"/>
      <c r="Z119" s="7">
        <v>0</v>
      </c>
      <c r="AA119" s="8">
        <f>IFERROR(Z119/Z444, "NA")</f>
        <v>0</v>
      </c>
      <c r="AB119" s="9"/>
      <c r="AC119" s="10">
        <f t="shared" si="27"/>
        <v>0</v>
      </c>
      <c r="AD119" s="8">
        <f>IFERROR(AC119/AC444, "NA")</f>
        <v>0</v>
      </c>
    </row>
    <row r="120" spans="1:30" ht="16.5" hidden="1" customHeight="1" x14ac:dyDescent="0.45">
      <c r="A120" s="6" t="s">
        <v>115</v>
      </c>
      <c r="B120" s="7">
        <v>0</v>
      </c>
      <c r="C120" s="8">
        <f>IFERROR(B120/B444, "NA")</f>
        <v>0</v>
      </c>
      <c r="D120" s="9"/>
      <c r="E120" s="7">
        <v>0</v>
      </c>
      <c r="F120" s="8">
        <f>IFERROR(E120/E444, "NA")</f>
        <v>0</v>
      </c>
      <c r="G120" s="9"/>
      <c r="H120" s="10">
        <f t="shared" si="24"/>
        <v>0</v>
      </c>
      <c r="I120" s="8">
        <f>IFERROR(H120/H444, "NA")</f>
        <v>0</v>
      </c>
      <c r="J120" s="9"/>
      <c r="K120" s="7">
        <v>0</v>
      </c>
      <c r="L120" s="8">
        <f>IFERROR(K120/K444, "NA")</f>
        <v>0</v>
      </c>
      <c r="M120" s="9"/>
      <c r="N120" s="10">
        <f t="shared" si="25"/>
        <v>0</v>
      </c>
      <c r="O120" s="8">
        <f>IFERROR(N120/N444, "NA")</f>
        <v>0</v>
      </c>
      <c r="P120" s="9"/>
      <c r="Q120" s="7">
        <v>0</v>
      </c>
      <c r="R120" s="8">
        <f>IFERROR(Q120/Q444, "NA")</f>
        <v>0</v>
      </c>
      <c r="S120" s="9"/>
      <c r="T120" s="7">
        <v>0</v>
      </c>
      <c r="U120" s="8">
        <f>IFERROR(T120/T444, "NA")</f>
        <v>0</v>
      </c>
      <c r="V120" s="9"/>
      <c r="W120" s="10">
        <f t="shared" si="26"/>
        <v>0</v>
      </c>
      <c r="X120" s="8">
        <f>IFERROR(W120/W444, "NA")</f>
        <v>0</v>
      </c>
      <c r="Y120" s="9"/>
      <c r="Z120" s="7">
        <v>0</v>
      </c>
      <c r="AA120" s="8">
        <f>IFERROR(Z120/Z444, "NA")</f>
        <v>0</v>
      </c>
      <c r="AB120" s="9"/>
      <c r="AC120" s="10">
        <f t="shared" si="27"/>
        <v>0</v>
      </c>
      <c r="AD120" s="8">
        <f>IFERROR(AC120/AC444, "NA")</f>
        <v>0</v>
      </c>
    </row>
    <row r="121" spans="1:30" ht="16.5" hidden="1" customHeight="1" x14ac:dyDescent="0.45">
      <c r="A121" s="6" t="s">
        <v>116</v>
      </c>
      <c r="B121" s="7">
        <v>0</v>
      </c>
      <c r="C121" s="8">
        <f>IFERROR(B121/B444, "NA")</f>
        <v>0</v>
      </c>
      <c r="D121" s="9"/>
      <c r="E121" s="7">
        <v>0</v>
      </c>
      <c r="F121" s="8">
        <f>IFERROR(E121/E444, "NA")</f>
        <v>0</v>
      </c>
      <c r="G121" s="9"/>
      <c r="H121" s="10">
        <f t="shared" si="24"/>
        <v>0</v>
      </c>
      <c r="I121" s="8">
        <f>IFERROR(H121/H444, "NA")</f>
        <v>0</v>
      </c>
      <c r="J121" s="9"/>
      <c r="K121" s="7">
        <v>0</v>
      </c>
      <c r="L121" s="8">
        <f>IFERROR(K121/K444, "NA")</f>
        <v>0</v>
      </c>
      <c r="M121" s="9"/>
      <c r="N121" s="10">
        <f t="shared" si="25"/>
        <v>0</v>
      </c>
      <c r="O121" s="8">
        <f>IFERROR(N121/N444, "NA")</f>
        <v>0</v>
      </c>
      <c r="P121" s="9"/>
      <c r="Q121" s="7">
        <v>0</v>
      </c>
      <c r="R121" s="8">
        <f>IFERROR(Q121/Q444, "NA")</f>
        <v>0</v>
      </c>
      <c r="S121" s="9"/>
      <c r="T121" s="7">
        <v>0</v>
      </c>
      <c r="U121" s="8">
        <f>IFERROR(T121/T444, "NA")</f>
        <v>0</v>
      </c>
      <c r="V121" s="9"/>
      <c r="W121" s="10">
        <f t="shared" si="26"/>
        <v>0</v>
      </c>
      <c r="X121" s="8">
        <f>IFERROR(W121/W444, "NA")</f>
        <v>0</v>
      </c>
      <c r="Y121" s="9"/>
      <c r="Z121" s="7">
        <v>0</v>
      </c>
      <c r="AA121" s="8">
        <f>IFERROR(Z121/Z444, "NA")</f>
        <v>0</v>
      </c>
      <c r="AB121" s="9"/>
      <c r="AC121" s="10">
        <f t="shared" si="27"/>
        <v>0</v>
      </c>
      <c r="AD121" s="8">
        <f>IFERROR(AC121/AC444, "NA")</f>
        <v>0</v>
      </c>
    </row>
    <row r="122" spans="1:30" ht="16.5" customHeight="1" x14ac:dyDescent="0.45">
      <c r="A122" s="19" t="s">
        <v>117</v>
      </c>
      <c r="B122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435052.10000000003</v>
      </c>
      <c r="C122" s="15">
        <f>IFERROR(B122/B444, "NA")</f>
        <v>1.0000000000000002</v>
      </c>
      <c r="D122" s="2"/>
      <c r="E122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448708.2</v>
      </c>
      <c r="F122" s="15">
        <f>IFERROR(E122/E444, "NA")</f>
        <v>1</v>
      </c>
      <c r="G122" s="2"/>
      <c r="H122" s="14">
        <f t="shared" si="24"/>
        <v>-13656.099999999977</v>
      </c>
      <c r="I122" s="15">
        <f>IFERROR(H122/H444, "NA")</f>
        <v>0.99999999999999578</v>
      </c>
      <c r="J122" s="2"/>
      <c r="K122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435555.43</v>
      </c>
      <c r="L122" s="15">
        <f>IFERROR(K122/K444, "NA")</f>
        <v>1</v>
      </c>
      <c r="M122" s="2"/>
      <c r="N122" s="14">
        <f t="shared" si="25"/>
        <v>-503.32999999995809</v>
      </c>
      <c r="O122" s="15">
        <f>IFERROR(N122/N444, "NA")</f>
        <v>0.99999999999988431</v>
      </c>
      <c r="P122" s="2"/>
      <c r="Q122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435052.10000000003</v>
      </c>
      <c r="R122" s="15">
        <f>IFERROR(Q122/Q444, "NA")</f>
        <v>1.0000000000000002</v>
      </c>
      <c r="S122" s="2"/>
      <c r="T122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448708.2</v>
      </c>
      <c r="U122" s="15">
        <f>IFERROR(T122/T444, "NA")</f>
        <v>1</v>
      </c>
      <c r="V122" s="2"/>
      <c r="W122" s="14">
        <f t="shared" si="26"/>
        <v>-13656.099999999977</v>
      </c>
      <c r="X122" s="15">
        <f>IFERROR(W122/W444, "NA")</f>
        <v>0.99999999999999578</v>
      </c>
      <c r="Y122" s="2"/>
      <c r="Z122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435555.43</v>
      </c>
      <c r="AA122" s="15">
        <f>IFERROR(Z122/Z444, "NA")</f>
        <v>1</v>
      </c>
      <c r="AB122" s="2"/>
      <c r="AC122" s="14">
        <f t="shared" si="27"/>
        <v>-503.32999999995809</v>
      </c>
      <c r="AD122" s="15">
        <f>IFERROR(AC122/AC444, "NA")</f>
        <v>0.99999999999988431</v>
      </c>
    </row>
    <row r="123" spans="1:30" ht="16.5" hidden="1" customHeight="1" x14ac:dyDescent="0.45">
      <c r="A123" s="20" t="s">
        <v>118</v>
      </c>
      <c r="B123" s="7">
        <v>0</v>
      </c>
      <c r="C123" s="8">
        <f>IFERROR(B123/B444, "NA")</f>
        <v>0</v>
      </c>
      <c r="D123" s="9"/>
      <c r="E123" s="7">
        <v>0</v>
      </c>
      <c r="F123" s="8">
        <f>IFERROR(E123/E444, "NA")</f>
        <v>0</v>
      </c>
      <c r="G123" s="9"/>
      <c r="H123" s="10">
        <f t="shared" si="24"/>
        <v>0</v>
      </c>
      <c r="I123" s="8">
        <f>IFERROR(H123/H444, "NA")</f>
        <v>0</v>
      </c>
      <c r="J123" s="9"/>
      <c r="K123" s="7">
        <v>0</v>
      </c>
      <c r="L123" s="8">
        <f>IFERROR(K123/K444, "NA")</f>
        <v>0</v>
      </c>
      <c r="M123" s="9"/>
      <c r="N123" s="10">
        <f t="shared" si="25"/>
        <v>0</v>
      </c>
      <c r="O123" s="8">
        <f>IFERROR(N123/N444, "NA")</f>
        <v>0</v>
      </c>
      <c r="P123" s="9"/>
      <c r="Q123" s="7">
        <v>0</v>
      </c>
      <c r="R123" s="8">
        <f>IFERROR(Q123/Q444, "NA")</f>
        <v>0</v>
      </c>
      <c r="S123" s="9"/>
      <c r="T123" s="7">
        <v>0</v>
      </c>
      <c r="U123" s="8">
        <f>IFERROR(T123/T444, "NA")</f>
        <v>0</v>
      </c>
      <c r="V123" s="9"/>
      <c r="W123" s="10">
        <f t="shared" si="26"/>
        <v>0</v>
      </c>
      <c r="X123" s="8">
        <f>IFERROR(W123/W444, "NA")</f>
        <v>0</v>
      </c>
      <c r="Y123" s="9"/>
      <c r="Z123" s="7">
        <v>0</v>
      </c>
      <c r="AA123" s="8">
        <f>IFERROR(Z123/Z444, "NA")</f>
        <v>0</v>
      </c>
      <c r="AB123" s="9"/>
      <c r="AC123" s="10">
        <f t="shared" si="27"/>
        <v>0</v>
      </c>
      <c r="AD123" s="8">
        <f>IFERROR(AC123/AC444, "NA")</f>
        <v>0</v>
      </c>
    </row>
    <row r="124" spans="1:30" ht="16.5" customHeight="1" x14ac:dyDescent="0.45">
      <c r="A124" s="21" t="s">
        <v>117</v>
      </c>
      <c r="B124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435052.10000000003</v>
      </c>
      <c r="C124" s="15">
        <f>IFERROR(B124/B444, "NA")</f>
        <v>1.0000000000000002</v>
      </c>
      <c r="D124" s="2"/>
      <c r="E124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448708.2</v>
      </c>
      <c r="F124" s="15">
        <f>IFERROR(E124/E444, "NA")</f>
        <v>1</v>
      </c>
      <c r="G124" s="2"/>
      <c r="H124" s="14">
        <f t="shared" si="24"/>
        <v>-13656.099999999977</v>
      </c>
      <c r="I124" s="15">
        <f>IFERROR(H124/H444, "NA")</f>
        <v>0.99999999999999578</v>
      </c>
      <c r="J124" s="2"/>
      <c r="K124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435555.43</v>
      </c>
      <c r="L124" s="15">
        <f>IFERROR(K124/K444, "NA")</f>
        <v>1</v>
      </c>
      <c r="M124" s="2"/>
      <c r="N124" s="14">
        <f t="shared" si="25"/>
        <v>-503.32999999995809</v>
      </c>
      <c r="O124" s="15">
        <f>IFERROR(N124/N444, "NA")</f>
        <v>0.99999999999988431</v>
      </c>
      <c r="P124" s="2"/>
      <c r="Q124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435052.10000000003</v>
      </c>
      <c r="R124" s="15">
        <f>IFERROR(Q124/Q444, "NA")</f>
        <v>1.0000000000000002</v>
      </c>
      <c r="S124" s="2"/>
      <c r="T124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448708.2</v>
      </c>
      <c r="U124" s="15">
        <f>IFERROR(T124/T444, "NA")</f>
        <v>1</v>
      </c>
      <c r="V124" s="2"/>
      <c r="W124" s="14">
        <f t="shared" si="26"/>
        <v>-13656.099999999977</v>
      </c>
      <c r="X124" s="15">
        <f>IFERROR(W124/W444, "NA")</f>
        <v>0.99999999999999578</v>
      </c>
      <c r="Y124" s="2"/>
      <c r="Z124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435555.43</v>
      </c>
      <c r="AA124" s="15">
        <f>IFERROR(Z124/Z444, "NA")</f>
        <v>1</v>
      </c>
      <c r="AB124" s="2"/>
      <c r="AC124" s="14">
        <f t="shared" si="27"/>
        <v>-503.32999999995809</v>
      </c>
      <c r="AD124" s="15">
        <f>IFERROR(AC124/AC444, "NA")</f>
        <v>0.99999999999988431</v>
      </c>
    </row>
    <row r="125" spans="1:30" ht="16.5" customHeight="1" x14ac:dyDescent="0.45">
      <c r="A125" s="1" t="s">
        <v>119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45">
      <c r="A126" s="5" t="s">
        <v>120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45">
      <c r="A127" s="6" t="s">
        <v>120</v>
      </c>
      <c r="B127" s="7">
        <v>0</v>
      </c>
      <c r="C127" s="8">
        <f>IFERROR(B127/B444, "NA")</f>
        <v>0</v>
      </c>
      <c r="D127" s="9"/>
      <c r="E127" s="7">
        <v>0</v>
      </c>
      <c r="F127" s="8">
        <f>IFERROR(E127/E444, "NA")</f>
        <v>0</v>
      </c>
      <c r="G127" s="9"/>
      <c r="H127" s="10">
        <f>IFERROR(-(B127-E127), "NA")</f>
        <v>0</v>
      </c>
      <c r="I127" s="8">
        <f>IFERROR(H127/H444, "NA")</f>
        <v>0</v>
      </c>
      <c r="J127" s="9"/>
      <c r="K127" s="7">
        <v>0</v>
      </c>
      <c r="L127" s="8">
        <f>IFERROR(K127/K444, "NA")</f>
        <v>0</v>
      </c>
      <c r="M127" s="9"/>
      <c r="N127" s="10">
        <f>IFERROR(-(B127-K127), "NA")</f>
        <v>0</v>
      </c>
      <c r="O127" s="8">
        <f>IFERROR(N127/N444, "NA")</f>
        <v>0</v>
      </c>
      <c r="P127" s="9"/>
      <c r="Q127" s="7">
        <v>0</v>
      </c>
      <c r="R127" s="8">
        <f>IFERROR(Q127/Q444, "NA")</f>
        <v>0</v>
      </c>
      <c r="S127" s="9"/>
      <c r="T127" s="7">
        <v>0</v>
      </c>
      <c r="U127" s="8">
        <f>IFERROR(T127/T444, "NA")</f>
        <v>0</v>
      </c>
      <c r="V127" s="9"/>
      <c r="W127" s="10">
        <f>IFERROR(-(Q127-T127), "NA")</f>
        <v>0</v>
      </c>
      <c r="X127" s="8">
        <f>IFERROR(W127/W444, "NA")</f>
        <v>0</v>
      </c>
      <c r="Y127" s="9"/>
      <c r="Z127" s="7">
        <v>0</v>
      </c>
      <c r="AA127" s="8">
        <f>IFERROR(Z127/Z444, "NA")</f>
        <v>0</v>
      </c>
      <c r="AB127" s="9"/>
      <c r="AC127" s="10">
        <f>IFERROR(-(Q127-Z127), "NA")</f>
        <v>0</v>
      </c>
      <c r="AD127" s="8">
        <f>IFERROR(AC127/AC444, "NA")</f>
        <v>0</v>
      </c>
    </row>
    <row r="128" spans="1:30" ht="16.5" customHeight="1" x14ac:dyDescent="0.45">
      <c r="A128" s="11" t="s">
        <v>121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45">
      <c r="A129" s="12" t="s">
        <v>121</v>
      </c>
      <c r="B129" s="7">
        <v>0</v>
      </c>
      <c r="C129" s="8">
        <f>IFERROR(B129/B444, "NA")</f>
        <v>0</v>
      </c>
      <c r="D129" s="9"/>
      <c r="E129" s="7">
        <v>99149.8</v>
      </c>
      <c r="F129" s="8">
        <f>IFERROR(E129/E444, "NA")</f>
        <v>0.22096721209908801</v>
      </c>
      <c r="G129" s="9"/>
      <c r="H129" s="10">
        <f t="shared" ref="H129:H141" si="28">IFERROR(-(B129-E129), "NA")</f>
        <v>99149.8</v>
      </c>
      <c r="I129" s="8">
        <f>IFERROR(H129/H444, "NA")</f>
        <v>-7.2604770029510437</v>
      </c>
      <c r="J129" s="9"/>
      <c r="K129" s="7">
        <v>0</v>
      </c>
      <c r="L129" s="8">
        <f>IFERROR(K129/K444, "NA")</f>
        <v>0</v>
      </c>
      <c r="M129" s="9"/>
      <c r="N129" s="10">
        <f t="shared" ref="N129:N141" si="29">IFERROR(-(B129-K129), "NA")</f>
        <v>0</v>
      </c>
      <c r="O129" s="8">
        <f>IFERROR(N129/N444, "NA")</f>
        <v>0</v>
      </c>
      <c r="P129" s="9"/>
      <c r="Q129" s="7">
        <v>0</v>
      </c>
      <c r="R129" s="8">
        <f>IFERROR(Q129/Q444, "NA")</f>
        <v>0</v>
      </c>
      <c r="S129" s="9"/>
      <c r="T129" s="7">
        <v>99149.8</v>
      </c>
      <c r="U129" s="8">
        <f>IFERROR(T129/T444, "NA")</f>
        <v>0.22096721209908801</v>
      </c>
      <c r="V129" s="9"/>
      <c r="W129" s="10">
        <f t="shared" ref="W129:W141" si="30">IFERROR(-(Q129-T129), "NA")</f>
        <v>99149.8</v>
      </c>
      <c r="X129" s="8">
        <f>IFERROR(W129/W444, "NA")</f>
        <v>-7.2604770029510437</v>
      </c>
      <c r="Y129" s="9"/>
      <c r="Z129" s="7">
        <v>0</v>
      </c>
      <c r="AA129" s="8">
        <f>IFERROR(Z129/Z444, "NA")</f>
        <v>0</v>
      </c>
      <c r="AB129" s="9"/>
      <c r="AC129" s="10">
        <f t="shared" ref="AC129:AC141" si="31">IFERROR(-(Q129-Z129), "NA")</f>
        <v>0</v>
      </c>
      <c r="AD129" s="8">
        <f>IFERROR(AC129/AC444, "NA")</f>
        <v>0</v>
      </c>
    </row>
    <row r="130" spans="1:30" ht="16.5" customHeight="1" x14ac:dyDescent="0.45">
      <c r="A130" s="12" t="s">
        <v>122</v>
      </c>
      <c r="B130" s="7">
        <v>21578.59</v>
      </c>
      <c r="C130" s="8">
        <f>IFERROR(B130/B444, "NA")</f>
        <v>4.9600013423679604E-2</v>
      </c>
      <c r="D130" s="9"/>
      <c r="E130" s="7">
        <v>0</v>
      </c>
      <c r="F130" s="8">
        <f>IFERROR(E130/E444, "NA")</f>
        <v>0</v>
      </c>
      <c r="G130" s="9"/>
      <c r="H130" s="10">
        <f t="shared" si="28"/>
        <v>-21578.59</v>
      </c>
      <c r="I130" s="8">
        <f>IFERROR(H130/H444, "NA")</f>
        <v>1.580142939785147</v>
      </c>
      <c r="J130" s="9"/>
      <c r="K130" s="7">
        <v>24234.71</v>
      </c>
      <c r="L130" s="8">
        <f>IFERROR(K130/K444, "NA")</f>
        <v>5.5640931855676784E-2</v>
      </c>
      <c r="M130" s="9"/>
      <c r="N130" s="10">
        <f t="shared" si="29"/>
        <v>2656.119999999999</v>
      </c>
      <c r="O130" s="8">
        <f>IFERROR(N130/N444, "NA")</f>
        <v>-5.2770945502948621</v>
      </c>
      <c r="P130" s="9"/>
      <c r="Q130" s="7">
        <v>21578.59</v>
      </c>
      <c r="R130" s="8">
        <f>IFERROR(Q130/Q444, "NA")</f>
        <v>4.9600013423679604E-2</v>
      </c>
      <c r="S130" s="9"/>
      <c r="T130" s="7">
        <v>0</v>
      </c>
      <c r="U130" s="8">
        <f>IFERROR(T130/T444, "NA")</f>
        <v>0</v>
      </c>
      <c r="V130" s="9"/>
      <c r="W130" s="10">
        <f t="shared" si="30"/>
        <v>-21578.59</v>
      </c>
      <c r="X130" s="8">
        <f>IFERROR(W130/W444, "NA")</f>
        <v>1.580142939785147</v>
      </c>
      <c r="Y130" s="9"/>
      <c r="Z130" s="7">
        <v>24234.71</v>
      </c>
      <c r="AA130" s="8">
        <f>IFERROR(Z130/Z444, "NA")</f>
        <v>5.5640931855676784E-2</v>
      </c>
      <c r="AB130" s="9"/>
      <c r="AC130" s="10">
        <f t="shared" si="31"/>
        <v>2656.119999999999</v>
      </c>
      <c r="AD130" s="8">
        <f>IFERROR(AC130/AC444, "NA")</f>
        <v>-5.2770945502948621</v>
      </c>
    </row>
    <row r="131" spans="1:30" ht="16.5" customHeight="1" x14ac:dyDescent="0.45">
      <c r="A131" s="12" t="s">
        <v>123</v>
      </c>
      <c r="B131" s="7">
        <v>13053.6</v>
      </c>
      <c r="C131" s="8">
        <f>IFERROR(B131/B444, "NA")</f>
        <v>3.000468219783332E-2</v>
      </c>
      <c r="D131" s="9"/>
      <c r="E131" s="7">
        <v>0</v>
      </c>
      <c r="F131" s="8">
        <f>IFERROR(E131/E444, "NA")</f>
        <v>0</v>
      </c>
      <c r="G131" s="9"/>
      <c r="H131" s="10">
        <f t="shared" si="28"/>
        <v>-13053.6</v>
      </c>
      <c r="I131" s="8">
        <f>IFERROR(H131/H444, "NA")</f>
        <v>0.95588052225745035</v>
      </c>
      <c r="J131" s="9"/>
      <c r="K131" s="7">
        <v>13433.78</v>
      </c>
      <c r="L131" s="8">
        <f>IFERROR(K131/K444, "NA")</f>
        <v>3.0842871135827652E-2</v>
      </c>
      <c r="M131" s="9"/>
      <c r="N131" s="10">
        <f t="shared" si="29"/>
        <v>380.18000000000029</v>
      </c>
      <c r="O131" s="8">
        <f>IFERROR(N131/N444, "NA")</f>
        <v>-0.75532950549338995</v>
      </c>
      <c r="P131" s="9"/>
      <c r="Q131" s="7">
        <v>13053.6</v>
      </c>
      <c r="R131" s="8">
        <f>IFERROR(Q131/Q444, "NA")</f>
        <v>3.000468219783332E-2</v>
      </c>
      <c r="S131" s="9"/>
      <c r="T131" s="7">
        <v>0</v>
      </c>
      <c r="U131" s="8">
        <f>IFERROR(T131/T444, "NA")</f>
        <v>0</v>
      </c>
      <c r="V131" s="9"/>
      <c r="W131" s="10">
        <f t="shared" si="30"/>
        <v>-13053.6</v>
      </c>
      <c r="X131" s="8">
        <f>IFERROR(W131/W444, "NA")</f>
        <v>0.95588052225745035</v>
      </c>
      <c r="Y131" s="9"/>
      <c r="Z131" s="7">
        <v>13433.78</v>
      </c>
      <c r="AA131" s="8">
        <f>IFERROR(Z131/Z444, "NA")</f>
        <v>3.0842871135827652E-2</v>
      </c>
      <c r="AB131" s="9"/>
      <c r="AC131" s="10">
        <f t="shared" si="31"/>
        <v>380.18000000000029</v>
      </c>
      <c r="AD131" s="8">
        <f>IFERROR(AC131/AC444, "NA")</f>
        <v>-0.75532950549338995</v>
      </c>
    </row>
    <row r="132" spans="1:30" ht="16.5" customHeight="1" x14ac:dyDescent="0.45">
      <c r="A132" s="12" t="s">
        <v>124</v>
      </c>
      <c r="B132" s="7">
        <v>12892.84</v>
      </c>
      <c r="C132" s="8">
        <f>IFERROR(B132/B444, "NA")</f>
        <v>2.9635163236770953E-2</v>
      </c>
      <c r="D132" s="9"/>
      <c r="E132" s="7">
        <v>0</v>
      </c>
      <c r="F132" s="8">
        <f>IFERROR(E132/E444, "NA")</f>
        <v>0</v>
      </c>
      <c r="G132" s="9"/>
      <c r="H132" s="10">
        <f t="shared" si="28"/>
        <v>-12892.84</v>
      </c>
      <c r="I132" s="8">
        <f>IFERROR(H132/H444, "NA")</f>
        <v>0.94410849364020233</v>
      </c>
      <c r="J132" s="9"/>
      <c r="K132" s="7">
        <v>16481.650000000001</v>
      </c>
      <c r="L132" s="8">
        <f>IFERROR(K132/K444, "NA")</f>
        <v>3.7840533867296758E-2</v>
      </c>
      <c r="M132" s="9"/>
      <c r="N132" s="10">
        <f t="shared" si="29"/>
        <v>3588.8100000000013</v>
      </c>
      <c r="O132" s="8">
        <f>IFERROR(N132/N444, "NA")</f>
        <v>-7.1301333121409121</v>
      </c>
      <c r="P132" s="9"/>
      <c r="Q132" s="7">
        <v>12892.84</v>
      </c>
      <c r="R132" s="8">
        <f>IFERROR(Q132/Q444, "NA")</f>
        <v>2.9635163236770953E-2</v>
      </c>
      <c r="S132" s="9"/>
      <c r="T132" s="7">
        <v>0</v>
      </c>
      <c r="U132" s="8">
        <f>IFERROR(T132/T444, "NA")</f>
        <v>0</v>
      </c>
      <c r="V132" s="9"/>
      <c r="W132" s="10">
        <f t="shared" si="30"/>
        <v>-12892.84</v>
      </c>
      <c r="X132" s="8">
        <f>IFERROR(W132/W444, "NA")</f>
        <v>0.94410849364020233</v>
      </c>
      <c r="Y132" s="9"/>
      <c r="Z132" s="7">
        <v>16481.650000000001</v>
      </c>
      <c r="AA132" s="8">
        <f>IFERROR(Z132/Z444, "NA")</f>
        <v>3.7840533867296758E-2</v>
      </c>
      <c r="AB132" s="9"/>
      <c r="AC132" s="10">
        <f t="shared" si="31"/>
        <v>3588.8100000000013</v>
      </c>
      <c r="AD132" s="8">
        <f>IFERROR(AC132/AC444, "NA")</f>
        <v>-7.1301333121409121</v>
      </c>
    </row>
    <row r="133" spans="1:30" ht="16.5" customHeight="1" x14ac:dyDescent="0.45">
      <c r="A133" s="12" t="s">
        <v>125</v>
      </c>
      <c r="B133" s="7">
        <v>10177.23</v>
      </c>
      <c r="C133" s="8">
        <f>IFERROR(B133/B444, "NA")</f>
        <v>2.3393129236705213E-2</v>
      </c>
      <c r="D133" s="9"/>
      <c r="E133" s="7">
        <v>0</v>
      </c>
      <c r="F133" s="8">
        <f>IFERROR(E133/E444, "NA")</f>
        <v>0</v>
      </c>
      <c r="G133" s="9"/>
      <c r="H133" s="10">
        <f t="shared" si="28"/>
        <v>-10177.23</v>
      </c>
      <c r="I133" s="8">
        <f>IFERROR(H133/H444, "NA")</f>
        <v>0.74525157255731678</v>
      </c>
      <c r="J133" s="9"/>
      <c r="K133" s="7">
        <v>10044.06</v>
      </c>
      <c r="L133" s="8">
        <f>IFERROR(K133/K444, "NA")</f>
        <v>2.306034848423311E-2</v>
      </c>
      <c r="M133" s="9"/>
      <c r="N133" s="10">
        <f t="shared" si="29"/>
        <v>-133.17000000000007</v>
      </c>
      <c r="O133" s="8">
        <f>IFERROR(N133/N444, "NA")</f>
        <v>0.2645779111119857</v>
      </c>
      <c r="P133" s="9"/>
      <c r="Q133" s="7">
        <v>10177.23</v>
      </c>
      <c r="R133" s="8">
        <f>IFERROR(Q133/Q444, "NA")</f>
        <v>2.3393129236705213E-2</v>
      </c>
      <c r="S133" s="9"/>
      <c r="T133" s="7">
        <v>0</v>
      </c>
      <c r="U133" s="8">
        <f>IFERROR(T133/T444, "NA")</f>
        <v>0</v>
      </c>
      <c r="V133" s="9"/>
      <c r="W133" s="10">
        <f t="shared" si="30"/>
        <v>-10177.23</v>
      </c>
      <c r="X133" s="8">
        <f>IFERROR(W133/W444, "NA")</f>
        <v>0.74525157255731678</v>
      </c>
      <c r="Y133" s="9"/>
      <c r="Z133" s="7">
        <v>10044.06</v>
      </c>
      <c r="AA133" s="8">
        <f>IFERROR(Z133/Z444, "NA")</f>
        <v>2.306034848423311E-2</v>
      </c>
      <c r="AB133" s="9"/>
      <c r="AC133" s="10">
        <f t="shared" si="31"/>
        <v>-133.17000000000007</v>
      </c>
      <c r="AD133" s="8">
        <f>IFERROR(AC133/AC444, "NA")</f>
        <v>0.2645779111119857</v>
      </c>
    </row>
    <row r="134" spans="1:30" ht="16.5" customHeight="1" x14ac:dyDescent="0.45">
      <c r="A134" s="12" t="s">
        <v>126</v>
      </c>
      <c r="B134" s="7">
        <v>5107.08</v>
      </c>
      <c r="C134" s="8">
        <f>IFERROR(B134/B444, "NA")</f>
        <v>1.1739007810788639E-2</v>
      </c>
      <c r="D134" s="9"/>
      <c r="E134" s="7">
        <v>0</v>
      </c>
      <c r="F134" s="8">
        <f>IFERROR(E134/E444, "NA")</f>
        <v>0</v>
      </c>
      <c r="G134" s="9"/>
      <c r="H134" s="10">
        <f t="shared" si="28"/>
        <v>-5107.08</v>
      </c>
      <c r="I134" s="8">
        <f>IFERROR(H134/H444, "NA")</f>
        <v>0.37397792927702544</v>
      </c>
      <c r="J134" s="9"/>
      <c r="K134" s="7">
        <v>3525.03</v>
      </c>
      <c r="L134" s="8">
        <f>IFERROR(K134/K444, "NA")</f>
        <v>8.0931834554329868E-3</v>
      </c>
      <c r="M134" s="9"/>
      <c r="N134" s="10">
        <f t="shared" si="29"/>
        <v>-1582.0499999999997</v>
      </c>
      <c r="O134" s="8">
        <f>IFERROR(N134/N444, "NA")</f>
        <v>3.1431665110363944</v>
      </c>
      <c r="P134" s="9"/>
      <c r="Q134" s="7">
        <v>5107.08</v>
      </c>
      <c r="R134" s="8">
        <f>IFERROR(Q134/Q444, "NA")</f>
        <v>1.1739007810788639E-2</v>
      </c>
      <c r="S134" s="9"/>
      <c r="T134" s="7">
        <v>0</v>
      </c>
      <c r="U134" s="8">
        <f>IFERROR(T134/T444, "NA")</f>
        <v>0</v>
      </c>
      <c r="V134" s="9"/>
      <c r="W134" s="10">
        <f t="shared" si="30"/>
        <v>-5107.08</v>
      </c>
      <c r="X134" s="8">
        <f>IFERROR(W134/W444, "NA")</f>
        <v>0.37397792927702544</v>
      </c>
      <c r="Y134" s="9"/>
      <c r="Z134" s="7">
        <v>3525.03</v>
      </c>
      <c r="AA134" s="8">
        <f>IFERROR(Z134/Z444, "NA")</f>
        <v>8.0931834554329868E-3</v>
      </c>
      <c r="AB134" s="9"/>
      <c r="AC134" s="10">
        <f t="shared" si="31"/>
        <v>-1582.0499999999997</v>
      </c>
      <c r="AD134" s="8">
        <f>IFERROR(AC134/AC444, "NA")</f>
        <v>3.1431665110363944</v>
      </c>
    </row>
    <row r="135" spans="1:30" ht="16.5" customHeight="1" x14ac:dyDescent="0.45">
      <c r="A135" s="12" t="s">
        <v>127</v>
      </c>
      <c r="B135" s="7">
        <v>3840.62</v>
      </c>
      <c r="C135" s="8">
        <f>IFERROR(B135/B444, "NA")</f>
        <v>8.8279541691673249E-3</v>
      </c>
      <c r="D135" s="9"/>
      <c r="E135" s="7">
        <v>0</v>
      </c>
      <c r="F135" s="8">
        <f>IFERROR(E135/E444, "NA")</f>
        <v>0</v>
      </c>
      <c r="G135" s="9"/>
      <c r="H135" s="10">
        <f t="shared" si="28"/>
        <v>-3840.62</v>
      </c>
      <c r="I135" s="8">
        <f>IFERROR(H135/H444, "NA")</f>
        <v>0.28123842092544649</v>
      </c>
      <c r="J135" s="9"/>
      <c r="K135" s="7">
        <v>3941.5699999999997</v>
      </c>
      <c r="L135" s="8">
        <f>IFERROR(K135/K444, "NA")</f>
        <v>9.0495255678479311E-3</v>
      </c>
      <c r="M135" s="9"/>
      <c r="N135" s="10">
        <f t="shared" si="29"/>
        <v>100.94999999999982</v>
      </c>
      <c r="O135" s="8">
        <f>IFERROR(N135/N444, "NA")</f>
        <v>-0.20056424214729213</v>
      </c>
      <c r="P135" s="9"/>
      <c r="Q135" s="7">
        <v>3840.62</v>
      </c>
      <c r="R135" s="8">
        <f>IFERROR(Q135/Q444, "NA")</f>
        <v>8.8279541691673249E-3</v>
      </c>
      <c r="S135" s="9"/>
      <c r="T135" s="7">
        <v>0</v>
      </c>
      <c r="U135" s="8">
        <f>IFERROR(T135/T444, "NA")</f>
        <v>0</v>
      </c>
      <c r="V135" s="9"/>
      <c r="W135" s="10">
        <f t="shared" si="30"/>
        <v>-3840.62</v>
      </c>
      <c r="X135" s="8">
        <f>IFERROR(W135/W444, "NA")</f>
        <v>0.28123842092544649</v>
      </c>
      <c r="Y135" s="9"/>
      <c r="Z135" s="7">
        <v>3941.5699999999997</v>
      </c>
      <c r="AA135" s="8">
        <f>IFERROR(Z135/Z444, "NA")</f>
        <v>9.0495255678479311E-3</v>
      </c>
      <c r="AB135" s="9"/>
      <c r="AC135" s="10">
        <f t="shared" si="31"/>
        <v>100.94999999999982</v>
      </c>
      <c r="AD135" s="8">
        <f>IFERROR(AC135/AC444, "NA")</f>
        <v>-0.20056424214729213</v>
      </c>
    </row>
    <row r="136" spans="1:30" ht="16.5" customHeight="1" x14ac:dyDescent="0.45">
      <c r="A136" s="12" t="s">
        <v>128</v>
      </c>
      <c r="B136" s="7">
        <v>0</v>
      </c>
      <c r="C136" s="8">
        <f>IFERROR(B136/B444, "NA")</f>
        <v>0</v>
      </c>
      <c r="D136" s="9"/>
      <c r="E136" s="7">
        <v>0</v>
      </c>
      <c r="F136" s="8">
        <f>IFERROR(E136/E444, "NA")</f>
        <v>0</v>
      </c>
      <c r="G136" s="9"/>
      <c r="H136" s="10">
        <f t="shared" si="28"/>
        <v>0</v>
      </c>
      <c r="I136" s="8">
        <f>IFERROR(H136/H444, "NA")</f>
        <v>0</v>
      </c>
      <c r="J136" s="9"/>
      <c r="K136" s="7">
        <v>3222.33</v>
      </c>
      <c r="L136" s="8">
        <f>IFERROR(K136/K444, "NA")</f>
        <v>7.398208765299976E-3</v>
      </c>
      <c r="M136" s="9"/>
      <c r="N136" s="10">
        <f t="shared" si="29"/>
        <v>3222.33</v>
      </c>
      <c r="O136" s="8">
        <f>IFERROR(N136/N444, "NA")</f>
        <v>-6.4020225299503224</v>
      </c>
      <c r="P136" s="9"/>
      <c r="Q136" s="7">
        <v>0</v>
      </c>
      <c r="R136" s="8">
        <f>IFERROR(Q136/Q444, "NA")</f>
        <v>0</v>
      </c>
      <c r="S136" s="9"/>
      <c r="T136" s="7">
        <v>0</v>
      </c>
      <c r="U136" s="8">
        <f>IFERROR(T136/T444, "NA")</f>
        <v>0</v>
      </c>
      <c r="V136" s="9"/>
      <c r="W136" s="10">
        <f t="shared" si="30"/>
        <v>0</v>
      </c>
      <c r="X136" s="8">
        <f>IFERROR(W136/W444, "NA")</f>
        <v>0</v>
      </c>
      <c r="Y136" s="9"/>
      <c r="Z136" s="7">
        <v>3222.33</v>
      </c>
      <c r="AA136" s="8">
        <f>IFERROR(Z136/Z444, "NA")</f>
        <v>7.398208765299976E-3</v>
      </c>
      <c r="AB136" s="9"/>
      <c r="AC136" s="10">
        <f t="shared" si="31"/>
        <v>3222.33</v>
      </c>
      <c r="AD136" s="8">
        <f>IFERROR(AC136/AC444, "NA")</f>
        <v>-6.4020225299503224</v>
      </c>
    </row>
    <row r="137" spans="1:30" ht="16.5" customHeight="1" x14ac:dyDescent="0.45">
      <c r="A137" s="12" t="s">
        <v>129</v>
      </c>
      <c r="B137" s="7">
        <v>2364.9700000000003</v>
      </c>
      <c r="C137" s="8">
        <f>IFERROR(B137/B444, "NA")</f>
        <v>5.4360615659595725E-3</v>
      </c>
      <c r="D137" s="9"/>
      <c r="E137" s="7">
        <v>0</v>
      </c>
      <c r="F137" s="8">
        <f>IFERROR(E137/E444, "NA")</f>
        <v>0</v>
      </c>
      <c r="G137" s="9"/>
      <c r="H137" s="10">
        <f t="shared" si="28"/>
        <v>-2364.9700000000003</v>
      </c>
      <c r="I137" s="8">
        <f>IFERROR(H137/H444, "NA")</f>
        <v>0.17318048344695736</v>
      </c>
      <c r="J137" s="9"/>
      <c r="K137" s="7">
        <v>2445.21</v>
      </c>
      <c r="L137" s="8">
        <f>IFERROR(K137/K444, "NA")</f>
        <v>5.6140041693430384E-3</v>
      </c>
      <c r="M137" s="9"/>
      <c r="N137" s="10">
        <f t="shared" si="29"/>
        <v>80.239999999999782</v>
      </c>
      <c r="O137" s="8">
        <f>IFERROR(N137/N444, "NA")</f>
        <v>-0.15941827429320166</v>
      </c>
      <c r="P137" s="9"/>
      <c r="Q137" s="7">
        <v>2364.9700000000003</v>
      </c>
      <c r="R137" s="8">
        <f>IFERROR(Q137/Q444, "NA")</f>
        <v>5.4360615659595725E-3</v>
      </c>
      <c r="S137" s="9"/>
      <c r="T137" s="7">
        <v>0</v>
      </c>
      <c r="U137" s="8">
        <f>IFERROR(T137/T444, "NA")</f>
        <v>0</v>
      </c>
      <c r="V137" s="9"/>
      <c r="W137" s="10">
        <f t="shared" si="30"/>
        <v>-2364.9700000000003</v>
      </c>
      <c r="X137" s="8">
        <f>IFERROR(W137/W444, "NA")</f>
        <v>0.17318048344695736</v>
      </c>
      <c r="Y137" s="9"/>
      <c r="Z137" s="7">
        <v>2445.21</v>
      </c>
      <c r="AA137" s="8">
        <f>IFERROR(Z137/Z444, "NA")</f>
        <v>5.6140041693430384E-3</v>
      </c>
      <c r="AB137" s="9"/>
      <c r="AC137" s="10">
        <f t="shared" si="31"/>
        <v>80.239999999999782</v>
      </c>
      <c r="AD137" s="8">
        <f>IFERROR(AC137/AC444, "NA")</f>
        <v>-0.15941827429320166</v>
      </c>
    </row>
    <row r="138" spans="1:30" ht="16.5" customHeight="1" x14ac:dyDescent="0.45">
      <c r="A138" s="12" t="s">
        <v>130</v>
      </c>
      <c r="B138" s="7">
        <v>32005.090000000004</v>
      </c>
      <c r="C138" s="8">
        <f>IFERROR(B138/B444, "NA")</f>
        <v>7.3566108518956702E-2</v>
      </c>
      <c r="D138" s="9"/>
      <c r="E138" s="7">
        <v>0</v>
      </c>
      <c r="F138" s="8">
        <f>IFERROR(E138/E444, "NA")</f>
        <v>0</v>
      </c>
      <c r="G138" s="9"/>
      <c r="H138" s="10">
        <f t="shared" si="28"/>
        <v>-32005.090000000004</v>
      </c>
      <c r="I138" s="8">
        <f>IFERROR(H138/H444, "NA")</f>
        <v>2.3436478936153016</v>
      </c>
      <c r="J138" s="9"/>
      <c r="K138" s="7">
        <v>23136.489999999998</v>
      </c>
      <c r="L138" s="8">
        <f>IFERROR(K138/K444, "NA")</f>
        <v>5.3119507659449908E-2</v>
      </c>
      <c r="M138" s="9"/>
      <c r="N138" s="10">
        <f t="shared" si="29"/>
        <v>-8868.6000000000058</v>
      </c>
      <c r="O138" s="8">
        <f>IFERROR(N138/N444, "NA")</f>
        <v>17.619851787097367</v>
      </c>
      <c r="P138" s="9"/>
      <c r="Q138" s="7">
        <v>32005.090000000004</v>
      </c>
      <c r="R138" s="8">
        <f>IFERROR(Q138/Q444, "NA")</f>
        <v>7.3566108518956702E-2</v>
      </c>
      <c r="S138" s="9"/>
      <c r="T138" s="7">
        <v>0</v>
      </c>
      <c r="U138" s="8">
        <f>IFERROR(T138/T444, "NA")</f>
        <v>0</v>
      </c>
      <c r="V138" s="9"/>
      <c r="W138" s="10">
        <f t="shared" si="30"/>
        <v>-32005.090000000004</v>
      </c>
      <c r="X138" s="8">
        <f>IFERROR(W138/W444, "NA")</f>
        <v>2.3436478936153016</v>
      </c>
      <c r="Y138" s="9"/>
      <c r="Z138" s="7">
        <v>23136.489999999998</v>
      </c>
      <c r="AA138" s="8">
        <f>IFERROR(Z138/Z444, "NA")</f>
        <v>5.3119507659449908E-2</v>
      </c>
      <c r="AB138" s="9"/>
      <c r="AC138" s="10">
        <f t="shared" si="31"/>
        <v>-8868.6000000000058</v>
      </c>
      <c r="AD138" s="8">
        <f>IFERROR(AC138/AC444, "NA")</f>
        <v>17.619851787097367</v>
      </c>
    </row>
    <row r="139" spans="1:30" ht="16.5" hidden="1" customHeight="1" x14ac:dyDescent="0.45">
      <c r="A139" s="12" t="s">
        <v>131</v>
      </c>
      <c r="B139" s="7">
        <v>0</v>
      </c>
      <c r="C139" s="8">
        <f>IFERROR(B139/B444, "NA")</f>
        <v>0</v>
      </c>
      <c r="D139" s="9"/>
      <c r="E139" s="7">
        <v>0</v>
      </c>
      <c r="F139" s="8">
        <f>IFERROR(E139/E444, "NA")</f>
        <v>0</v>
      </c>
      <c r="G139" s="9"/>
      <c r="H139" s="10">
        <f t="shared" si="28"/>
        <v>0</v>
      </c>
      <c r="I139" s="8">
        <f>IFERROR(H139/H444, "NA")</f>
        <v>0</v>
      </c>
      <c r="J139" s="9"/>
      <c r="K139" s="7">
        <v>0</v>
      </c>
      <c r="L139" s="8">
        <f>IFERROR(K139/K444, "NA")</f>
        <v>0</v>
      </c>
      <c r="M139" s="9"/>
      <c r="N139" s="10">
        <f t="shared" si="29"/>
        <v>0</v>
      </c>
      <c r="O139" s="8">
        <f>IFERROR(N139/N444, "NA")</f>
        <v>0</v>
      </c>
      <c r="P139" s="9"/>
      <c r="Q139" s="7">
        <v>0</v>
      </c>
      <c r="R139" s="8">
        <f>IFERROR(Q139/Q444, "NA")</f>
        <v>0</v>
      </c>
      <c r="S139" s="9"/>
      <c r="T139" s="7">
        <v>0</v>
      </c>
      <c r="U139" s="8">
        <f>IFERROR(T139/T444, "NA")</f>
        <v>0</v>
      </c>
      <c r="V139" s="9"/>
      <c r="W139" s="10">
        <f t="shared" si="30"/>
        <v>0</v>
      </c>
      <c r="X139" s="8">
        <f>IFERROR(W139/W444, "NA")</f>
        <v>0</v>
      </c>
      <c r="Y139" s="9"/>
      <c r="Z139" s="7">
        <v>0</v>
      </c>
      <c r="AA139" s="8">
        <f>IFERROR(Z139/Z444, "NA")</f>
        <v>0</v>
      </c>
      <c r="AB139" s="9"/>
      <c r="AC139" s="10">
        <f t="shared" si="31"/>
        <v>0</v>
      </c>
      <c r="AD139" s="8">
        <f>IFERROR(AC139/AC444, "NA")</f>
        <v>0</v>
      </c>
    </row>
    <row r="140" spans="1:30" ht="16.5" customHeight="1" x14ac:dyDescent="0.45">
      <c r="A140" s="12" t="s">
        <v>132</v>
      </c>
      <c r="B140" s="7">
        <v>0</v>
      </c>
      <c r="C140" s="8">
        <f>IFERROR(B140/B444, "NA")</f>
        <v>0</v>
      </c>
      <c r="D140" s="9"/>
      <c r="E140" s="7">
        <v>0</v>
      </c>
      <c r="F140" s="8">
        <f>IFERROR(E140/E444, "NA")</f>
        <v>0</v>
      </c>
      <c r="G140" s="9"/>
      <c r="H140" s="10">
        <f t="shared" si="28"/>
        <v>0</v>
      </c>
      <c r="I140" s="8">
        <f>IFERROR(H140/H444, "NA")</f>
        <v>0</v>
      </c>
      <c r="J140" s="9"/>
      <c r="K140" s="7">
        <v>20.079999999999998</v>
      </c>
      <c r="L140" s="8">
        <f>IFERROR(K140/K444, "NA")</f>
        <v>4.6102054105949267E-5</v>
      </c>
      <c r="M140" s="9"/>
      <c r="N140" s="10">
        <f t="shared" si="29"/>
        <v>20.079999999999998</v>
      </c>
      <c r="O140" s="8">
        <f>IFERROR(N140/N444, "NA")</f>
        <v>-3.9894303935786357E-2</v>
      </c>
      <c r="P140" s="9"/>
      <c r="Q140" s="7">
        <v>0</v>
      </c>
      <c r="R140" s="8">
        <f>IFERROR(Q140/Q444, "NA")</f>
        <v>0</v>
      </c>
      <c r="S140" s="9"/>
      <c r="T140" s="7">
        <v>0</v>
      </c>
      <c r="U140" s="8">
        <f>IFERROR(T140/T444, "NA")</f>
        <v>0</v>
      </c>
      <c r="V140" s="9"/>
      <c r="W140" s="10">
        <f t="shared" si="30"/>
        <v>0</v>
      </c>
      <c r="X140" s="8">
        <f>IFERROR(W140/W444, "NA")</f>
        <v>0</v>
      </c>
      <c r="Y140" s="9"/>
      <c r="Z140" s="7">
        <v>20.079999999999998</v>
      </c>
      <c r="AA140" s="8">
        <f>IFERROR(Z140/Z444, "NA")</f>
        <v>4.6102054105949267E-5</v>
      </c>
      <c r="AB140" s="9"/>
      <c r="AC140" s="10">
        <f t="shared" si="31"/>
        <v>20.079999999999998</v>
      </c>
      <c r="AD140" s="8">
        <f>IFERROR(AC140/AC444, "NA")</f>
        <v>-3.9894303935786357E-2</v>
      </c>
    </row>
    <row r="141" spans="1:30" ht="16.5" customHeight="1" x14ac:dyDescent="0.45">
      <c r="A141" s="13" t="s">
        <v>133</v>
      </c>
      <c r="B141" s="14">
        <f>IFERROR(B129+B130+B131+B132+B133+B134+B135+B136+B137+B138+B139+B140, "NA")</f>
        <v>101020.01999999999</v>
      </c>
      <c r="C141" s="15">
        <f>IFERROR(B141/B444, "NA")</f>
        <v>0.2322021201598613</v>
      </c>
      <c r="D141" s="2"/>
      <c r="E141" s="14">
        <f>IFERROR(E129+E130+E131+E132+E133+E134+E135+E136+E137+E138+E139+E140, "NA")</f>
        <v>99149.8</v>
      </c>
      <c r="F141" s="15">
        <f>IFERROR(E141/E444, "NA")</f>
        <v>0.22096721209908801</v>
      </c>
      <c r="G141" s="2"/>
      <c r="H141" s="14">
        <f t="shared" si="28"/>
        <v>-1870.2199999999866</v>
      </c>
      <c r="I141" s="15">
        <f>IFERROR(H141/H444, "NA")</f>
        <v>0.13695125255380247</v>
      </c>
      <c r="J141" s="2"/>
      <c r="K141" s="14">
        <f>IFERROR(K129+K130+K131+K132+K133+K134+K135+K136+K137+K138+K139+K140, "NA")</f>
        <v>100484.90999999999</v>
      </c>
      <c r="L141" s="15">
        <f>IFERROR(K141/K444, "NA")</f>
        <v>0.23070521701451407</v>
      </c>
      <c r="M141" s="2"/>
      <c r="N141" s="14">
        <f t="shared" si="29"/>
        <v>-535.11000000000058</v>
      </c>
      <c r="O141" s="15">
        <f>IFERROR(N141/N444, "NA")</f>
        <v>1.0631394909899732</v>
      </c>
      <c r="P141" s="2"/>
      <c r="Q141" s="14">
        <f>IFERROR(Q129+Q130+Q131+Q132+Q133+Q134+Q135+Q136+Q137+Q138+Q139+Q140, "NA")</f>
        <v>101020.01999999999</v>
      </c>
      <c r="R141" s="15">
        <f>IFERROR(Q141/Q444, "NA")</f>
        <v>0.2322021201598613</v>
      </c>
      <c r="S141" s="2"/>
      <c r="T141" s="14">
        <f>IFERROR(T129+T130+T131+T132+T133+T134+T135+T136+T137+T138+T139+T140, "NA")</f>
        <v>99149.8</v>
      </c>
      <c r="U141" s="15">
        <f>IFERROR(T141/T444, "NA")</f>
        <v>0.22096721209908801</v>
      </c>
      <c r="V141" s="2"/>
      <c r="W141" s="14">
        <f t="shared" si="30"/>
        <v>-1870.2199999999866</v>
      </c>
      <c r="X141" s="15">
        <f>IFERROR(W141/W444, "NA")</f>
        <v>0.13695125255380247</v>
      </c>
      <c r="Y141" s="2"/>
      <c r="Z141" s="14">
        <f>IFERROR(Z129+Z130+Z131+Z132+Z133+Z134+Z135+Z136+Z137+Z138+Z139+Z140, "NA")</f>
        <v>100484.90999999999</v>
      </c>
      <c r="AA141" s="15">
        <f>IFERROR(Z141/Z444, "NA")</f>
        <v>0.23070521701451407</v>
      </c>
      <c r="AB141" s="2"/>
      <c r="AC141" s="14">
        <f t="shared" si="31"/>
        <v>-535.11000000000058</v>
      </c>
      <c r="AD141" s="15">
        <f>IFERROR(AC141/AC444, "NA")</f>
        <v>1.0631394909899732</v>
      </c>
    </row>
    <row r="142" spans="1:30" ht="16.5" customHeight="1" x14ac:dyDescent="0.45">
      <c r="A142" s="11" t="s">
        <v>134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45">
      <c r="A143" s="12" t="s">
        <v>134</v>
      </c>
      <c r="B143" s="7">
        <v>0</v>
      </c>
      <c r="C143" s="8">
        <f>IFERROR(B143/B444, "NA")</f>
        <v>0</v>
      </c>
      <c r="D143" s="9"/>
      <c r="E143" s="7">
        <v>4785.22</v>
      </c>
      <c r="F143" s="8">
        <f>IFERROR(E143/E444, "NA")</f>
        <v>1.066443626392386E-2</v>
      </c>
      <c r="G143" s="9"/>
      <c r="H143" s="10">
        <f t="shared" ref="H143:H149" si="32">IFERROR(-(B143-E143), "NA")</f>
        <v>4785.22</v>
      </c>
      <c r="I143" s="8">
        <f>IFERROR(H143/H444, "NA")</f>
        <v>-0.35040897474388649</v>
      </c>
      <c r="J143" s="9"/>
      <c r="K143" s="7">
        <v>0</v>
      </c>
      <c r="L143" s="8">
        <f>IFERROR(K143/K444, "NA")</f>
        <v>0</v>
      </c>
      <c r="M143" s="9"/>
      <c r="N143" s="10">
        <f t="shared" ref="N143:N149" si="33">IFERROR(-(B143-K143), "NA")</f>
        <v>0</v>
      </c>
      <c r="O143" s="8">
        <f>IFERROR(N143/N444, "NA")</f>
        <v>0</v>
      </c>
      <c r="P143" s="9"/>
      <c r="Q143" s="7">
        <v>0</v>
      </c>
      <c r="R143" s="8">
        <f>IFERROR(Q143/Q444, "NA")</f>
        <v>0</v>
      </c>
      <c r="S143" s="9"/>
      <c r="T143" s="7">
        <v>4785.22</v>
      </c>
      <c r="U143" s="8">
        <f>IFERROR(T143/T444, "NA")</f>
        <v>1.066443626392386E-2</v>
      </c>
      <c r="V143" s="9"/>
      <c r="W143" s="10">
        <f t="shared" ref="W143:W149" si="34">IFERROR(-(Q143-T143), "NA")</f>
        <v>4785.22</v>
      </c>
      <c r="X143" s="8">
        <f>IFERROR(W143/W444, "NA")</f>
        <v>-0.35040897474388649</v>
      </c>
      <c r="Y143" s="9"/>
      <c r="Z143" s="7">
        <v>0</v>
      </c>
      <c r="AA143" s="8">
        <f>IFERROR(Z143/Z444, "NA")</f>
        <v>0</v>
      </c>
      <c r="AB143" s="9"/>
      <c r="AC143" s="10">
        <f t="shared" ref="AC143:AC149" si="35">IFERROR(-(Q143-Z143), "NA")</f>
        <v>0</v>
      </c>
      <c r="AD143" s="8">
        <f>IFERROR(AC143/AC444, "NA")</f>
        <v>0</v>
      </c>
    </row>
    <row r="144" spans="1:30" ht="16.5" customHeight="1" x14ac:dyDescent="0.45">
      <c r="A144" s="12" t="s">
        <v>135</v>
      </c>
      <c r="B144" s="7">
        <v>5303.66</v>
      </c>
      <c r="C144" s="8">
        <f>IFERROR(B144/B444, "NA")</f>
        <v>1.2190861738168831E-2</v>
      </c>
      <c r="D144" s="9"/>
      <c r="E144" s="7">
        <v>0</v>
      </c>
      <c r="F144" s="8">
        <f>IFERROR(E144/E444, "NA")</f>
        <v>0</v>
      </c>
      <c r="G144" s="9"/>
      <c r="H144" s="10">
        <f t="shared" si="32"/>
        <v>-5303.66</v>
      </c>
      <c r="I144" s="8">
        <f>IFERROR(H144/H444, "NA")</f>
        <v>0.38837296153367257</v>
      </c>
      <c r="J144" s="9"/>
      <c r="K144" s="7">
        <v>5312.9199999999992</v>
      </c>
      <c r="L144" s="8">
        <f>IFERROR(K144/K444, "NA")</f>
        <v>1.2198034128514938E-2</v>
      </c>
      <c r="M144" s="9"/>
      <c r="N144" s="10">
        <f t="shared" si="33"/>
        <v>9.2599999999993088</v>
      </c>
      <c r="O144" s="8">
        <f>IFERROR(N144/N444, "NA")</f>
        <v>-1.839747283094393E-2</v>
      </c>
      <c r="P144" s="9"/>
      <c r="Q144" s="7">
        <v>5303.66</v>
      </c>
      <c r="R144" s="8">
        <f>IFERROR(Q144/Q444, "NA")</f>
        <v>1.2190861738168831E-2</v>
      </c>
      <c r="S144" s="9"/>
      <c r="T144" s="7">
        <v>0</v>
      </c>
      <c r="U144" s="8">
        <f>IFERROR(T144/T444, "NA")</f>
        <v>0</v>
      </c>
      <c r="V144" s="9"/>
      <c r="W144" s="10">
        <f t="shared" si="34"/>
        <v>-5303.66</v>
      </c>
      <c r="X144" s="8">
        <f>IFERROR(W144/W444, "NA")</f>
        <v>0.38837296153367257</v>
      </c>
      <c r="Y144" s="9"/>
      <c r="Z144" s="7">
        <v>5312.9199999999992</v>
      </c>
      <c r="AA144" s="8">
        <f>IFERROR(Z144/Z444, "NA")</f>
        <v>1.2198034128514938E-2</v>
      </c>
      <c r="AB144" s="9"/>
      <c r="AC144" s="10">
        <f t="shared" si="35"/>
        <v>9.2599999999993088</v>
      </c>
      <c r="AD144" s="8">
        <f>IFERROR(AC144/AC444, "NA")</f>
        <v>-1.839747283094393E-2</v>
      </c>
    </row>
    <row r="145" spans="1:30" ht="16.5" customHeight="1" x14ac:dyDescent="0.45">
      <c r="A145" s="12" t="s">
        <v>136</v>
      </c>
      <c r="B145" s="7">
        <v>188.83999999999997</v>
      </c>
      <c r="C145" s="8">
        <f>IFERROR(B145/B444, "NA")</f>
        <v>4.3406295475875186E-4</v>
      </c>
      <c r="D145" s="9"/>
      <c r="E145" s="7">
        <v>0</v>
      </c>
      <c r="F145" s="8">
        <f>IFERROR(E145/E444, "NA")</f>
        <v>0</v>
      </c>
      <c r="G145" s="9"/>
      <c r="H145" s="10">
        <f t="shared" si="32"/>
        <v>-188.83999999999997</v>
      </c>
      <c r="I145" s="8">
        <f>IFERROR(H145/H444, "NA")</f>
        <v>1.3828252575771962E-2</v>
      </c>
      <c r="J145" s="9"/>
      <c r="K145" s="7">
        <v>144.79999999999998</v>
      </c>
      <c r="L145" s="8">
        <f>IFERROR(K145/K444, "NA")</f>
        <v>3.324490754253712E-4</v>
      </c>
      <c r="M145" s="9"/>
      <c r="N145" s="10">
        <f t="shared" si="33"/>
        <v>-44.039999999999992</v>
      </c>
      <c r="O145" s="8">
        <f>IFERROR(N145/N444, "NA")</f>
        <v>8.749726819382625E-2</v>
      </c>
      <c r="P145" s="9"/>
      <c r="Q145" s="7">
        <v>188.83999999999997</v>
      </c>
      <c r="R145" s="8">
        <f>IFERROR(Q145/Q444, "NA")</f>
        <v>4.3406295475875186E-4</v>
      </c>
      <c r="S145" s="9"/>
      <c r="T145" s="7">
        <v>0</v>
      </c>
      <c r="U145" s="8">
        <f>IFERROR(T145/T444, "NA")</f>
        <v>0</v>
      </c>
      <c r="V145" s="9"/>
      <c r="W145" s="10">
        <f t="shared" si="34"/>
        <v>-188.83999999999997</v>
      </c>
      <c r="X145" s="8">
        <f>IFERROR(W145/W444, "NA")</f>
        <v>1.3828252575771962E-2</v>
      </c>
      <c r="Y145" s="9"/>
      <c r="Z145" s="7">
        <v>144.79999999999998</v>
      </c>
      <c r="AA145" s="8">
        <f>IFERROR(Z145/Z444, "NA")</f>
        <v>3.324490754253712E-4</v>
      </c>
      <c r="AB145" s="9"/>
      <c r="AC145" s="10">
        <f t="shared" si="35"/>
        <v>-44.039999999999992</v>
      </c>
      <c r="AD145" s="8">
        <f>IFERROR(AC145/AC444, "NA")</f>
        <v>8.749726819382625E-2</v>
      </c>
    </row>
    <row r="146" spans="1:30" ht="16.5" customHeight="1" x14ac:dyDescent="0.45">
      <c r="A146" s="12" t="s">
        <v>137</v>
      </c>
      <c r="B146" s="7">
        <v>96.88</v>
      </c>
      <c r="C146" s="8">
        <f>IFERROR(B146/B444, "NA")</f>
        <v>2.2268597255363208E-4</v>
      </c>
      <c r="D146" s="9"/>
      <c r="E146" s="7">
        <v>0</v>
      </c>
      <c r="F146" s="8">
        <f>IFERROR(E146/E444, "NA")</f>
        <v>0</v>
      </c>
      <c r="G146" s="9"/>
      <c r="H146" s="10">
        <f t="shared" si="32"/>
        <v>-96.88</v>
      </c>
      <c r="I146" s="8">
        <f>IFERROR(H146/H444, "NA")</f>
        <v>7.0942655663036843E-3</v>
      </c>
      <c r="J146" s="9"/>
      <c r="K146" s="7">
        <v>937.04</v>
      </c>
      <c r="L146" s="8">
        <f>IFERROR(K146/K444, "NA")</f>
        <v>2.1513679671035209E-3</v>
      </c>
      <c r="M146" s="9"/>
      <c r="N146" s="10">
        <f t="shared" si="33"/>
        <v>840.16</v>
      </c>
      <c r="O146" s="8">
        <f>IFERROR(N146/N444, "NA")</f>
        <v>-1.6692031073052922</v>
      </c>
      <c r="P146" s="9"/>
      <c r="Q146" s="7">
        <v>96.88</v>
      </c>
      <c r="R146" s="8">
        <f>IFERROR(Q146/Q444, "NA")</f>
        <v>2.2268597255363208E-4</v>
      </c>
      <c r="S146" s="9"/>
      <c r="T146" s="7">
        <v>0</v>
      </c>
      <c r="U146" s="8">
        <f>IFERROR(T146/T444, "NA")</f>
        <v>0</v>
      </c>
      <c r="V146" s="9"/>
      <c r="W146" s="10">
        <f t="shared" si="34"/>
        <v>-96.88</v>
      </c>
      <c r="X146" s="8">
        <f>IFERROR(W146/W444, "NA")</f>
        <v>7.0942655663036843E-3</v>
      </c>
      <c r="Y146" s="9"/>
      <c r="Z146" s="7">
        <v>937.04</v>
      </c>
      <c r="AA146" s="8">
        <f>IFERROR(Z146/Z444, "NA")</f>
        <v>2.1513679671035209E-3</v>
      </c>
      <c r="AB146" s="9"/>
      <c r="AC146" s="10">
        <f t="shared" si="35"/>
        <v>840.16</v>
      </c>
      <c r="AD146" s="8">
        <f>IFERROR(AC146/AC444, "NA")</f>
        <v>-1.6692031073052922</v>
      </c>
    </row>
    <row r="147" spans="1:30" ht="16.5" customHeight="1" x14ac:dyDescent="0.45">
      <c r="A147" s="12" t="s">
        <v>138</v>
      </c>
      <c r="B147" s="7">
        <v>47.430000000000007</v>
      </c>
      <c r="C147" s="8">
        <f>IFERROR(B147/B444, "NA")</f>
        <v>1.0902142524998732E-4</v>
      </c>
      <c r="D147" s="9"/>
      <c r="E147" s="7">
        <v>0</v>
      </c>
      <c r="F147" s="8">
        <f>IFERROR(E147/E444, "NA")</f>
        <v>0</v>
      </c>
      <c r="G147" s="9"/>
      <c r="H147" s="10">
        <f t="shared" si="32"/>
        <v>-47.430000000000007</v>
      </c>
      <c r="I147" s="8">
        <f>IFERROR(H147/H444, "NA")</f>
        <v>3.4731731607120543E-3</v>
      </c>
      <c r="J147" s="9"/>
      <c r="K147" s="7">
        <v>70.72</v>
      </c>
      <c r="L147" s="8">
        <f>IFERROR(K147/K444, "NA")</f>
        <v>1.6236739374366198E-4</v>
      </c>
      <c r="M147" s="9"/>
      <c r="N147" s="10">
        <f t="shared" si="33"/>
        <v>23.289999999999992</v>
      </c>
      <c r="O147" s="8">
        <f>IFERROR(N147/N444, "NA")</f>
        <v>-4.627182961476415E-2</v>
      </c>
      <c r="P147" s="9"/>
      <c r="Q147" s="7">
        <v>47.430000000000007</v>
      </c>
      <c r="R147" s="8">
        <f>IFERROR(Q147/Q444, "NA")</f>
        <v>1.0902142524998732E-4</v>
      </c>
      <c r="S147" s="9"/>
      <c r="T147" s="7">
        <v>0</v>
      </c>
      <c r="U147" s="8">
        <f>IFERROR(T147/T444, "NA")</f>
        <v>0</v>
      </c>
      <c r="V147" s="9"/>
      <c r="W147" s="10">
        <f t="shared" si="34"/>
        <v>-47.430000000000007</v>
      </c>
      <c r="X147" s="8">
        <f>IFERROR(W147/W444, "NA")</f>
        <v>3.4731731607120543E-3</v>
      </c>
      <c r="Y147" s="9"/>
      <c r="Z147" s="7">
        <v>70.72</v>
      </c>
      <c r="AA147" s="8">
        <f>IFERROR(Z147/Z444, "NA")</f>
        <v>1.6236739374366198E-4</v>
      </c>
      <c r="AB147" s="9"/>
      <c r="AC147" s="10">
        <f t="shared" si="35"/>
        <v>23.289999999999992</v>
      </c>
      <c r="AD147" s="8">
        <f>IFERROR(AC147/AC444, "NA")</f>
        <v>-4.627182961476415E-2</v>
      </c>
    </row>
    <row r="148" spans="1:30" ht="16.5" customHeight="1" x14ac:dyDescent="0.45">
      <c r="A148" s="13" t="s">
        <v>139</v>
      </c>
      <c r="B148" s="14">
        <f>IFERROR(B143+B144+B145+B146+B147, "NA")</f>
        <v>5636.81</v>
      </c>
      <c r="C148" s="15">
        <f>IFERROR(B148/B444, "NA")</f>
        <v>1.2956632090731203E-2</v>
      </c>
      <c r="D148" s="2"/>
      <c r="E148" s="14">
        <f>IFERROR(E143+E144+E145+E146+E147, "NA")</f>
        <v>4785.22</v>
      </c>
      <c r="F148" s="15">
        <f>IFERROR(E148/E444, "NA")</f>
        <v>1.066443626392386E-2</v>
      </c>
      <c r="G148" s="2"/>
      <c r="H148" s="14">
        <f t="shared" si="32"/>
        <v>-851.59000000000015</v>
      </c>
      <c r="I148" s="15">
        <f>IFERROR(H148/H444, "NA")</f>
        <v>6.2359678092573867E-2</v>
      </c>
      <c r="J148" s="2"/>
      <c r="K148" s="14">
        <f>IFERROR(K143+K144+K145+K146+K147, "NA")</f>
        <v>6465.48</v>
      </c>
      <c r="L148" s="15">
        <f>IFERROR(K148/K444, "NA")</f>
        <v>1.4844218564787494E-2</v>
      </c>
      <c r="M148" s="2"/>
      <c r="N148" s="14">
        <f t="shared" si="33"/>
        <v>828.66999999999916</v>
      </c>
      <c r="O148" s="15">
        <f>IFERROR(N148/N444, "NA")</f>
        <v>-1.6463751415571739</v>
      </c>
      <c r="P148" s="2"/>
      <c r="Q148" s="14">
        <f>IFERROR(Q143+Q144+Q145+Q146+Q147, "NA")</f>
        <v>5636.81</v>
      </c>
      <c r="R148" s="15">
        <f>IFERROR(Q148/Q444, "NA")</f>
        <v>1.2956632090731203E-2</v>
      </c>
      <c r="S148" s="2"/>
      <c r="T148" s="14">
        <f>IFERROR(T143+T144+T145+T146+T147, "NA")</f>
        <v>4785.22</v>
      </c>
      <c r="U148" s="15">
        <f>IFERROR(T148/T444, "NA")</f>
        <v>1.066443626392386E-2</v>
      </c>
      <c r="V148" s="2"/>
      <c r="W148" s="14">
        <f t="shared" si="34"/>
        <v>-851.59000000000015</v>
      </c>
      <c r="X148" s="15">
        <f>IFERROR(W148/W444, "NA")</f>
        <v>6.2359678092573867E-2</v>
      </c>
      <c r="Y148" s="2"/>
      <c r="Z148" s="14">
        <f>IFERROR(Z143+Z144+Z145+Z146+Z147, "NA")</f>
        <v>6465.48</v>
      </c>
      <c r="AA148" s="15">
        <f>IFERROR(Z148/Z444, "NA")</f>
        <v>1.4844218564787494E-2</v>
      </c>
      <c r="AB148" s="2"/>
      <c r="AC148" s="14">
        <f t="shared" si="35"/>
        <v>828.66999999999916</v>
      </c>
      <c r="AD148" s="15">
        <f>IFERROR(AC148/AC444, "NA")</f>
        <v>-1.6463751415571739</v>
      </c>
    </row>
    <row r="149" spans="1:30" ht="16.5" customHeight="1" x14ac:dyDescent="0.45">
      <c r="A149" s="19" t="s">
        <v>140</v>
      </c>
      <c r="B149" s="14">
        <f>IFERROR(B127+B129+B130+B131+B132+B133+B134+B135+B136+B137+B138+B139+B140+B143+B144+B145+B146+B147, "NA")</f>
        <v>106656.82999999999</v>
      </c>
      <c r="C149" s="15">
        <f>IFERROR(B149/B444, "NA")</f>
        <v>0.2451587522505925</v>
      </c>
      <c r="D149" s="2"/>
      <c r="E149" s="14">
        <f>IFERROR(E127+E129+E130+E131+E132+E133+E134+E135+E136+E137+E138+E139+E140+E143+E144+E145+E146+E147, "NA")</f>
        <v>103935.02</v>
      </c>
      <c r="F149" s="15">
        <f>IFERROR(E149/E444, "NA")</f>
        <v>0.23163164836301187</v>
      </c>
      <c r="G149" s="2"/>
      <c r="H149" s="14">
        <f t="shared" si="32"/>
        <v>-2721.8099999999831</v>
      </c>
      <c r="I149" s="15">
        <f>IFERROR(H149/H444, "NA")</f>
        <v>0.19931093064637606</v>
      </c>
      <c r="J149" s="2"/>
      <c r="K149" s="14">
        <f>IFERROR(K127+K129+K130+K131+K132+K133+K134+K135+K136+K137+K138+K139+K140+K143+K144+K145+K146+K147, "NA")</f>
        <v>106950.38999999998</v>
      </c>
      <c r="L149" s="15">
        <f>IFERROR(K149/K444, "NA")</f>
        <v>0.24554943557930156</v>
      </c>
      <c r="M149" s="2"/>
      <c r="N149" s="14">
        <f t="shared" si="33"/>
        <v>293.55999999999767</v>
      </c>
      <c r="O149" s="15">
        <f>IFERROR(N149/N444, "NA")</f>
        <v>-0.58323565056719884</v>
      </c>
      <c r="P149" s="2"/>
      <c r="Q149" s="14">
        <f>IFERROR(Q127+Q129+Q130+Q131+Q132+Q133+Q134+Q135+Q136+Q137+Q138+Q139+Q140+Q143+Q144+Q145+Q146+Q147, "NA")</f>
        <v>106656.82999999999</v>
      </c>
      <c r="R149" s="15">
        <f>IFERROR(Q149/Q444, "NA")</f>
        <v>0.2451587522505925</v>
      </c>
      <c r="S149" s="2"/>
      <c r="T149" s="14">
        <f>IFERROR(T127+T129+T130+T131+T132+T133+T134+T135+T136+T137+T138+T139+T140+T143+T144+T145+T146+T147, "NA")</f>
        <v>103935.02</v>
      </c>
      <c r="U149" s="15">
        <f>IFERROR(T149/T444, "NA")</f>
        <v>0.23163164836301187</v>
      </c>
      <c r="V149" s="2"/>
      <c r="W149" s="14">
        <f t="shared" si="34"/>
        <v>-2721.8099999999831</v>
      </c>
      <c r="X149" s="15">
        <f>IFERROR(W149/W444, "NA")</f>
        <v>0.19931093064637606</v>
      </c>
      <c r="Y149" s="2"/>
      <c r="Z149" s="14">
        <f>IFERROR(Z127+Z129+Z130+Z131+Z132+Z133+Z134+Z135+Z136+Z137+Z138+Z139+Z140+Z143+Z144+Z145+Z146+Z147, "NA")</f>
        <v>106950.38999999998</v>
      </c>
      <c r="AA149" s="15">
        <f>IFERROR(Z149/Z444, "NA")</f>
        <v>0.24554943557930156</v>
      </c>
      <c r="AB149" s="2"/>
      <c r="AC149" s="14">
        <f t="shared" si="35"/>
        <v>293.55999999999767</v>
      </c>
      <c r="AD149" s="15">
        <f>IFERROR(AC149/AC444, "NA")</f>
        <v>-0.58323565056719884</v>
      </c>
    </row>
    <row r="150" spans="1:30" ht="16.5" customHeight="1" x14ac:dyDescent="0.45">
      <c r="A150" s="5" t="s">
        <v>141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45">
      <c r="A151" s="6" t="s">
        <v>141</v>
      </c>
      <c r="B151" s="7">
        <v>0</v>
      </c>
      <c r="C151" s="8">
        <f>IFERROR(B151/B444, "NA")</f>
        <v>0</v>
      </c>
      <c r="D151" s="9"/>
      <c r="E151" s="7">
        <v>0</v>
      </c>
      <c r="F151" s="8">
        <f>IFERROR(E151/E444, "NA")</f>
        <v>0</v>
      </c>
      <c r="G151" s="9"/>
      <c r="H151" s="10">
        <f>IFERROR(-(B151-E151), "NA")</f>
        <v>0</v>
      </c>
      <c r="I151" s="8">
        <f>IFERROR(H151/H444, "NA")</f>
        <v>0</v>
      </c>
      <c r="J151" s="9"/>
      <c r="K151" s="7">
        <v>0</v>
      </c>
      <c r="L151" s="8">
        <f>IFERROR(K151/K444, "NA")</f>
        <v>0</v>
      </c>
      <c r="M151" s="9"/>
      <c r="N151" s="10">
        <f>IFERROR(-(B151-K151), "NA")</f>
        <v>0</v>
      </c>
      <c r="O151" s="8">
        <f>IFERROR(N151/N444, "NA")</f>
        <v>0</v>
      </c>
      <c r="P151" s="9"/>
      <c r="Q151" s="7">
        <v>0</v>
      </c>
      <c r="R151" s="8">
        <f>IFERROR(Q151/Q444, "NA")</f>
        <v>0</v>
      </c>
      <c r="S151" s="9"/>
      <c r="T151" s="7">
        <v>0</v>
      </c>
      <c r="U151" s="8">
        <f>IFERROR(T151/T444, "NA")</f>
        <v>0</v>
      </c>
      <c r="V151" s="9"/>
      <c r="W151" s="10">
        <f>IFERROR(-(Q151-T151), "NA")</f>
        <v>0</v>
      </c>
      <c r="X151" s="8">
        <f>IFERROR(W151/W444, "NA")</f>
        <v>0</v>
      </c>
      <c r="Y151" s="9"/>
      <c r="Z151" s="7">
        <v>0</v>
      </c>
      <c r="AA151" s="8">
        <f>IFERROR(Z151/Z444, "NA")</f>
        <v>0</v>
      </c>
      <c r="AB151" s="9"/>
      <c r="AC151" s="10">
        <f>IFERROR(-(Q151-Z151), "NA")</f>
        <v>0</v>
      </c>
      <c r="AD151" s="8">
        <f>IFERROR(AC151/AC444, "NA")</f>
        <v>0</v>
      </c>
    </row>
    <row r="152" spans="1:30" ht="16.5" customHeight="1" x14ac:dyDescent="0.45">
      <c r="A152" s="11" t="s">
        <v>142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45">
      <c r="A153" s="12" t="s">
        <v>142</v>
      </c>
      <c r="B153" s="7">
        <v>0</v>
      </c>
      <c r="C153" s="8">
        <f>IFERROR(B153/B444, "NA")</f>
        <v>0</v>
      </c>
      <c r="D153" s="9"/>
      <c r="E153" s="7">
        <v>18407.120000000003</v>
      </c>
      <c r="F153" s="8">
        <f>IFERROR(E153/E444, "NA")</f>
        <v>4.1022472956812474E-2</v>
      </c>
      <c r="G153" s="9"/>
      <c r="H153" s="10">
        <f t="shared" ref="H153:H158" si="36">IFERROR(-(B153-E153), "NA")</f>
        <v>18407.120000000003</v>
      </c>
      <c r="I153" s="8">
        <f>IFERROR(H153/H444, "NA")</f>
        <v>-1.3479045994097842</v>
      </c>
      <c r="J153" s="9"/>
      <c r="K153" s="7">
        <v>0</v>
      </c>
      <c r="L153" s="8">
        <f>IFERROR(K153/K444, "NA")</f>
        <v>0</v>
      </c>
      <c r="M153" s="9"/>
      <c r="N153" s="10">
        <f t="shared" ref="N153:N158" si="37">IFERROR(-(B153-K153), "NA")</f>
        <v>0</v>
      </c>
      <c r="O153" s="8">
        <f>IFERROR(N153/N444, "NA")</f>
        <v>0</v>
      </c>
      <c r="P153" s="9"/>
      <c r="Q153" s="7">
        <v>0</v>
      </c>
      <c r="R153" s="8">
        <f>IFERROR(Q153/Q444, "NA")</f>
        <v>0</v>
      </c>
      <c r="S153" s="9"/>
      <c r="T153" s="7">
        <v>18407.120000000003</v>
      </c>
      <c r="U153" s="8">
        <f>IFERROR(T153/T444, "NA")</f>
        <v>4.1022472956812474E-2</v>
      </c>
      <c r="V153" s="9"/>
      <c r="W153" s="10">
        <f t="shared" ref="W153:W158" si="38">IFERROR(-(Q153-T153), "NA")</f>
        <v>18407.120000000003</v>
      </c>
      <c r="X153" s="8">
        <f>IFERROR(W153/W444, "NA")</f>
        <v>-1.3479045994097842</v>
      </c>
      <c r="Y153" s="9"/>
      <c r="Z153" s="7">
        <v>0</v>
      </c>
      <c r="AA153" s="8">
        <f>IFERROR(Z153/Z444, "NA")</f>
        <v>0</v>
      </c>
      <c r="AB153" s="9"/>
      <c r="AC153" s="10">
        <f t="shared" ref="AC153:AC158" si="39">IFERROR(-(Q153-Z153), "NA")</f>
        <v>0</v>
      </c>
      <c r="AD153" s="8">
        <f>IFERROR(AC153/AC444, "NA")</f>
        <v>0</v>
      </c>
    </row>
    <row r="154" spans="1:30" ht="16.5" customHeight="1" x14ac:dyDescent="0.45">
      <c r="A154" s="12" t="s">
        <v>143</v>
      </c>
      <c r="B154" s="7">
        <v>13973.880000000001</v>
      </c>
      <c r="C154" s="8">
        <f>IFERROR(B154/B444, "NA")</f>
        <v>3.2120015051070899E-2</v>
      </c>
      <c r="D154" s="9"/>
      <c r="E154" s="7">
        <v>0</v>
      </c>
      <c r="F154" s="8">
        <f>IFERROR(E154/E444, "NA")</f>
        <v>0</v>
      </c>
      <c r="G154" s="9"/>
      <c r="H154" s="10">
        <f t="shared" si="36"/>
        <v>-13973.880000000001</v>
      </c>
      <c r="I154" s="8">
        <f>IFERROR(H154/H444, "NA")</f>
        <v>1.0232701869494194</v>
      </c>
      <c r="J154" s="9"/>
      <c r="K154" s="7">
        <v>12635.68</v>
      </c>
      <c r="L154" s="8">
        <f>IFERROR(K154/K444, "NA")</f>
        <v>2.9010498158638501E-2</v>
      </c>
      <c r="M154" s="9"/>
      <c r="N154" s="10">
        <f t="shared" si="37"/>
        <v>-1338.2000000000007</v>
      </c>
      <c r="O154" s="8">
        <f>IFERROR(N154/N444, "NA")</f>
        <v>2.6586931039277562</v>
      </c>
      <c r="P154" s="9"/>
      <c r="Q154" s="7">
        <v>13973.880000000001</v>
      </c>
      <c r="R154" s="8">
        <f>IFERROR(Q154/Q444, "NA")</f>
        <v>3.2120015051070899E-2</v>
      </c>
      <c r="S154" s="9"/>
      <c r="T154" s="7">
        <v>0</v>
      </c>
      <c r="U154" s="8">
        <f>IFERROR(T154/T444, "NA")</f>
        <v>0</v>
      </c>
      <c r="V154" s="9"/>
      <c r="W154" s="10">
        <f t="shared" si="38"/>
        <v>-13973.880000000001</v>
      </c>
      <c r="X154" s="8">
        <f>IFERROR(W154/W444, "NA")</f>
        <v>1.0232701869494194</v>
      </c>
      <c r="Y154" s="9"/>
      <c r="Z154" s="7">
        <v>12635.68</v>
      </c>
      <c r="AA154" s="8">
        <f>IFERROR(Z154/Z444, "NA")</f>
        <v>2.9010498158638501E-2</v>
      </c>
      <c r="AB154" s="9"/>
      <c r="AC154" s="10">
        <f t="shared" si="39"/>
        <v>-1338.2000000000007</v>
      </c>
      <c r="AD154" s="8">
        <f>IFERROR(AC154/AC444, "NA")</f>
        <v>2.6586931039277562</v>
      </c>
    </row>
    <row r="155" spans="1:30" ht="16.5" customHeight="1" x14ac:dyDescent="0.45">
      <c r="A155" s="12" t="s">
        <v>144</v>
      </c>
      <c r="B155" s="7">
        <v>5306.6</v>
      </c>
      <c r="C155" s="8">
        <f>IFERROR(B155/B444, "NA")</f>
        <v>1.2197619549474651E-2</v>
      </c>
      <c r="D155" s="9"/>
      <c r="E155" s="7">
        <v>0</v>
      </c>
      <c r="F155" s="8">
        <f>IFERROR(E155/E444, "NA")</f>
        <v>0</v>
      </c>
      <c r="G155" s="9"/>
      <c r="H155" s="10">
        <f t="shared" si="36"/>
        <v>-5306.6</v>
      </c>
      <c r="I155" s="8">
        <f>IFERROR(H155/H444, "NA")</f>
        <v>0.38858824993958646</v>
      </c>
      <c r="J155" s="9"/>
      <c r="K155" s="7">
        <v>5224.1899999999996</v>
      </c>
      <c r="L155" s="8">
        <f>IFERROR(K155/K444, "NA")</f>
        <v>1.1994317233055732E-2</v>
      </c>
      <c r="M155" s="9"/>
      <c r="N155" s="10">
        <f t="shared" si="37"/>
        <v>-82.410000000000764</v>
      </c>
      <c r="O155" s="8">
        <f>IFERROR(N155/N444, "NA")</f>
        <v>0.16372956112291756</v>
      </c>
      <c r="P155" s="9"/>
      <c r="Q155" s="7">
        <v>5306.6</v>
      </c>
      <c r="R155" s="8">
        <f>IFERROR(Q155/Q444, "NA")</f>
        <v>1.2197619549474651E-2</v>
      </c>
      <c r="S155" s="9"/>
      <c r="T155" s="7">
        <v>0</v>
      </c>
      <c r="U155" s="8">
        <f>IFERROR(T155/T444, "NA")</f>
        <v>0</v>
      </c>
      <c r="V155" s="9"/>
      <c r="W155" s="10">
        <f t="shared" si="38"/>
        <v>-5306.6</v>
      </c>
      <c r="X155" s="8">
        <f>IFERROR(W155/W444, "NA")</f>
        <v>0.38858824993958646</v>
      </c>
      <c r="Y155" s="9"/>
      <c r="Z155" s="7">
        <v>5224.1899999999996</v>
      </c>
      <c r="AA155" s="8">
        <f>IFERROR(Z155/Z444, "NA")</f>
        <v>1.1994317233055732E-2</v>
      </c>
      <c r="AB155" s="9"/>
      <c r="AC155" s="10">
        <f t="shared" si="39"/>
        <v>-82.410000000000764</v>
      </c>
      <c r="AD155" s="8">
        <f>IFERROR(AC155/AC444, "NA")</f>
        <v>0.16372956112291756</v>
      </c>
    </row>
    <row r="156" spans="1:30" ht="16.5" customHeight="1" x14ac:dyDescent="0.45">
      <c r="A156" s="12" t="s">
        <v>145</v>
      </c>
      <c r="B156" s="7">
        <v>74.2</v>
      </c>
      <c r="C156" s="8">
        <f>IFERROR(B156/B444, "NA")</f>
        <v>1.7055428533731937E-4</v>
      </c>
      <c r="D156" s="9"/>
      <c r="E156" s="7">
        <v>0</v>
      </c>
      <c r="F156" s="8">
        <f>IFERROR(E156/E444, "NA")</f>
        <v>0</v>
      </c>
      <c r="G156" s="9"/>
      <c r="H156" s="10">
        <f t="shared" si="36"/>
        <v>-74.2</v>
      </c>
      <c r="I156" s="8">
        <f>IFERROR(H156/H444, "NA")</f>
        <v>5.4334692921112039E-3</v>
      </c>
      <c r="J156" s="9"/>
      <c r="K156" s="7">
        <v>0</v>
      </c>
      <c r="L156" s="8">
        <f>IFERROR(K156/K444, "NA")</f>
        <v>0</v>
      </c>
      <c r="M156" s="9"/>
      <c r="N156" s="10">
        <f t="shared" si="37"/>
        <v>-74.2</v>
      </c>
      <c r="O156" s="8">
        <f>IFERROR(N156/N444, "NA")</f>
        <v>0.14741819482247751</v>
      </c>
      <c r="P156" s="9"/>
      <c r="Q156" s="7">
        <v>74.2</v>
      </c>
      <c r="R156" s="8">
        <f>IFERROR(Q156/Q444, "NA")</f>
        <v>1.7055428533731937E-4</v>
      </c>
      <c r="S156" s="9"/>
      <c r="T156" s="7">
        <v>0</v>
      </c>
      <c r="U156" s="8">
        <f>IFERROR(T156/T444, "NA")</f>
        <v>0</v>
      </c>
      <c r="V156" s="9"/>
      <c r="W156" s="10">
        <f t="shared" si="38"/>
        <v>-74.2</v>
      </c>
      <c r="X156" s="8">
        <f>IFERROR(W156/W444, "NA")</f>
        <v>5.4334692921112039E-3</v>
      </c>
      <c r="Y156" s="9"/>
      <c r="Z156" s="7">
        <v>0</v>
      </c>
      <c r="AA156" s="8">
        <f>IFERROR(Z156/Z444, "NA")</f>
        <v>0</v>
      </c>
      <c r="AB156" s="9"/>
      <c r="AC156" s="10">
        <f t="shared" si="39"/>
        <v>-74.2</v>
      </c>
      <c r="AD156" s="8">
        <f>IFERROR(AC156/AC444, "NA")</f>
        <v>0.14741819482247751</v>
      </c>
    </row>
    <row r="157" spans="1:30" ht="16.5" hidden="1" customHeight="1" x14ac:dyDescent="0.45">
      <c r="A157" s="12" t="s">
        <v>146</v>
      </c>
      <c r="B157" s="7">
        <v>0</v>
      </c>
      <c r="C157" s="8">
        <f>IFERROR(B157/B444, "NA")</f>
        <v>0</v>
      </c>
      <c r="D157" s="9"/>
      <c r="E157" s="7">
        <v>0</v>
      </c>
      <c r="F157" s="8">
        <f>IFERROR(E157/E444, "NA")</f>
        <v>0</v>
      </c>
      <c r="G157" s="9"/>
      <c r="H157" s="10">
        <f t="shared" si="36"/>
        <v>0</v>
      </c>
      <c r="I157" s="8">
        <f>IFERROR(H157/H444, "NA")</f>
        <v>0</v>
      </c>
      <c r="J157" s="9"/>
      <c r="K157" s="7">
        <v>0</v>
      </c>
      <c r="L157" s="8">
        <f>IFERROR(K157/K444, "NA")</f>
        <v>0</v>
      </c>
      <c r="M157" s="9"/>
      <c r="N157" s="10">
        <f t="shared" si="37"/>
        <v>0</v>
      </c>
      <c r="O157" s="8">
        <f>IFERROR(N157/N444, "NA")</f>
        <v>0</v>
      </c>
      <c r="P157" s="9"/>
      <c r="Q157" s="7">
        <v>0</v>
      </c>
      <c r="R157" s="8">
        <f>IFERROR(Q157/Q444, "NA")</f>
        <v>0</v>
      </c>
      <c r="S157" s="9"/>
      <c r="T157" s="7">
        <v>0</v>
      </c>
      <c r="U157" s="8">
        <f>IFERROR(T157/T444, "NA")</f>
        <v>0</v>
      </c>
      <c r="V157" s="9"/>
      <c r="W157" s="10">
        <f t="shared" si="38"/>
        <v>0</v>
      </c>
      <c r="X157" s="8">
        <f>IFERROR(W157/W444, "NA")</f>
        <v>0</v>
      </c>
      <c r="Y157" s="9"/>
      <c r="Z157" s="7">
        <v>0</v>
      </c>
      <c r="AA157" s="8">
        <f>IFERROR(Z157/Z444, "NA")</f>
        <v>0</v>
      </c>
      <c r="AB157" s="9"/>
      <c r="AC157" s="10">
        <f t="shared" si="39"/>
        <v>0</v>
      </c>
      <c r="AD157" s="8">
        <f>IFERROR(AC157/AC444, "NA")</f>
        <v>0</v>
      </c>
    </row>
    <row r="158" spans="1:30" ht="16.5" customHeight="1" x14ac:dyDescent="0.45">
      <c r="A158" s="13" t="s">
        <v>147</v>
      </c>
      <c r="B158" s="14">
        <f>IFERROR(B153+B154+B155+B156+B157, "NA")</f>
        <v>19354.680000000004</v>
      </c>
      <c r="C158" s="15">
        <f>IFERROR(B158/B444, "NA")</f>
        <v>4.4488188885882872E-2</v>
      </c>
      <c r="D158" s="2"/>
      <c r="E158" s="14">
        <f>IFERROR(E153+E154+E155+E156+E157, "NA")</f>
        <v>18407.120000000003</v>
      </c>
      <c r="F158" s="15">
        <f>IFERROR(E158/E444, "NA")</f>
        <v>4.1022472956812474E-2</v>
      </c>
      <c r="G158" s="2"/>
      <c r="H158" s="14">
        <f t="shared" si="36"/>
        <v>-947.56000000000131</v>
      </c>
      <c r="I158" s="15">
        <f>IFERROR(H158/H444, "NA")</f>
        <v>6.9387306771332882E-2</v>
      </c>
      <c r="J158" s="2"/>
      <c r="K158" s="14">
        <f>IFERROR(K153+K154+K155+K156+K157, "NA")</f>
        <v>17859.87</v>
      </c>
      <c r="L158" s="15">
        <f>IFERROR(K158/K444, "NA")</f>
        <v>4.1004815391694233E-2</v>
      </c>
      <c r="M158" s="2"/>
      <c r="N158" s="14">
        <f t="shared" si="37"/>
        <v>-1494.8100000000049</v>
      </c>
      <c r="O158" s="15">
        <f>IFERROR(N158/N444, "NA")</f>
        <v>2.969840859873158</v>
      </c>
      <c r="P158" s="2"/>
      <c r="Q158" s="14">
        <f>IFERROR(Q153+Q154+Q155+Q156+Q157, "NA")</f>
        <v>19354.680000000004</v>
      </c>
      <c r="R158" s="15">
        <f>IFERROR(Q158/Q444, "NA")</f>
        <v>4.4488188885882872E-2</v>
      </c>
      <c r="S158" s="2"/>
      <c r="T158" s="14">
        <f>IFERROR(T153+T154+T155+T156+T157, "NA")</f>
        <v>18407.120000000003</v>
      </c>
      <c r="U158" s="15">
        <f>IFERROR(T158/T444, "NA")</f>
        <v>4.1022472956812474E-2</v>
      </c>
      <c r="V158" s="2"/>
      <c r="W158" s="14">
        <f t="shared" si="38"/>
        <v>-947.56000000000131</v>
      </c>
      <c r="X158" s="15">
        <f>IFERROR(W158/W444, "NA")</f>
        <v>6.9387306771332882E-2</v>
      </c>
      <c r="Y158" s="2"/>
      <c r="Z158" s="14">
        <f>IFERROR(Z153+Z154+Z155+Z156+Z157, "NA")</f>
        <v>17859.87</v>
      </c>
      <c r="AA158" s="15">
        <f>IFERROR(Z158/Z444, "NA")</f>
        <v>4.1004815391694233E-2</v>
      </c>
      <c r="AB158" s="2"/>
      <c r="AC158" s="14">
        <f t="shared" si="39"/>
        <v>-1494.8100000000049</v>
      </c>
      <c r="AD158" s="15">
        <f>IFERROR(AC158/AC444, "NA")</f>
        <v>2.969840859873158</v>
      </c>
    </row>
    <row r="159" spans="1:30" ht="16.5" customHeight="1" x14ac:dyDescent="0.45">
      <c r="A159" s="11" t="s">
        <v>148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45">
      <c r="A160" s="12" t="s">
        <v>148</v>
      </c>
      <c r="B160" s="7">
        <v>0</v>
      </c>
      <c r="C160" s="8">
        <f>IFERROR(B160/B444, "NA")</f>
        <v>0</v>
      </c>
      <c r="D160" s="9"/>
      <c r="E160" s="7">
        <v>0</v>
      </c>
      <c r="F160" s="8">
        <f>IFERROR(E160/E444, "NA")</f>
        <v>0</v>
      </c>
      <c r="G160" s="9"/>
      <c r="H160" s="10">
        <f t="shared" ref="H160:H171" si="40">IFERROR(-(B160-E160), "NA")</f>
        <v>0</v>
      </c>
      <c r="I160" s="8">
        <f>IFERROR(H160/H444, "NA")</f>
        <v>0</v>
      </c>
      <c r="J160" s="9"/>
      <c r="K160" s="7">
        <v>0</v>
      </c>
      <c r="L160" s="8">
        <f>IFERROR(K160/K444, "NA")</f>
        <v>0</v>
      </c>
      <c r="M160" s="9"/>
      <c r="N160" s="10">
        <f t="shared" ref="N160:N171" si="41">IFERROR(-(B160-K160), "NA")</f>
        <v>0</v>
      </c>
      <c r="O160" s="8">
        <f>IFERROR(N160/N444, "NA")</f>
        <v>0</v>
      </c>
      <c r="P160" s="9"/>
      <c r="Q160" s="7">
        <v>0</v>
      </c>
      <c r="R160" s="8">
        <f>IFERROR(Q160/Q444, "NA")</f>
        <v>0</v>
      </c>
      <c r="S160" s="9"/>
      <c r="T160" s="7">
        <v>0</v>
      </c>
      <c r="U160" s="8">
        <f>IFERROR(T160/T444, "NA")</f>
        <v>0</v>
      </c>
      <c r="V160" s="9"/>
      <c r="W160" s="10">
        <f t="shared" ref="W160:W171" si="42">IFERROR(-(Q160-T160), "NA")</f>
        <v>0</v>
      </c>
      <c r="X160" s="8">
        <f>IFERROR(W160/W444, "NA")</f>
        <v>0</v>
      </c>
      <c r="Y160" s="9"/>
      <c r="Z160" s="7">
        <v>0</v>
      </c>
      <c r="AA160" s="8">
        <f>IFERROR(Z160/Z444, "NA")</f>
        <v>0</v>
      </c>
      <c r="AB160" s="9"/>
      <c r="AC160" s="10">
        <f t="shared" ref="AC160:AC171" si="43">IFERROR(-(Q160-Z160), "NA")</f>
        <v>0</v>
      </c>
      <c r="AD160" s="8">
        <f>IFERROR(AC160/AC444, "NA")</f>
        <v>0</v>
      </c>
    </row>
    <row r="161" spans="1:30" ht="16.5" customHeight="1" x14ac:dyDescent="0.45">
      <c r="A161" s="12" t="s">
        <v>149</v>
      </c>
      <c r="B161" s="7">
        <v>1124.92</v>
      </c>
      <c r="C161" s="8">
        <f>IFERROR(B161/B444, "NA")</f>
        <v>2.5857132973269182E-3</v>
      </c>
      <c r="D161" s="9"/>
      <c r="E161" s="7">
        <v>0</v>
      </c>
      <c r="F161" s="8">
        <f>IFERROR(E161/E444, "NA")</f>
        <v>0</v>
      </c>
      <c r="G161" s="9"/>
      <c r="H161" s="10">
        <f t="shared" si="40"/>
        <v>-1124.92</v>
      </c>
      <c r="I161" s="8">
        <f>IFERROR(H161/H444, "NA")</f>
        <v>8.2374909381155464E-2</v>
      </c>
      <c r="J161" s="9"/>
      <c r="K161" s="7">
        <v>1136.6099999999999</v>
      </c>
      <c r="L161" s="8">
        <f>IFERROR(K161/K444, "NA")</f>
        <v>2.6095645277571214E-3</v>
      </c>
      <c r="M161" s="9"/>
      <c r="N161" s="10">
        <f t="shared" si="41"/>
        <v>11.689999999999827</v>
      </c>
      <c r="O161" s="8">
        <f>IFERROR(N161/N444, "NA")</f>
        <v>-2.3225319372974885E-2</v>
      </c>
      <c r="P161" s="9"/>
      <c r="Q161" s="7">
        <v>1124.92</v>
      </c>
      <c r="R161" s="8">
        <f>IFERROR(Q161/Q444, "NA")</f>
        <v>2.5857132973269182E-3</v>
      </c>
      <c r="S161" s="9"/>
      <c r="T161" s="7">
        <v>0</v>
      </c>
      <c r="U161" s="8">
        <f>IFERROR(T161/T444, "NA")</f>
        <v>0</v>
      </c>
      <c r="V161" s="9"/>
      <c r="W161" s="10">
        <f t="shared" si="42"/>
        <v>-1124.92</v>
      </c>
      <c r="X161" s="8">
        <f>IFERROR(W161/W444, "NA")</f>
        <v>8.2374909381155464E-2</v>
      </c>
      <c r="Y161" s="9"/>
      <c r="Z161" s="7">
        <v>1136.6099999999999</v>
      </c>
      <c r="AA161" s="8">
        <f>IFERROR(Z161/Z444, "NA")</f>
        <v>2.6095645277571214E-3</v>
      </c>
      <c r="AB161" s="9"/>
      <c r="AC161" s="10">
        <f t="shared" si="43"/>
        <v>11.689999999999827</v>
      </c>
      <c r="AD161" s="8">
        <f>IFERROR(AC161/AC444, "NA")</f>
        <v>-2.3225319372974885E-2</v>
      </c>
    </row>
    <row r="162" spans="1:30" ht="16.5" customHeight="1" x14ac:dyDescent="0.45">
      <c r="A162" s="12" t="s">
        <v>150</v>
      </c>
      <c r="B162" s="7">
        <v>3.5</v>
      </c>
      <c r="C162" s="8">
        <f>IFERROR(B162/B444, "NA")</f>
        <v>8.0450134593075177E-6</v>
      </c>
      <c r="D162" s="9"/>
      <c r="E162" s="7">
        <v>0</v>
      </c>
      <c r="F162" s="8">
        <f>IFERROR(E162/E444, "NA")</f>
        <v>0</v>
      </c>
      <c r="G162" s="9"/>
      <c r="H162" s="10">
        <f t="shared" si="40"/>
        <v>-3.5</v>
      </c>
      <c r="I162" s="8">
        <f>IFERROR(H162/H444, "NA")</f>
        <v>2.562957213260002E-4</v>
      </c>
      <c r="J162" s="9"/>
      <c r="K162" s="7">
        <v>0</v>
      </c>
      <c r="L162" s="8">
        <f>IFERROR(K162/K444, "NA")</f>
        <v>0</v>
      </c>
      <c r="M162" s="9"/>
      <c r="N162" s="10">
        <f t="shared" si="41"/>
        <v>-3.5</v>
      </c>
      <c r="O162" s="8">
        <f>IFERROR(N162/N444, "NA")</f>
        <v>6.9536884350225236E-3</v>
      </c>
      <c r="P162" s="9"/>
      <c r="Q162" s="7">
        <v>3.5</v>
      </c>
      <c r="R162" s="8">
        <f>IFERROR(Q162/Q444, "NA")</f>
        <v>8.0450134593075177E-6</v>
      </c>
      <c r="S162" s="9"/>
      <c r="T162" s="7">
        <v>0</v>
      </c>
      <c r="U162" s="8">
        <f>IFERROR(T162/T444, "NA")</f>
        <v>0</v>
      </c>
      <c r="V162" s="9"/>
      <c r="W162" s="10">
        <f t="shared" si="42"/>
        <v>-3.5</v>
      </c>
      <c r="X162" s="8">
        <f>IFERROR(W162/W444, "NA")</f>
        <v>2.562957213260002E-4</v>
      </c>
      <c r="Y162" s="9"/>
      <c r="Z162" s="7">
        <v>0</v>
      </c>
      <c r="AA162" s="8">
        <f>IFERROR(Z162/Z444, "NA")</f>
        <v>0</v>
      </c>
      <c r="AB162" s="9"/>
      <c r="AC162" s="10">
        <f t="shared" si="43"/>
        <v>-3.5</v>
      </c>
      <c r="AD162" s="8">
        <f>IFERROR(AC162/AC444, "NA")</f>
        <v>6.9536884350225236E-3</v>
      </c>
    </row>
    <row r="163" spans="1:30" ht="16.5" hidden="1" customHeight="1" x14ac:dyDescent="0.45">
      <c r="A163" s="12" t="s">
        <v>151</v>
      </c>
      <c r="B163" s="7">
        <v>0</v>
      </c>
      <c r="C163" s="8">
        <f>IFERROR(B163/B444, "NA")</f>
        <v>0</v>
      </c>
      <c r="D163" s="9"/>
      <c r="E163" s="7">
        <v>0</v>
      </c>
      <c r="F163" s="8">
        <f>IFERROR(E163/E444, "NA")</f>
        <v>0</v>
      </c>
      <c r="G163" s="9"/>
      <c r="H163" s="10">
        <f t="shared" si="40"/>
        <v>0</v>
      </c>
      <c r="I163" s="8">
        <f>IFERROR(H163/H444, "NA")</f>
        <v>0</v>
      </c>
      <c r="J163" s="9"/>
      <c r="K163" s="7">
        <v>0</v>
      </c>
      <c r="L163" s="8">
        <f>IFERROR(K163/K444, "NA")</f>
        <v>0</v>
      </c>
      <c r="M163" s="9"/>
      <c r="N163" s="10">
        <f t="shared" si="41"/>
        <v>0</v>
      </c>
      <c r="O163" s="8">
        <f>IFERROR(N163/N444, "NA")</f>
        <v>0</v>
      </c>
      <c r="P163" s="9"/>
      <c r="Q163" s="7">
        <v>0</v>
      </c>
      <c r="R163" s="8">
        <f>IFERROR(Q163/Q444, "NA")</f>
        <v>0</v>
      </c>
      <c r="S163" s="9"/>
      <c r="T163" s="7">
        <v>0</v>
      </c>
      <c r="U163" s="8">
        <f>IFERROR(T163/T444, "NA")</f>
        <v>0</v>
      </c>
      <c r="V163" s="9"/>
      <c r="W163" s="10">
        <f t="shared" si="42"/>
        <v>0</v>
      </c>
      <c r="X163" s="8">
        <f>IFERROR(W163/W444, "NA")</f>
        <v>0</v>
      </c>
      <c r="Y163" s="9"/>
      <c r="Z163" s="7">
        <v>0</v>
      </c>
      <c r="AA163" s="8">
        <f>IFERROR(Z163/Z444, "NA")</f>
        <v>0</v>
      </c>
      <c r="AB163" s="9"/>
      <c r="AC163" s="10">
        <f t="shared" si="43"/>
        <v>0</v>
      </c>
      <c r="AD163" s="8">
        <f>IFERROR(AC163/AC444, "NA")</f>
        <v>0</v>
      </c>
    </row>
    <row r="164" spans="1:30" ht="16.5" hidden="1" customHeight="1" x14ac:dyDescent="0.45">
      <c r="A164" s="12" t="s">
        <v>152</v>
      </c>
      <c r="B164" s="7">
        <v>0</v>
      </c>
      <c r="C164" s="8">
        <f>IFERROR(B164/B444, "NA")</f>
        <v>0</v>
      </c>
      <c r="D164" s="9"/>
      <c r="E164" s="7">
        <v>0</v>
      </c>
      <c r="F164" s="8">
        <f>IFERROR(E164/E444, "NA")</f>
        <v>0</v>
      </c>
      <c r="G164" s="9"/>
      <c r="H164" s="10">
        <f t="shared" si="40"/>
        <v>0</v>
      </c>
      <c r="I164" s="8">
        <f>IFERROR(H164/H444, "NA")</f>
        <v>0</v>
      </c>
      <c r="J164" s="9"/>
      <c r="K164" s="7">
        <v>0</v>
      </c>
      <c r="L164" s="8">
        <f>IFERROR(K164/K444, "NA")</f>
        <v>0</v>
      </c>
      <c r="M164" s="9"/>
      <c r="N164" s="10">
        <f t="shared" si="41"/>
        <v>0</v>
      </c>
      <c r="O164" s="8">
        <f>IFERROR(N164/N444, "NA")</f>
        <v>0</v>
      </c>
      <c r="P164" s="9"/>
      <c r="Q164" s="7">
        <v>0</v>
      </c>
      <c r="R164" s="8">
        <f>IFERROR(Q164/Q444, "NA")</f>
        <v>0</v>
      </c>
      <c r="S164" s="9"/>
      <c r="T164" s="7">
        <v>0</v>
      </c>
      <c r="U164" s="8">
        <f>IFERROR(T164/T444, "NA")</f>
        <v>0</v>
      </c>
      <c r="V164" s="9"/>
      <c r="W164" s="10">
        <f t="shared" si="42"/>
        <v>0</v>
      </c>
      <c r="X164" s="8">
        <f>IFERROR(W164/W444, "NA")</f>
        <v>0</v>
      </c>
      <c r="Y164" s="9"/>
      <c r="Z164" s="7">
        <v>0</v>
      </c>
      <c r="AA164" s="8">
        <f>IFERROR(Z164/Z444, "NA")</f>
        <v>0</v>
      </c>
      <c r="AB164" s="9"/>
      <c r="AC164" s="10">
        <f t="shared" si="43"/>
        <v>0</v>
      </c>
      <c r="AD164" s="8">
        <f>IFERROR(AC164/AC444, "NA")</f>
        <v>0</v>
      </c>
    </row>
    <row r="165" spans="1:30" ht="16.5" hidden="1" customHeight="1" x14ac:dyDescent="0.45">
      <c r="A165" s="12" t="s">
        <v>153</v>
      </c>
      <c r="B165" s="7">
        <v>0</v>
      </c>
      <c r="C165" s="8">
        <f>IFERROR(B165/B444, "NA")</f>
        <v>0</v>
      </c>
      <c r="D165" s="9"/>
      <c r="E165" s="7">
        <v>0</v>
      </c>
      <c r="F165" s="8">
        <f>IFERROR(E165/E444, "NA")</f>
        <v>0</v>
      </c>
      <c r="G165" s="9"/>
      <c r="H165" s="10">
        <f t="shared" si="40"/>
        <v>0</v>
      </c>
      <c r="I165" s="8">
        <f>IFERROR(H165/H444, "NA")</f>
        <v>0</v>
      </c>
      <c r="J165" s="9"/>
      <c r="K165" s="7">
        <v>0</v>
      </c>
      <c r="L165" s="8">
        <f>IFERROR(K165/K444, "NA")</f>
        <v>0</v>
      </c>
      <c r="M165" s="9"/>
      <c r="N165" s="10">
        <f t="shared" si="41"/>
        <v>0</v>
      </c>
      <c r="O165" s="8">
        <f>IFERROR(N165/N444, "NA")</f>
        <v>0</v>
      </c>
      <c r="P165" s="9"/>
      <c r="Q165" s="7">
        <v>0</v>
      </c>
      <c r="R165" s="8">
        <f>IFERROR(Q165/Q444, "NA")</f>
        <v>0</v>
      </c>
      <c r="S165" s="9"/>
      <c r="T165" s="7">
        <v>0</v>
      </c>
      <c r="U165" s="8">
        <f>IFERROR(T165/T444, "NA")</f>
        <v>0</v>
      </c>
      <c r="V165" s="9"/>
      <c r="W165" s="10">
        <f t="shared" si="42"/>
        <v>0</v>
      </c>
      <c r="X165" s="8">
        <f>IFERROR(W165/W444, "NA")</f>
        <v>0</v>
      </c>
      <c r="Y165" s="9"/>
      <c r="Z165" s="7">
        <v>0</v>
      </c>
      <c r="AA165" s="8">
        <f>IFERROR(Z165/Z444, "NA")</f>
        <v>0</v>
      </c>
      <c r="AB165" s="9"/>
      <c r="AC165" s="10">
        <f t="shared" si="43"/>
        <v>0</v>
      </c>
      <c r="AD165" s="8">
        <f>IFERROR(AC165/AC444, "NA")</f>
        <v>0</v>
      </c>
    </row>
    <row r="166" spans="1:30" ht="16.5" customHeight="1" x14ac:dyDescent="0.45">
      <c r="A166" s="13" t="s">
        <v>154</v>
      </c>
      <c r="B166" s="14">
        <f>IFERROR(B160+B161+B162+B163+B164+B165, "NA")</f>
        <v>1128.42</v>
      </c>
      <c r="C166" s="15">
        <f>IFERROR(B166/B444, "NA")</f>
        <v>2.5937583107862256E-3</v>
      </c>
      <c r="D166" s="2"/>
      <c r="E166" s="14">
        <f>IFERROR(E160+E161+E162+E163+E164+E165, "NA")</f>
        <v>0</v>
      </c>
      <c r="F166" s="15">
        <f>IFERROR(E166/E444, "NA")</f>
        <v>0</v>
      </c>
      <c r="G166" s="2"/>
      <c r="H166" s="14">
        <f t="shared" si="40"/>
        <v>-1128.42</v>
      </c>
      <c r="I166" s="15">
        <f>IFERROR(H166/H444, "NA")</f>
        <v>8.2631205102481467E-2</v>
      </c>
      <c r="J166" s="2"/>
      <c r="K166" s="14">
        <f>IFERROR(K160+K161+K162+K163+K164+K165, "NA")</f>
        <v>1136.6099999999999</v>
      </c>
      <c r="L166" s="15">
        <f>IFERROR(K166/K444, "NA")</f>
        <v>2.6095645277571214E-3</v>
      </c>
      <c r="M166" s="2"/>
      <c r="N166" s="14">
        <f t="shared" si="41"/>
        <v>8.1899999999998272</v>
      </c>
      <c r="O166" s="15">
        <f>IFERROR(N166/N444, "NA")</f>
        <v>-1.627163093795236E-2</v>
      </c>
      <c r="P166" s="2"/>
      <c r="Q166" s="14">
        <f>IFERROR(Q160+Q161+Q162+Q163+Q164+Q165, "NA")</f>
        <v>1128.42</v>
      </c>
      <c r="R166" s="15">
        <f>IFERROR(Q166/Q444, "NA")</f>
        <v>2.5937583107862256E-3</v>
      </c>
      <c r="S166" s="2"/>
      <c r="T166" s="14">
        <f>IFERROR(T160+T161+T162+T163+T164+T165, "NA")</f>
        <v>0</v>
      </c>
      <c r="U166" s="15">
        <f>IFERROR(T166/T444, "NA")</f>
        <v>0</v>
      </c>
      <c r="V166" s="2"/>
      <c r="W166" s="14">
        <f t="shared" si="42"/>
        <v>-1128.42</v>
      </c>
      <c r="X166" s="15">
        <f>IFERROR(W166/W444, "NA")</f>
        <v>8.2631205102481467E-2</v>
      </c>
      <c r="Y166" s="2"/>
      <c r="Z166" s="14">
        <f>IFERROR(Z160+Z161+Z162+Z163+Z164+Z165, "NA")</f>
        <v>1136.6099999999999</v>
      </c>
      <c r="AA166" s="15">
        <f>IFERROR(Z166/Z444, "NA")</f>
        <v>2.6095645277571214E-3</v>
      </c>
      <c r="AB166" s="2"/>
      <c r="AC166" s="14">
        <f t="shared" si="43"/>
        <v>8.1899999999998272</v>
      </c>
      <c r="AD166" s="15">
        <f>IFERROR(AC166/AC444, "NA")</f>
        <v>-1.627163093795236E-2</v>
      </c>
    </row>
    <row r="167" spans="1:30" ht="16.5" customHeight="1" x14ac:dyDescent="0.45">
      <c r="A167" s="6" t="s">
        <v>155</v>
      </c>
      <c r="B167" s="7">
        <v>724.73</v>
      </c>
      <c r="C167" s="8">
        <f>IFERROR(B167/B444, "NA")</f>
        <v>1.6658464583896965E-3</v>
      </c>
      <c r="D167" s="9"/>
      <c r="E167" s="7">
        <v>0</v>
      </c>
      <c r="F167" s="8">
        <f>IFERROR(E167/E444, "NA")</f>
        <v>0</v>
      </c>
      <c r="G167" s="9"/>
      <c r="H167" s="10">
        <f t="shared" si="40"/>
        <v>-724.73</v>
      </c>
      <c r="I167" s="8">
        <f>IFERROR(H167/H444, "NA")</f>
        <v>5.3070056604740602E-2</v>
      </c>
      <c r="J167" s="9"/>
      <c r="K167" s="7">
        <v>673.39</v>
      </c>
      <c r="L167" s="8">
        <f>IFERROR(K167/K444, "NA")</f>
        <v>1.5460489150600188E-3</v>
      </c>
      <c r="M167" s="9"/>
      <c r="N167" s="10">
        <f t="shared" si="41"/>
        <v>-51.340000000000032</v>
      </c>
      <c r="O167" s="8">
        <f>IFERROR(N167/N444, "NA")</f>
        <v>0.10200067550115902</v>
      </c>
      <c r="P167" s="9"/>
      <c r="Q167" s="7">
        <v>724.73</v>
      </c>
      <c r="R167" s="8">
        <f>IFERROR(Q167/Q444, "NA")</f>
        <v>1.6658464583896965E-3</v>
      </c>
      <c r="S167" s="9"/>
      <c r="T167" s="7">
        <v>0</v>
      </c>
      <c r="U167" s="8">
        <f>IFERROR(T167/T444, "NA")</f>
        <v>0</v>
      </c>
      <c r="V167" s="9"/>
      <c r="W167" s="10">
        <f t="shared" si="42"/>
        <v>-724.73</v>
      </c>
      <c r="X167" s="8">
        <f>IFERROR(W167/W444, "NA")</f>
        <v>5.3070056604740602E-2</v>
      </c>
      <c r="Y167" s="9"/>
      <c r="Z167" s="7">
        <v>673.39</v>
      </c>
      <c r="AA167" s="8">
        <f>IFERROR(Z167/Z444, "NA")</f>
        <v>1.5460489150600188E-3</v>
      </c>
      <c r="AB167" s="9"/>
      <c r="AC167" s="10">
        <f t="shared" si="43"/>
        <v>-51.340000000000032</v>
      </c>
      <c r="AD167" s="8">
        <f>IFERROR(AC167/AC444, "NA")</f>
        <v>0.10200067550115902</v>
      </c>
    </row>
    <row r="168" spans="1:30" ht="16.5" customHeight="1" x14ac:dyDescent="0.45">
      <c r="A168" s="6" t="s">
        <v>156</v>
      </c>
      <c r="B168" s="7">
        <v>151.55000000000001</v>
      </c>
      <c r="C168" s="8">
        <f>IFERROR(B168/B444, "NA")</f>
        <v>3.4834908278801556E-4</v>
      </c>
      <c r="D168" s="9"/>
      <c r="E168" s="7">
        <v>0</v>
      </c>
      <c r="F168" s="8">
        <f>IFERROR(E168/E444, "NA")</f>
        <v>0</v>
      </c>
      <c r="G168" s="9"/>
      <c r="H168" s="10">
        <f t="shared" si="40"/>
        <v>-151.55000000000001</v>
      </c>
      <c r="I168" s="8">
        <f>IFERROR(H168/H444, "NA")</f>
        <v>1.1097604733415808E-2</v>
      </c>
      <c r="J168" s="9"/>
      <c r="K168" s="7">
        <v>194.60000000000002</v>
      </c>
      <c r="L168" s="8">
        <f>IFERROR(K168/K444, "NA")</f>
        <v>4.4678584307857218E-4</v>
      </c>
      <c r="M168" s="9"/>
      <c r="N168" s="10">
        <f t="shared" si="41"/>
        <v>43.050000000000011</v>
      </c>
      <c r="O168" s="8">
        <f>IFERROR(N168/N444, "NA")</f>
        <v>-8.5530367750777062E-2</v>
      </c>
      <c r="P168" s="9"/>
      <c r="Q168" s="7">
        <v>151.55000000000001</v>
      </c>
      <c r="R168" s="8">
        <f>IFERROR(Q168/Q444, "NA")</f>
        <v>3.4834908278801556E-4</v>
      </c>
      <c r="S168" s="9"/>
      <c r="T168" s="7">
        <v>0</v>
      </c>
      <c r="U168" s="8">
        <f>IFERROR(T168/T444, "NA")</f>
        <v>0</v>
      </c>
      <c r="V168" s="9"/>
      <c r="W168" s="10">
        <f t="shared" si="42"/>
        <v>-151.55000000000001</v>
      </c>
      <c r="X168" s="8">
        <f>IFERROR(W168/W444, "NA")</f>
        <v>1.1097604733415808E-2</v>
      </c>
      <c r="Y168" s="9"/>
      <c r="Z168" s="7">
        <v>194.60000000000002</v>
      </c>
      <c r="AA168" s="8">
        <f>IFERROR(Z168/Z444, "NA")</f>
        <v>4.4678584307857218E-4</v>
      </c>
      <c r="AB168" s="9"/>
      <c r="AC168" s="10">
        <f t="shared" si="43"/>
        <v>43.050000000000011</v>
      </c>
      <c r="AD168" s="8">
        <f>IFERROR(AC168/AC444, "NA")</f>
        <v>-8.5530367750777062E-2</v>
      </c>
    </row>
    <row r="169" spans="1:30" ht="16.5" customHeight="1" x14ac:dyDescent="0.45">
      <c r="A169" s="6" t="s">
        <v>157</v>
      </c>
      <c r="B169" s="7">
        <v>-5308.03</v>
      </c>
      <c r="C169" s="8">
        <f>IFERROR(B169/B444, "NA")</f>
        <v>-1.2200906512116595E-2</v>
      </c>
      <c r="D169" s="9"/>
      <c r="E169" s="7">
        <v>0</v>
      </c>
      <c r="F169" s="8">
        <f>IFERROR(E169/E444, "NA")</f>
        <v>0</v>
      </c>
      <c r="G169" s="9"/>
      <c r="H169" s="10">
        <f t="shared" si="40"/>
        <v>5308.03</v>
      </c>
      <c r="I169" s="8">
        <f>IFERROR(H169/H444, "NA")</f>
        <v>-0.38869296504858536</v>
      </c>
      <c r="J169" s="9"/>
      <c r="K169" s="7">
        <v>-12423.76</v>
      </c>
      <c r="L169" s="8">
        <f>IFERROR(K169/K444, "NA")</f>
        <v>-2.8523946997974517E-2</v>
      </c>
      <c r="M169" s="9"/>
      <c r="N169" s="10">
        <f t="shared" si="41"/>
        <v>-7115.7300000000005</v>
      </c>
      <c r="O169" s="8">
        <f>IFERROR(N169/N444, "NA")</f>
        <v>14.137305545069378</v>
      </c>
      <c r="P169" s="9"/>
      <c r="Q169" s="7">
        <v>-5308.03</v>
      </c>
      <c r="R169" s="8">
        <f>IFERROR(Q169/Q444, "NA")</f>
        <v>-1.2200906512116595E-2</v>
      </c>
      <c r="S169" s="9"/>
      <c r="T169" s="7">
        <v>0</v>
      </c>
      <c r="U169" s="8">
        <f>IFERROR(T169/T444, "NA")</f>
        <v>0</v>
      </c>
      <c r="V169" s="9"/>
      <c r="W169" s="10">
        <f t="shared" si="42"/>
        <v>5308.03</v>
      </c>
      <c r="X169" s="8">
        <f>IFERROR(W169/W444, "NA")</f>
        <v>-0.38869296504858536</v>
      </c>
      <c r="Y169" s="9"/>
      <c r="Z169" s="7">
        <v>-12423.76</v>
      </c>
      <c r="AA169" s="8">
        <f>IFERROR(Z169/Z444, "NA")</f>
        <v>-2.8523946997974517E-2</v>
      </c>
      <c r="AB169" s="9"/>
      <c r="AC169" s="10">
        <f t="shared" si="43"/>
        <v>-7115.7300000000005</v>
      </c>
      <c r="AD169" s="8">
        <f>IFERROR(AC169/AC444, "NA")</f>
        <v>14.137305545069378</v>
      </c>
    </row>
    <row r="170" spans="1:30" ht="16.5" customHeight="1" x14ac:dyDescent="0.45">
      <c r="A170" s="19" t="s">
        <v>158</v>
      </c>
      <c r="B170" s="14">
        <f>IFERROR(B151+B153+B154+B155+B156+B157+B160+B161+B162+B163+B164+B165+B167+B168+B169, "NA")</f>
        <v>16051.350000000006</v>
      </c>
      <c r="C170" s="15">
        <f>IFERROR(B170/B444, "NA")</f>
        <v>3.6895236225730224E-2</v>
      </c>
      <c r="D170" s="2"/>
      <c r="E170" s="14">
        <f>IFERROR(E151+E153+E154+E155+E156+E157+E160+E161+E162+E163+E164+E165+E167+E168+E169, "NA")</f>
        <v>18407.120000000003</v>
      </c>
      <c r="F170" s="15">
        <f>IFERROR(E170/E444, "NA")</f>
        <v>4.1022472956812474E-2</v>
      </c>
      <c r="G170" s="2"/>
      <c r="H170" s="14">
        <f t="shared" si="40"/>
        <v>2355.7699999999968</v>
      </c>
      <c r="I170" s="15">
        <f>IFERROR(H170/H444, "NA")</f>
        <v>-0.17250679183661446</v>
      </c>
      <c r="J170" s="2"/>
      <c r="K170" s="14">
        <f>IFERROR(K151+K153+K154+K155+K156+K157+K160+K161+K162+K163+K164+K165+K167+K168+K169, "NA")</f>
        <v>7440.7099999999973</v>
      </c>
      <c r="L170" s="15">
        <f>IFERROR(K170/K444, "NA")</f>
        <v>1.7083267679615422E-2</v>
      </c>
      <c r="M170" s="2"/>
      <c r="N170" s="14">
        <f t="shared" si="41"/>
        <v>-8610.6400000000085</v>
      </c>
      <c r="O170" s="15">
        <f>IFERROR(N170/N444, "NA")</f>
        <v>17.107345081754971</v>
      </c>
      <c r="P170" s="2"/>
      <c r="Q170" s="14">
        <f>IFERROR(Q151+Q153+Q154+Q155+Q156+Q157+Q160+Q161+Q162+Q163+Q164+Q165+Q167+Q168+Q169, "NA")</f>
        <v>16051.350000000006</v>
      </c>
      <c r="R170" s="15">
        <f>IFERROR(Q170/Q444, "NA")</f>
        <v>3.6895236225730224E-2</v>
      </c>
      <c r="S170" s="2"/>
      <c r="T170" s="14">
        <f>IFERROR(T151+T153+T154+T155+T156+T157+T160+T161+T162+T163+T164+T165+T167+T168+T169, "NA")</f>
        <v>18407.120000000003</v>
      </c>
      <c r="U170" s="15">
        <f>IFERROR(T170/T444, "NA")</f>
        <v>4.1022472956812474E-2</v>
      </c>
      <c r="V170" s="2"/>
      <c r="W170" s="14">
        <f t="shared" si="42"/>
        <v>2355.7699999999968</v>
      </c>
      <c r="X170" s="15">
        <f>IFERROR(W170/W444, "NA")</f>
        <v>-0.17250679183661446</v>
      </c>
      <c r="Y170" s="2"/>
      <c r="Z170" s="14">
        <f>IFERROR(Z151+Z153+Z154+Z155+Z156+Z157+Z160+Z161+Z162+Z163+Z164+Z165+Z167+Z168+Z169, "NA")</f>
        <v>7440.7099999999973</v>
      </c>
      <c r="AA170" s="15">
        <f>IFERROR(Z170/Z444, "NA")</f>
        <v>1.7083267679615422E-2</v>
      </c>
      <c r="AB170" s="2"/>
      <c r="AC170" s="14">
        <f t="shared" si="43"/>
        <v>-8610.6400000000085</v>
      </c>
      <c r="AD170" s="15">
        <f>IFERROR(AC170/AC444, "NA")</f>
        <v>17.107345081754971</v>
      </c>
    </row>
    <row r="171" spans="1:30" ht="16.5" customHeight="1" x14ac:dyDescent="0.45">
      <c r="A171" s="21" t="s">
        <v>159</v>
      </c>
      <c r="B171" s="14">
        <f>IFERROR(B127+B129+B130+B131+B132+B133+B134+B135+B136+B137+B138+B139+B140+B143+B144+B145+B146+B147+B151+B153+B154+B155+B156+B157+B160+B161+B162+B163+B164+B165+B167+B168+B169, "NA")</f>
        <v>122708.18</v>
      </c>
      <c r="C171" s="15">
        <f>IFERROR(B171/B444, "NA")</f>
        <v>0.28205398847632274</v>
      </c>
      <c r="D171" s="2"/>
      <c r="E171" s="14">
        <f>IFERROR(E127+E129+E130+E131+E132+E133+E134+E135+E136+E137+E138+E139+E140+E143+E144+E145+E146+E147+E151+E153+E154+E155+E156+E157+E160+E161+E162+E163+E164+E165+E167+E168+E169, "NA")</f>
        <v>122342.14000000001</v>
      </c>
      <c r="F171" s="15">
        <f>IFERROR(E171/E444, "NA")</f>
        <v>0.27265412131982436</v>
      </c>
      <c r="G171" s="2"/>
      <c r="H171" s="14">
        <f t="shared" si="40"/>
        <v>-366.03999999997905</v>
      </c>
      <c r="I171" s="15">
        <f>IFERROR(H171/H444, "NA")</f>
        <v>2.6804138809761069E-2</v>
      </c>
      <c r="J171" s="2"/>
      <c r="K171" s="14">
        <f>IFERROR(K127+K129+K130+K131+K132+K133+K134+K135+K136+K137+K138+K139+K140+K143+K144+K145+K146+K147+K151+K153+K154+K155+K156+K157+K160+K161+K162+K163+K164+K165+K167+K168+K169, "NA")</f>
        <v>114391.09999999999</v>
      </c>
      <c r="L171" s="15">
        <f>IFERROR(K171/K444, "NA")</f>
        <v>0.26263270325891702</v>
      </c>
      <c r="M171" s="2"/>
      <c r="N171" s="14">
        <f t="shared" si="41"/>
        <v>-8317.0800000000017</v>
      </c>
      <c r="O171" s="15">
        <f>IFERROR(N171/N444, "NA")</f>
        <v>16.524109431187753</v>
      </c>
      <c r="P171" s="2"/>
      <c r="Q171" s="14">
        <f>IFERROR(Q127+Q129+Q130+Q131+Q132+Q133+Q134+Q135+Q136+Q137+Q138+Q139+Q140+Q143+Q144+Q145+Q146+Q147+Q151+Q153+Q154+Q155+Q156+Q157+Q160+Q161+Q162+Q163+Q164+Q165+Q167+Q168+Q169, "NA")</f>
        <v>122708.18</v>
      </c>
      <c r="R171" s="15">
        <f>IFERROR(Q171/Q444, "NA")</f>
        <v>0.28205398847632274</v>
      </c>
      <c r="S171" s="2"/>
      <c r="T171" s="14">
        <f>IFERROR(T127+T129+T130+T131+T132+T133+T134+T135+T136+T137+T138+T139+T140+T143+T144+T145+T146+T147+T151+T153+T154+T155+T156+T157+T160+T161+T162+T163+T164+T165+T167+T168+T169, "NA")</f>
        <v>122342.14000000001</v>
      </c>
      <c r="U171" s="15">
        <f>IFERROR(T171/T444, "NA")</f>
        <v>0.27265412131982436</v>
      </c>
      <c r="V171" s="2"/>
      <c r="W171" s="14">
        <f t="shared" si="42"/>
        <v>-366.03999999997905</v>
      </c>
      <c r="X171" s="15">
        <f>IFERROR(W171/W444, "NA")</f>
        <v>2.6804138809761069E-2</v>
      </c>
      <c r="Y171" s="2"/>
      <c r="Z171" s="14">
        <f>IFERROR(Z127+Z129+Z130+Z131+Z132+Z133+Z134+Z135+Z136+Z137+Z138+Z139+Z140+Z143+Z144+Z145+Z146+Z147+Z151+Z153+Z154+Z155+Z156+Z157+Z160+Z161+Z162+Z163+Z164+Z165+Z167+Z168+Z169, "NA")</f>
        <v>114391.09999999999</v>
      </c>
      <c r="AA171" s="15">
        <f>IFERROR(Z171/Z444, "NA")</f>
        <v>0.26263270325891702</v>
      </c>
      <c r="AB171" s="2"/>
      <c r="AC171" s="14">
        <f t="shared" si="43"/>
        <v>-8317.0800000000017</v>
      </c>
      <c r="AD171" s="15">
        <f>IFERROR(AC171/AC444, "NA")</f>
        <v>16.524109431187753</v>
      </c>
    </row>
    <row r="172" spans="1:30" ht="16.5" customHeight="1" x14ac:dyDescent="0.45">
      <c r="A172" s="22" t="s">
        <v>160</v>
      </c>
      <c r="B172" s="23">
        <f>IFERROR(B124-B171, "NA")</f>
        <v>312343.92000000004</v>
      </c>
      <c r="C172" s="24">
        <f>IFERROR(B172/B444, "NA")</f>
        <v>0.71794601152367743</v>
      </c>
      <c r="D172" s="25"/>
      <c r="E172" s="23">
        <f>IFERROR(E124-E171, "NA")</f>
        <v>326366.06</v>
      </c>
      <c r="F172" s="24">
        <f>IFERROR(E172/E444, "NA")</f>
        <v>0.72734587868017564</v>
      </c>
      <c r="G172" s="25"/>
      <c r="H172" s="23">
        <f>IFERROR(B172-E172, "NA")</f>
        <v>-14022.139999999956</v>
      </c>
      <c r="I172" s="24">
        <f>IFERROR(H172/H444, "NA")</f>
        <v>1.0268041388097569</v>
      </c>
      <c r="J172" s="25"/>
      <c r="K172" s="23">
        <f>IFERROR(K124-K171, "NA")</f>
        <v>321164.33</v>
      </c>
      <c r="L172" s="24">
        <f>IFERROR(K172/K444, "NA")</f>
        <v>0.73736729674108303</v>
      </c>
      <c r="M172" s="25"/>
      <c r="N172" s="23">
        <f>IFERROR(B172-K172, "NA")</f>
        <v>-8820.4099999999744</v>
      </c>
      <c r="O172" s="24">
        <f>IFERROR(N172/N444, "NA")</f>
        <v>17.524109431187668</v>
      </c>
      <c r="P172" s="25"/>
      <c r="Q172" s="23">
        <f>IFERROR(Q124-Q171, "NA")</f>
        <v>312343.92000000004</v>
      </c>
      <c r="R172" s="24">
        <f>IFERROR(Q172/Q444, "NA")</f>
        <v>0.71794601152367743</v>
      </c>
      <c r="S172" s="25"/>
      <c r="T172" s="23">
        <f>IFERROR(T124-T171, "NA")</f>
        <v>326366.06</v>
      </c>
      <c r="U172" s="24">
        <f>IFERROR(T172/T444, "NA")</f>
        <v>0.72734587868017564</v>
      </c>
      <c r="V172" s="25"/>
      <c r="W172" s="23">
        <f>IFERROR(Q172-T172, "NA")</f>
        <v>-14022.139999999956</v>
      </c>
      <c r="X172" s="24">
        <f>IFERROR(W172/W444, "NA")</f>
        <v>1.0268041388097569</v>
      </c>
      <c r="Y172" s="25"/>
      <c r="Z172" s="23">
        <f>IFERROR(Z124-Z171, "NA")</f>
        <v>321164.33</v>
      </c>
      <c r="AA172" s="24">
        <f>IFERROR(Z172/Z444, "NA")</f>
        <v>0.73736729674108303</v>
      </c>
      <c r="AB172" s="25"/>
      <c r="AC172" s="23">
        <f>IFERROR(Q172-Z172, "NA")</f>
        <v>-8820.4099999999744</v>
      </c>
      <c r="AD172" s="24">
        <f>IFERROR(AC172/AC444, "NA")</f>
        <v>17.524109431187668</v>
      </c>
    </row>
    <row r="173" spans="1:30" ht="16.5" customHeight="1" x14ac:dyDescent="0.45">
      <c r="A173" s="1" t="s">
        <v>161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45">
      <c r="A174" s="5" t="s">
        <v>161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45">
      <c r="A175" s="6" t="s">
        <v>161</v>
      </c>
      <c r="B175" s="7">
        <v>0</v>
      </c>
      <c r="C175" s="8">
        <f>IFERROR(B175/B444, "NA")</f>
        <v>0</v>
      </c>
      <c r="D175" s="9"/>
      <c r="E175" s="7">
        <v>0</v>
      </c>
      <c r="F175" s="8">
        <f>IFERROR(E175/E444, "NA")</f>
        <v>0</v>
      </c>
      <c r="G175" s="9"/>
      <c r="H175" s="10">
        <f>IFERROR(-(B175-E175), "NA")</f>
        <v>0</v>
      </c>
      <c r="I175" s="8">
        <f>IFERROR(H175/H444, "NA")</f>
        <v>0</v>
      </c>
      <c r="J175" s="9"/>
      <c r="K175" s="7">
        <v>0</v>
      </c>
      <c r="L175" s="8">
        <f>IFERROR(K175/K444, "NA")</f>
        <v>0</v>
      </c>
      <c r="M175" s="9"/>
      <c r="N175" s="10">
        <f>IFERROR(-(B175-K175), "NA")</f>
        <v>0</v>
      </c>
      <c r="O175" s="8">
        <f>IFERROR(N175/N444, "NA")</f>
        <v>0</v>
      </c>
      <c r="P175" s="9"/>
      <c r="Q175" s="7">
        <v>0</v>
      </c>
      <c r="R175" s="8">
        <f>IFERROR(Q175/Q444, "NA")</f>
        <v>0</v>
      </c>
      <c r="S175" s="9"/>
      <c r="T175" s="7">
        <v>0</v>
      </c>
      <c r="U175" s="8">
        <f>IFERROR(T175/T444, "NA")</f>
        <v>0</v>
      </c>
      <c r="V175" s="9"/>
      <c r="W175" s="10">
        <f>IFERROR(-(Q175-T175), "NA")</f>
        <v>0</v>
      </c>
      <c r="X175" s="8">
        <f>IFERROR(W175/W444, "NA")</f>
        <v>0</v>
      </c>
      <c r="Y175" s="9"/>
      <c r="Z175" s="7">
        <v>0</v>
      </c>
      <c r="AA175" s="8">
        <f>IFERROR(Z175/Z444, "NA")</f>
        <v>0</v>
      </c>
      <c r="AB175" s="9"/>
      <c r="AC175" s="10">
        <f>IFERROR(-(Q175-Z175), "NA")</f>
        <v>0</v>
      </c>
      <c r="AD175" s="8">
        <f>IFERROR(AC175/AC444, "NA")</f>
        <v>0</v>
      </c>
    </row>
    <row r="176" spans="1:30" ht="16.5" customHeight="1" x14ac:dyDescent="0.45">
      <c r="A176" s="11" t="s">
        <v>162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45">
      <c r="A177" s="12" t="s">
        <v>162</v>
      </c>
      <c r="B177" s="7">
        <v>0</v>
      </c>
      <c r="C177" s="8">
        <f>IFERROR(B177/B444, "NA")</f>
        <v>0</v>
      </c>
      <c r="D177" s="9"/>
      <c r="E177" s="7">
        <v>0</v>
      </c>
      <c r="F177" s="8">
        <f>IFERROR(E177/E444, "NA")</f>
        <v>0</v>
      </c>
      <c r="G177" s="9"/>
      <c r="H177" s="10">
        <f t="shared" ref="H177:H184" si="44">IFERROR(-(B177-E177), "NA")</f>
        <v>0</v>
      </c>
      <c r="I177" s="8">
        <f>IFERROR(H177/H444, "NA")</f>
        <v>0</v>
      </c>
      <c r="J177" s="9"/>
      <c r="K177" s="7">
        <v>0</v>
      </c>
      <c r="L177" s="8">
        <f>IFERROR(K177/K444, "NA")</f>
        <v>0</v>
      </c>
      <c r="M177" s="9"/>
      <c r="N177" s="10">
        <f t="shared" ref="N177:N184" si="45">IFERROR(-(B177-K177), "NA")</f>
        <v>0</v>
      </c>
      <c r="O177" s="8">
        <f>IFERROR(N177/N444, "NA")</f>
        <v>0</v>
      </c>
      <c r="P177" s="9"/>
      <c r="Q177" s="7">
        <v>0</v>
      </c>
      <c r="R177" s="8">
        <f>IFERROR(Q177/Q444, "NA")</f>
        <v>0</v>
      </c>
      <c r="S177" s="9"/>
      <c r="T177" s="7">
        <v>0</v>
      </c>
      <c r="U177" s="8">
        <f>IFERROR(T177/T444, "NA")</f>
        <v>0</v>
      </c>
      <c r="V177" s="9"/>
      <c r="W177" s="10">
        <f t="shared" ref="W177:W184" si="46">IFERROR(-(Q177-T177), "NA")</f>
        <v>0</v>
      </c>
      <c r="X177" s="8">
        <f>IFERROR(W177/W444, "NA")</f>
        <v>0</v>
      </c>
      <c r="Y177" s="9"/>
      <c r="Z177" s="7">
        <v>0</v>
      </c>
      <c r="AA177" s="8">
        <f>IFERROR(Z177/Z444, "NA")</f>
        <v>0</v>
      </c>
      <c r="AB177" s="9"/>
      <c r="AC177" s="10">
        <f t="shared" ref="AC177:AC184" si="47">IFERROR(-(Q177-Z177), "NA")</f>
        <v>0</v>
      </c>
      <c r="AD177" s="8">
        <f>IFERROR(AC177/AC444, "NA")</f>
        <v>0</v>
      </c>
    </row>
    <row r="178" spans="1:30" ht="16.5" customHeight="1" x14ac:dyDescent="0.45">
      <c r="A178" s="12" t="s">
        <v>163</v>
      </c>
      <c r="B178" s="7">
        <v>31832.32</v>
      </c>
      <c r="C178" s="8">
        <f>IFERROR(B178/B444, "NA")</f>
        <v>7.3168983668852536E-2</v>
      </c>
      <c r="D178" s="9"/>
      <c r="E178" s="7">
        <v>31370.799999999999</v>
      </c>
      <c r="F178" s="8">
        <f>IFERROR(E178/E444, "NA")</f>
        <v>6.9913587494055157E-2</v>
      </c>
      <c r="G178" s="9"/>
      <c r="H178" s="10">
        <f t="shared" si="44"/>
        <v>-461.52000000000044</v>
      </c>
      <c r="I178" s="8">
        <f>IFERROR(H178/H444, "NA")</f>
        <v>3.379588608753592E-2</v>
      </c>
      <c r="J178" s="9"/>
      <c r="K178" s="7">
        <v>31370.799999999999</v>
      </c>
      <c r="L178" s="8">
        <f>IFERROR(K178/K444, "NA")</f>
        <v>7.2024816680623174E-2</v>
      </c>
      <c r="M178" s="9"/>
      <c r="N178" s="10">
        <f t="shared" si="45"/>
        <v>-461.52000000000044</v>
      </c>
      <c r="O178" s="8">
        <f>IFERROR(N178/N444, "NA")</f>
        <v>0.91693322472331373</v>
      </c>
      <c r="P178" s="9"/>
      <c r="Q178" s="7">
        <v>31832.32</v>
      </c>
      <c r="R178" s="8">
        <f>IFERROR(Q178/Q444, "NA")</f>
        <v>7.3168983668852536E-2</v>
      </c>
      <c r="S178" s="9"/>
      <c r="T178" s="7">
        <v>31370.799999999999</v>
      </c>
      <c r="U178" s="8">
        <f>IFERROR(T178/T444, "NA")</f>
        <v>6.9913587494055157E-2</v>
      </c>
      <c r="V178" s="9"/>
      <c r="W178" s="10">
        <f t="shared" si="46"/>
        <v>-461.52000000000044</v>
      </c>
      <c r="X178" s="8">
        <f>IFERROR(W178/W444, "NA")</f>
        <v>3.379588608753592E-2</v>
      </c>
      <c r="Y178" s="9"/>
      <c r="Z178" s="7">
        <v>31370.799999999999</v>
      </c>
      <c r="AA178" s="8">
        <f>IFERROR(Z178/Z444, "NA")</f>
        <v>7.2024816680623174E-2</v>
      </c>
      <c r="AB178" s="9"/>
      <c r="AC178" s="10">
        <f t="shared" si="47"/>
        <v>-461.52000000000044</v>
      </c>
      <c r="AD178" s="8">
        <f>IFERROR(AC178/AC444, "NA")</f>
        <v>0.91693322472331373</v>
      </c>
    </row>
    <row r="179" spans="1:30" ht="16.5" hidden="1" customHeight="1" x14ac:dyDescent="0.45">
      <c r="A179" s="12" t="s">
        <v>164</v>
      </c>
      <c r="B179" s="7">
        <v>0</v>
      </c>
      <c r="C179" s="8">
        <f>IFERROR(B179/B444, "NA")</f>
        <v>0</v>
      </c>
      <c r="D179" s="9"/>
      <c r="E179" s="7">
        <v>0</v>
      </c>
      <c r="F179" s="8">
        <f>IFERROR(E179/E444, "NA")</f>
        <v>0</v>
      </c>
      <c r="G179" s="9"/>
      <c r="H179" s="10">
        <f t="shared" si="44"/>
        <v>0</v>
      </c>
      <c r="I179" s="8">
        <f>IFERROR(H179/H444, "NA")</f>
        <v>0</v>
      </c>
      <c r="J179" s="9"/>
      <c r="K179" s="7">
        <v>0</v>
      </c>
      <c r="L179" s="8">
        <f>IFERROR(K179/K444, "NA")</f>
        <v>0</v>
      </c>
      <c r="M179" s="9"/>
      <c r="N179" s="10">
        <f t="shared" si="45"/>
        <v>0</v>
      </c>
      <c r="O179" s="8">
        <f>IFERROR(N179/N444, "NA")</f>
        <v>0</v>
      </c>
      <c r="P179" s="9"/>
      <c r="Q179" s="7">
        <v>0</v>
      </c>
      <c r="R179" s="8">
        <f>IFERROR(Q179/Q444, "NA")</f>
        <v>0</v>
      </c>
      <c r="S179" s="9"/>
      <c r="T179" s="7">
        <v>0</v>
      </c>
      <c r="U179" s="8">
        <f>IFERROR(T179/T444, "NA")</f>
        <v>0</v>
      </c>
      <c r="V179" s="9"/>
      <c r="W179" s="10">
        <f t="shared" si="46"/>
        <v>0</v>
      </c>
      <c r="X179" s="8">
        <f>IFERROR(W179/W444, "NA")</f>
        <v>0</v>
      </c>
      <c r="Y179" s="9"/>
      <c r="Z179" s="7">
        <v>0</v>
      </c>
      <c r="AA179" s="8">
        <f>IFERROR(Z179/Z444, "NA")</f>
        <v>0</v>
      </c>
      <c r="AB179" s="9"/>
      <c r="AC179" s="10">
        <f t="shared" si="47"/>
        <v>0</v>
      </c>
      <c r="AD179" s="8">
        <f>IFERROR(AC179/AC444, "NA")</f>
        <v>0</v>
      </c>
    </row>
    <row r="180" spans="1:30" ht="16.5" customHeight="1" x14ac:dyDescent="0.45">
      <c r="A180" s="12" t="s">
        <v>165</v>
      </c>
      <c r="B180" s="7">
        <v>84997.82</v>
      </c>
      <c r="C180" s="8">
        <f>IFERROR(B180/B444, "NA")</f>
        <v>0.19537388740337081</v>
      </c>
      <c r="D180" s="9"/>
      <c r="E180" s="7">
        <v>85254.44</v>
      </c>
      <c r="F180" s="8">
        <f>IFERROR(E180/E444, "NA")</f>
        <v>0.18999973702285805</v>
      </c>
      <c r="G180" s="9"/>
      <c r="H180" s="10">
        <f t="shared" si="44"/>
        <v>256.61999999999534</v>
      </c>
      <c r="I180" s="8">
        <f>IFERROR(H180/H444, "NA")</f>
        <v>-1.8791602287621993E-2</v>
      </c>
      <c r="J180" s="9"/>
      <c r="K180" s="7">
        <v>84105.66</v>
      </c>
      <c r="L180" s="8">
        <f>IFERROR(K180/K444, "NA")</f>
        <v>0.19309978525580546</v>
      </c>
      <c r="M180" s="9"/>
      <c r="N180" s="10">
        <f t="shared" si="45"/>
        <v>-892.16000000000349</v>
      </c>
      <c r="O180" s="8">
        <f>IFERROR(N180/N444, "NA")</f>
        <v>1.7725150497684909</v>
      </c>
      <c r="P180" s="9"/>
      <c r="Q180" s="7">
        <v>84997.82</v>
      </c>
      <c r="R180" s="8">
        <f>IFERROR(Q180/Q444, "NA")</f>
        <v>0.19537388740337081</v>
      </c>
      <c r="S180" s="9"/>
      <c r="T180" s="7">
        <v>85254.44</v>
      </c>
      <c r="U180" s="8">
        <f>IFERROR(T180/T444, "NA")</f>
        <v>0.18999973702285805</v>
      </c>
      <c r="V180" s="9"/>
      <c r="W180" s="10">
        <f t="shared" si="46"/>
        <v>256.61999999999534</v>
      </c>
      <c r="X180" s="8">
        <f>IFERROR(W180/W444, "NA")</f>
        <v>-1.8791602287621993E-2</v>
      </c>
      <c r="Y180" s="9"/>
      <c r="Z180" s="7">
        <v>84105.66</v>
      </c>
      <c r="AA180" s="8">
        <f>IFERROR(Z180/Z444, "NA")</f>
        <v>0.19309978525580546</v>
      </c>
      <c r="AB180" s="9"/>
      <c r="AC180" s="10">
        <f t="shared" si="47"/>
        <v>-892.16000000000349</v>
      </c>
      <c r="AD180" s="8">
        <f>IFERROR(AC180/AC444, "NA")</f>
        <v>1.7725150497684909</v>
      </c>
    </row>
    <row r="181" spans="1:30" ht="16.5" customHeight="1" x14ac:dyDescent="0.45">
      <c r="A181" s="12" t="s">
        <v>166</v>
      </c>
      <c r="B181" s="7">
        <v>211.09</v>
      </c>
      <c r="C181" s="8">
        <f>IFERROR(B181/B444, "NA")</f>
        <v>4.8520625460720686E-4</v>
      </c>
      <c r="D181" s="9"/>
      <c r="E181" s="7">
        <v>0</v>
      </c>
      <c r="F181" s="8">
        <f>IFERROR(E181/E444, "NA")</f>
        <v>0</v>
      </c>
      <c r="G181" s="9"/>
      <c r="H181" s="10">
        <f t="shared" si="44"/>
        <v>-211.09</v>
      </c>
      <c r="I181" s="8">
        <f>IFERROR(H181/H444, "NA")</f>
        <v>1.5457561089915823E-2</v>
      </c>
      <c r="J181" s="9"/>
      <c r="K181" s="7">
        <v>29.85</v>
      </c>
      <c r="L181" s="8">
        <f>IFERROR(K181/K444, "NA")</f>
        <v>6.8533183021045113E-5</v>
      </c>
      <c r="M181" s="9"/>
      <c r="N181" s="10">
        <f t="shared" si="45"/>
        <v>-181.24</v>
      </c>
      <c r="O181" s="8">
        <f>IFERROR(N181/N444, "NA")</f>
        <v>0.36008185484670918</v>
      </c>
      <c r="P181" s="9"/>
      <c r="Q181" s="7">
        <v>211.09</v>
      </c>
      <c r="R181" s="8">
        <f>IFERROR(Q181/Q444, "NA")</f>
        <v>4.8520625460720686E-4</v>
      </c>
      <c r="S181" s="9"/>
      <c r="T181" s="7">
        <v>0</v>
      </c>
      <c r="U181" s="8">
        <f>IFERROR(T181/T444, "NA")</f>
        <v>0</v>
      </c>
      <c r="V181" s="9"/>
      <c r="W181" s="10">
        <f t="shared" si="46"/>
        <v>-211.09</v>
      </c>
      <c r="X181" s="8">
        <f>IFERROR(W181/W444, "NA")</f>
        <v>1.5457561089915823E-2</v>
      </c>
      <c r="Y181" s="9"/>
      <c r="Z181" s="7">
        <v>29.85</v>
      </c>
      <c r="AA181" s="8">
        <f>IFERROR(Z181/Z444, "NA")</f>
        <v>6.8533183021045113E-5</v>
      </c>
      <c r="AB181" s="9"/>
      <c r="AC181" s="10">
        <f t="shared" si="47"/>
        <v>-181.24</v>
      </c>
      <c r="AD181" s="8">
        <f>IFERROR(AC181/AC444, "NA")</f>
        <v>0.36008185484670918</v>
      </c>
    </row>
    <row r="182" spans="1:30" ht="16.5" customHeight="1" x14ac:dyDescent="0.45">
      <c r="A182" s="13" t="s">
        <v>167</v>
      </c>
      <c r="B182" s="14">
        <f>IFERROR(B177+B178+B179+B180+B181, "NA")</f>
        <v>117041.23000000001</v>
      </c>
      <c r="C182" s="15">
        <f>IFERROR(B182/B444, "NA")</f>
        <v>0.26902807732683054</v>
      </c>
      <c r="D182" s="2"/>
      <c r="E182" s="14">
        <f>IFERROR(E177+E178+E179+E180+E181, "NA")</f>
        <v>116625.24</v>
      </c>
      <c r="F182" s="15">
        <f>IFERROR(E182/E444, "NA")</f>
        <v>0.25991332451691324</v>
      </c>
      <c r="G182" s="2"/>
      <c r="H182" s="14">
        <f t="shared" si="44"/>
        <v>-415.99000000000524</v>
      </c>
      <c r="I182" s="15">
        <f>IFERROR(H182/H444, "NA")</f>
        <v>3.046184488982976E-2</v>
      </c>
      <c r="J182" s="2"/>
      <c r="K182" s="14">
        <f>IFERROR(K177+K178+K179+K180+K181, "NA")</f>
        <v>115506.31000000001</v>
      </c>
      <c r="L182" s="15">
        <f>IFERROR(K182/K444, "NA")</f>
        <v>0.2651931351194497</v>
      </c>
      <c r="M182" s="2"/>
      <c r="N182" s="14">
        <f t="shared" si="45"/>
        <v>-1534.9199999999983</v>
      </c>
      <c r="O182" s="15">
        <f>IFERROR(N182/N444, "NA")</f>
        <v>3.0495301293385029</v>
      </c>
      <c r="P182" s="2"/>
      <c r="Q182" s="14">
        <f>IFERROR(Q177+Q178+Q179+Q180+Q181, "NA")</f>
        <v>117041.23000000001</v>
      </c>
      <c r="R182" s="15">
        <f>IFERROR(Q182/Q444, "NA")</f>
        <v>0.26902807732683054</v>
      </c>
      <c r="S182" s="2"/>
      <c r="T182" s="14">
        <f>IFERROR(T177+T178+T179+T180+T181, "NA")</f>
        <v>116625.24</v>
      </c>
      <c r="U182" s="15">
        <f>IFERROR(T182/T444, "NA")</f>
        <v>0.25991332451691324</v>
      </c>
      <c r="V182" s="2"/>
      <c r="W182" s="14">
        <f t="shared" si="46"/>
        <v>-415.99000000000524</v>
      </c>
      <c r="X182" s="15">
        <f>IFERROR(W182/W444, "NA")</f>
        <v>3.046184488982976E-2</v>
      </c>
      <c r="Y182" s="2"/>
      <c r="Z182" s="14">
        <f>IFERROR(Z177+Z178+Z179+Z180+Z181, "NA")</f>
        <v>115506.31000000001</v>
      </c>
      <c r="AA182" s="15">
        <f>IFERROR(Z182/Z444, "NA")</f>
        <v>0.2651931351194497</v>
      </c>
      <c r="AB182" s="2"/>
      <c r="AC182" s="14">
        <f t="shared" si="47"/>
        <v>-1534.9199999999983</v>
      </c>
      <c r="AD182" s="15">
        <f>IFERROR(AC182/AC444, "NA")</f>
        <v>3.0495301293385029</v>
      </c>
    </row>
    <row r="183" spans="1:30" ht="16.5" hidden="1" customHeight="1" x14ac:dyDescent="0.45">
      <c r="A183" s="6" t="s">
        <v>168</v>
      </c>
      <c r="B183" s="7">
        <v>0</v>
      </c>
      <c r="C183" s="8">
        <f>IFERROR(B183/B444, "NA")</f>
        <v>0</v>
      </c>
      <c r="D183" s="9"/>
      <c r="E183" s="7">
        <v>0</v>
      </c>
      <c r="F183" s="8">
        <f>IFERROR(E183/E444, "NA")</f>
        <v>0</v>
      </c>
      <c r="G183" s="9"/>
      <c r="H183" s="10">
        <f t="shared" si="44"/>
        <v>0</v>
      </c>
      <c r="I183" s="8">
        <f>IFERROR(H183/H444, "NA")</f>
        <v>0</v>
      </c>
      <c r="J183" s="9"/>
      <c r="K183" s="7">
        <v>0</v>
      </c>
      <c r="L183" s="8">
        <f>IFERROR(K183/K444, "NA")</f>
        <v>0</v>
      </c>
      <c r="M183" s="9"/>
      <c r="N183" s="10">
        <f t="shared" si="45"/>
        <v>0</v>
      </c>
      <c r="O183" s="8">
        <f>IFERROR(N183/N444, "NA")</f>
        <v>0</v>
      </c>
      <c r="P183" s="9"/>
      <c r="Q183" s="7">
        <v>0</v>
      </c>
      <c r="R183" s="8">
        <f>IFERROR(Q183/Q444, "NA")</f>
        <v>0</v>
      </c>
      <c r="S183" s="9"/>
      <c r="T183" s="7">
        <v>0</v>
      </c>
      <c r="U183" s="8">
        <f>IFERROR(T183/T444, "NA")</f>
        <v>0</v>
      </c>
      <c r="V183" s="9"/>
      <c r="W183" s="10">
        <f t="shared" si="46"/>
        <v>0</v>
      </c>
      <c r="X183" s="8">
        <f>IFERROR(W183/W444, "NA")</f>
        <v>0</v>
      </c>
      <c r="Y183" s="9"/>
      <c r="Z183" s="7">
        <v>0</v>
      </c>
      <c r="AA183" s="8">
        <f>IFERROR(Z183/Z444, "NA")</f>
        <v>0</v>
      </c>
      <c r="AB183" s="9"/>
      <c r="AC183" s="10">
        <f t="shared" si="47"/>
        <v>0</v>
      </c>
      <c r="AD183" s="8">
        <f>IFERROR(AC183/AC444, "NA")</f>
        <v>0</v>
      </c>
    </row>
    <row r="184" spans="1:30" ht="16.5" customHeight="1" x14ac:dyDescent="0.45">
      <c r="A184" s="6" t="s">
        <v>169</v>
      </c>
      <c r="B184" s="7">
        <v>1996</v>
      </c>
      <c r="C184" s="8">
        <f>IFERROR(B184/B444, "NA")</f>
        <v>4.5879562470793733E-3</v>
      </c>
      <c r="D184" s="9"/>
      <c r="E184" s="7">
        <v>1995</v>
      </c>
      <c r="F184" s="8">
        <f>IFERROR(E184/E444, "NA")</f>
        <v>4.4460965946243013E-3</v>
      </c>
      <c r="G184" s="9"/>
      <c r="H184" s="10">
        <f t="shared" si="44"/>
        <v>-1</v>
      </c>
      <c r="I184" s="8">
        <f>IFERROR(H184/H444, "NA")</f>
        <v>7.3227348950285763E-5</v>
      </c>
      <c r="J184" s="9"/>
      <c r="K184" s="7">
        <v>2950</v>
      </c>
      <c r="L184" s="8">
        <f>IFERROR(K184/K444, "NA")</f>
        <v>6.7729611360831847E-3</v>
      </c>
      <c r="M184" s="9"/>
      <c r="N184" s="10">
        <f t="shared" si="45"/>
        <v>954</v>
      </c>
      <c r="O184" s="8">
        <f>IFERROR(N184/N444, "NA")</f>
        <v>-1.8953767905747105</v>
      </c>
      <c r="P184" s="9"/>
      <c r="Q184" s="7">
        <v>1996</v>
      </c>
      <c r="R184" s="8">
        <f>IFERROR(Q184/Q444, "NA")</f>
        <v>4.5879562470793733E-3</v>
      </c>
      <c r="S184" s="9"/>
      <c r="T184" s="7">
        <v>1995</v>
      </c>
      <c r="U184" s="8">
        <f>IFERROR(T184/T444, "NA")</f>
        <v>4.4460965946243013E-3</v>
      </c>
      <c r="V184" s="9"/>
      <c r="W184" s="10">
        <f t="shared" si="46"/>
        <v>-1</v>
      </c>
      <c r="X184" s="8">
        <f>IFERROR(W184/W444, "NA")</f>
        <v>7.3227348950285763E-5</v>
      </c>
      <c r="Y184" s="9"/>
      <c r="Z184" s="7">
        <v>2950</v>
      </c>
      <c r="AA184" s="8">
        <f>IFERROR(Z184/Z444, "NA")</f>
        <v>6.7729611360831847E-3</v>
      </c>
      <c r="AB184" s="9"/>
      <c r="AC184" s="10">
        <f t="shared" si="47"/>
        <v>954</v>
      </c>
      <c r="AD184" s="8">
        <f>IFERROR(AC184/AC444, "NA")</f>
        <v>-1.8953767905747105</v>
      </c>
    </row>
    <row r="185" spans="1:30" ht="16.5" customHeight="1" x14ac:dyDescent="0.45">
      <c r="A185" s="11" t="s">
        <v>170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45">
      <c r="A186" s="12" t="s">
        <v>170</v>
      </c>
      <c r="B186" s="7">
        <v>12444.029999999999</v>
      </c>
      <c r="C186" s="8">
        <f>IFERROR(B186/B444, "NA")</f>
        <v>2.8603539668007577E-2</v>
      </c>
      <c r="D186" s="9"/>
      <c r="E186" s="7">
        <v>13485.47</v>
      </c>
      <c r="F186" s="8">
        <f>IFERROR(E186/E444, "NA")</f>
        <v>3.0053986087172017E-2</v>
      </c>
      <c r="G186" s="9"/>
      <c r="H186" s="10">
        <f t="shared" ref="H186:H197" si="48">IFERROR(-(B186-E186), "NA")</f>
        <v>1041.4400000000005</v>
      </c>
      <c r="I186" s="8">
        <f>IFERROR(H186/H444, "NA")</f>
        <v>-7.6261890290785644E-2</v>
      </c>
      <c r="J186" s="9"/>
      <c r="K186" s="7">
        <v>13090.740000000002</v>
      </c>
      <c r="L186" s="8">
        <f>IFERROR(K186/K444, "NA")</f>
        <v>3.0055279072057493E-2</v>
      </c>
      <c r="M186" s="9"/>
      <c r="N186" s="10">
        <f t="shared" ref="N186:N197" si="49">IFERROR(-(B186-K186), "NA")</f>
        <v>646.71000000000276</v>
      </c>
      <c r="O186" s="8">
        <f>IFERROR(N186/N444, "NA")</f>
        <v>-1.2848628136609814</v>
      </c>
      <c r="P186" s="9"/>
      <c r="Q186" s="7">
        <v>12444.029999999999</v>
      </c>
      <c r="R186" s="8">
        <f>IFERROR(Q186/Q444, "NA")</f>
        <v>2.8603539668007577E-2</v>
      </c>
      <c r="S186" s="9"/>
      <c r="T186" s="7">
        <v>13485.47</v>
      </c>
      <c r="U186" s="8">
        <f>IFERROR(T186/T444, "NA")</f>
        <v>3.0053986087172017E-2</v>
      </c>
      <c r="V186" s="9"/>
      <c r="W186" s="10">
        <f t="shared" ref="W186:W197" si="50">IFERROR(-(Q186-T186), "NA")</f>
        <v>1041.4400000000005</v>
      </c>
      <c r="X186" s="8">
        <f>IFERROR(W186/W444, "NA")</f>
        <v>-7.6261890290785644E-2</v>
      </c>
      <c r="Y186" s="9"/>
      <c r="Z186" s="7">
        <v>13090.740000000002</v>
      </c>
      <c r="AA186" s="8">
        <f>IFERROR(Z186/Z444, "NA")</f>
        <v>3.0055279072057493E-2</v>
      </c>
      <c r="AB186" s="9"/>
      <c r="AC186" s="10">
        <f t="shared" ref="AC186:AC197" si="51">IFERROR(-(Q186-Z186), "NA")</f>
        <v>646.71000000000276</v>
      </c>
      <c r="AD186" s="8">
        <f>IFERROR(AC186/AC444, "NA")</f>
        <v>-1.2848628136609814</v>
      </c>
    </row>
    <row r="187" spans="1:30" ht="16.5" hidden="1" customHeight="1" x14ac:dyDescent="0.45">
      <c r="A187" s="12" t="s">
        <v>171</v>
      </c>
      <c r="B187" s="7">
        <v>0</v>
      </c>
      <c r="C187" s="8">
        <f>IFERROR(B187/B444, "NA")</f>
        <v>0</v>
      </c>
      <c r="D187" s="9"/>
      <c r="E187" s="7">
        <v>0</v>
      </c>
      <c r="F187" s="8">
        <f>IFERROR(E187/E444, "NA")</f>
        <v>0</v>
      </c>
      <c r="G187" s="9"/>
      <c r="H187" s="10">
        <f t="shared" si="48"/>
        <v>0</v>
      </c>
      <c r="I187" s="8">
        <f>IFERROR(H187/H444, "NA")</f>
        <v>0</v>
      </c>
      <c r="J187" s="9"/>
      <c r="K187" s="7">
        <v>0</v>
      </c>
      <c r="L187" s="8">
        <f>IFERROR(K187/K444, "NA")</f>
        <v>0</v>
      </c>
      <c r="M187" s="9"/>
      <c r="N187" s="10">
        <f t="shared" si="49"/>
        <v>0</v>
      </c>
      <c r="O187" s="8">
        <f>IFERROR(N187/N444, "NA")</f>
        <v>0</v>
      </c>
      <c r="P187" s="9"/>
      <c r="Q187" s="7">
        <v>0</v>
      </c>
      <c r="R187" s="8">
        <f>IFERROR(Q187/Q444, "NA")</f>
        <v>0</v>
      </c>
      <c r="S187" s="9"/>
      <c r="T187" s="7">
        <v>0</v>
      </c>
      <c r="U187" s="8">
        <f>IFERROR(T187/T444, "NA")</f>
        <v>0</v>
      </c>
      <c r="V187" s="9"/>
      <c r="W187" s="10">
        <f t="shared" si="50"/>
        <v>0</v>
      </c>
      <c r="X187" s="8">
        <f>IFERROR(W187/W444, "NA")</f>
        <v>0</v>
      </c>
      <c r="Y187" s="9"/>
      <c r="Z187" s="7">
        <v>0</v>
      </c>
      <c r="AA187" s="8">
        <f>IFERROR(Z187/Z444, "NA")</f>
        <v>0</v>
      </c>
      <c r="AB187" s="9"/>
      <c r="AC187" s="10">
        <f t="shared" si="51"/>
        <v>0</v>
      </c>
      <c r="AD187" s="8">
        <f>IFERROR(AC187/AC444, "NA")</f>
        <v>0</v>
      </c>
    </row>
    <row r="188" spans="1:30" ht="16.5" hidden="1" customHeight="1" x14ac:dyDescent="0.45">
      <c r="A188" s="12" t="s">
        <v>172</v>
      </c>
      <c r="B188" s="7">
        <v>0</v>
      </c>
      <c r="C188" s="8">
        <f>IFERROR(B188/B444, "NA")</f>
        <v>0</v>
      </c>
      <c r="D188" s="9"/>
      <c r="E188" s="7">
        <v>0</v>
      </c>
      <c r="F188" s="8">
        <f>IFERROR(E188/E444, "NA")</f>
        <v>0</v>
      </c>
      <c r="G188" s="9"/>
      <c r="H188" s="10">
        <f t="shared" si="48"/>
        <v>0</v>
      </c>
      <c r="I188" s="8">
        <f>IFERROR(H188/H444, "NA")</f>
        <v>0</v>
      </c>
      <c r="J188" s="9"/>
      <c r="K188" s="7">
        <v>0</v>
      </c>
      <c r="L188" s="8">
        <f>IFERROR(K188/K444, "NA")</f>
        <v>0</v>
      </c>
      <c r="M188" s="9"/>
      <c r="N188" s="10">
        <f t="shared" si="49"/>
        <v>0</v>
      </c>
      <c r="O188" s="8">
        <f>IFERROR(N188/N444, "NA")</f>
        <v>0</v>
      </c>
      <c r="P188" s="9"/>
      <c r="Q188" s="7">
        <v>0</v>
      </c>
      <c r="R188" s="8">
        <f>IFERROR(Q188/Q444, "NA")</f>
        <v>0</v>
      </c>
      <c r="S188" s="9"/>
      <c r="T188" s="7">
        <v>0</v>
      </c>
      <c r="U188" s="8">
        <f>IFERROR(T188/T444, "NA")</f>
        <v>0</v>
      </c>
      <c r="V188" s="9"/>
      <c r="W188" s="10">
        <f t="shared" si="50"/>
        <v>0</v>
      </c>
      <c r="X188" s="8">
        <f>IFERROR(W188/W444, "NA")</f>
        <v>0</v>
      </c>
      <c r="Y188" s="9"/>
      <c r="Z188" s="7">
        <v>0</v>
      </c>
      <c r="AA188" s="8">
        <f>IFERROR(Z188/Z444, "NA")</f>
        <v>0</v>
      </c>
      <c r="AB188" s="9"/>
      <c r="AC188" s="10">
        <f t="shared" si="51"/>
        <v>0</v>
      </c>
      <c r="AD188" s="8">
        <f>IFERROR(AC188/AC444, "NA")</f>
        <v>0</v>
      </c>
    </row>
    <row r="189" spans="1:30" ht="16.5" hidden="1" customHeight="1" x14ac:dyDescent="0.45">
      <c r="A189" s="12" t="s">
        <v>173</v>
      </c>
      <c r="B189" s="7">
        <v>0</v>
      </c>
      <c r="C189" s="8">
        <f>IFERROR(B189/B444, "NA")</f>
        <v>0</v>
      </c>
      <c r="D189" s="9"/>
      <c r="E189" s="7">
        <v>0</v>
      </c>
      <c r="F189" s="8">
        <f>IFERROR(E189/E444, "NA")</f>
        <v>0</v>
      </c>
      <c r="G189" s="9"/>
      <c r="H189" s="10">
        <f t="shared" si="48"/>
        <v>0</v>
      </c>
      <c r="I189" s="8">
        <f>IFERROR(H189/H444, "NA")</f>
        <v>0</v>
      </c>
      <c r="J189" s="9"/>
      <c r="K189" s="7">
        <v>0</v>
      </c>
      <c r="L189" s="8">
        <f>IFERROR(K189/K444, "NA")</f>
        <v>0</v>
      </c>
      <c r="M189" s="9"/>
      <c r="N189" s="10">
        <f t="shared" si="49"/>
        <v>0</v>
      </c>
      <c r="O189" s="8">
        <f>IFERROR(N189/N444, "NA")</f>
        <v>0</v>
      </c>
      <c r="P189" s="9"/>
      <c r="Q189" s="7">
        <v>0</v>
      </c>
      <c r="R189" s="8">
        <f>IFERROR(Q189/Q444, "NA")</f>
        <v>0</v>
      </c>
      <c r="S189" s="9"/>
      <c r="T189" s="7">
        <v>0</v>
      </c>
      <c r="U189" s="8">
        <f>IFERROR(T189/T444, "NA")</f>
        <v>0</v>
      </c>
      <c r="V189" s="9"/>
      <c r="W189" s="10">
        <f t="shared" si="50"/>
        <v>0</v>
      </c>
      <c r="X189" s="8">
        <f>IFERROR(W189/W444, "NA")</f>
        <v>0</v>
      </c>
      <c r="Y189" s="9"/>
      <c r="Z189" s="7">
        <v>0</v>
      </c>
      <c r="AA189" s="8">
        <f>IFERROR(Z189/Z444, "NA")</f>
        <v>0</v>
      </c>
      <c r="AB189" s="9"/>
      <c r="AC189" s="10">
        <f t="shared" si="51"/>
        <v>0</v>
      </c>
      <c r="AD189" s="8">
        <f>IFERROR(AC189/AC444, "NA")</f>
        <v>0</v>
      </c>
    </row>
    <row r="190" spans="1:30" ht="16.5" hidden="1" customHeight="1" x14ac:dyDescent="0.45">
      <c r="A190" s="12" t="s">
        <v>174</v>
      </c>
      <c r="B190" s="7">
        <v>0</v>
      </c>
      <c r="C190" s="8">
        <f>IFERROR(B190/B444, "NA")</f>
        <v>0</v>
      </c>
      <c r="D190" s="9"/>
      <c r="E190" s="7">
        <v>0</v>
      </c>
      <c r="F190" s="8">
        <f>IFERROR(E190/E444, "NA")</f>
        <v>0</v>
      </c>
      <c r="G190" s="9"/>
      <c r="H190" s="10">
        <f t="shared" si="48"/>
        <v>0</v>
      </c>
      <c r="I190" s="8">
        <f>IFERROR(H190/H444, "NA")</f>
        <v>0</v>
      </c>
      <c r="J190" s="9"/>
      <c r="K190" s="7">
        <v>0</v>
      </c>
      <c r="L190" s="8">
        <f>IFERROR(K190/K444, "NA")</f>
        <v>0</v>
      </c>
      <c r="M190" s="9"/>
      <c r="N190" s="10">
        <f t="shared" si="49"/>
        <v>0</v>
      </c>
      <c r="O190" s="8">
        <f>IFERROR(N190/N444, "NA")</f>
        <v>0</v>
      </c>
      <c r="P190" s="9"/>
      <c r="Q190" s="7">
        <v>0</v>
      </c>
      <c r="R190" s="8">
        <f>IFERROR(Q190/Q444, "NA")</f>
        <v>0</v>
      </c>
      <c r="S190" s="9"/>
      <c r="T190" s="7">
        <v>0</v>
      </c>
      <c r="U190" s="8">
        <f>IFERROR(T190/T444, "NA")</f>
        <v>0</v>
      </c>
      <c r="V190" s="9"/>
      <c r="W190" s="10">
        <f t="shared" si="50"/>
        <v>0</v>
      </c>
      <c r="X190" s="8">
        <f>IFERROR(W190/W444, "NA")</f>
        <v>0</v>
      </c>
      <c r="Y190" s="9"/>
      <c r="Z190" s="7">
        <v>0</v>
      </c>
      <c r="AA190" s="8">
        <f>IFERROR(Z190/Z444, "NA")</f>
        <v>0</v>
      </c>
      <c r="AB190" s="9"/>
      <c r="AC190" s="10">
        <f t="shared" si="51"/>
        <v>0</v>
      </c>
      <c r="AD190" s="8">
        <f>IFERROR(AC190/AC444, "NA")</f>
        <v>0</v>
      </c>
    </row>
    <row r="191" spans="1:30" ht="16.5" hidden="1" customHeight="1" x14ac:dyDescent="0.45">
      <c r="A191" s="12" t="s">
        <v>175</v>
      </c>
      <c r="B191" s="7">
        <v>0</v>
      </c>
      <c r="C191" s="8">
        <f>IFERROR(B191/B444, "NA")</f>
        <v>0</v>
      </c>
      <c r="D191" s="9"/>
      <c r="E191" s="7">
        <v>0</v>
      </c>
      <c r="F191" s="8">
        <f>IFERROR(E191/E444, "NA")</f>
        <v>0</v>
      </c>
      <c r="G191" s="9"/>
      <c r="H191" s="10">
        <f t="shared" si="48"/>
        <v>0</v>
      </c>
      <c r="I191" s="8">
        <f>IFERROR(H191/H444, "NA")</f>
        <v>0</v>
      </c>
      <c r="J191" s="9"/>
      <c r="K191" s="7">
        <v>0</v>
      </c>
      <c r="L191" s="8">
        <f>IFERROR(K191/K444, "NA")</f>
        <v>0</v>
      </c>
      <c r="M191" s="9"/>
      <c r="N191" s="10">
        <f t="shared" si="49"/>
        <v>0</v>
      </c>
      <c r="O191" s="8">
        <f>IFERROR(N191/N444, "NA")</f>
        <v>0</v>
      </c>
      <c r="P191" s="9"/>
      <c r="Q191" s="7">
        <v>0</v>
      </c>
      <c r="R191" s="8">
        <f>IFERROR(Q191/Q444, "NA")</f>
        <v>0</v>
      </c>
      <c r="S191" s="9"/>
      <c r="T191" s="7">
        <v>0</v>
      </c>
      <c r="U191" s="8">
        <f>IFERROR(T191/T444, "NA")</f>
        <v>0</v>
      </c>
      <c r="V191" s="9"/>
      <c r="W191" s="10">
        <f t="shared" si="50"/>
        <v>0</v>
      </c>
      <c r="X191" s="8">
        <f>IFERROR(W191/W444, "NA")</f>
        <v>0</v>
      </c>
      <c r="Y191" s="9"/>
      <c r="Z191" s="7">
        <v>0</v>
      </c>
      <c r="AA191" s="8">
        <f>IFERROR(Z191/Z444, "NA")</f>
        <v>0</v>
      </c>
      <c r="AB191" s="9"/>
      <c r="AC191" s="10">
        <f t="shared" si="51"/>
        <v>0</v>
      </c>
      <c r="AD191" s="8">
        <f>IFERROR(AC191/AC444, "NA")</f>
        <v>0</v>
      </c>
    </row>
    <row r="192" spans="1:30" ht="16.5" hidden="1" customHeight="1" x14ac:dyDescent="0.45">
      <c r="A192" s="12" t="s">
        <v>176</v>
      </c>
      <c r="B192" s="7">
        <v>0</v>
      </c>
      <c r="C192" s="8">
        <f>IFERROR(B192/B444, "NA")</f>
        <v>0</v>
      </c>
      <c r="D192" s="9"/>
      <c r="E192" s="7">
        <v>0</v>
      </c>
      <c r="F192" s="8">
        <f>IFERROR(E192/E444, "NA")</f>
        <v>0</v>
      </c>
      <c r="G192" s="9"/>
      <c r="H192" s="10">
        <f t="shared" si="48"/>
        <v>0</v>
      </c>
      <c r="I192" s="8">
        <f>IFERROR(H192/H444, "NA")</f>
        <v>0</v>
      </c>
      <c r="J192" s="9"/>
      <c r="K192" s="7">
        <v>0</v>
      </c>
      <c r="L192" s="8">
        <f>IFERROR(K192/K444, "NA")</f>
        <v>0</v>
      </c>
      <c r="M192" s="9"/>
      <c r="N192" s="10">
        <f t="shared" si="49"/>
        <v>0</v>
      </c>
      <c r="O192" s="8">
        <f>IFERROR(N192/N444, "NA")</f>
        <v>0</v>
      </c>
      <c r="P192" s="9"/>
      <c r="Q192" s="7">
        <v>0</v>
      </c>
      <c r="R192" s="8">
        <f>IFERROR(Q192/Q444, "NA")</f>
        <v>0</v>
      </c>
      <c r="S192" s="9"/>
      <c r="T192" s="7">
        <v>0</v>
      </c>
      <c r="U192" s="8">
        <f>IFERROR(T192/T444, "NA")</f>
        <v>0</v>
      </c>
      <c r="V192" s="9"/>
      <c r="W192" s="10">
        <f t="shared" si="50"/>
        <v>0</v>
      </c>
      <c r="X192" s="8">
        <f>IFERROR(W192/W444, "NA")</f>
        <v>0</v>
      </c>
      <c r="Y192" s="9"/>
      <c r="Z192" s="7">
        <v>0</v>
      </c>
      <c r="AA192" s="8">
        <f>IFERROR(Z192/Z444, "NA")</f>
        <v>0</v>
      </c>
      <c r="AB192" s="9"/>
      <c r="AC192" s="10">
        <f t="shared" si="51"/>
        <v>0</v>
      </c>
      <c r="AD192" s="8">
        <f>IFERROR(AC192/AC444, "NA")</f>
        <v>0</v>
      </c>
    </row>
    <row r="193" spans="1:30" ht="16.5" customHeight="1" x14ac:dyDescent="0.45">
      <c r="A193" s="13" t="s">
        <v>177</v>
      </c>
      <c r="B193" s="14">
        <f>IFERROR(B186+B187+B188+B189+B190+B191+B192, "NA")</f>
        <v>12444.029999999999</v>
      </c>
      <c r="C193" s="15">
        <f>IFERROR(B193/B444, "NA")</f>
        <v>2.8603539668007577E-2</v>
      </c>
      <c r="D193" s="2"/>
      <c r="E193" s="14">
        <f>IFERROR(E186+E187+E188+E189+E190+E191+E192, "NA")</f>
        <v>13485.47</v>
      </c>
      <c r="F193" s="15">
        <f>IFERROR(E193/E444, "NA")</f>
        <v>3.0053986087172017E-2</v>
      </c>
      <c r="G193" s="2"/>
      <c r="H193" s="14">
        <f t="shared" si="48"/>
        <v>1041.4400000000005</v>
      </c>
      <c r="I193" s="15">
        <f>IFERROR(H193/H444, "NA")</f>
        <v>-7.6261890290785644E-2</v>
      </c>
      <c r="J193" s="2"/>
      <c r="K193" s="14">
        <f>IFERROR(K186+K187+K188+K189+K190+K191+K192, "NA")</f>
        <v>13090.740000000002</v>
      </c>
      <c r="L193" s="15">
        <f>IFERROR(K193/K444, "NA")</f>
        <v>3.0055279072057493E-2</v>
      </c>
      <c r="M193" s="2"/>
      <c r="N193" s="14">
        <f t="shared" si="49"/>
        <v>646.71000000000276</v>
      </c>
      <c r="O193" s="15">
        <f>IFERROR(N193/N444, "NA")</f>
        <v>-1.2848628136609814</v>
      </c>
      <c r="P193" s="2"/>
      <c r="Q193" s="14">
        <f>IFERROR(Q186+Q187+Q188+Q189+Q190+Q191+Q192, "NA")</f>
        <v>12444.029999999999</v>
      </c>
      <c r="R193" s="15">
        <f>IFERROR(Q193/Q444, "NA")</f>
        <v>2.8603539668007577E-2</v>
      </c>
      <c r="S193" s="2"/>
      <c r="T193" s="14">
        <f>IFERROR(T186+T187+T188+T189+T190+T191+T192, "NA")</f>
        <v>13485.47</v>
      </c>
      <c r="U193" s="15">
        <f>IFERROR(T193/T444, "NA")</f>
        <v>3.0053986087172017E-2</v>
      </c>
      <c r="V193" s="2"/>
      <c r="W193" s="14">
        <f t="shared" si="50"/>
        <v>1041.4400000000005</v>
      </c>
      <c r="X193" s="15">
        <f>IFERROR(W193/W444, "NA")</f>
        <v>-7.6261890290785644E-2</v>
      </c>
      <c r="Y193" s="2"/>
      <c r="Z193" s="14">
        <f>IFERROR(Z186+Z187+Z188+Z189+Z190+Z191+Z192, "NA")</f>
        <v>13090.740000000002</v>
      </c>
      <c r="AA193" s="15">
        <f>IFERROR(Z193/Z444, "NA")</f>
        <v>3.0055279072057493E-2</v>
      </c>
      <c r="AB193" s="2"/>
      <c r="AC193" s="14">
        <f t="shared" si="51"/>
        <v>646.71000000000276</v>
      </c>
      <c r="AD193" s="15">
        <f>IFERROR(AC193/AC444, "NA")</f>
        <v>-1.2848628136609814</v>
      </c>
    </row>
    <row r="194" spans="1:30" ht="16.5" customHeight="1" x14ac:dyDescent="0.45">
      <c r="A194" s="6" t="s">
        <v>178</v>
      </c>
      <c r="B194" s="7">
        <v>1286.8000000000002</v>
      </c>
      <c r="C194" s="8">
        <f>IFERROR(B194/B444, "NA")</f>
        <v>2.9578066626962615E-3</v>
      </c>
      <c r="D194" s="9"/>
      <c r="E194" s="7">
        <v>948.97</v>
      </c>
      <c r="F194" s="8">
        <f>IFERROR(E194/E444, "NA")</f>
        <v>2.1148933761406634E-3</v>
      </c>
      <c r="G194" s="9"/>
      <c r="H194" s="10">
        <f t="shared" si="48"/>
        <v>-337.83000000000015</v>
      </c>
      <c r="I194" s="8">
        <f>IFERROR(H194/H444, "NA")</f>
        <v>2.473839529587505E-2</v>
      </c>
      <c r="J194" s="9"/>
      <c r="K194" s="7">
        <v>1210.48</v>
      </c>
      <c r="L194" s="8">
        <f>IFERROR(K194/K444, "NA")</f>
        <v>2.7791640664427031E-3</v>
      </c>
      <c r="M194" s="9"/>
      <c r="N194" s="10">
        <f t="shared" si="49"/>
        <v>-76.320000000000164</v>
      </c>
      <c r="O194" s="8">
        <f>IFERROR(N194/N444, "NA")</f>
        <v>0.15163014324597718</v>
      </c>
      <c r="P194" s="9"/>
      <c r="Q194" s="7">
        <v>1286.8000000000002</v>
      </c>
      <c r="R194" s="8">
        <f>IFERROR(Q194/Q444, "NA")</f>
        <v>2.9578066626962615E-3</v>
      </c>
      <c r="S194" s="9"/>
      <c r="T194" s="7">
        <v>948.97</v>
      </c>
      <c r="U194" s="8">
        <f>IFERROR(T194/T444, "NA")</f>
        <v>2.1148933761406634E-3</v>
      </c>
      <c r="V194" s="9"/>
      <c r="W194" s="10">
        <f t="shared" si="50"/>
        <v>-337.83000000000015</v>
      </c>
      <c r="X194" s="8">
        <f>IFERROR(W194/W444, "NA")</f>
        <v>2.473839529587505E-2</v>
      </c>
      <c r="Y194" s="9"/>
      <c r="Z194" s="7">
        <v>1210.48</v>
      </c>
      <c r="AA194" s="8">
        <f>IFERROR(Z194/Z444, "NA")</f>
        <v>2.7791640664427031E-3</v>
      </c>
      <c r="AB194" s="9"/>
      <c r="AC194" s="10">
        <f t="shared" si="51"/>
        <v>-76.320000000000164</v>
      </c>
      <c r="AD194" s="8">
        <f>IFERROR(AC194/AC444, "NA")</f>
        <v>0.15163014324597718</v>
      </c>
    </row>
    <row r="195" spans="1:30" ht="16.5" customHeight="1" x14ac:dyDescent="0.45">
      <c r="A195" s="6" t="s">
        <v>179</v>
      </c>
      <c r="B195" s="7">
        <v>1844.5700000000002</v>
      </c>
      <c r="C195" s="8">
        <f>IFERROR(B195/B444, "NA")</f>
        <v>4.2398829933242487E-3</v>
      </c>
      <c r="D195" s="9"/>
      <c r="E195" s="7">
        <v>1527.49</v>
      </c>
      <c r="F195" s="8">
        <f>IFERROR(E195/E444, "NA")</f>
        <v>3.4041945299863028E-3</v>
      </c>
      <c r="G195" s="9"/>
      <c r="H195" s="10">
        <f t="shared" si="48"/>
        <v>-317.08000000000015</v>
      </c>
      <c r="I195" s="8">
        <f>IFERROR(H195/H444, "NA")</f>
        <v>2.3218927805156622E-2</v>
      </c>
      <c r="J195" s="9"/>
      <c r="K195" s="7">
        <v>1315.65</v>
      </c>
      <c r="L195" s="8">
        <f>IFERROR(K195/K444, "NA")</f>
        <v>3.0206258707416414E-3</v>
      </c>
      <c r="M195" s="9"/>
      <c r="N195" s="10">
        <f t="shared" si="49"/>
        <v>-528.92000000000007</v>
      </c>
      <c r="O195" s="8">
        <f>IFERROR(N195/N444, "NA")</f>
        <v>1.0508413963006038</v>
      </c>
      <c r="P195" s="9"/>
      <c r="Q195" s="7">
        <v>1844.5700000000002</v>
      </c>
      <c r="R195" s="8">
        <f>IFERROR(Q195/Q444, "NA")</f>
        <v>4.2398829933242487E-3</v>
      </c>
      <c r="S195" s="9"/>
      <c r="T195" s="7">
        <v>1527.49</v>
      </c>
      <c r="U195" s="8">
        <f>IFERROR(T195/T444, "NA")</f>
        <v>3.4041945299863028E-3</v>
      </c>
      <c r="V195" s="9"/>
      <c r="W195" s="10">
        <f t="shared" si="50"/>
        <v>-317.08000000000015</v>
      </c>
      <c r="X195" s="8">
        <f>IFERROR(W195/W444, "NA")</f>
        <v>2.3218927805156622E-2</v>
      </c>
      <c r="Y195" s="9"/>
      <c r="Z195" s="7">
        <v>1315.65</v>
      </c>
      <c r="AA195" s="8">
        <f>IFERROR(Z195/Z444, "NA")</f>
        <v>3.0206258707416414E-3</v>
      </c>
      <c r="AB195" s="9"/>
      <c r="AC195" s="10">
        <f t="shared" si="51"/>
        <v>-528.92000000000007</v>
      </c>
      <c r="AD195" s="8">
        <f>IFERROR(AC195/AC444, "NA")</f>
        <v>1.0508413963006038</v>
      </c>
    </row>
    <row r="196" spans="1:30" ht="16.5" customHeight="1" x14ac:dyDescent="0.45">
      <c r="A196" s="19" t="s">
        <v>180</v>
      </c>
      <c r="B196" s="14">
        <f>IFERROR(B175+B177+B178+B179+B180+B181+B183+B184+B186+B187+B188+B189+B190+B191+B192+B194+B195, "NA")</f>
        <v>134612.63</v>
      </c>
      <c r="C196" s="15">
        <f>IFERROR(B196/B444, "NA")</f>
        <v>0.30941726289793797</v>
      </c>
      <c r="D196" s="2"/>
      <c r="E196" s="14">
        <f>IFERROR(E175+E177+E178+E179+E180+E181+E183+E184+E186+E187+E188+E189+E190+E191+E192+E194+E195, "NA")</f>
        <v>134582.16999999998</v>
      </c>
      <c r="F196" s="15">
        <f>IFERROR(E196/E444, "NA")</f>
        <v>0.29993249510483644</v>
      </c>
      <c r="G196" s="2"/>
      <c r="H196" s="14">
        <f t="shared" si="48"/>
        <v>-30.460000000020955</v>
      </c>
      <c r="I196" s="15">
        <f>IFERROR(H196/H444, "NA")</f>
        <v>2.2305050490272387E-3</v>
      </c>
      <c r="J196" s="2"/>
      <c r="K196" s="14">
        <f>IFERROR(K175+K177+K178+K179+K180+K181+K183+K184+K186+K187+K188+K189+K190+K191+K192+K194+K195, "NA")</f>
        <v>134073.18000000002</v>
      </c>
      <c r="L196" s="15">
        <f>IFERROR(K196/K444, "NA")</f>
        <v>0.30782116526477471</v>
      </c>
      <c r="M196" s="2"/>
      <c r="N196" s="14">
        <f t="shared" si="49"/>
        <v>-539.44999999998254</v>
      </c>
      <c r="O196" s="15">
        <f>IFERROR(N196/N444, "NA")</f>
        <v>1.0717620646493653</v>
      </c>
      <c r="P196" s="2"/>
      <c r="Q196" s="14">
        <f>IFERROR(Q175+Q177+Q178+Q179+Q180+Q181+Q183+Q184+Q186+Q187+Q188+Q189+Q190+Q191+Q192+Q194+Q195, "NA")</f>
        <v>134612.63</v>
      </c>
      <c r="R196" s="15">
        <f>IFERROR(Q196/Q444, "NA")</f>
        <v>0.30941726289793797</v>
      </c>
      <c r="S196" s="2"/>
      <c r="T196" s="14">
        <f>IFERROR(T175+T177+T178+T179+T180+T181+T183+T184+T186+T187+T188+T189+T190+T191+T192+T194+T195, "NA")</f>
        <v>134582.16999999998</v>
      </c>
      <c r="U196" s="15">
        <f>IFERROR(T196/T444, "NA")</f>
        <v>0.29993249510483644</v>
      </c>
      <c r="V196" s="2"/>
      <c r="W196" s="14">
        <f t="shared" si="50"/>
        <v>-30.460000000020955</v>
      </c>
      <c r="X196" s="15">
        <f>IFERROR(W196/W444, "NA")</f>
        <v>2.2305050490272387E-3</v>
      </c>
      <c r="Y196" s="2"/>
      <c r="Z196" s="14">
        <f>IFERROR(Z175+Z177+Z178+Z179+Z180+Z181+Z183+Z184+Z186+Z187+Z188+Z189+Z190+Z191+Z192+Z194+Z195, "NA")</f>
        <v>134073.18000000002</v>
      </c>
      <c r="AA196" s="15">
        <f>IFERROR(Z196/Z444, "NA")</f>
        <v>0.30782116526477471</v>
      </c>
      <c r="AB196" s="2"/>
      <c r="AC196" s="14">
        <f t="shared" si="51"/>
        <v>-539.44999999998254</v>
      </c>
      <c r="AD196" s="15">
        <f>IFERROR(AC196/AC444, "NA")</f>
        <v>1.0717620646493653</v>
      </c>
    </row>
    <row r="197" spans="1:30" ht="16.5" customHeight="1" x14ac:dyDescent="0.45">
      <c r="A197" s="21" t="s">
        <v>180</v>
      </c>
      <c r="B197" s="14">
        <f>IFERROR(B175+B177+B178+B179+B180+B181+B183+B184+B186+B187+B188+B189+B190+B191+B192+B194+B195, "NA")</f>
        <v>134612.63</v>
      </c>
      <c r="C197" s="15">
        <f>IFERROR(B197/B444, "NA")</f>
        <v>0.30941726289793797</v>
      </c>
      <c r="D197" s="2"/>
      <c r="E197" s="14">
        <f>IFERROR(E175+E177+E178+E179+E180+E181+E183+E184+E186+E187+E188+E189+E190+E191+E192+E194+E195, "NA")</f>
        <v>134582.16999999998</v>
      </c>
      <c r="F197" s="15">
        <f>IFERROR(E197/E444, "NA")</f>
        <v>0.29993249510483644</v>
      </c>
      <c r="G197" s="2"/>
      <c r="H197" s="14">
        <f t="shared" si="48"/>
        <v>-30.460000000020955</v>
      </c>
      <c r="I197" s="15">
        <f>IFERROR(H197/H444, "NA")</f>
        <v>2.2305050490272387E-3</v>
      </c>
      <c r="J197" s="2"/>
      <c r="K197" s="14">
        <f>IFERROR(K175+K177+K178+K179+K180+K181+K183+K184+K186+K187+K188+K189+K190+K191+K192+K194+K195, "NA")</f>
        <v>134073.18000000002</v>
      </c>
      <c r="L197" s="15">
        <f>IFERROR(K197/K444, "NA")</f>
        <v>0.30782116526477471</v>
      </c>
      <c r="M197" s="2"/>
      <c r="N197" s="14">
        <f t="shared" si="49"/>
        <v>-539.44999999998254</v>
      </c>
      <c r="O197" s="15">
        <f>IFERROR(N197/N444, "NA")</f>
        <v>1.0717620646493653</v>
      </c>
      <c r="P197" s="2"/>
      <c r="Q197" s="14">
        <f>IFERROR(Q175+Q177+Q178+Q179+Q180+Q181+Q183+Q184+Q186+Q187+Q188+Q189+Q190+Q191+Q192+Q194+Q195, "NA")</f>
        <v>134612.63</v>
      </c>
      <c r="R197" s="15">
        <f>IFERROR(Q197/Q444, "NA")</f>
        <v>0.30941726289793797</v>
      </c>
      <c r="S197" s="2"/>
      <c r="T197" s="14">
        <f>IFERROR(T175+T177+T178+T179+T180+T181+T183+T184+T186+T187+T188+T189+T190+T191+T192+T194+T195, "NA")</f>
        <v>134582.16999999998</v>
      </c>
      <c r="U197" s="15">
        <f>IFERROR(T197/T444, "NA")</f>
        <v>0.29993249510483644</v>
      </c>
      <c r="V197" s="2"/>
      <c r="W197" s="14">
        <f t="shared" si="50"/>
        <v>-30.460000000020955</v>
      </c>
      <c r="X197" s="15">
        <f>IFERROR(W197/W444, "NA")</f>
        <v>2.2305050490272387E-3</v>
      </c>
      <c r="Y197" s="2"/>
      <c r="Z197" s="14">
        <f>IFERROR(Z175+Z177+Z178+Z179+Z180+Z181+Z183+Z184+Z186+Z187+Z188+Z189+Z190+Z191+Z192+Z194+Z195, "NA")</f>
        <v>134073.18000000002</v>
      </c>
      <c r="AA197" s="15">
        <f>IFERROR(Z197/Z444, "NA")</f>
        <v>0.30782116526477471</v>
      </c>
      <c r="AB197" s="2"/>
      <c r="AC197" s="14">
        <f t="shared" si="51"/>
        <v>-539.44999999998254</v>
      </c>
      <c r="AD197" s="15">
        <f>IFERROR(AC197/AC444, "NA")</f>
        <v>1.0717620646493653</v>
      </c>
    </row>
    <row r="198" spans="1:30" ht="16.5" customHeight="1" x14ac:dyDescent="0.45">
      <c r="A198" s="22" t="s">
        <v>181</v>
      </c>
      <c r="B198" s="23">
        <f>IFERROR(B172-B197, "NA")</f>
        <v>177731.29000000004</v>
      </c>
      <c r="C198" s="24">
        <f>IFERROR(B198/B444, "NA")</f>
        <v>0.4085287486257394</v>
      </c>
      <c r="D198" s="25"/>
      <c r="E198" s="23">
        <f>IFERROR(E172-E197, "NA")</f>
        <v>191783.89</v>
      </c>
      <c r="F198" s="24">
        <f>IFERROR(E198/E444, "NA")</f>
        <v>0.4274133835753392</v>
      </c>
      <c r="G198" s="25"/>
      <c r="H198" s="23">
        <f>IFERROR(B198-E198, "NA")</f>
        <v>-14052.599999999977</v>
      </c>
      <c r="I198" s="24">
        <f>IFERROR(H198/H444, "NA")</f>
        <v>1.0290346438587841</v>
      </c>
      <c r="J198" s="25"/>
      <c r="K198" s="23">
        <f>IFERROR(K172-K197, "NA")</f>
        <v>187091.15</v>
      </c>
      <c r="L198" s="24">
        <f>IFERROR(K198/K444, "NA")</f>
        <v>0.42954613147630832</v>
      </c>
      <c r="M198" s="25"/>
      <c r="N198" s="23">
        <f>IFERROR(B198-K198, "NA")</f>
        <v>-9359.8599999999569</v>
      </c>
      <c r="O198" s="24">
        <f>IFERROR(N198/N444, "NA")</f>
        <v>18.595871495837034</v>
      </c>
      <c r="P198" s="25"/>
      <c r="Q198" s="23">
        <f>IFERROR(Q172-Q197, "NA")</f>
        <v>177731.29000000004</v>
      </c>
      <c r="R198" s="24">
        <f>IFERROR(Q198/Q444, "NA")</f>
        <v>0.4085287486257394</v>
      </c>
      <c r="S198" s="25"/>
      <c r="T198" s="23">
        <f>IFERROR(T172-T197, "NA")</f>
        <v>191783.89</v>
      </c>
      <c r="U198" s="24">
        <f>IFERROR(T198/T444, "NA")</f>
        <v>0.4274133835753392</v>
      </c>
      <c r="V198" s="25"/>
      <c r="W198" s="23">
        <f>IFERROR(Q198-T198, "NA")</f>
        <v>-14052.599999999977</v>
      </c>
      <c r="X198" s="24">
        <f>IFERROR(W198/W444, "NA")</f>
        <v>1.0290346438587841</v>
      </c>
      <c r="Y198" s="25"/>
      <c r="Z198" s="23">
        <f>IFERROR(Z172-Z197, "NA")</f>
        <v>187091.15</v>
      </c>
      <c r="AA198" s="24">
        <f>IFERROR(Z198/Z444, "NA")</f>
        <v>0.42954613147630832</v>
      </c>
      <c r="AB198" s="25"/>
      <c r="AC198" s="23">
        <f>IFERROR(Q198-Z198, "NA")</f>
        <v>-9359.8599999999569</v>
      </c>
      <c r="AD198" s="24">
        <f>IFERROR(AC198/AC444, "NA")</f>
        <v>18.595871495837034</v>
      </c>
    </row>
    <row r="199" spans="1:30" ht="16.5" customHeight="1" x14ac:dyDescent="0.45">
      <c r="A199" s="1" t="s">
        <v>182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45">
      <c r="A200" s="5" t="s">
        <v>183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45">
      <c r="A201" s="6" t="s">
        <v>183</v>
      </c>
      <c r="B201" s="7">
        <v>0</v>
      </c>
      <c r="C201" s="8">
        <f>IFERROR(B201/B444, "NA")</f>
        <v>0</v>
      </c>
      <c r="D201" s="9"/>
      <c r="E201" s="7">
        <v>0</v>
      </c>
      <c r="F201" s="8">
        <f>IFERROR(E201/E444, "NA")</f>
        <v>0</v>
      </c>
      <c r="G201" s="9"/>
      <c r="H201" s="10">
        <f t="shared" ref="H201:H209" si="52">IFERROR(-(B201-E201), "NA")</f>
        <v>0</v>
      </c>
      <c r="I201" s="8">
        <f>IFERROR(H201/H444, "NA")</f>
        <v>0</v>
      </c>
      <c r="J201" s="9"/>
      <c r="K201" s="7">
        <v>0</v>
      </c>
      <c r="L201" s="8">
        <f>IFERROR(K201/K444, "NA")</f>
        <v>0</v>
      </c>
      <c r="M201" s="9"/>
      <c r="N201" s="10">
        <f t="shared" ref="N201:N209" si="53">IFERROR(-(B201-K201), "NA")</f>
        <v>0</v>
      </c>
      <c r="O201" s="8">
        <f>IFERROR(N201/N444, "NA")</f>
        <v>0</v>
      </c>
      <c r="P201" s="9"/>
      <c r="Q201" s="7">
        <v>0</v>
      </c>
      <c r="R201" s="8">
        <f>IFERROR(Q201/Q444, "NA")</f>
        <v>0</v>
      </c>
      <c r="S201" s="9"/>
      <c r="T201" s="7">
        <v>0</v>
      </c>
      <c r="U201" s="8">
        <f>IFERROR(T201/T444, "NA")</f>
        <v>0</v>
      </c>
      <c r="V201" s="9"/>
      <c r="W201" s="10">
        <f t="shared" ref="W201:W209" si="54">IFERROR(-(Q201-T201), "NA")</f>
        <v>0</v>
      </c>
      <c r="X201" s="8">
        <f>IFERROR(W201/W444, "NA")</f>
        <v>0</v>
      </c>
      <c r="Y201" s="9"/>
      <c r="Z201" s="7">
        <v>0</v>
      </c>
      <c r="AA201" s="8">
        <f>IFERROR(Z201/Z444, "NA")</f>
        <v>0</v>
      </c>
      <c r="AB201" s="9"/>
      <c r="AC201" s="10">
        <f t="shared" ref="AC201:AC209" si="55">IFERROR(-(Q201-Z201), "NA")</f>
        <v>0</v>
      </c>
      <c r="AD201" s="8">
        <f>IFERROR(AC201/AC444, "NA")</f>
        <v>0</v>
      </c>
    </row>
    <row r="202" spans="1:30" ht="16.5" customHeight="1" x14ac:dyDescent="0.45">
      <c r="A202" s="6" t="s">
        <v>184</v>
      </c>
      <c r="B202" s="7">
        <v>5143.2099999999991</v>
      </c>
      <c r="C202" s="8">
        <f>IFERROR(B202/B444, "NA")</f>
        <v>1.1822055335441431E-2</v>
      </c>
      <c r="D202" s="9"/>
      <c r="E202" s="7">
        <v>4167.0200000000004</v>
      </c>
      <c r="F202" s="8">
        <f>IFERROR(E202/E444, "NA")</f>
        <v>9.2867034745520594E-3</v>
      </c>
      <c r="G202" s="9"/>
      <c r="H202" s="10">
        <f t="shared" si="52"/>
        <v>-976.18999999999869</v>
      </c>
      <c r="I202" s="8">
        <f>IFERROR(H202/H444, "NA")</f>
        <v>7.148380577177936E-2</v>
      </c>
      <c r="J202" s="9"/>
      <c r="K202" s="7">
        <v>4589.2299999999996</v>
      </c>
      <c r="L202" s="8">
        <f>IFERROR(K202/K444, "NA")</f>
        <v>1.0536500486287129E-2</v>
      </c>
      <c r="M202" s="9"/>
      <c r="N202" s="10">
        <f t="shared" si="53"/>
        <v>-553.97999999999956</v>
      </c>
      <c r="O202" s="8">
        <f>IFERROR(N202/N444, "NA")</f>
        <v>1.100629805495364</v>
      </c>
      <c r="P202" s="9"/>
      <c r="Q202" s="7">
        <v>5143.2099999999991</v>
      </c>
      <c r="R202" s="8">
        <f>IFERROR(Q202/Q444, "NA")</f>
        <v>1.1822055335441431E-2</v>
      </c>
      <c r="S202" s="9"/>
      <c r="T202" s="7">
        <v>4167.0200000000004</v>
      </c>
      <c r="U202" s="8">
        <f>IFERROR(T202/T444, "NA")</f>
        <v>9.2867034745520594E-3</v>
      </c>
      <c r="V202" s="9"/>
      <c r="W202" s="10">
        <f t="shared" si="54"/>
        <v>-976.18999999999869</v>
      </c>
      <c r="X202" s="8">
        <f>IFERROR(W202/W444, "NA")</f>
        <v>7.148380577177936E-2</v>
      </c>
      <c r="Y202" s="9"/>
      <c r="Z202" s="7">
        <v>4589.2299999999996</v>
      </c>
      <c r="AA202" s="8">
        <f>IFERROR(Z202/Z444, "NA")</f>
        <v>1.0536500486287129E-2</v>
      </c>
      <c r="AB202" s="9"/>
      <c r="AC202" s="10">
        <f t="shared" si="55"/>
        <v>-553.97999999999956</v>
      </c>
      <c r="AD202" s="8">
        <f>IFERROR(AC202/AC444, "NA")</f>
        <v>1.100629805495364</v>
      </c>
    </row>
    <row r="203" spans="1:30" ht="16.5" customHeight="1" x14ac:dyDescent="0.45">
      <c r="A203" s="6" t="s">
        <v>185</v>
      </c>
      <c r="B203" s="7">
        <v>2975</v>
      </c>
      <c r="C203" s="8">
        <f>IFERROR(B203/B444, "NA")</f>
        <v>6.8382614404113905E-3</v>
      </c>
      <c r="D203" s="9"/>
      <c r="E203" s="7">
        <v>2986.1000000000004</v>
      </c>
      <c r="F203" s="8">
        <f>IFERROR(E203/E444, "NA")</f>
        <v>6.6548817249161042E-3</v>
      </c>
      <c r="G203" s="9"/>
      <c r="H203" s="10">
        <f t="shared" si="52"/>
        <v>11.100000000000364</v>
      </c>
      <c r="I203" s="8">
        <f>IFERROR(H203/H444, "NA")</f>
        <v>-8.1282357334819862E-4</v>
      </c>
      <c r="J203" s="9"/>
      <c r="K203" s="7">
        <v>2947.6</v>
      </c>
      <c r="L203" s="8">
        <f>IFERROR(K203/K444, "NA")</f>
        <v>6.7674509304131505E-3</v>
      </c>
      <c r="M203" s="9"/>
      <c r="N203" s="10">
        <f t="shared" si="53"/>
        <v>-27.400000000000091</v>
      </c>
      <c r="O203" s="8">
        <f>IFERROR(N203/N444, "NA")</f>
        <v>5.443744660560508E-2</v>
      </c>
      <c r="P203" s="9"/>
      <c r="Q203" s="7">
        <v>2975</v>
      </c>
      <c r="R203" s="8">
        <f>IFERROR(Q203/Q444, "NA")</f>
        <v>6.8382614404113905E-3</v>
      </c>
      <c r="S203" s="9"/>
      <c r="T203" s="7">
        <v>2986.1000000000004</v>
      </c>
      <c r="U203" s="8">
        <f>IFERROR(T203/T444, "NA")</f>
        <v>6.6548817249161042E-3</v>
      </c>
      <c r="V203" s="9"/>
      <c r="W203" s="10">
        <f t="shared" si="54"/>
        <v>11.100000000000364</v>
      </c>
      <c r="X203" s="8">
        <f>IFERROR(W203/W444, "NA")</f>
        <v>-8.1282357334819862E-4</v>
      </c>
      <c r="Y203" s="9"/>
      <c r="Z203" s="7">
        <v>2947.6</v>
      </c>
      <c r="AA203" s="8">
        <f>IFERROR(Z203/Z444, "NA")</f>
        <v>6.7674509304131505E-3</v>
      </c>
      <c r="AB203" s="9"/>
      <c r="AC203" s="10">
        <f t="shared" si="55"/>
        <v>-27.400000000000091</v>
      </c>
      <c r="AD203" s="8">
        <f>IFERROR(AC203/AC444, "NA")</f>
        <v>5.443744660560508E-2</v>
      </c>
    </row>
    <row r="204" spans="1:30" ht="16.5" customHeight="1" x14ac:dyDescent="0.45">
      <c r="A204" s="6" t="s">
        <v>186</v>
      </c>
      <c r="B204" s="7">
        <v>117.35</v>
      </c>
      <c r="C204" s="8">
        <f>IFERROR(B204/B444, "NA")</f>
        <v>2.6973780841421061E-4</v>
      </c>
      <c r="D204" s="9"/>
      <c r="E204" s="7">
        <v>897.42000000000007</v>
      </c>
      <c r="F204" s="8">
        <f>IFERROR(E204/E444, "NA")</f>
        <v>2.0000080230314489E-3</v>
      </c>
      <c r="G204" s="9"/>
      <c r="H204" s="10">
        <f t="shared" si="52"/>
        <v>780.07</v>
      </c>
      <c r="I204" s="8">
        <f>IFERROR(H204/H444, "NA")</f>
        <v>-5.712245809564942E-2</v>
      </c>
      <c r="J204" s="9"/>
      <c r="K204" s="7">
        <v>143.70000000000002</v>
      </c>
      <c r="L204" s="8">
        <f>IFERROR(K204/K444, "NA")</f>
        <v>3.2992356449327247E-4</v>
      </c>
      <c r="M204" s="9"/>
      <c r="N204" s="10">
        <f t="shared" si="53"/>
        <v>26.350000000000023</v>
      </c>
      <c r="O204" s="8">
        <f>IFERROR(N204/N444, "NA")</f>
        <v>-5.2351340075098188E-2</v>
      </c>
      <c r="P204" s="9"/>
      <c r="Q204" s="7">
        <v>117.35</v>
      </c>
      <c r="R204" s="8">
        <f>IFERROR(Q204/Q444, "NA")</f>
        <v>2.6973780841421061E-4</v>
      </c>
      <c r="S204" s="9"/>
      <c r="T204" s="7">
        <v>897.42000000000007</v>
      </c>
      <c r="U204" s="8">
        <f>IFERROR(T204/T444, "NA")</f>
        <v>2.0000080230314489E-3</v>
      </c>
      <c r="V204" s="9"/>
      <c r="W204" s="10">
        <f t="shared" si="54"/>
        <v>780.07</v>
      </c>
      <c r="X204" s="8">
        <f>IFERROR(W204/W444, "NA")</f>
        <v>-5.712245809564942E-2</v>
      </c>
      <c r="Y204" s="9"/>
      <c r="Z204" s="7">
        <v>143.70000000000002</v>
      </c>
      <c r="AA204" s="8">
        <f>IFERROR(Z204/Z444, "NA")</f>
        <v>3.2992356449327247E-4</v>
      </c>
      <c r="AB204" s="9"/>
      <c r="AC204" s="10">
        <f t="shared" si="55"/>
        <v>26.350000000000023</v>
      </c>
      <c r="AD204" s="8">
        <f>IFERROR(AC204/AC444, "NA")</f>
        <v>-5.2351340075098188E-2</v>
      </c>
    </row>
    <row r="205" spans="1:30" ht="16.5" customHeight="1" x14ac:dyDescent="0.45">
      <c r="A205" s="6" t="s">
        <v>187</v>
      </c>
      <c r="B205" s="7">
        <v>2091.11</v>
      </c>
      <c r="C205" s="8">
        <f>IFERROR(B205/B444, "NA")</f>
        <v>4.8065737413978699E-3</v>
      </c>
      <c r="D205" s="9"/>
      <c r="E205" s="7">
        <v>1346.12</v>
      </c>
      <c r="F205" s="8">
        <f>IFERROR(E205/E444, "NA")</f>
        <v>2.999989748348704E-3</v>
      </c>
      <c r="G205" s="9"/>
      <c r="H205" s="10">
        <f t="shared" si="52"/>
        <v>-744.99000000000024</v>
      </c>
      <c r="I205" s="8">
        <f>IFERROR(H205/H444, "NA")</f>
        <v>5.4553642694473409E-2</v>
      </c>
      <c r="J205" s="9"/>
      <c r="K205" s="7">
        <v>1905.0600000000002</v>
      </c>
      <c r="L205" s="8">
        <f>IFERROR(K205/K444, "NA")</f>
        <v>4.3738635057310625E-3</v>
      </c>
      <c r="M205" s="9"/>
      <c r="N205" s="10">
        <f t="shared" si="53"/>
        <v>-186.04999999999995</v>
      </c>
      <c r="O205" s="8">
        <f>IFERROR(N205/N444, "NA")</f>
        <v>0.36963820952455434</v>
      </c>
      <c r="P205" s="9"/>
      <c r="Q205" s="7">
        <v>2091.11</v>
      </c>
      <c r="R205" s="8">
        <f>IFERROR(Q205/Q444, "NA")</f>
        <v>4.8065737413978699E-3</v>
      </c>
      <c r="S205" s="9"/>
      <c r="T205" s="7">
        <v>1346.12</v>
      </c>
      <c r="U205" s="8">
        <f>IFERROR(T205/T444, "NA")</f>
        <v>2.999989748348704E-3</v>
      </c>
      <c r="V205" s="9"/>
      <c r="W205" s="10">
        <f t="shared" si="54"/>
        <v>-744.99000000000024</v>
      </c>
      <c r="X205" s="8">
        <f>IFERROR(W205/W444, "NA")</f>
        <v>5.4553642694473409E-2</v>
      </c>
      <c r="Y205" s="9"/>
      <c r="Z205" s="7">
        <v>1905.0600000000002</v>
      </c>
      <c r="AA205" s="8">
        <f>IFERROR(Z205/Z444, "NA")</f>
        <v>4.3738635057310625E-3</v>
      </c>
      <c r="AB205" s="9"/>
      <c r="AC205" s="10">
        <f t="shared" si="55"/>
        <v>-186.04999999999995</v>
      </c>
      <c r="AD205" s="8">
        <f>IFERROR(AC205/AC444, "NA")</f>
        <v>0.36963820952455434</v>
      </c>
    </row>
    <row r="206" spans="1:30" ht="16.5" customHeight="1" x14ac:dyDescent="0.45">
      <c r="A206" s="6" t="s">
        <v>188</v>
      </c>
      <c r="B206" s="7">
        <v>288.48</v>
      </c>
      <c r="C206" s="8">
        <f>IFERROR(B206/B444, "NA")</f>
        <v>6.630929950688665E-4</v>
      </c>
      <c r="D206" s="9"/>
      <c r="E206" s="7">
        <v>448.71000000000004</v>
      </c>
      <c r="F206" s="8">
        <f>IFERROR(E206/E444, "NA")</f>
        <v>1.0000040115157244E-3</v>
      </c>
      <c r="G206" s="9"/>
      <c r="H206" s="10">
        <f t="shared" si="52"/>
        <v>160.23000000000002</v>
      </c>
      <c r="I206" s="8">
        <f>IFERROR(H206/H444, "NA")</f>
        <v>-1.173321812230429E-2</v>
      </c>
      <c r="J206" s="9"/>
      <c r="K206" s="7">
        <v>0</v>
      </c>
      <c r="L206" s="8">
        <f>IFERROR(K206/K444, "NA")</f>
        <v>0</v>
      </c>
      <c r="M206" s="9"/>
      <c r="N206" s="10">
        <f t="shared" si="53"/>
        <v>-288.48</v>
      </c>
      <c r="O206" s="8">
        <f>IFERROR(N206/N444, "NA")</f>
        <v>0.57314286849579932</v>
      </c>
      <c r="P206" s="9"/>
      <c r="Q206" s="7">
        <v>288.48</v>
      </c>
      <c r="R206" s="8">
        <f>IFERROR(Q206/Q444, "NA")</f>
        <v>6.630929950688665E-4</v>
      </c>
      <c r="S206" s="9"/>
      <c r="T206" s="7">
        <v>448.71000000000004</v>
      </c>
      <c r="U206" s="8">
        <f>IFERROR(T206/T444, "NA")</f>
        <v>1.0000040115157244E-3</v>
      </c>
      <c r="V206" s="9"/>
      <c r="W206" s="10">
        <f t="shared" si="54"/>
        <v>160.23000000000002</v>
      </c>
      <c r="X206" s="8">
        <f>IFERROR(W206/W444, "NA")</f>
        <v>-1.173321812230429E-2</v>
      </c>
      <c r="Y206" s="9"/>
      <c r="Z206" s="7">
        <v>0</v>
      </c>
      <c r="AA206" s="8">
        <f>IFERROR(Z206/Z444, "NA")</f>
        <v>0</v>
      </c>
      <c r="AB206" s="9"/>
      <c r="AC206" s="10">
        <f t="shared" si="55"/>
        <v>-288.48</v>
      </c>
      <c r="AD206" s="8">
        <f>IFERROR(AC206/AC444, "NA")</f>
        <v>0.57314286849579932</v>
      </c>
    </row>
    <row r="207" spans="1:30" ht="16.5" customHeight="1" x14ac:dyDescent="0.45">
      <c r="A207" s="6" t="s">
        <v>189</v>
      </c>
      <c r="B207" s="7">
        <v>388.2</v>
      </c>
      <c r="C207" s="8">
        <f>IFERROR(B207/B444, "NA")</f>
        <v>8.9230692140090809E-4</v>
      </c>
      <c r="D207" s="9"/>
      <c r="E207" s="7">
        <v>500</v>
      </c>
      <c r="F207" s="8">
        <f>IFERROR(E207/E444, "NA")</f>
        <v>1.1143099234647371E-3</v>
      </c>
      <c r="G207" s="9"/>
      <c r="H207" s="10">
        <f t="shared" si="52"/>
        <v>111.80000000000001</v>
      </c>
      <c r="I207" s="8">
        <f>IFERROR(H207/H444, "NA")</f>
        <v>-8.1868176126419501E-3</v>
      </c>
      <c r="J207" s="9"/>
      <c r="K207" s="7">
        <v>497.99</v>
      </c>
      <c r="L207" s="8">
        <f>IFERROR(K207/K444, "NA")</f>
        <v>1.143344717341717E-3</v>
      </c>
      <c r="M207" s="9"/>
      <c r="N207" s="10">
        <f t="shared" si="53"/>
        <v>109.79000000000002</v>
      </c>
      <c r="O207" s="8">
        <f>IFERROR(N207/N444, "NA")</f>
        <v>-0.21812727236603513</v>
      </c>
      <c r="P207" s="9"/>
      <c r="Q207" s="7">
        <v>388.2</v>
      </c>
      <c r="R207" s="8">
        <f>IFERROR(Q207/Q444, "NA")</f>
        <v>8.9230692140090809E-4</v>
      </c>
      <c r="S207" s="9"/>
      <c r="T207" s="7">
        <v>500</v>
      </c>
      <c r="U207" s="8">
        <f>IFERROR(T207/T444, "NA")</f>
        <v>1.1143099234647371E-3</v>
      </c>
      <c r="V207" s="9"/>
      <c r="W207" s="10">
        <f t="shared" si="54"/>
        <v>111.80000000000001</v>
      </c>
      <c r="X207" s="8">
        <f>IFERROR(W207/W444, "NA")</f>
        <v>-8.1868176126419501E-3</v>
      </c>
      <c r="Y207" s="9"/>
      <c r="Z207" s="7">
        <v>497.99</v>
      </c>
      <c r="AA207" s="8">
        <f>IFERROR(Z207/Z444, "NA")</f>
        <v>1.143344717341717E-3</v>
      </c>
      <c r="AB207" s="9"/>
      <c r="AC207" s="10">
        <f t="shared" si="55"/>
        <v>109.79000000000002</v>
      </c>
      <c r="AD207" s="8">
        <f>IFERROR(AC207/AC444, "NA")</f>
        <v>-0.21812727236603513</v>
      </c>
    </row>
    <row r="208" spans="1:30" ht="16.5" customHeight="1" x14ac:dyDescent="0.45">
      <c r="A208" s="6" t="s">
        <v>190</v>
      </c>
      <c r="B208" s="7">
        <v>281.90999999999997</v>
      </c>
      <c r="C208" s="8">
        <f>IFERROR(B208/B444, "NA")</f>
        <v>6.479913555181092E-4</v>
      </c>
      <c r="D208" s="9"/>
      <c r="E208" s="7">
        <v>500</v>
      </c>
      <c r="F208" s="8">
        <f>IFERROR(E208/E444, "NA")</f>
        <v>1.1143099234647371E-3</v>
      </c>
      <c r="G208" s="9"/>
      <c r="H208" s="10">
        <f t="shared" si="52"/>
        <v>218.09000000000003</v>
      </c>
      <c r="I208" s="8">
        <f>IFERROR(H208/H444, "NA")</f>
        <v>-1.5970152532567825E-2</v>
      </c>
      <c r="J208" s="9"/>
      <c r="K208" s="7">
        <v>728.68999999999994</v>
      </c>
      <c r="L208" s="8">
        <f>IFERROR(K208/K444, "NA")</f>
        <v>1.6730132373737137E-3</v>
      </c>
      <c r="M208" s="9"/>
      <c r="N208" s="10">
        <f t="shared" si="53"/>
        <v>446.78</v>
      </c>
      <c r="O208" s="8">
        <f>IFERROR(N208/N444, "NA")</f>
        <v>-0.88764826257124652</v>
      </c>
      <c r="P208" s="9"/>
      <c r="Q208" s="7">
        <v>281.90999999999997</v>
      </c>
      <c r="R208" s="8">
        <f>IFERROR(Q208/Q444, "NA")</f>
        <v>6.479913555181092E-4</v>
      </c>
      <c r="S208" s="9"/>
      <c r="T208" s="7">
        <v>500</v>
      </c>
      <c r="U208" s="8">
        <f>IFERROR(T208/T444, "NA")</f>
        <v>1.1143099234647371E-3</v>
      </c>
      <c r="V208" s="9"/>
      <c r="W208" s="10">
        <f t="shared" si="54"/>
        <v>218.09000000000003</v>
      </c>
      <c r="X208" s="8">
        <f>IFERROR(W208/W444, "NA")</f>
        <v>-1.5970152532567825E-2</v>
      </c>
      <c r="Y208" s="9"/>
      <c r="Z208" s="7">
        <v>728.68999999999994</v>
      </c>
      <c r="AA208" s="8">
        <f>IFERROR(Z208/Z444, "NA")</f>
        <v>1.6730132373737137E-3</v>
      </c>
      <c r="AB208" s="9"/>
      <c r="AC208" s="10">
        <f t="shared" si="55"/>
        <v>446.78</v>
      </c>
      <c r="AD208" s="8">
        <f>IFERROR(AC208/AC444, "NA")</f>
        <v>-0.88764826257124652</v>
      </c>
    </row>
    <row r="209" spans="1:30" ht="16.5" customHeight="1" x14ac:dyDescent="0.45">
      <c r="A209" s="19" t="s">
        <v>191</v>
      </c>
      <c r="B209" s="14">
        <f>IFERROR(B201+B202+B203+B204+B205+B206+B207+B208, "NA")</f>
        <v>11285.26</v>
      </c>
      <c r="C209" s="15">
        <f>IFERROR(B209/B444, "NA")</f>
        <v>2.594001959765279E-2</v>
      </c>
      <c r="D209" s="2"/>
      <c r="E209" s="14">
        <f>IFERROR(E201+E202+E203+E204+E205+E206+E207+E208, "NA")</f>
        <v>10845.369999999999</v>
      </c>
      <c r="F209" s="15">
        <f>IFERROR(E209/E444, "NA")</f>
        <v>2.4170206829293512E-2</v>
      </c>
      <c r="G209" s="2"/>
      <c r="H209" s="14">
        <f t="shared" si="52"/>
        <v>-439.89000000000124</v>
      </c>
      <c r="I209" s="15">
        <f>IFERROR(H209/H444, "NA")</f>
        <v>3.2211978529741295E-2</v>
      </c>
      <c r="J209" s="2"/>
      <c r="K209" s="14">
        <f>IFERROR(K201+K202+K203+K204+K205+K206+K207+K208, "NA")</f>
        <v>10812.27</v>
      </c>
      <c r="L209" s="15">
        <f>IFERROR(K209/K444, "NA")</f>
        <v>2.4824096441640048E-2</v>
      </c>
      <c r="M209" s="2"/>
      <c r="N209" s="14">
        <f t="shared" si="53"/>
        <v>-472.98999999999978</v>
      </c>
      <c r="O209" s="15">
        <f>IFERROR(N209/N444, "NA")</f>
        <v>0.93972145510894334</v>
      </c>
      <c r="P209" s="2"/>
      <c r="Q209" s="14">
        <f>IFERROR(Q201+Q202+Q203+Q204+Q205+Q206+Q207+Q208, "NA")</f>
        <v>11285.26</v>
      </c>
      <c r="R209" s="15">
        <f>IFERROR(Q209/Q444, "NA")</f>
        <v>2.594001959765279E-2</v>
      </c>
      <c r="S209" s="2"/>
      <c r="T209" s="14">
        <f>IFERROR(T201+T202+T203+T204+T205+T206+T207+T208, "NA")</f>
        <v>10845.369999999999</v>
      </c>
      <c r="U209" s="15">
        <f>IFERROR(T209/T444, "NA")</f>
        <v>2.4170206829293512E-2</v>
      </c>
      <c r="V209" s="2"/>
      <c r="W209" s="14">
        <f t="shared" si="54"/>
        <v>-439.89000000000124</v>
      </c>
      <c r="X209" s="15">
        <f>IFERROR(W209/W444, "NA")</f>
        <v>3.2211978529741295E-2</v>
      </c>
      <c r="Y209" s="2"/>
      <c r="Z209" s="14">
        <f>IFERROR(Z201+Z202+Z203+Z204+Z205+Z206+Z207+Z208, "NA")</f>
        <v>10812.27</v>
      </c>
      <c r="AA209" s="15">
        <f>IFERROR(Z209/Z444, "NA")</f>
        <v>2.4824096441640048E-2</v>
      </c>
      <c r="AB209" s="2"/>
      <c r="AC209" s="14">
        <f t="shared" si="55"/>
        <v>-472.98999999999978</v>
      </c>
      <c r="AD209" s="15">
        <f>IFERROR(AC209/AC444, "NA")</f>
        <v>0.93972145510894334</v>
      </c>
    </row>
    <row r="210" spans="1:30" ht="16.5" customHeight="1" x14ac:dyDescent="0.45">
      <c r="A210" s="5" t="s">
        <v>192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45">
      <c r="A211" s="6" t="s">
        <v>192</v>
      </c>
      <c r="B211" s="7">
        <v>0</v>
      </c>
      <c r="C211" s="8">
        <f>IFERROR(B211/B444, "NA")</f>
        <v>0</v>
      </c>
      <c r="D211" s="9"/>
      <c r="E211" s="7">
        <v>0</v>
      </c>
      <c r="F211" s="8">
        <f>IFERROR(E211/E444, "NA")</f>
        <v>0</v>
      </c>
      <c r="G211" s="9"/>
      <c r="H211" s="10">
        <f>IFERROR(-(B211-E211), "NA")</f>
        <v>0</v>
      </c>
      <c r="I211" s="8">
        <f>IFERROR(H211/H444, "NA")</f>
        <v>0</v>
      </c>
      <c r="J211" s="9"/>
      <c r="K211" s="7">
        <v>0</v>
      </c>
      <c r="L211" s="8">
        <f>IFERROR(K211/K444, "NA")</f>
        <v>0</v>
      </c>
      <c r="M211" s="9"/>
      <c r="N211" s="10">
        <f>IFERROR(-(B211-K211), "NA")</f>
        <v>0</v>
      </c>
      <c r="O211" s="8">
        <f>IFERROR(N211/N444, "NA")</f>
        <v>0</v>
      </c>
      <c r="P211" s="9"/>
      <c r="Q211" s="7">
        <v>0</v>
      </c>
      <c r="R211" s="8">
        <f>IFERROR(Q211/Q444, "NA")</f>
        <v>0</v>
      </c>
      <c r="S211" s="9"/>
      <c r="T211" s="7">
        <v>0</v>
      </c>
      <c r="U211" s="8">
        <f>IFERROR(T211/T444, "NA")</f>
        <v>0</v>
      </c>
      <c r="V211" s="9"/>
      <c r="W211" s="10">
        <f>IFERROR(-(Q211-T211), "NA")</f>
        <v>0</v>
      </c>
      <c r="X211" s="8">
        <f>IFERROR(W211/W444, "NA")</f>
        <v>0</v>
      </c>
      <c r="Y211" s="9"/>
      <c r="Z211" s="7">
        <v>0</v>
      </c>
      <c r="AA211" s="8">
        <f>IFERROR(Z211/Z444, "NA")</f>
        <v>0</v>
      </c>
      <c r="AB211" s="9"/>
      <c r="AC211" s="10">
        <f>IFERROR(-(Q211-Z211), "NA")</f>
        <v>0</v>
      </c>
      <c r="AD211" s="8">
        <f>IFERROR(AC211/AC444, "NA")</f>
        <v>0</v>
      </c>
    </row>
    <row r="212" spans="1:30" ht="16.5" customHeight="1" x14ac:dyDescent="0.45">
      <c r="A212" s="11" t="s">
        <v>193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45">
      <c r="A213" s="12" t="s">
        <v>193</v>
      </c>
      <c r="B213" s="7">
        <v>0</v>
      </c>
      <c r="C213" s="8">
        <f>IFERROR(B213/B444, "NA")</f>
        <v>0</v>
      </c>
      <c r="D213" s="9"/>
      <c r="E213" s="7">
        <v>15110.41</v>
      </c>
      <c r="F213" s="8">
        <f>IFERROR(E213/E444, "NA")</f>
        <v>3.3675359621241602E-2</v>
      </c>
      <c r="G213" s="9"/>
      <c r="H213" s="10">
        <f t="shared" ref="H213:H227" si="56">IFERROR(-(B213-E213), "NA")</f>
        <v>15110.41</v>
      </c>
      <c r="I213" s="8">
        <f>IFERROR(H213/H444, "NA")</f>
        <v>-1.1064952658518876</v>
      </c>
      <c r="J213" s="9"/>
      <c r="K213" s="7">
        <v>0</v>
      </c>
      <c r="L213" s="8">
        <f>IFERROR(K213/K444, "NA")</f>
        <v>0</v>
      </c>
      <c r="M213" s="9"/>
      <c r="N213" s="10">
        <f t="shared" ref="N213:N227" si="57">IFERROR(-(B213-K213), "NA")</f>
        <v>0</v>
      </c>
      <c r="O213" s="8">
        <f>IFERROR(N213/N444, "NA")</f>
        <v>0</v>
      </c>
      <c r="P213" s="9"/>
      <c r="Q213" s="7">
        <v>0</v>
      </c>
      <c r="R213" s="8">
        <f>IFERROR(Q213/Q444, "NA")</f>
        <v>0</v>
      </c>
      <c r="S213" s="9"/>
      <c r="T213" s="7">
        <v>15110.41</v>
      </c>
      <c r="U213" s="8">
        <f>IFERROR(T213/T444, "NA")</f>
        <v>3.3675359621241602E-2</v>
      </c>
      <c r="V213" s="9"/>
      <c r="W213" s="10">
        <f t="shared" ref="W213:W227" si="58">IFERROR(-(Q213-T213), "NA")</f>
        <v>15110.41</v>
      </c>
      <c r="X213" s="8">
        <f>IFERROR(W213/W444, "NA")</f>
        <v>-1.1064952658518876</v>
      </c>
      <c r="Y213" s="9"/>
      <c r="Z213" s="7">
        <v>0</v>
      </c>
      <c r="AA213" s="8">
        <f>IFERROR(Z213/Z444, "NA")</f>
        <v>0</v>
      </c>
      <c r="AB213" s="9"/>
      <c r="AC213" s="10">
        <f t="shared" ref="AC213:AC227" si="59">IFERROR(-(Q213-Z213), "NA")</f>
        <v>0</v>
      </c>
      <c r="AD213" s="8">
        <f>IFERROR(AC213/AC444, "NA")</f>
        <v>0</v>
      </c>
    </row>
    <row r="214" spans="1:30" ht="16.5" customHeight="1" x14ac:dyDescent="0.45">
      <c r="A214" s="12" t="s">
        <v>194</v>
      </c>
      <c r="B214" s="7">
        <v>7341.51</v>
      </c>
      <c r="C214" s="8">
        <f>IFERROR(B214/B444, "NA")</f>
        <v>1.6875013360468781E-2</v>
      </c>
      <c r="D214" s="9"/>
      <c r="E214" s="7">
        <v>0</v>
      </c>
      <c r="F214" s="8">
        <f>IFERROR(E214/E444, "NA")</f>
        <v>0</v>
      </c>
      <c r="G214" s="9"/>
      <c r="H214" s="10">
        <f t="shared" si="56"/>
        <v>-7341.51</v>
      </c>
      <c r="I214" s="8">
        <f>IFERROR(H214/H444, "NA")</f>
        <v>0.53759931459201249</v>
      </c>
      <c r="J214" s="9"/>
      <c r="K214" s="7">
        <v>12513.740000000002</v>
      </c>
      <c r="L214" s="8">
        <f>IFERROR(K214/K444, "NA")</f>
        <v>2.8730533792220205E-2</v>
      </c>
      <c r="M214" s="9"/>
      <c r="N214" s="10">
        <f t="shared" si="57"/>
        <v>5172.2300000000014</v>
      </c>
      <c r="O214" s="8">
        <f>IFERROR(N214/N444, "NA")</f>
        <v>-10.276021695507588</v>
      </c>
      <c r="P214" s="9"/>
      <c r="Q214" s="7">
        <v>7341.51</v>
      </c>
      <c r="R214" s="8">
        <f>IFERROR(Q214/Q444, "NA")</f>
        <v>1.6875013360468781E-2</v>
      </c>
      <c r="S214" s="9"/>
      <c r="T214" s="7">
        <v>0</v>
      </c>
      <c r="U214" s="8">
        <f>IFERROR(T214/T444, "NA")</f>
        <v>0</v>
      </c>
      <c r="V214" s="9"/>
      <c r="W214" s="10">
        <f t="shared" si="58"/>
        <v>-7341.51</v>
      </c>
      <c r="X214" s="8">
        <f>IFERROR(W214/W444, "NA")</f>
        <v>0.53759931459201249</v>
      </c>
      <c r="Y214" s="9"/>
      <c r="Z214" s="7">
        <v>12513.740000000002</v>
      </c>
      <c r="AA214" s="8">
        <f>IFERROR(Z214/Z444, "NA")</f>
        <v>2.8730533792220205E-2</v>
      </c>
      <c r="AB214" s="9"/>
      <c r="AC214" s="10">
        <f t="shared" si="59"/>
        <v>5172.2300000000014</v>
      </c>
      <c r="AD214" s="8">
        <f>IFERROR(AC214/AC444, "NA")</f>
        <v>-10.276021695507588</v>
      </c>
    </row>
    <row r="215" spans="1:30" ht="16.5" customHeight="1" x14ac:dyDescent="0.45">
      <c r="A215" s="12" t="s">
        <v>195</v>
      </c>
      <c r="B215" s="7">
        <v>1591.4100000000003</v>
      </c>
      <c r="C215" s="8">
        <f>IFERROR(B215/B444, "NA")</f>
        <v>3.6579756769361655E-3</v>
      </c>
      <c r="D215" s="9"/>
      <c r="E215" s="7">
        <v>0</v>
      </c>
      <c r="F215" s="8">
        <f>IFERROR(E215/E444, "NA")</f>
        <v>0</v>
      </c>
      <c r="G215" s="9"/>
      <c r="H215" s="10">
        <f t="shared" si="56"/>
        <v>-1591.4100000000003</v>
      </c>
      <c r="I215" s="8">
        <f>IFERROR(H215/H444, "NA")</f>
        <v>0.11653473539297429</v>
      </c>
      <c r="J215" s="9"/>
      <c r="K215" s="7">
        <v>0</v>
      </c>
      <c r="L215" s="8">
        <f>IFERROR(K215/K444, "NA")</f>
        <v>0</v>
      </c>
      <c r="M215" s="9"/>
      <c r="N215" s="10">
        <f t="shared" si="57"/>
        <v>-1591.4100000000003</v>
      </c>
      <c r="O215" s="8">
        <f>IFERROR(N215/N444, "NA")</f>
        <v>3.1617626606797704</v>
      </c>
      <c r="P215" s="9"/>
      <c r="Q215" s="7">
        <v>1591.4100000000003</v>
      </c>
      <c r="R215" s="8">
        <f>IFERROR(Q215/Q444, "NA")</f>
        <v>3.6579756769361655E-3</v>
      </c>
      <c r="S215" s="9"/>
      <c r="T215" s="7">
        <v>0</v>
      </c>
      <c r="U215" s="8">
        <f>IFERROR(T215/T444, "NA")</f>
        <v>0</v>
      </c>
      <c r="V215" s="9"/>
      <c r="W215" s="10">
        <f t="shared" si="58"/>
        <v>-1591.4100000000003</v>
      </c>
      <c r="X215" s="8">
        <f>IFERROR(W215/W444, "NA")</f>
        <v>0.11653473539297429</v>
      </c>
      <c r="Y215" s="9"/>
      <c r="Z215" s="7">
        <v>0</v>
      </c>
      <c r="AA215" s="8">
        <f>IFERROR(Z215/Z444, "NA")</f>
        <v>0</v>
      </c>
      <c r="AB215" s="9"/>
      <c r="AC215" s="10">
        <f t="shared" si="59"/>
        <v>-1591.4100000000003</v>
      </c>
      <c r="AD215" s="8">
        <f>IFERROR(AC215/AC444, "NA")</f>
        <v>3.1617626606797704</v>
      </c>
    </row>
    <row r="216" spans="1:30" ht="16.5" customHeight="1" x14ac:dyDescent="0.45">
      <c r="A216" s="12" t="s">
        <v>196</v>
      </c>
      <c r="B216" s="7">
        <v>100</v>
      </c>
      <c r="C216" s="8">
        <f>IFERROR(B216/B444, "NA")</f>
        <v>2.2985752740878622E-4</v>
      </c>
      <c r="D216" s="9"/>
      <c r="E216" s="7">
        <v>0</v>
      </c>
      <c r="F216" s="8">
        <f>IFERROR(E216/E444, "NA")</f>
        <v>0</v>
      </c>
      <c r="G216" s="9"/>
      <c r="H216" s="10">
        <f t="shared" si="56"/>
        <v>-100</v>
      </c>
      <c r="I216" s="8">
        <f>IFERROR(H216/H444, "NA")</f>
        <v>7.3227348950285764E-3</v>
      </c>
      <c r="J216" s="9"/>
      <c r="K216" s="7">
        <v>0</v>
      </c>
      <c r="L216" s="8">
        <f>IFERROR(K216/K444, "NA")</f>
        <v>0</v>
      </c>
      <c r="M216" s="9"/>
      <c r="N216" s="10">
        <f t="shared" si="57"/>
        <v>-100</v>
      </c>
      <c r="O216" s="8">
        <f>IFERROR(N216/N444, "NA")</f>
        <v>0.19867681242921495</v>
      </c>
      <c r="P216" s="9"/>
      <c r="Q216" s="7">
        <v>100</v>
      </c>
      <c r="R216" s="8">
        <f>IFERROR(Q216/Q444, "NA")</f>
        <v>2.2985752740878622E-4</v>
      </c>
      <c r="S216" s="9"/>
      <c r="T216" s="7">
        <v>0</v>
      </c>
      <c r="U216" s="8">
        <f>IFERROR(T216/T444, "NA")</f>
        <v>0</v>
      </c>
      <c r="V216" s="9"/>
      <c r="W216" s="10">
        <f t="shared" si="58"/>
        <v>-100</v>
      </c>
      <c r="X216" s="8">
        <f>IFERROR(W216/W444, "NA")</f>
        <v>7.3227348950285764E-3</v>
      </c>
      <c r="Y216" s="9"/>
      <c r="Z216" s="7">
        <v>0</v>
      </c>
      <c r="AA216" s="8">
        <f>IFERROR(Z216/Z444, "NA")</f>
        <v>0</v>
      </c>
      <c r="AB216" s="9"/>
      <c r="AC216" s="10">
        <f t="shared" si="59"/>
        <v>-100</v>
      </c>
      <c r="AD216" s="8">
        <f>IFERROR(AC216/AC444, "NA")</f>
        <v>0.19867681242921495</v>
      </c>
    </row>
    <row r="217" spans="1:30" ht="16.5" customHeight="1" x14ac:dyDescent="0.45">
      <c r="A217" s="12" t="s">
        <v>197</v>
      </c>
      <c r="B217" s="7">
        <v>4260.87</v>
      </c>
      <c r="C217" s="8">
        <f>IFERROR(B217/B444, "NA")</f>
        <v>9.7939304281027487E-3</v>
      </c>
      <c r="D217" s="9"/>
      <c r="E217" s="7">
        <v>0</v>
      </c>
      <c r="F217" s="8">
        <f>IFERROR(E217/E444, "NA")</f>
        <v>0</v>
      </c>
      <c r="G217" s="9"/>
      <c r="H217" s="10">
        <f t="shared" si="56"/>
        <v>-4260.87</v>
      </c>
      <c r="I217" s="8">
        <f>IFERROR(H217/H444, "NA")</f>
        <v>0.31201221432180409</v>
      </c>
      <c r="J217" s="9"/>
      <c r="K217" s="7">
        <v>11015.51</v>
      </c>
      <c r="L217" s="8">
        <f>IFERROR(K217/K444, "NA")</f>
        <v>2.5290719025130741E-2</v>
      </c>
      <c r="M217" s="9"/>
      <c r="N217" s="10">
        <f t="shared" si="57"/>
        <v>6754.64</v>
      </c>
      <c r="O217" s="8">
        <f>IFERROR(N217/N444, "NA")</f>
        <v>-13.419903443068726</v>
      </c>
      <c r="P217" s="9"/>
      <c r="Q217" s="7">
        <v>4260.87</v>
      </c>
      <c r="R217" s="8">
        <f>IFERROR(Q217/Q444, "NA")</f>
        <v>9.7939304281027487E-3</v>
      </c>
      <c r="S217" s="9"/>
      <c r="T217" s="7">
        <v>0</v>
      </c>
      <c r="U217" s="8">
        <f>IFERROR(T217/T444, "NA")</f>
        <v>0</v>
      </c>
      <c r="V217" s="9"/>
      <c r="W217" s="10">
        <f t="shared" si="58"/>
        <v>-4260.87</v>
      </c>
      <c r="X217" s="8">
        <f>IFERROR(W217/W444, "NA")</f>
        <v>0.31201221432180409</v>
      </c>
      <c r="Y217" s="9"/>
      <c r="Z217" s="7">
        <v>11015.51</v>
      </c>
      <c r="AA217" s="8">
        <f>IFERROR(Z217/Z444, "NA")</f>
        <v>2.5290719025130741E-2</v>
      </c>
      <c r="AB217" s="9"/>
      <c r="AC217" s="10">
        <f t="shared" si="59"/>
        <v>6754.64</v>
      </c>
      <c r="AD217" s="8">
        <f>IFERROR(AC217/AC444, "NA")</f>
        <v>-13.419903443068726</v>
      </c>
    </row>
    <row r="218" spans="1:30" ht="16.5" customHeight="1" x14ac:dyDescent="0.45">
      <c r="A218" s="13" t="s">
        <v>198</v>
      </c>
      <c r="B218" s="14">
        <f>IFERROR(B213+B214+B215+B216+B217, "NA")</f>
        <v>13293.79</v>
      </c>
      <c r="C218" s="15">
        <f>IFERROR(B218/B444, "NA")</f>
        <v>3.0556776992916486E-2</v>
      </c>
      <c r="D218" s="2"/>
      <c r="E218" s="14">
        <f>IFERROR(E213+E214+E215+E216+E217, "NA")</f>
        <v>15110.41</v>
      </c>
      <c r="F218" s="15">
        <f>IFERROR(E218/E444, "NA")</f>
        <v>3.3675359621241602E-2</v>
      </c>
      <c r="G218" s="2"/>
      <c r="H218" s="14">
        <f t="shared" si="56"/>
        <v>1816.619999999999</v>
      </c>
      <c r="I218" s="15">
        <f>IFERROR(H218/H444, "NA")</f>
        <v>-0.13302626665006806</v>
      </c>
      <c r="J218" s="2"/>
      <c r="K218" s="14">
        <f>IFERROR(K213+K214+K215+K216+K217, "NA")</f>
        <v>23529.25</v>
      </c>
      <c r="L218" s="15">
        <f>IFERROR(K218/K444, "NA")</f>
        <v>5.4021252817350943E-2</v>
      </c>
      <c r="M218" s="2"/>
      <c r="N218" s="14">
        <f t="shared" si="57"/>
        <v>10235.459999999999</v>
      </c>
      <c r="O218" s="15">
        <f>IFERROR(N218/N444, "NA")</f>
        <v>-20.335485665467324</v>
      </c>
      <c r="P218" s="2"/>
      <c r="Q218" s="14">
        <f>IFERROR(Q213+Q214+Q215+Q216+Q217, "NA")</f>
        <v>13293.79</v>
      </c>
      <c r="R218" s="15">
        <f>IFERROR(Q218/Q444, "NA")</f>
        <v>3.0556776992916486E-2</v>
      </c>
      <c r="S218" s="2"/>
      <c r="T218" s="14">
        <f>IFERROR(T213+T214+T215+T216+T217, "NA")</f>
        <v>15110.41</v>
      </c>
      <c r="U218" s="15">
        <f>IFERROR(T218/T444, "NA")</f>
        <v>3.3675359621241602E-2</v>
      </c>
      <c r="V218" s="2"/>
      <c r="W218" s="14">
        <f t="shared" si="58"/>
        <v>1816.619999999999</v>
      </c>
      <c r="X218" s="15">
        <f>IFERROR(W218/W444, "NA")</f>
        <v>-0.13302626665006806</v>
      </c>
      <c r="Y218" s="2"/>
      <c r="Z218" s="14">
        <f>IFERROR(Z213+Z214+Z215+Z216+Z217, "NA")</f>
        <v>23529.25</v>
      </c>
      <c r="AA218" s="15">
        <f>IFERROR(Z218/Z444, "NA")</f>
        <v>5.4021252817350943E-2</v>
      </c>
      <c r="AB218" s="2"/>
      <c r="AC218" s="14">
        <f t="shared" si="59"/>
        <v>10235.459999999999</v>
      </c>
      <c r="AD218" s="15">
        <f>IFERROR(AC218/AC444, "NA")</f>
        <v>-20.335485665467324</v>
      </c>
    </row>
    <row r="219" spans="1:30" ht="16.5" hidden="1" customHeight="1" x14ac:dyDescent="0.45">
      <c r="A219" s="6" t="s">
        <v>199</v>
      </c>
      <c r="B219" s="7">
        <v>0</v>
      </c>
      <c r="C219" s="8">
        <f>IFERROR(B219/B444, "NA")</f>
        <v>0</v>
      </c>
      <c r="D219" s="9"/>
      <c r="E219" s="7">
        <v>0</v>
      </c>
      <c r="F219" s="8">
        <f>IFERROR(E219/E444, "NA")</f>
        <v>0</v>
      </c>
      <c r="G219" s="9"/>
      <c r="H219" s="10">
        <f t="shared" si="56"/>
        <v>0</v>
      </c>
      <c r="I219" s="8">
        <f>IFERROR(H219/H444, "NA")</f>
        <v>0</v>
      </c>
      <c r="J219" s="9"/>
      <c r="K219" s="7">
        <v>0</v>
      </c>
      <c r="L219" s="8">
        <f>IFERROR(K219/K444, "NA")</f>
        <v>0</v>
      </c>
      <c r="M219" s="9"/>
      <c r="N219" s="10">
        <f t="shared" si="57"/>
        <v>0</v>
      </c>
      <c r="O219" s="8">
        <f>IFERROR(N219/N444, "NA")</f>
        <v>0</v>
      </c>
      <c r="P219" s="9"/>
      <c r="Q219" s="7">
        <v>0</v>
      </c>
      <c r="R219" s="8">
        <f>IFERROR(Q219/Q444, "NA")</f>
        <v>0</v>
      </c>
      <c r="S219" s="9"/>
      <c r="T219" s="7">
        <v>0</v>
      </c>
      <c r="U219" s="8">
        <f>IFERROR(T219/T444, "NA")</f>
        <v>0</v>
      </c>
      <c r="V219" s="9"/>
      <c r="W219" s="10">
        <f t="shared" si="58"/>
        <v>0</v>
      </c>
      <c r="X219" s="8">
        <f>IFERROR(W219/W444, "NA")</f>
        <v>0</v>
      </c>
      <c r="Y219" s="9"/>
      <c r="Z219" s="7">
        <v>0</v>
      </c>
      <c r="AA219" s="8">
        <f>IFERROR(Z219/Z444, "NA")</f>
        <v>0</v>
      </c>
      <c r="AB219" s="9"/>
      <c r="AC219" s="10">
        <f t="shared" si="59"/>
        <v>0</v>
      </c>
      <c r="AD219" s="8">
        <f>IFERROR(AC219/AC444, "NA")</f>
        <v>0</v>
      </c>
    </row>
    <row r="220" spans="1:30" ht="16.5" hidden="1" customHeight="1" x14ac:dyDescent="0.45">
      <c r="A220" s="6" t="s">
        <v>200</v>
      </c>
      <c r="B220" s="7">
        <v>0</v>
      </c>
      <c r="C220" s="8">
        <f>IFERROR(B220/B444, "NA")</f>
        <v>0</v>
      </c>
      <c r="D220" s="9"/>
      <c r="E220" s="7">
        <v>0</v>
      </c>
      <c r="F220" s="8">
        <f>IFERROR(E220/E444, "NA")</f>
        <v>0</v>
      </c>
      <c r="G220" s="9"/>
      <c r="H220" s="10">
        <f t="shared" si="56"/>
        <v>0</v>
      </c>
      <c r="I220" s="8">
        <f>IFERROR(H220/H444, "NA")</f>
        <v>0</v>
      </c>
      <c r="J220" s="9"/>
      <c r="K220" s="7">
        <v>0</v>
      </c>
      <c r="L220" s="8">
        <f>IFERROR(K220/K444, "NA")</f>
        <v>0</v>
      </c>
      <c r="M220" s="9"/>
      <c r="N220" s="10">
        <f t="shared" si="57"/>
        <v>0</v>
      </c>
      <c r="O220" s="8">
        <f>IFERROR(N220/N444, "NA")</f>
        <v>0</v>
      </c>
      <c r="P220" s="9"/>
      <c r="Q220" s="7">
        <v>0</v>
      </c>
      <c r="R220" s="8">
        <f>IFERROR(Q220/Q444, "NA")</f>
        <v>0</v>
      </c>
      <c r="S220" s="9"/>
      <c r="T220" s="7">
        <v>0</v>
      </c>
      <c r="U220" s="8">
        <f>IFERROR(T220/T444, "NA")</f>
        <v>0</v>
      </c>
      <c r="V220" s="9"/>
      <c r="W220" s="10">
        <f t="shared" si="58"/>
        <v>0</v>
      </c>
      <c r="X220" s="8">
        <f>IFERROR(W220/W444, "NA")</f>
        <v>0</v>
      </c>
      <c r="Y220" s="9"/>
      <c r="Z220" s="7">
        <v>0</v>
      </c>
      <c r="AA220" s="8">
        <f>IFERROR(Z220/Z444, "NA")</f>
        <v>0</v>
      </c>
      <c r="AB220" s="9"/>
      <c r="AC220" s="10">
        <f t="shared" si="59"/>
        <v>0</v>
      </c>
      <c r="AD220" s="8">
        <f>IFERROR(AC220/AC444, "NA")</f>
        <v>0</v>
      </c>
    </row>
    <row r="221" spans="1:30" ht="16.5" hidden="1" customHeight="1" x14ac:dyDescent="0.45">
      <c r="A221" s="6" t="s">
        <v>201</v>
      </c>
      <c r="B221" s="7">
        <v>0</v>
      </c>
      <c r="C221" s="8">
        <f>IFERROR(B221/B444, "NA")</f>
        <v>0</v>
      </c>
      <c r="D221" s="9"/>
      <c r="E221" s="7">
        <v>0</v>
      </c>
      <c r="F221" s="8">
        <f>IFERROR(E221/E444, "NA")</f>
        <v>0</v>
      </c>
      <c r="G221" s="9"/>
      <c r="H221" s="10">
        <f t="shared" si="56"/>
        <v>0</v>
      </c>
      <c r="I221" s="8">
        <f>IFERROR(H221/H444, "NA")</f>
        <v>0</v>
      </c>
      <c r="J221" s="9"/>
      <c r="K221" s="7">
        <v>0</v>
      </c>
      <c r="L221" s="8">
        <f>IFERROR(K221/K444, "NA")</f>
        <v>0</v>
      </c>
      <c r="M221" s="9"/>
      <c r="N221" s="10">
        <f t="shared" si="57"/>
        <v>0</v>
      </c>
      <c r="O221" s="8">
        <f>IFERROR(N221/N444, "NA")</f>
        <v>0</v>
      </c>
      <c r="P221" s="9"/>
      <c r="Q221" s="7">
        <v>0</v>
      </c>
      <c r="R221" s="8">
        <f>IFERROR(Q221/Q444, "NA")</f>
        <v>0</v>
      </c>
      <c r="S221" s="9"/>
      <c r="T221" s="7">
        <v>0</v>
      </c>
      <c r="U221" s="8">
        <f>IFERROR(T221/T444, "NA")</f>
        <v>0</v>
      </c>
      <c r="V221" s="9"/>
      <c r="W221" s="10">
        <f t="shared" si="58"/>
        <v>0</v>
      </c>
      <c r="X221" s="8">
        <f>IFERROR(W221/W444, "NA")</f>
        <v>0</v>
      </c>
      <c r="Y221" s="9"/>
      <c r="Z221" s="7">
        <v>0</v>
      </c>
      <c r="AA221" s="8">
        <f>IFERROR(Z221/Z444, "NA")</f>
        <v>0</v>
      </c>
      <c r="AB221" s="9"/>
      <c r="AC221" s="10">
        <f t="shared" si="59"/>
        <v>0</v>
      </c>
      <c r="AD221" s="8">
        <f>IFERROR(AC221/AC444, "NA")</f>
        <v>0</v>
      </c>
    </row>
    <row r="222" spans="1:30" ht="16.5" customHeight="1" x14ac:dyDescent="0.45">
      <c r="A222" s="6" t="s">
        <v>202</v>
      </c>
      <c r="B222" s="7">
        <v>308.34000000000003</v>
      </c>
      <c r="C222" s="8">
        <f>IFERROR(B222/B444, "NA")</f>
        <v>7.0874270001225156E-4</v>
      </c>
      <c r="D222" s="9"/>
      <c r="E222" s="7">
        <v>500</v>
      </c>
      <c r="F222" s="8">
        <f>IFERROR(E222/E444, "NA")</f>
        <v>1.1143099234647371E-3</v>
      </c>
      <c r="G222" s="9"/>
      <c r="H222" s="10">
        <f t="shared" si="56"/>
        <v>191.65999999999997</v>
      </c>
      <c r="I222" s="8">
        <f>IFERROR(H222/H444, "NA")</f>
        <v>-1.4034753699811768E-2</v>
      </c>
      <c r="J222" s="9"/>
      <c r="K222" s="7">
        <v>623.29999999999995</v>
      </c>
      <c r="L222" s="8">
        <f>IFERROR(K222/K444, "NA")</f>
        <v>1.4310463308883554E-3</v>
      </c>
      <c r="M222" s="9"/>
      <c r="N222" s="10">
        <f t="shared" si="57"/>
        <v>314.95999999999992</v>
      </c>
      <c r="O222" s="8">
        <f>IFERROR(N222/N444, "NA")</f>
        <v>-0.62575248842705522</v>
      </c>
      <c r="P222" s="9"/>
      <c r="Q222" s="7">
        <v>308.34000000000003</v>
      </c>
      <c r="R222" s="8">
        <f>IFERROR(Q222/Q444, "NA")</f>
        <v>7.0874270001225156E-4</v>
      </c>
      <c r="S222" s="9"/>
      <c r="T222" s="7">
        <v>500</v>
      </c>
      <c r="U222" s="8">
        <f>IFERROR(T222/T444, "NA")</f>
        <v>1.1143099234647371E-3</v>
      </c>
      <c r="V222" s="9"/>
      <c r="W222" s="10">
        <f t="shared" si="58"/>
        <v>191.65999999999997</v>
      </c>
      <c r="X222" s="8">
        <f>IFERROR(W222/W444, "NA")</f>
        <v>-1.4034753699811768E-2</v>
      </c>
      <c r="Y222" s="9"/>
      <c r="Z222" s="7">
        <v>623.29999999999995</v>
      </c>
      <c r="AA222" s="8">
        <f>IFERROR(Z222/Z444, "NA")</f>
        <v>1.4310463308883554E-3</v>
      </c>
      <c r="AB222" s="9"/>
      <c r="AC222" s="10">
        <f t="shared" si="59"/>
        <v>314.95999999999992</v>
      </c>
      <c r="AD222" s="8">
        <f>IFERROR(AC222/AC444, "NA")</f>
        <v>-0.62575248842705522</v>
      </c>
    </row>
    <row r="223" spans="1:30" ht="16.5" hidden="1" customHeight="1" x14ac:dyDescent="0.45">
      <c r="A223" s="6" t="s">
        <v>203</v>
      </c>
      <c r="B223" s="7">
        <v>0</v>
      </c>
      <c r="C223" s="8">
        <f>IFERROR(B223/B444, "NA")</f>
        <v>0</v>
      </c>
      <c r="D223" s="9"/>
      <c r="E223" s="7">
        <v>0</v>
      </c>
      <c r="F223" s="8">
        <f>IFERROR(E223/E444, "NA")</f>
        <v>0</v>
      </c>
      <c r="G223" s="9"/>
      <c r="H223" s="10">
        <f t="shared" si="56"/>
        <v>0</v>
      </c>
      <c r="I223" s="8">
        <f>IFERROR(H223/H444, "NA")</f>
        <v>0</v>
      </c>
      <c r="J223" s="9"/>
      <c r="K223" s="7">
        <v>0</v>
      </c>
      <c r="L223" s="8">
        <f>IFERROR(K223/K444, "NA")</f>
        <v>0</v>
      </c>
      <c r="M223" s="9"/>
      <c r="N223" s="10">
        <f t="shared" si="57"/>
        <v>0</v>
      </c>
      <c r="O223" s="8">
        <f>IFERROR(N223/N444, "NA")</f>
        <v>0</v>
      </c>
      <c r="P223" s="9"/>
      <c r="Q223" s="7">
        <v>0</v>
      </c>
      <c r="R223" s="8">
        <f>IFERROR(Q223/Q444, "NA")</f>
        <v>0</v>
      </c>
      <c r="S223" s="9"/>
      <c r="T223" s="7">
        <v>0</v>
      </c>
      <c r="U223" s="8">
        <f>IFERROR(T223/T444, "NA")</f>
        <v>0</v>
      </c>
      <c r="V223" s="9"/>
      <c r="W223" s="10">
        <f t="shared" si="58"/>
        <v>0</v>
      </c>
      <c r="X223" s="8">
        <f>IFERROR(W223/W444, "NA")</f>
        <v>0</v>
      </c>
      <c r="Y223" s="9"/>
      <c r="Z223" s="7">
        <v>0</v>
      </c>
      <c r="AA223" s="8">
        <f>IFERROR(Z223/Z444, "NA")</f>
        <v>0</v>
      </c>
      <c r="AB223" s="9"/>
      <c r="AC223" s="10">
        <f t="shared" si="59"/>
        <v>0</v>
      </c>
      <c r="AD223" s="8">
        <f>IFERROR(AC223/AC444, "NA")</f>
        <v>0</v>
      </c>
    </row>
    <row r="224" spans="1:30" ht="16.5" hidden="1" customHeight="1" x14ac:dyDescent="0.45">
      <c r="A224" s="6" t="s">
        <v>204</v>
      </c>
      <c r="B224" s="7">
        <v>0</v>
      </c>
      <c r="C224" s="8">
        <f>IFERROR(B224/B444, "NA")</f>
        <v>0</v>
      </c>
      <c r="D224" s="9"/>
      <c r="E224" s="7">
        <v>0</v>
      </c>
      <c r="F224" s="8">
        <f>IFERROR(E224/E444, "NA")</f>
        <v>0</v>
      </c>
      <c r="G224" s="9"/>
      <c r="H224" s="10">
        <f t="shared" si="56"/>
        <v>0</v>
      </c>
      <c r="I224" s="8">
        <f>IFERROR(H224/H444, "NA")</f>
        <v>0</v>
      </c>
      <c r="J224" s="9"/>
      <c r="K224" s="7">
        <v>0</v>
      </c>
      <c r="L224" s="8">
        <f>IFERROR(K224/K444, "NA")</f>
        <v>0</v>
      </c>
      <c r="M224" s="9"/>
      <c r="N224" s="10">
        <f t="shared" si="57"/>
        <v>0</v>
      </c>
      <c r="O224" s="8">
        <f>IFERROR(N224/N444, "NA")</f>
        <v>0</v>
      </c>
      <c r="P224" s="9"/>
      <c r="Q224" s="7">
        <v>0</v>
      </c>
      <c r="R224" s="8">
        <f>IFERROR(Q224/Q444, "NA")</f>
        <v>0</v>
      </c>
      <c r="S224" s="9"/>
      <c r="T224" s="7">
        <v>0</v>
      </c>
      <c r="U224" s="8">
        <f>IFERROR(T224/T444, "NA")</f>
        <v>0</v>
      </c>
      <c r="V224" s="9"/>
      <c r="W224" s="10">
        <f t="shared" si="58"/>
        <v>0</v>
      </c>
      <c r="X224" s="8">
        <f>IFERROR(W224/W444, "NA")</f>
        <v>0</v>
      </c>
      <c r="Y224" s="9"/>
      <c r="Z224" s="7">
        <v>0</v>
      </c>
      <c r="AA224" s="8">
        <f>IFERROR(Z224/Z444, "NA")</f>
        <v>0</v>
      </c>
      <c r="AB224" s="9"/>
      <c r="AC224" s="10">
        <f t="shared" si="59"/>
        <v>0</v>
      </c>
      <c r="AD224" s="8">
        <f>IFERROR(AC224/AC444, "NA")</f>
        <v>0</v>
      </c>
    </row>
    <row r="225" spans="1:30" ht="16.5" hidden="1" customHeight="1" x14ac:dyDescent="0.45">
      <c r="A225" s="6" t="s">
        <v>205</v>
      </c>
      <c r="B225" s="7">
        <v>0</v>
      </c>
      <c r="C225" s="8">
        <f>IFERROR(B225/B444, "NA")</f>
        <v>0</v>
      </c>
      <c r="D225" s="9"/>
      <c r="E225" s="7">
        <v>0</v>
      </c>
      <c r="F225" s="8">
        <f>IFERROR(E225/E444, "NA")</f>
        <v>0</v>
      </c>
      <c r="G225" s="9"/>
      <c r="H225" s="10">
        <f t="shared" si="56"/>
        <v>0</v>
      </c>
      <c r="I225" s="8">
        <f>IFERROR(H225/H444, "NA")</f>
        <v>0</v>
      </c>
      <c r="J225" s="9"/>
      <c r="K225" s="7">
        <v>0</v>
      </c>
      <c r="L225" s="8">
        <f>IFERROR(K225/K444, "NA")</f>
        <v>0</v>
      </c>
      <c r="M225" s="9"/>
      <c r="N225" s="10">
        <f t="shared" si="57"/>
        <v>0</v>
      </c>
      <c r="O225" s="8">
        <f>IFERROR(N225/N444, "NA")</f>
        <v>0</v>
      </c>
      <c r="P225" s="9"/>
      <c r="Q225" s="7">
        <v>0</v>
      </c>
      <c r="R225" s="8">
        <f>IFERROR(Q225/Q444, "NA")</f>
        <v>0</v>
      </c>
      <c r="S225" s="9"/>
      <c r="T225" s="7">
        <v>0</v>
      </c>
      <c r="U225" s="8">
        <f>IFERROR(T225/T444, "NA")</f>
        <v>0</v>
      </c>
      <c r="V225" s="9"/>
      <c r="W225" s="10">
        <f t="shared" si="58"/>
        <v>0</v>
      </c>
      <c r="X225" s="8">
        <f>IFERROR(W225/W444, "NA")</f>
        <v>0</v>
      </c>
      <c r="Y225" s="9"/>
      <c r="Z225" s="7">
        <v>0</v>
      </c>
      <c r="AA225" s="8">
        <f>IFERROR(Z225/Z444, "NA")</f>
        <v>0</v>
      </c>
      <c r="AB225" s="9"/>
      <c r="AC225" s="10">
        <f t="shared" si="59"/>
        <v>0</v>
      </c>
      <c r="AD225" s="8">
        <f>IFERROR(AC225/AC444, "NA")</f>
        <v>0</v>
      </c>
    </row>
    <row r="226" spans="1:30" ht="16.5" hidden="1" customHeight="1" x14ac:dyDescent="0.45">
      <c r="A226" s="6" t="s">
        <v>206</v>
      </c>
      <c r="B226" s="7">
        <v>0</v>
      </c>
      <c r="C226" s="8">
        <f>IFERROR(B226/B444, "NA")</f>
        <v>0</v>
      </c>
      <c r="D226" s="9"/>
      <c r="E226" s="7">
        <v>0</v>
      </c>
      <c r="F226" s="8">
        <f>IFERROR(E226/E444, "NA")</f>
        <v>0</v>
      </c>
      <c r="G226" s="9"/>
      <c r="H226" s="10">
        <f t="shared" si="56"/>
        <v>0</v>
      </c>
      <c r="I226" s="8">
        <f>IFERROR(H226/H444, "NA")</f>
        <v>0</v>
      </c>
      <c r="J226" s="9"/>
      <c r="K226" s="7">
        <v>0</v>
      </c>
      <c r="L226" s="8">
        <f>IFERROR(K226/K444, "NA")</f>
        <v>0</v>
      </c>
      <c r="M226" s="9"/>
      <c r="N226" s="10">
        <f t="shared" si="57"/>
        <v>0</v>
      </c>
      <c r="O226" s="8">
        <f>IFERROR(N226/N444, "NA")</f>
        <v>0</v>
      </c>
      <c r="P226" s="9"/>
      <c r="Q226" s="7">
        <v>0</v>
      </c>
      <c r="R226" s="8">
        <f>IFERROR(Q226/Q444, "NA")</f>
        <v>0</v>
      </c>
      <c r="S226" s="9"/>
      <c r="T226" s="7">
        <v>0</v>
      </c>
      <c r="U226" s="8">
        <f>IFERROR(T226/T444, "NA")</f>
        <v>0</v>
      </c>
      <c r="V226" s="9"/>
      <c r="W226" s="10">
        <f t="shared" si="58"/>
        <v>0</v>
      </c>
      <c r="X226" s="8">
        <f>IFERROR(W226/W444, "NA")</f>
        <v>0</v>
      </c>
      <c r="Y226" s="9"/>
      <c r="Z226" s="7">
        <v>0</v>
      </c>
      <c r="AA226" s="8">
        <f>IFERROR(Z226/Z444, "NA")</f>
        <v>0</v>
      </c>
      <c r="AB226" s="9"/>
      <c r="AC226" s="10">
        <f t="shared" si="59"/>
        <v>0</v>
      </c>
      <c r="AD226" s="8">
        <f>IFERROR(AC226/AC444, "NA")</f>
        <v>0</v>
      </c>
    </row>
    <row r="227" spans="1:30" ht="16.5" customHeight="1" x14ac:dyDescent="0.45">
      <c r="A227" s="19" t="s">
        <v>207</v>
      </c>
      <c r="B227" s="14">
        <f>IFERROR(B211+B213+B214+B215+B216+B217+B219+B220+B221+B222+B223+B224+B225+B226, "NA")</f>
        <v>13602.130000000001</v>
      </c>
      <c r="C227" s="15">
        <f>IFERROR(B227/B444, "NA")</f>
        <v>3.1265519692928734E-2</v>
      </c>
      <c r="D227" s="2"/>
      <c r="E227" s="14">
        <f>IFERROR(E211+E213+E214+E215+E216+E217+E219+E220+E221+E222+E223+E224+E225+E226, "NA")</f>
        <v>15610.41</v>
      </c>
      <c r="F227" s="15">
        <f>IFERROR(E227/E444, "NA")</f>
        <v>3.4789669544706338E-2</v>
      </c>
      <c r="G227" s="2"/>
      <c r="H227" s="14">
        <f t="shared" si="56"/>
        <v>2008.2799999999988</v>
      </c>
      <c r="I227" s="15">
        <f>IFERROR(H227/H444, "NA")</f>
        <v>-0.14706102034987981</v>
      </c>
      <c r="J227" s="2"/>
      <c r="K227" s="14">
        <f>IFERROR(K211+K213+K214+K215+K216+K217+K219+K220+K221+K222+K223+K224+K225+K226, "NA")</f>
        <v>24152.55</v>
      </c>
      <c r="L227" s="15">
        <f>IFERROR(K227/K444, "NA")</f>
        <v>5.5452299148239292E-2</v>
      </c>
      <c r="M227" s="2"/>
      <c r="N227" s="14">
        <f t="shared" si="57"/>
        <v>10550.419999999998</v>
      </c>
      <c r="O227" s="15">
        <f>IFERROR(N227/N444, "NA")</f>
        <v>-20.961238153894378</v>
      </c>
      <c r="P227" s="2"/>
      <c r="Q227" s="14">
        <f>IFERROR(Q211+Q213+Q214+Q215+Q216+Q217+Q219+Q220+Q221+Q222+Q223+Q224+Q225+Q226, "NA")</f>
        <v>13602.130000000001</v>
      </c>
      <c r="R227" s="15">
        <f>IFERROR(Q227/Q444, "NA")</f>
        <v>3.1265519692928734E-2</v>
      </c>
      <c r="S227" s="2"/>
      <c r="T227" s="14">
        <f>IFERROR(T211+T213+T214+T215+T216+T217+T219+T220+T221+T222+T223+T224+T225+T226, "NA")</f>
        <v>15610.41</v>
      </c>
      <c r="U227" s="15">
        <f>IFERROR(T227/T444, "NA")</f>
        <v>3.4789669544706338E-2</v>
      </c>
      <c r="V227" s="2"/>
      <c r="W227" s="14">
        <f t="shared" si="58"/>
        <v>2008.2799999999988</v>
      </c>
      <c r="X227" s="15">
        <f>IFERROR(W227/W444, "NA")</f>
        <v>-0.14706102034987981</v>
      </c>
      <c r="Y227" s="2"/>
      <c r="Z227" s="14">
        <f>IFERROR(Z211+Z213+Z214+Z215+Z216+Z217+Z219+Z220+Z221+Z222+Z223+Z224+Z225+Z226, "NA")</f>
        <v>24152.55</v>
      </c>
      <c r="AA227" s="15">
        <f>IFERROR(Z227/Z444, "NA")</f>
        <v>5.5452299148239292E-2</v>
      </c>
      <c r="AB227" s="2"/>
      <c r="AC227" s="14">
        <f t="shared" si="59"/>
        <v>10550.419999999998</v>
      </c>
      <c r="AD227" s="15">
        <f>IFERROR(AC227/AC444, "NA")</f>
        <v>-20.961238153894378</v>
      </c>
    </row>
    <row r="228" spans="1:30" ht="16.5" customHeight="1" x14ac:dyDescent="0.45">
      <c r="A228" s="5" t="s">
        <v>208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45">
      <c r="A229" s="6" t="s">
        <v>208</v>
      </c>
      <c r="B229" s="7">
        <v>0</v>
      </c>
      <c r="C229" s="8">
        <f>IFERROR(B229/B444, "NA")</f>
        <v>0</v>
      </c>
      <c r="D229" s="9"/>
      <c r="E229" s="7">
        <v>6921.23</v>
      </c>
      <c r="F229" s="8">
        <f>IFERROR(E229/E444, "NA")</f>
        <v>1.5424790543163685E-2</v>
      </c>
      <c r="G229" s="9"/>
      <c r="H229" s="10">
        <f t="shared" ref="H229:H236" si="60">IFERROR(-(B229-E229), "NA")</f>
        <v>6921.23</v>
      </c>
      <c r="I229" s="8">
        <f>IFERROR(H229/H444, "NA")</f>
        <v>-0.50682332437518629</v>
      </c>
      <c r="J229" s="9"/>
      <c r="K229" s="7">
        <v>0</v>
      </c>
      <c r="L229" s="8">
        <f>IFERROR(K229/K444, "NA")</f>
        <v>0</v>
      </c>
      <c r="M229" s="9"/>
      <c r="N229" s="10">
        <f t="shared" ref="N229:N236" si="61">IFERROR(-(B229-K229), "NA")</f>
        <v>0</v>
      </c>
      <c r="O229" s="8">
        <f>IFERROR(N229/N444, "NA")</f>
        <v>0</v>
      </c>
      <c r="P229" s="9"/>
      <c r="Q229" s="7">
        <v>0</v>
      </c>
      <c r="R229" s="8">
        <f>IFERROR(Q229/Q444, "NA")</f>
        <v>0</v>
      </c>
      <c r="S229" s="9"/>
      <c r="T229" s="7">
        <v>6921.23</v>
      </c>
      <c r="U229" s="8">
        <f>IFERROR(T229/T444, "NA")</f>
        <v>1.5424790543163685E-2</v>
      </c>
      <c r="V229" s="9"/>
      <c r="W229" s="10">
        <f t="shared" ref="W229:W236" si="62">IFERROR(-(Q229-T229), "NA")</f>
        <v>6921.23</v>
      </c>
      <c r="X229" s="8">
        <f>IFERROR(W229/W444, "NA")</f>
        <v>-0.50682332437518629</v>
      </c>
      <c r="Y229" s="9"/>
      <c r="Z229" s="7">
        <v>0</v>
      </c>
      <c r="AA229" s="8">
        <f>IFERROR(Z229/Z444, "NA")</f>
        <v>0</v>
      </c>
      <c r="AB229" s="9"/>
      <c r="AC229" s="10">
        <f t="shared" ref="AC229:AC236" si="63">IFERROR(-(Q229-Z229), "NA")</f>
        <v>0</v>
      </c>
      <c r="AD229" s="8">
        <f>IFERROR(AC229/AC444, "NA")</f>
        <v>0</v>
      </c>
    </row>
    <row r="230" spans="1:30" ht="16.5" hidden="1" customHeight="1" x14ac:dyDescent="0.45">
      <c r="A230" s="6" t="s">
        <v>209</v>
      </c>
      <c r="B230" s="7">
        <v>0</v>
      </c>
      <c r="C230" s="8">
        <f>IFERROR(B230/B444, "NA")</f>
        <v>0</v>
      </c>
      <c r="D230" s="9"/>
      <c r="E230" s="7">
        <v>0</v>
      </c>
      <c r="F230" s="8">
        <f>IFERROR(E230/E444, "NA")</f>
        <v>0</v>
      </c>
      <c r="G230" s="9"/>
      <c r="H230" s="10">
        <f t="shared" si="60"/>
        <v>0</v>
      </c>
      <c r="I230" s="8">
        <f>IFERROR(H230/H444, "NA")</f>
        <v>0</v>
      </c>
      <c r="J230" s="9"/>
      <c r="K230" s="7">
        <v>0</v>
      </c>
      <c r="L230" s="8">
        <f>IFERROR(K230/K444, "NA")</f>
        <v>0</v>
      </c>
      <c r="M230" s="9"/>
      <c r="N230" s="10">
        <f t="shared" si="61"/>
        <v>0</v>
      </c>
      <c r="O230" s="8">
        <f>IFERROR(N230/N444, "NA")</f>
        <v>0</v>
      </c>
      <c r="P230" s="9"/>
      <c r="Q230" s="7">
        <v>0</v>
      </c>
      <c r="R230" s="8">
        <f>IFERROR(Q230/Q444, "NA")</f>
        <v>0</v>
      </c>
      <c r="S230" s="9"/>
      <c r="T230" s="7">
        <v>0</v>
      </c>
      <c r="U230" s="8">
        <f>IFERROR(T230/T444, "NA")</f>
        <v>0</v>
      </c>
      <c r="V230" s="9"/>
      <c r="W230" s="10">
        <f t="shared" si="62"/>
        <v>0</v>
      </c>
      <c r="X230" s="8">
        <f>IFERROR(W230/W444, "NA")</f>
        <v>0</v>
      </c>
      <c r="Y230" s="9"/>
      <c r="Z230" s="7">
        <v>0</v>
      </c>
      <c r="AA230" s="8">
        <f>IFERROR(Z230/Z444, "NA")</f>
        <v>0</v>
      </c>
      <c r="AB230" s="9"/>
      <c r="AC230" s="10">
        <f t="shared" si="63"/>
        <v>0</v>
      </c>
      <c r="AD230" s="8">
        <f>IFERROR(AC230/AC444, "NA")</f>
        <v>0</v>
      </c>
    </row>
    <row r="231" spans="1:30" ht="16.5" customHeight="1" x14ac:dyDescent="0.45">
      <c r="A231" s="6" t="s">
        <v>210</v>
      </c>
      <c r="B231" s="7">
        <v>574</v>
      </c>
      <c r="C231" s="8">
        <f>IFERROR(B231/B444, "NA")</f>
        <v>1.319382207326433E-3</v>
      </c>
      <c r="D231" s="9"/>
      <c r="E231" s="7">
        <v>0</v>
      </c>
      <c r="F231" s="8">
        <f>IFERROR(E231/E444, "NA")</f>
        <v>0</v>
      </c>
      <c r="G231" s="9"/>
      <c r="H231" s="10">
        <f t="shared" si="60"/>
        <v>-574</v>
      </c>
      <c r="I231" s="8">
        <f>IFERROR(H231/H444, "NA")</f>
        <v>4.2032498297464027E-2</v>
      </c>
      <c r="J231" s="9"/>
      <c r="K231" s="7">
        <v>1094.27</v>
      </c>
      <c r="L231" s="8">
        <f>IFERROR(K231/K444, "NA")</f>
        <v>2.5123553160616091E-3</v>
      </c>
      <c r="M231" s="9"/>
      <c r="N231" s="10">
        <f t="shared" si="61"/>
        <v>520.27</v>
      </c>
      <c r="O231" s="8">
        <f>IFERROR(N231/N444, "NA")</f>
        <v>-1.0336558520254766</v>
      </c>
      <c r="P231" s="9"/>
      <c r="Q231" s="7">
        <v>574</v>
      </c>
      <c r="R231" s="8">
        <f>IFERROR(Q231/Q444, "NA")</f>
        <v>1.319382207326433E-3</v>
      </c>
      <c r="S231" s="9"/>
      <c r="T231" s="7">
        <v>0</v>
      </c>
      <c r="U231" s="8">
        <f>IFERROR(T231/T444, "NA")</f>
        <v>0</v>
      </c>
      <c r="V231" s="9"/>
      <c r="W231" s="10">
        <f t="shared" si="62"/>
        <v>-574</v>
      </c>
      <c r="X231" s="8">
        <f>IFERROR(W231/W444, "NA")</f>
        <v>4.2032498297464027E-2</v>
      </c>
      <c r="Y231" s="9"/>
      <c r="Z231" s="7">
        <v>1094.27</v>
      </c>
      <c r="AA231" s="8">
        <f>IFERROR(Z231/Z444, "NA")</f>
        <v>2.5123553160616091E-3</v>
      </c>
      <c r="AB231" s="9"/>
      <c r="AC231" s="10">
        <f t="shared" si="63"/>
        <v>520.27</v>
      </c>
      <c r="AD231" s="8">
        <f>IFERROR(AC231/AC444, "NA")</f>
        <v>-1.0336558520254766</v>
      </c>
    </row>
    <row r="232" spans="1:30" ht="16.5" hidden="1" customHeight="1" x14ac:dyDescent="0.45">
      <c r="A232" s="6" t="s">
        <v>211</v>
      </c>
      <c r="B232" s="7">
        <v>0</v>
      </c>
      <c r="C232" s="8">
        <f>IFERROR(B232/B444, "NA")</f>
        <v>0</v>
      </c>
      <c r="D232" s="9"/>
      <c r="E232" s="7">
        <v>0</v>
      </c>
      <c r="F232" s="8">
        <f>IFERROR(E232/E444, "NA")</f>
        <v>0</v>
      </c>
      <c r="G232" s="9"/>
      <c r="H232" s="10">
        <f t="shared" si="60"/>
        <v>0</v>
      </c>
      <c r="I232" s="8">
        <f>IFERROR(H232/H444, "NA")</f>
        <v>0</v>
      </c>
      <c r="J232" s="9"/>
      <c r="K232" s="7">
        <v>0</v>
      </c>
      <c r="L232" s="8">
        <f>IFERROR(K232/K444, "NA")</f>
        <v>0</v>
      </c>
      <c r="M232" s="9"/>
      <c r="N232" s="10">
        <f t="shared" si="61"/>
        <v>0</v>
      </c>
      <c r="O232" s="8">
        <f>IFERROR(N232/N444, "NA")</f>
        <v>0</v>
      </c>
      <c r="P232" s="9"/>
      <c r="Q232" s="7">
        <v>0</v>
      </c>
      <c r="R232" s="8">
        <f>IFERROR(Q232/Q444, "NA")</f>
        <v>0</v>
      </c>
      <c r="S232" s="9"/>
      <c r="T232" s="7">
        <v>0</v>
      </c>
      <c r="U232" s="8">
        <f>IFERROR(T232/T444, "NA")</f>
        <v>0</v>
      </c>
      <c r="V232" s="9"/>
      <c r="W232" s="10">
        <f t="shared" si="62"/>
        <v>0</v>
      </c>
      <c r="X232" s="8">
        <f>IFERROR(W232/W444, "NA")</f>
        <v>0</v>
      </c>
      <c r="Y232" s="9"/>
      <c r="Z232" s="7">
        <v>0</v>
      </c>
      <c r="AA232" s="8">
        <f>IFERROR(Z232/Z444, "NA")</f>
        <v>0</v>
      </c>
      <c r="AB232" s="9"/>
      <c r="AC232" s="10">
        <f t="shared" si="63"/>
        <v>0</v>
      </c>
      <c r="AD232" s="8">
        <f>IFERROR(AC232/AC444, "NA")</f>
        <v>0</v>
      </c>
    </row>
    <row r="233" spans="1:30" ht="16.5" customHeight="1" x14ac:dyDescent="0.45">
      <c r="A233" s="6" t="s">
        <v>212</v>
      </c>
      <c r="B233" s="7">
        <v>217.78</v>
      </c>
      <c r="C233" s="8">
        <f>IFERROR(B233/B444, "NA")</f>
        <v>5.0058372319085461E-4</v>
      </c>
      <c r="D233" s="9"/>
      <c r="E233" s="7">
        <v>0</v>
      </c>
      <c r="F233" s="8">
        <f>IFERROR(E233/E444, "NA")</f>
        <v>0</v>
      </c>
      <c r="G233" s="9"/>
      <c r="H233" s="10">
        <f t="shared" si="60"/>
        <v>-217.78</v>
      </c>
      <c r="I233" s="8">
        <f>IFERROR(H233/H444, "NA")</f>
        <v>1.5947452054393234E-2</v>
      </c>
      <c r="J233" s="9"/>
      <c r="K233" s="7">
        <v>0</v>
      </c>
      <c r="L233" s="8">
        <f>IFERROR(K233/K444, "NA")</f>
        <v>0</v>
      </c>
      <c r="M233" s="9"/>
      <c r="N233" s="10">
        <f t="shared" si="61"/>
        <v>-217.78</v>
      </c>
      <c r="O233" s="8">
        <f>IFERROR(N233/N444, "NA")</f>
        <v>0.43267836210834432</v>
      </c>
      <c r="P233" s="9"/>
      <c r="Q233" s="7">
        <v>217.78</v>
      </c>
      <c r="R233" s="8">
        <f>IFERROR(Q233/Q444, "NA")</f>
        <v>5.0058372319085461E-4</v>
      </c>
      <c r="S233" s="9"/>
      <c r="T233" s="7">
        <v>0</v>
      </c>
      <c r="U233" s="8">
        <f>IFERROR(T233/T444, "NA")</f>
        <v>0</v>
      </c>
      <c r="V233" s="9"/>
      <c r="W233" s="10">
        <f t="shared" si="62"/>
        <v>-217.78</v>
      </c>
      <c r="X233" s="8">
        <f>IFERROR(W233/W444, "NA")</f>
        <v>1.5947452054393234E-2</v>
      </c>
      <c r="Y233" s="9"/>
      <c r="Z233" s="7">
        <v>0</v>
      </c>
      <c r="AA233" s="8">
        <f>IFERROR(Z233/Z444, "NA")</f>
        <v>0</v>
      </c>
      <c r="AB233" s="9"/>
      <c r="AC233" s="10">
        <f t="shared" si="63"/>
        <v>-217.78</v>
      </c>
      <c r="AD233" s="8">
        <f>IFERROR(AC233/AC444, "NA")</f>
        <v>0.43267836210834432</v>
      </c>
    </row>
    <row r="234" spans="1:30" ht="16.5" customHeight="1" x14ac:dyDescent="0.45">
      <c r="A234" s="6" t="s">
        <v>213</v>
      </c>
      <c r="B234" s="7">
        <v>6433.57</v>
      </c>
      <c r="C234" s="8">
        <f>IFERROR(B234/B444, "NA")</f>
        <v>1.4788044926113447E-2</v>
      </c>
      <c r="D234" s="9"/>
      <c r="E234" s="7">
        <v>0</v>
      </c>
      <c r="F234" s="8">
        <f>IFERROR(E234/E444, "NA")</f>
        <v>0</v>
      </c>
      <c r="G234" s="9"/>
      <c r="H234" s="10">
        <f t="shared" si="60"/>
        <v>-6433.57</v>
      </c>
      <c r="I234" s="8">
        <f>IFERROR(H234/H444, "NA")</f>
        <v>0.47111327538608999</v>
      </c>
      <c r="J234" s="9"/>
      <c r="K234" s="7">
        <v>7369.12</v>
      </c>
      <c r="L234" s="8">
        <f>IFERROR(K234/K444, "NA")</f>
        <v>1.691890283631638E-2</v>
      </c>
      <c r="M234" s="9"/>
      <c r="N234" s="10">
        <f t="shared" si="61"/>
        <v>935.55000000000018</v>
      </c>
      <c r="O234" s="8">
        <f>IFERROR(N234/N444, "NA")</f>
        <v>-1.8587209186815208</v>
      </c>
      <c r="P234" s="9"/>
      <c r="Q234" s="7">
        <v>6433.57</v>
      </c>
      <c r="R234" s="8">
        <f>IFERROR(Q234/Q444, "NA")</f>
        <v>1.4788044926113447E-2</v>
      </c>
      <c r="S234" s="9"/>
      <c r="T234" s="7">
        <v>0</v>
      </c>
      <c r="U234" s="8">
        <f>IFERROR(T234/T444, "NA")</f>
        <v>0</v>
      </c>
      <c r="V234" s="9"/>
      <c r="W234" s="10">
        <f t="shared" si="62"/>
        <v>-6433.57</v>
      </c>
      <c r="X234" s="8">
        <f>IFERROR(W234/W444, "NA")</f>
        <v>0.47111327538608999</v>
      </c>
      <c r="Y234" s="9"/>
      <c r="Z234" s="7">
        <v>7369.12</v>
      </c>
      <c r="AA234" s="8">
        <f>IFERROR(Z234/Z444, "NA")</f>
        <v>1.691890283631638E-2</v>
      </c>
      <c r="AB234" s="9"/>
      <c r="AC234" s="10">
        <f t="shared" si="63"/>
        <v>935.55000000000018</v>
      </c>
      <c r="AD234" s="8">
        <f>IFERROR(AC234/AC444, "NA")</f>
        <v>-1.8587209186815208</v>
      </c>
    </row>
    <row r="235" spans="1:30" ht="16.5" customHeight="1" x14ac:dyDescent="0.45">
      <c r="A235" s="6" t="s">
        <v>214</v>
      </c>
      <c r="B235" s="7">
        <v>44.7</v>
      </c>
      <c r="C235" s="8">
        <f>IFERROR(B235/B444, "NA")</f>
        <v>1.0274631475172744E-4</v>
      </c>
      <c r="D235" s="9"/>
      <c r="E235" s="7">
        <v>0</v>
      </c>
      <c r="F235" s="8">
        <f>IFERROR(E235/E444, "NA")</f>
        <v>0</v>
      </c>
      <c r="G235" s="9"/>
      <c r="H235" s="10">
        <f t="shared" si="60"/>
        <v>-44.7</v>
      </c>
      <c r="I235" s="8">
        <f>IFERROR(H235/H444, "NA")</f>
        <v>3.2732624980777738E-3</v>
      </c>
      <c r="J235" s="9"/>
      <c r="K235" s="7">
        <v>0</v>
      </c>
      <c r="L235" s="8">
        <f>IFERROR(K235/K444, "NA")</f>
        <v>0</v>
      </c>
      <c r="M235" s="9"/>
      <c r="N235" s="10">
        <f t="shared" si="61"/>
        <v>-44.7</v>
      </c>
      <c r="O235" s="8">
        <f>IFERROR(N235/N444, "NA")</f>
        <v>8.8808535155859084E-2</v>
      </c>
      <c r="P235" s="9"/>
      <c r="Q235" s="7">
        <v>44.7</v>
      </c>
      <c r="R235" s="8">
        <f>IFERROR(Q235/Q444, "NA")</f>
        <v>1.0274631475172744E-4</v>
      </c>
      <c r="S235" s="9"/>
      <c r="T235" s="7">
        <v>0</v>
      </c>
      <c r="U235" s="8">
        <f>IFERROR(T235/T444, "NA")</f>
        <v>0</v>
      </c>
      <c r="V235" s="9"/>
      <c r="W235" s="10">
        <f t="shared" si="62"/>
        <v>-44.7</v>
      </c>
      <c r="X235" s="8">
        <f>IFERROR(W235/W444, "NA")</f>
        <v>3.2732624980777738E-3</v>
      </c>
      <c r="Y235" s="9"/>
      <c r="Z235" s="7">
        <v>0</v>
      </c>
      <c r="AA235" s="8">
        <f>IFERROR(Z235/Z444, "NA")</f>
        <v>0</v>
      </c>
      <c r="AB235" s="9"/>
      <c r="AC235" s="10">
        <f t="shared" si="63"/>
        <v>-44.7</v>
      </c>
      <c r="AD235" s="8">
        <f>IFERROR(AC235/AC444, "NA")</f>
        <v>8.8808535155859084E-2</v>
      </c>
    </row>
    <row r="236" spans="1:30" ht="16.5" customHeight="1" x14ac:dyDescent="0.45">
      <c r="A236" s="19" t="s">
        <v>215</v>
      </c>
      <c r="B236" s="14">
        <f>IFERROR(B229+B230+B231+B232+B233+B234+B235, "NA")</f>
        <v>7270.0499999999993</v>
      </c>
      <c r="C236" s="15">
        <f>IFERROR(B236/B444, "NA")</f>
        <v>1.671075717138246E-2</v>
      </c>
      <c r="D236" s="2"/>
      <c r="E236" s="14">
        <f>IFERROR(E229+E230+E231+E232+E233+E234+E235, "NA")</f>
        <v>6921.23</v>
      </c>
      <c r="F236" s="15">
        <f>IFERROR(E236/E444, "NA")</f>
        <v>1.5424790543163685E-2</v>
      </c>
      <c r="G236" s="2"/>
      <c r="H236" s="14">
        <f t="shared" si="60"/>
        <v>-348.81999999999971</v>
      </c>
      <c r="I236" s="15">
        <f>IFERROR(H236/H444, "NA")</f>
        <v>2.5543163860838658E-2</v>
      </c>
      <c r="J236" s="2"/>
      <c r="K236" s="14">
        <f>IFERROR(K229+K230+K231+K232+K233+K234+K235, "NA")</f>
        <v>8463.39</v>
      </c>
      <c r="L236" s="15">
        <f>IFERROR(K236/K444, "NA")</f>
        <v>1.9431258152377985E-2</v>
      </c>
      <c r="M236" s="2"/>
      <c r="N236" s="14">
        <f t="shared" si="61"/>
        <v>1193.3400000000001</v>
      </c>
      <c r="O236" s="15">
        <f>IFERROR(N236/N444, "NA")</f>
        <v>-2.3708898734427941</v>
      </c>
      <c r="P236" s="2"/>
      <c r="Q236" s="14">
        <f>IFERROR(Q229+Q230+Q231+Q232+Q233+Q234+Q235, "NA")</f>
        <v>7270.0499999999993</v>
      </c>
      <c r="R236" s="15">
        <f>IFERROR(Q236/Q444, "NA")</f>
        <v>1.671075717138246E-2</v>
      </c>
      <c r="S236" s="2"/>
      <c r="T236" s="14">
        <f>IFERROR(T229+T230+T231+T232+T233+T234+T235, "NA")</f>
        <v>6921.23</v>
      </c>
      <c r="U236" s="15">
        <f>IFERROR(T236/T444, "NA")</f>
        <v>1.5424790543163685E-2</v>
      </c>
      <c r="V236" s="2"/>
      <c r="W236" s="14">
        <f t="shared" si="62"/>
        <v>-348.81999999999971</v>
      </c>
      <c r="X236" s="15">
        <f>IFERROR(W236/W444, "NA")</f>
        <v>2.5543163860838658E-2</v>
      </c>
      <c r="Y236" s="2"/>
      <c r="Z236" s="14">
        <f>IFERROR(Z229+Z230+Z231+Z232+Z233+Z234+Z235, "NA")</f>
        <v>8463.39</v>
      </c>
      <c r="AA236" s="15">
        <f>IFERROR(Z236/Z444, "NA")</f>
        <v>1.9431258152377985E-2</v>
      </c>
      <c r="AB236" s="2"/>
      <c r="AC236" s="14">
        <f t="shared" si="63"/>
        <v>1193.3400000000001</v>
      </c>
      <c r="AD236" s="15">
        <f>IFERROR(AC236/AC444, "NA")</f>
        <v>-2.3708898734427941</v>
      </c>
    </row>
    <row r="237" spans="1:30" ht="16.5" customHeight="1" x14ac:dyDescent="0.45">
      <c r="A237" s="5" t="s">
        <v>216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45">
      <c r="A238" s="6" t="s">
        <v>216</v>
      </c>
      <c r="B238" s="7">
        <v>0</v>
      </c>
      <c r="C238" s="8">
        <f>IFERROR(B238/B444, "NA")</f>
        <v>0</v>
      </c>
      <c r="D238" s="9"/>
      <c r="E238" s="7">
        <v>0</v>
      </c>
      <c r="F238" s="8">
        <f>IFERROR(E238/E444, "NA")</f>
        <v>0</v>
      </c>
      <c r="G238" s="9"/>
      <c r="H238" s="10">
        <f>IFERROR(-(B238-E238), "NA")</f>
        <v>0</v>
      </c>
      <c r="I238" s="8">
        <f>IFERROR(H238/H444, "NA")</f>
        <v>0</v>
      </c>
      <c r="J238" s="9"/>
      <c r="K238" s="7">
        <v>0</v>
      </c>
      <c r="L238" s="8">
        <f>IFERROR(K238/K444, "NA")</f>
        <v>0</v>
      </c>
      <c r="M238" s="9"/>
      <c r="N238" s="10">
        <f>IFERROR(-(B238-K238), "NA")</f>
        <v>0</v>
      </c>
      <c r="O238" s="8">
        <f>IFERROR(N238/N444, "NA")</f>
        <v>0</v>
      </c>
      <c r="P238" s="9"/>
      <c r="Q238" s="7">
        <v>0</v>
      </c>
      <c r="R238" s="8">
        <f>IFERROR(Q238/Q444, "NA")</f>
        <v>0</v>
      </c>
      <c r="S238" s="9"/>
      <c r="T238" s="7">
        <v>0</v>
      </c>
      <c r="U238" s="8">
        <f>IFERROR(T238/T444, "NA")</f>
        <v>0</v>
      </c>
      <c r="V238" s="9"/>
      <c r="W238" s="10">
        <f>IFERROR(-(Q238-T238), "NA")</f>
        <v>0</v>
      </c>
      <c r="X238" s="8">
        <f>IFERROR(W238/W444, "NA")</f>
        <v>0</v>
      </c>
      <c r="Y238" s="9"/>
      <c r="Z238" s="7">
        <v>0</v>
      </c>
      <c r="AA238" s="8">
        <f>IFERROR(Z238/Z444, "NA")</f>
        <v>0</v>
      </c>
      <c r="AB238" s="9"/>
      <c r="AC238" s="10">
        <f>IFERROR(-(Q238-Z238), "NA")</f>
        <v>0</v>
      </c>
      <c r="AD238" s="8">
        <f>IFERROR(AC238/AC444, "NA")</f>
        <v>0</v>
      </c>
    </row>
    <row r="239" spans="1:30" ht="16.5" customHeight="1" x14ac:dyDescent="0.45">
      <c r="A239" s="11" t="s">
        <v>217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45">
      <c r="A240" s="12" t="s">
        <v>217</v>
      </c>
      <c r="B240" s="7">
        <v>0</v>
      </c>
      <c r="C240" s="8">
        <f>IFERROR(B240/B444, "NA")</f>
        <v>0</v>
      </c>
      <c r="D240" s="9"/>
      <c r="E240" s="7">
        <v>29991.739999999998</v>
      </c>
      <c r="F240" s="8">
        <f>IFERROR(E240/E444, "NA")</f>
        <v>6.6840187007948595E-2</v>
      </c>
      <c r="G240" s="9"/>
      <c r="H240" s="10">
        <f t="shared" ref="H240:H263" si="64">IFERROR(-(B240-E240), "NA")</f>
        <v>29991.739999999998</v>
      </c>
      <c r="I240" s="8">
        <f>IFERROR(H240/H444, "NA")</f>
        <v>-2.1962156106062434</v>
      </c>
      <c r="J240" s="9"/>
      <c r="K240" s="7">
        <v>0</v>
      </c>
      <c r="L240" s="8">
        <f>IFERROR(K240/K444, "NA")</f>
        <v>0</v>
      </c>
      <c r="M240" s="9"/>
      <c r="N240" s="10">
        <f t="shared" ref="N240:N263" si="65">IFERROR(-(B240-K240), "NA")</f>
        <v>0</v>
      </c>
      <c r="O240" s="8">
        <f>IFERROR(N240/N444, "NA")</f>
        <v>0</v>
      </c>
      <c r="P240" s="9"/>
      <c r="Q240" s="7">
        <v>0</v>
      </c>
      <c r="R240" s="8">
        <f>IFERROR(Q240/Q444, "NA")</f>
        <v>0</v>
      </c>
      <c r="S240" s="9"/>
      <c r="T240" s="7">
        <v>29991.739999999998</v>
      </c>
      <c r="U240" s="8">
        <f>IFERROR(T240/T444, "NA")</f>
        <v>6.6840187007948595E-2</v>
      </c>
      <c r="V240" s="9"/>
      <c r="W240" s="10">
        <f t="shared" ref="W240:W263" si="66">IFERROR(-(Q240-T240), "NA")</f>
        <v>29991.739999999998</v>
      </c>
      <c r="X240" s="8">
        <f>IFERROR(W240/W444, "NA")</f>
        <v>-2.1962156106062434</v>
      </c>
      <c r="Y240" s="9"/>
      <c r="Z240" s="7">
        <v>0</v>
      </c>
      <c r="AA240" s="8">
        <f>IFERROR(Z240/Z444, "NA")</f>
        <v>0</v>
      </c>
      <c r="AB240" s="9"/>
      <c r="AC240" s="10">
        <f t="shared" ref="AC240:AC263" si="67">IFERROR(-(Q240-Z240), "NA")</f>
        <v>0</v>
      </c>
      <c r="AD240" s="8">
        <f>IFERROR(AC240/AC444, "NA")</f>
        <v>0</v>
      </c>
    </row>
    <row r="241" spans="1:30" ht="16.5" customHeight="1" x14ac:dyDescent="0.45">
      <c r="A241" s="12" t="s">
        <v>218</v>
      </c>
      <c r="B241" s="7">
        <v>0</v>
      </c>
      <c r="C241" s="8">
        <f>IFERROR(B241/B444, "NA")</f>
        <v>0</v>
      </c>
      <c r="D241" s="9"/>
      <c r="E241" s="7">
        <v>0</v>
      </c>
      <c r="F241" s="8">
        <f>IFERROR(E241/E444, "NA")</f>
        <v>0</v>
      </c>
      <c r="G241" s="9"/>
      <c r="H241" s="10">
        <f t="shared" si="64"/>
        <v>0</v>
      </c>
      <c r="I241" s="8">
        <f>IFERROR(H241/H444, "NA")</f>
        <v>0</v>
      </c>
      <c r="J241" s="9"/>
      <c r="K241" s="7">
        <v>78.709999999999994</v>
      </c>
      <c r="L241" s="8">
        <f>IFERROR(K241/K444, "NA")</f>
        <v>1.8071178678681608E-4</v>
      </c>
      <c r="M241" s="9"/>
      <c r="N241" s="10">
        <f t="shared" si="65"/>
        <v>78.709999999999994</v>
      </c>
      <c r="O241" s="8">
        <f>IFERROR(N241/N444, "NA")</f>
        <v>-0.15637851906303507</v>
      </c>
      <c r="P241" s="9"/>
      <c r="Q241" s="7">
        <v>0</v>
      </c>
      <c r="R241" s="8">
        <f>IFERROR(Q241/Q444, "NA")</f>
        <v>0</v>
      </c>
      <c r="S241" s="9"/>
      <c r="T241" s="7">
        <v>0</v>
      </c>
      <c r="U241" s="8">
        <f>IFERROR(T241/T444, "NA")</f>
        <v>0</v>
      </c>
      <c r="V241" s="9"/>
      <c r="W241" s="10">
        <f t="shared" si="66"/>
        <v>0</v>
      </c>
      <c r="X241" s="8">
        <f>IFERROR(W241/W444, "NA")</f>
        <v>0</v>
      </c>
      <c r="Y241" s="9"/>
      <c r="Z241" s="7">
        <v>78.709999999999994</v>
      </c>
      <c r="AA241" s="8">
        <f>IFERROR(Z241/Z444, "NA")</f>
        <v>1.8071178678681608E-4</v>
      </c>
      <c r="AB241" s="9"/>
      <c r="AC241" s="10">
        <f t="shared" si="67"/>
        <v>78.709999999999994</v>
      </c>
      <c r="AD241" s="8">
        <f>IFERROR(AC241/AC444, "NA")</f>
        <v>-0.15637851906303507</v>
      </c>
    </row>
    <row r="242" spans="1:30" ht="16.5" customHeight="1" x14ac:dyDescent="0.45">
      <c r="A242" s="12" t="s">
        <v>219</v>
      </c>
      <c r="B242" s="7">
        <v>7629.67</v>
      </c>
      <c r="C242" s="8">
        <f>IFERROR(B242/B444, "NA")</f>
        <v>1.7537370811449939E-2</v>
      </c>
      <c r="D242" s="9"/>
      <c r="E242" s="7">
        <v>0</v>
      </c>
      <c r="F242" s="8">
        <f>IFERROR(E242/E444, "NA")</f>
        <v>0</v>
      </c>
      <c r="G242" s="9"/>
      <c r="H242" s="10">
        <f t="shared" si="64"/>
        <v>-7629.67</v>
      </c>
      <c r="I242" s="8">
        <f>IFERROR(H242/H444, "NA")</f>
        <v>0.5587005074655268</v>
      </c>
      <c r="J242" s="9"/>
      <c r="K242" s="7">
        <v>5756.0999999999995</v>
      </c>
      <c r="L242" s="8">
        <f>IFERROR(K242/K444, "NA")</f>
        <v>1.321553952386726E-2</v>
      </c>
      <c r="M242" s="9"/>
      <c r="N242" s="10">
        <f t="shared" si="65"/>
        <v>-1873.5700000000006</v>
      </c>
      <c r="O242" s="8">
        <f>IFERROR(N242/N444, "NA")</f>
        <v>3.7223491546300438</v>
      </c>
      <c r="P242" s="9"/>
      <c r="Q242" s="7">
        <v>7629.67</v>
      </c>
      <c r="R242" s="8">
        <f>IFERROR(Q242/Q444, "NA")</f>
        <v>1.7537370811449939E-2</v>
      </c>
      <c r="S242" s="9"/>
      <c r="T242" s="7">
        <v>0</v>
      </c>
      <c r="U242" s="8">
        <f>IFERROR(T242/T444, "NA")</f>
        <v>0</v>
      </c>
      <c r="V242" s="9"/>
      <c r="W242" s="10">
        <f t="shared" si="66"/>
        <v>-7629.67</v>
      </c>
      <c r="X242" s="8">
        <f>IFERROR(W242/W444, "NA")</f>
        <v>0.5587005074655268</v>
      </c>
      <c r="Y242" s="9"/>
      <c r="Z242" s="7">
        <v>5756.0999999999995</v>
      </c>
      <c r="AA242" s="8">
        <f>IFERROR(Z242/Z444, "NA")</f>
        <v>1.321553952386726E-2</v>
      </c>
      <c r="AB242" s="9"/>
      <c r="AC242" s="10">
        <f t="shared" si="67"/>
        <v>-1873.5700000000006</v>
      </c>
      <c r="AD242" s="8">
        <f>IFERROR(AC242/AC444, "NA")</f>
        <v>3.7223491546300438</v>
      </c>
    </row>
    <row r="243" spans="1:30" ht="16.5" customHeight="1" x14ac:dyDescent="0.45">
      <c r="A243" s="12" t="s">
        <v>220</v>
      </c>
      <c r="B243" s="7">
        <v>9700.1299999999992</v>
      </c>
      <c r="C243" s="8">
        <f>IFERROR(B243/B444, "NA")</f>
        <v>2.2296478973437894E-2</v>
      </c>
      <c r="D243" s="9"/>
      <c r="E243" s="7">
        <v>0</v>
      </c>
      <c r="F243" s="8">
        <f>IFERROR(E243/E444, "NA")</f>
        <v>0</v>
      </c>
      <c r="G243" s="9"/>
      <c r="H243" s="10">
        <f t="shared" si="64"/>
        <v>-9700.1299999999992</v>
      </c>
      <c r="I243" s="8">
        <f>IFERROR(H243/H444, "NA")</f>
        <v>0.71031480437313543</v>
      </c>
      <c r="J243" s="9"/>
      <c r="K243" s="7">
        <v>14325.519999999999</v>
      </c>
      <c r="L243" s="8">
        <f>IFERROR(K243/K444, "NA")</f>
        <v>3.2890233970909281E-2</v>
      </c>
      <c r="M243" s="9"/>
      <c r="N243" s="10">
        <f t="shared" si="65"/>
        <v>4625.3899999999994</v>
      </c>
      <c r="O243" s="8">
        <f>IFERROR(N243/N444, "NA")</f>
        <v>-9.1895774144196647</v>
      </c>
      <c r="P243" s="9"/>
      <c r="Q243" s="7">
        <v>9700.1299999999992</v>
      </c>
      <c r="R243" s="8">
        <f>IFERROR(Q243/Q444, "NA")</f>
        <v>2.2296478973437894E-2</v>
      </c>
      <c r="S243" s="9"/>
      <c r="T243" s="7">
        <v>0</v>
      </c>
      <c r="U243" s="8">
        <f>IFERROR(T243/T444, "NA")</f>
        <v>0</v>
      </c>
      <c r="V243" s="9"/>
      <c r="W243" s="10">
        <f t="shared" si="66"/>
        <v>-9700.1299999999992</v>
      </c>
      <c r="X243" s="8">
        <f>IFERROR(W243/W444, "NA")</f>
        <v>0.71031480437313543</v>
      </c>
      <c r="Y243" s="9"/>
      <c r="Z243" s="7">
        <v>14325.519999999999</v>
      </c>
      <c r="AA243" s="8">
        <f>IFERROR(Z243/Z444, "NA")</f>
        <v>3.2890233970909281E-2</v>
      </c>
      <c r="AB243" s="9"/>
      <c r="AC243" s="10">
        <f t="shared" si="67"/>
        <v>4625.3899999999994</v>
      </c>
      <c r="AD243" s="8">
        <f>IFERROR(AC243/AC444, "NA")</f>
        <v>-9.1895774144196647</v>
      </c>
    </row>
    <row r="244" spans="1:30" ht="16.5" customHeight="1" x14ac:dyDescent="0.45">
      <c r="A244" s="12" t="s">
        <v>221</v>
      </c>
      <c r="B244" s="7">
        <v>3240.21</v>
      </c>
      <c r="C244" s="8">
        <f>IFERROR(B244/B444, "NA")</f>
        <v>7.4478665888522326E-3</v>
      </c>
      <c r="D244" s="9"/>
      <c r="E244" s="7">
        <v>0</v>
      </c>
      <c r="F244" s="8">
        <f>IFERROR(E244/E444, "NA")</f>
        <v>0</v>
      </c>
      <c r="G244" s="9"/>
      <c r="H244" s="10">
        <f t="shared" si="64"/>
        <v>-3240.21</v>
      </c>
      <c r="I244" s="8">
        <f>IFERROR(H244/H444, "NA")</f>
        <v>0.23727198834220545</v>
      </c>
      <c r="J244" s="9"/>
      <c r="K244" s="7">
        <v>396.63</v>
      </c>
      <c r="L244" s="8">
        <f>IFERROR(K244/K444, "NA")</f>
        <v>9.1063036454395714E-4</v>
      </c>
      <c r="M244" s="9"/>
      <c r="N244" s="10">
        <f t="shared" si="65"/>
        <v>-2843.58</v>
      </c>
      <c r="O244" s="8">
        <f>IFERROR(N244/N444, "NA")</f>
        <v>5.6495341028746706</v>
      </c>
      <c r="P244" s="9"/>
      <c r="Q244" s="7">
        <v>3240.21</v>
      </c>
      <c r="R244" s="8">
        <f>IFERROR(Q244/Q444, "NA")</f>
        <v>7.4478665888522326E-3</v>
      </c>
      <c r="S244" s="9"/>
      <c r="T244" s="7">
        <v>0</v>
      </c>
      <c r="U244" s="8">
        <f>IFERROR(T244/T444, "NA")</f>
        <v>0</v>
      </c>
      <c r="V244" s="9"/>
      <c r="W244" s="10">
        <f t="shared" si="66"/>
        <v>-3240.21</v>
      </c>
      <c r="X244" s="8">
        <f>IFERROR(W244/W444, "NA")</f>
        <v>0.23727198834220545</v>
      </c>
      <c r="Y244" s="9"/>
      <c r="Z244" s="7">
        <v>396.63</v>
      </c>
      <c r="AA244" s="8">
        <f>IFERROR(Z244/Z444, "NA")</f>
        <v>9.1063036454395714E-4</v>
      </c>
      <c r="AB244" s="9"/>
      <c r="AC244" s="10">
        <f t="shared" si="67"/>
        <v>-2843.58</v>
      </c>
      <c r="AD244" s="8">
        <f>IFERROR(AC244/AC444, "NA")</f>
        <v>5.6495341028746706</v>
      </c>
    </row>
    <row r="245" spans="1:30" ht="16.5" hidden="1" customHeight="1" x14ac:dyDescent="0.45">
      <c r="A245" s="12" t="s">
        <v>222</v>
      </c>
      <c r="B245" s="7">
        <v>0</v>
      </c>
      <c r="C245" s="8">
        <f>IFERROR(B245/B444, "NA")</f>
        <v>0</v>
      </c>
      <c r="D245" s="9"/>
      <c r="E245" s="7">
        <v>0</v>
      </c>
      <c r="F245" s="8">
        <f>IFERROR(E245/E444, "NA")</f>
        <v>0</v>
      </c>
      <c r="G245" s="9"/>
      <c r="H245" s="10">
        <f t="shared" si="64"/>
        <v>0</v>
      </c>
      <c r="I245" s="8">
        <f>IFERROR(H245/H444, "NA")</f>
        <v>0</v>
      </c>
      <c r="J245" s="9"/>
      <c r="K245" s="7">
        <v>0</v>
      </c>
      <c r="L245" s="8">
        <f>IFERROR(K245/K444, "NA")</f>
        <v>0</v>
      </c>
      <c r="M245" s="9"/>
      <c r="N245" s="10">
        <f t="shared" si="65"/>
        <v>0</v>
      </c>
      <c r="O245" s="8">
        <f>IFERROR(N245/N444, "NA")</f>
        <v>0</v>
      </c>
      <c r="P245" s="9"/>
      <c r="Q245" s="7">
        <v>0</v>
      </c>
      <c r="R245" s="8">
        <f>IFERROR(Q245/Q444, "NA")</f>
        <v>0</v>
      </c>
      <c r="S245" s="9"/>
      <c r="T245" s="7">
        <v>0</v>
      </c>
      <c r="U245" s="8">
        <f>IFERROR(T245/T444, "NA")</f>
        <v>0</v>
      </c>
      <c r="V245" s="9"/>
      <c r="W245" s="10">
        <f t="shared" si="66"/>
        <v>0</v>
      </c>
      <c r="X245" s="8">
        <f>IFERROR(W245/W444, "NA")</f>
        <v>0</v>
      </c>
      <c r="Y245" s="9"/>
      <c r="Z245" s="7">
        <v>0</v>
      </c>
      <c r="AA245" s="8">
        <f>IFERROR(Z245/Z444, "NA")</f>
        <v>0</v>
      </c>
      <c r="AB245" s="9"/>
      <c r="AC245" s="10">
        <f t="shared" si="67"/>
        <v>0</v>
      </c>
      <c r="AD245" s="8">
        <f>IFERROR(AC245/AC444, "NA")</f>
        <v>0</v>
      </c>
    </row>
    <row r="246" spans="1:30" ht="16.5" customHeight="1" x14ac:dyDescent="0.45">
      <c r="A246" s="12" t="s">
        <v>223</v>
      </c>
      <c r="B246" s="7">
        <v>661.81000000000006</v>
      </c>
      <c r="C246" s="8">
        <f>IFERROR(B246/B444, "NA")</f>
        <v>1.5212201021440883E-3</v>
      </c>
      <c r="D246" s="9"/>
      <c r="E246" s="7">
        <v>0</v>
      </c>
      <c r="F246" s="8">
        <f>IFERROR(E246/E444, "NA")</f>
        <v>0</v>
      </c>
      <c r="G246" s="9"/>
      <c r="H246" s="10">
        <f t="shared" si="64"/>
        <v>-661.81000000000006</v>
      </c>
      <c r="I246" s="8">
        <f>IFERROR(H246/H444, "NA")</f>
        <v>4.8462591808788626E-2</v>
      </c>
      <c r="J246" s="9"/>
      <c r="K246" s="7">
        <v>1209.8800000000001</v>
      </c>
      <c r="L246" s="8">
        <f>IFERROR(K246/K444, "NA")</f>
        <v>2.7777865150251948E-3</v>
      </c>
      <c r="M246" s="9"/>
      <c r="N246" s="10">
        <f t="shared" si="65"/>
        <v>548.07000000000005</v>
      </c>
      <c r="O246" s="8">
        <f>IFERROR(N246/N444, "NA")</f>
        <v>-1.0888880058807986</v>
      </c>
      <c r="P246" s="9"/>
      <c r="Q246" s="7">
        <v>661.81000000000006</v>
      </c>
      <c r="R246" s="8">
        <f>IFERROR(Q246/Q444, "NA")</f>
        <v>1.5212201021440883E-3</v>
      </c>
      <c r="S246" s="9"/>
      <c r="T246" s="7">
        <v>0</v>
      </c>
      <c r="U246" s="8">
        <f>IFERROR(T246/T444, "NA")</f>
        <v>0</v>
      </c>
      <c r="V246" s="9"/>
      <c r="W246" s="10">
        <f t="shared" si="66"/>
        <v>-661.81000000000006</v>
      </c>
      <c r="X246" s="8">
        <f>IFERROR(W246/W444, "NA")</f>
        <v>4.8462591808788626E-2</v>
      </c>
      <c r="Y246" s="9"/>
      <c r="Z246" s="7">
        <v>1209.8800000000001</v>
      </c>
      <c r="AA246" s="8">
        <f>IFERROR(Z246/Z444, "NA")</f>
        <v>2.7777865150251948E-3</v>
      </c>
      <c r="AB246" s="9"/>
      <c r="AC246" s="10">
        <f t="shared" si="67"/>
        <v>548.07000000000005</v>
      </c>
      <c r="AD246" s="8">
        <f>IFERROR(AC246/AC444, "NA")</f>
        <v>-1.0888880058807986</v>
      </c>
    </row>
    <row r="247" spans="1:30" ht="16.5" hidden="1" customHeight="1" x14ac:dyDescent="0.45">
      <c r="A247" s="12" t="s">
        <v>224</v>
      </c>
      <c r="B247" s="7">
        <v>0</v>
      </c>
      <c r="C247" s="8">
        <f>IFERROR(B247/B444, "NA")</f>
        <v>0</v>
      </c>
      <c r="D247" s="9"/>
      <c r="E247" s="7">
        <v>0</v>
      </c>
      <c r="F247" s="8">
        <f>IFERROR(E247/E444, "NA")</f>
        <v>0</v>
      </c>
      <c r="G247" s="9"/>
      <c r="H247" s="10">
        <f t="shared" si="64"/>
        <v>0</v>
      </c>
      <c r="I247" s="8">
        <f>IFERROR(H247/H444, "NA")</f>
        <v>0</v>
      </c>
      <c r="J247" s="9"/>
      <c r="K247" s="7">
        <v>0</v>
      </c>
      <c r="L247" s="8">
        <f>IFERROR(K247/K444, "NA")</f>
        <v>0</v>
      </c>
      <c r="M247" s="9"/>
      <c r="N247" s="10">
        <f t="shared" si="65"/>
        <v>0</v>
      </c>
      <c r="O247" s="8">
        <f>IFERROR(N247/N444, "NA")</f>
        <v>0</v>
      </c>
      <c r="P247" s="9"/>
      <c r="Q247" s="7">
        <v>0</v>
      </c>
      <c r="R247" s="8">
        <f>IFERROR(Q247/Q444, "NA")</f>
        <v>0</v>
      </c>
      <c r="S247" s="9"/>
      <c r="T247" s="7">
        <v>0</v>
      </c>
      <c r="U247" s="8">
        <f>IFERROR(T247/T444, "NA")</f>
        <v>0</v>
      </c>
      <c r="V247" s="9"/>
      <c r="W247" s="10">
        <f t="shared" si="66"/>
        <v>0</v>
      </c>
      <c r="X247" s="8">
        <f>IFERROR(W247/W444, "NA")</f>
        <v>0</v>
      </c>
      <c r="Y247" s="9"/>
      <c r="Z247" s="7">
        <v>0</v>
      </c>
      <c r="AA247" s="8">
        <f>IFERROR(Z247/Z444, "NA")</f>
        <v>0</v>
      </c>
      <c r="AB247" s="9"/>
      <c r="AC247" s="10">
        <f t="shared" si="67"/>
        <v>0</v>
      </c>
      <c r="AD247" s="8">
        <f>IFERROR(AC247/AC444, "NA")</f>
        <v>0</v>
      </c>
    </row>
    <row r="248" spans="1:30" ht="16.5" customHeight="1" x14ac:dyDescent="0.45">
      <c r="A248" s="12" t="s">
        <v>225</v>
      </c>
      <c r="B248" s="7">
        <v>1117.73</v>
      </c>
      <c r="C248" s="8">
        <f>IFERROR(B248/B444, "NA")</f>
        <v>2.5691865411062264E-3</v>
      </c>
      <c r="D248" s="9"/>
      <c r="E248" s="7">
        <v>0</v>
      </c>
      <c r="F248" s="8">
        <f>IFERROR(E248/E444, "NA")</f>
        <v>0</v>
      </c>
      <c r="G248" s="9"/>
      <c r="H248" s="10">
        <f t="shared" si="64"/>
        <v>-1117.73</v>
      </c>
      <c r="I248" s="8">
        <f>IFERROR(H248/H444, "NA")</f>
        <v>8.184840474220291E-2</v>
      </c>
      <c r="J248" s="9"/>
      <c r="K248" s="7">
        <v>1131.67</v>
      </c>
      <c r="L248" s="8">
        <f>IFERROR(K248/K444, "NA")</f>
        <v>2.598222687752969E-3</v>
      </c>
      <c r="M248" s="9"/>
      <c r="N248" s="10">
        <f t="shared" si="65"/>
        <v>13.940000000000055</v>
      </c>
      <c r="O248" s="8">
        <f>IFERROR(N248/N444, "NA")</f>
        <v>-2.7695547652632671E-2</v>
      </c>
      <c r="P248" s="9"/>
      <c r="Q248" s="7">
        <v>1117.73</v>
      </c>
      <c r="R248" s="8">
        <f>IFERROR(Q248/Q444, "NA")</f>
        <v>2.5691865411062264E-3</v>
      </c>
      <c r="S248" s="9"/>
      <c r="T248" s="7">
        <v>0</v>
      </c>
      <c r="U248" s="8">
        <f>IFERROR(T248/T444, "NA")</f>
        <v>0</v>
      </c>
      <c r="V248" s="9"/>
      <c r="W248" s="10">
        <f t="shared" si="66"/>
        <v>-1117.73</v>
      </c>
      <c r="X248" s="8">
        <f>IFERROR(W248/W444, "NA")</f>
        <v>8.184840474220291E-2</v>
      </c>
      <c r="Y248" s="9"/>
      <c r="Z248" s="7">
        <v>1131.67</v>
      </c>
      <c r="AA248" s="8">
        <f>IFERROR(Z248/Z444, "NA")</f>
        <v>2.598222687752969E-3</v>
      </c>
      <c r="AB248" s="9"/>
      <c r="AC248" s="10">
        <f t="shared" si="67"/>
        <v>13.940000000000055</v>
      </c>
      <c r="AD248" s="8">
        <f>IFERROR(AC248/AC444, "NA")</f>
        <v>-2.7695547652632671E-2</v>
      </c>
    </row>
    <row r="249" spans="1:30" ht="16.5" customHeight="1" x14ac:dyDescent="0.45">
      <c r="A249" s="12" t="s">
        <v>226</v>
      </c>
      <c r="B249" s="7">
        <v>7808.1500000000005</v>
      </c>
      <c r="C249" s="8">
        <f>IFERROR(B249/B444, "NA")</f>
        <v>1.7947620526369144E-2</v>
      </c>
      <c r="D249" s="9"/>
      <c r="E249" s="7">
        <v>0</v>
      </c>
      <c r="F249" s="8">
        <f>IFERROR(E249/E444, "NA")</f>
        <v>0</v>
      </c>
      <c r="G249" s="9"/>
      <c r="H249" s="10">
        <f t="shared" si="64"/>
        <v>-7808.1500000000005</v>
      </c>
      <c r="I249" s="8">
        <f>IFERROR(H249/H444, "NA")</f>
        <v>0.57177012470617383</v>
      </c>
      <c r="J249" s="9"/>
      <c r="K249" s="7">
        <v>7358.65</v>
      </c>
      <c r="L249" s="8">
        <f>IFERROR(K249/K444, "NA")</f>
        <v>1.6894864564080857E-2</v>
      </c>
      <c r="M249" s="9"/>
      <c r="N249" s="10">
        <f t="shared" si="65"/>
        <v>-449.50000000000091</v>
      </c>
      <c r="O249" s="8">
        <f>IFERROR(N249/N444, "NA")</f>
        <v>0.89305227186932301</v>
      </c>
      <c r="P249" s="9"/>
      <c r="Q249" s="7">
        <v>7808.1500000000005</v>
      </c>
      <c r="R249" s="8">
        <f>IFERROR(Q249/Q444, "NA")</f>
        <v>1.7947620526369144E-2</v>
      </c>
      <c r="S249" s="9"/>
      <c r="T249" s="7">
        <v>0</v>
      </c>
      <c r="U249" s="8">
        <f>IFERROR(T249/T444, "NA")</f>
        <v>0</v>
      </c>
      <c r="V249" s="9"/>
      <c r="W249" s="10">
        <f t="shared" si="66"/>
        <v>-7808.1500000000005</v>
      </c>
      <c r="X249" s="8">
        <f>IFERROR(W249/W444, "NA")</f>
        <v>0.57177012470617383</v>
      </c>
      <c r="Y249" s="9"/>
      <c r="Z249" s="7">
        <v>7358.65</v>
      </c>
      <c r="AA249" s="8">
        <f>IFERROR(Z249/Z444, "NA")</f>
        <v>1.6894864564080857E-2</v>
      </c>
      <c r="AB249" s="9"/>
      <c r="AC249" s="10">
        <f t="shared" si="67"/>
        <v>-449.50000000000091</v>
      </c>
      <c r="AD249" s="8">
        <f>IFERROR(AC249/AC444, "NA")</f>
        <v>0.89305227186932301</v>
      </c>
    </row>
    <row r="250" spans="1:30" ht="16.5" hidden="1" customHeight="1" x14ac:dyDescent="0.45">
      <c r="A250" s="12" t="s">
        <v>227</v>
      </c>
      <c r="B250" s="7">
        <v>0</v>
      </c>
      <c r="C250" s="8">
        <f>IFERROR(B250/B444, "NA")</f>
        <v>0</v>
      </c>
      <c r="D250" s="9"/>
      <c r="E250" s="7">
        <v>0</v>
      </c>
      <c r="F250" s="8">
        <f>IFERROR(E250/E444, "NA")</f>
        <v>0</v>
      </c>
      <c r="G250" s="9"/>
      <c r="H250" s="10">
        <f t="shared" si="64"/>
        <v>0</v>
      </c>
      <c r="I250" s="8">
        <f>IFERROR(H250/H444, "NA")</f>
        <v>0</v>
      </c>
      <c r="J250" s="9"/>
      <c r="K250" s="7">
        <v>0</v>
      </c>
      <c r="L250" s="8">
        <f>IFERROR(K250/K444, "NA")</f>
        <v>0</v>
      </c>
      <c r="M250" s="9"/>
      <c r="N250" s="10">
        <f t="shared" si="65"/>
        <v>0</v>
      </c>
      <c r="O250" s="8">
        <f>IFERROR(N250/N444, "NA")</f>
        <v>0</v>
      </c>
      <c r="P250" s="9"/>
      <c r="Q250" s="7">
        <v>0</v>
      </c>
      <c r="R250" s="8">
        <f>IFERROR(Q250/Q444, "NA")</f>
        <v>0</v>
      </c>
      <c r="S250" s="9"/>
      <c r="T250" s="7">
        <v>0</v>
      </c>
      <c r="U250" s="8">
        <f>IFERROR(T250/T444, "NA")</f>
        <v>0</v>
      </c>
      <c r="V250" s="9"/>
      <c r="W250" s="10">
        <f t="shared" si="66"/>
        <v>0</v>
      </c>
      <c r="X250" s="8">
        <f>IFERROR(W250/W444, "NA")</f>
        <v>0</v>
      </c>
      <c r="Y250" s="9"/>
      <c r="Z250" s="7">
        <v>0</v>
      </c>
      <c r="AA250" s="8">
        <f>IFERROR(Z250/Z444, "NA")</f>
        <v>0</v>
      </c>
      <c r="AB250" s="9"/>
      <c r="AC250" s="10">
        <f t="shared" si="67"/>
        <v>0</v>
      </c>
      <c r="AD250" s="8">
        <f>IFERROR(AC250/AC444, "NA")</f>
        <v>0</v>
      </c>
    </row>
    <row r="251" spans="1:30" ht="16.5" customHeight="1" x14ac:dyDescent="0.45">
      <c r="A251" s="12" t="s">
        <v>228</v>
      </c>
      <c r="B251" s="7">
        <v>147.31</v>
      </c>
      <c r="C251" s="8">
        <f>IFERROR(B251/B444, "NA")</f>
        <v>3.3860312362588301E-4</v>
      </c>
      <c r="D251" s="9"/>
      <c r="E251" s="7">
        <v>0</v>
      </c>
      <c r="F251" s="8">
        <f>IFERROR(E251/E444, "NA")</f>
        <v>0</v>
      </c>
      <c r="G251" s="9"/>
      <c r="H251" s="10">
        <f t="shared" si="64"/>
        <v>-147.31</v>
      </c>
      <c r="I251" s="8">
        <f>IFERROR(H251/H444, "NA")</f>
        <v>1.0787120773866597E-2</v>
      </c>
      <c r="J251" s="9"/>
      <c r="K251" s="7">
        <v>36.97</v>
      </c>
      <c r="L251" s="8">
        <f>IFERROR(K251/K444, "NA")</f>
        <v>8.4880126508811972E-5</v>
      </c>
      <c r="M251" s="9"/>
      <c r="N251" s="10">
        <f t="shared" si="65"/>
        <v>-110.34</v>
      </c>
      <c r="O251" s="8">
        <f>IFERROR(N251/N444, "NA")</f>
        <v>0.21921999483439578</v>
      </c>
      <c r="P251" s="9"/>
      <c r="Q251" s="7">
        <v>147.31</v>
      </c>
      <c r="R251" s="8">
        <f>IFERROR(Q251/Q444, "NA")</f>
        <v>3.3860312362588301E-4</v>
      </c>
      <c r="S251" s="9"/>
      <c r="T251" s="7">
        <v>0</v>
      </c>
      <c r="U251" s="8">
        <f>IFERROR(T251/T444, "NA")</f>
        <v>0</v>
      </c>
      <c r="V251" s="9"/>
      <c r="W251" s="10">
        <f t="shared" si="66"/>
        <v>-147.31</v>
      </c>
      <c r="X251" s="8">
        <f>IFERROR(W251/W444, "NA")</f>
        <v>1.0787120773866597E-2</v>
      </c>
      <c r="Y251" s="9"/>
      <c r="Z251" s="7">
        <v>36.97</v>
      </c>
      <c r="AA251" s="8">
        <f>IFERROR(Z251/Z444, "NA")</f>
        <v>8.4880126508811972E-5</v>
      </c>
      <c r="AB251" s="9"/>
      <c r="AC251" s="10">
        <f t="shared" si="67"/>
        <v>-110.34</v>
      </c>
      <c r="AD251" s="8">
        <f>IFERROR(AC251/AC444, "NA")</f>
        <v>0.21921999483439578</v>
      </c>
    </row>
    <row r="252" spans="1:30" ht="16.5" hidden="1" customHeight="1" x14ac:dyDescent="0.45">
      <c r="A252" s="12" t="s">
        <v>229</v>
      </c>
      <c r="B252" s="7">
        <v>0</v>
      </c>
      <c r="C252" s="8">
        <f>IFERROR(B252/B444, "NA")</f>
        <v>0</v>
      </c>
      <c r="D252" s="9"/>
      <c r="E252" s="7">
        <v>0</v>
      </c>
      <c r="F252" s="8">
        <f>IFERROR(E252/E444, "NA")</f>
        <v>0</v>
      </c>
      <c r="G252" s="9"/>
      <c r="H252" s="10">
        <f t="shared" si="64"/>
        <v>0</v>
      </c>
      <c r="I252" s="8">
        <f>IFERROR(H252/H444, "NA")</f>
        <v>0</v>
      </c>
      <c r="J252" s="9"/>
      <c r="K252" s="7">
        <v>0</v>
      </c>
      <c r="L252" s="8">
        <f>IFERROR(K252/K444, "NA")</f>
        <v>0</v>
      </c>
      <c r="M252" s="9"/>
      <c r="N252" s="10">
        <f t="shared" si="65"/>
        <v>0</v>
      </c>
      <c r="O252" s="8">
        <f>IFERROR(N252/N444, "NA")</f>
        <v>0</v>
      </c>
      <c r="P252" s="9"/>
      <c r="Q252" s="7">
        <v>0</v>
      </c>
      <c r="R252" s="8">
        <f>IFERROR(Q252/Q444, "NA")</f>
        <v>0</v>
      </c>
      <c r="S252" s="9"/>
      <c r="T252" s="7">
        <v>0</v>
      </c>
      <c r="U252" s="8">
        <f>IFERROR(T252/T444, "NA")</f>
        <v>0</v>
      </c>
      <c r="V252" s="9"/>
      <c r="W252" s="10">
        <f t="shared" si="66"/>
        <v>0</v>
      </c>
      <c r="X252" s="8">
        <f>IFERROR(W252/W444, "NA")</f>
        <v>0</v>
      </c>
      <c r="Y252" s="9"/>
      <c r="Z252" s="7">
        <v>0</v>
      </c>
      <c r="AA252" s="8">
        <f>IFERROR(Z252/Z444, "NA")</f>
        <v>0</v>
      </c>
      <c r="AB252" s="9"/>
      <c r="AC252" s="10">
        <f t="shared" si="67"/>
        <v>0</v>
      </c>
      <c r="AD252" s="8">
        <f>IFERROR(AC252/AC444, "NA")</f>
        <v>0</v>
      </c>
    </row>
    <row r="253" spans="1:30" ht="16.5" customHeight="1" x14ac:dyDescent="0.45">
      <c r="A253" s="12" t="s">
        <v>230</v>
      </c>
      <c r="B253" s="7">
        <v>519.42999999999995</v>
      </c>
      <c r="C253" s="8">
        <f>IFERROR(B253/B444, "NA")</f>
        <v>1.1939489546194581E-3</v>
      </c>
      <c r="D253" s="9"/>
      <c r="E253" s="7">
        <v>0</v>
      </c>
      <c r="F253" s="8">
        <f>IFERROR(E253/E444, "NA")</f>
        <v>0</v>
      </c>
      <c r="G253" s="9"/>
      <c r="H253" s="10">
        <f t="shared" si="64"/>
        <v>-519.42999999999995</v>
      </c>
      <c r="I253" s="8">
        <f>IFERROR(H253/H444, "NA")</f>
        <v>3.8036481865246934E-2</v>
      </c>
      <c r="J253" s="9"/>
      <c r="K253" s="7">
        <v>0</v>
      </c>
      <c r="L253" s="8">
        <f>IFERROR(K253/K444, "NA")</f>
        <v>0</v>
      </c>
      <c r="M253" s="9"/>
      <c r="N253" s="10">
        <f t="shared" si="65"/>
        <v>-519.42999999999995</v>
      </c>
      <c r="O253" s="8">
        <f>IFERROR(N253/N444, "NA")</f>
        <v>1.031986966801071</v>
      </c>
      <c r="P253" s="9"/>
      <c r="Q253" s="7">
        <v>519.42999999999995</v>
      </c>
      <c r="R253" s="8">
        <f>IFERROR(Q253/Q444, "NA")</f>
        <v>1.1939489546194581E-3</v>
      </c>
      <c r="S253" s="9"/>
      <c r="T253" s="7">
        <v>0</v>
      </c>
      <c r="U253" s="8">
        <f>IFERROR(T253/T444, "NA")</f>
        <v>0</v>
      </c>
      <c r="V253" s="9"/>
      <c r="W253" s="10">
        <f t="shared" si="66"/>
        <v>-519.42999999999995</v>
      </c>
      <c r="X253" s="8">
        <f>IFERROR(W253/W444, "NA")</f>
        <v>3.8036481865246934E-2</v>
      </c>
      <c r="Y253" s="9"/>
      <c r="Z253" s="7">
        <v>0</v>
      </c>
      <c r="AA253" s="8">
        <f>IFERROR(Z253/Z444, "NA")</f>
        <v>0</v>
      </c>
      <c r="AB253" s="9"/>
      <c r="AC253" s="10">
        <f t="shared" si="67"/>
        <v>-519.42999999999995</v>
      </c>
      <c r="AD253" s="8">
        <f>IFERROR(AC253/AC444, "NA")</f>
        <v>1.031986966801071</v>
      </c>
    </row>
    <row r="254" spans="1:30" ht="16.5" customHeight="1" x14ac:dyDescent="0.45">
      <c r="A254" s="12" t="s">
        <v>231</v>
      </c>
      <c r="B254" s="7">
        <v>2625.26</v>
      </c>
      <c r="C254" s="8">
        <f>IFERROR(B254/B444, "NA")</f>
        <v>6.0343577240519015E-3</v>
      </c>
      <c r="D254" s="9"/>
      <c r="E254" s="7">
        <v>0</v>
      </c>
      <c r="F254" s="8">
        <f>IFERROR(E254/E444, "NA")</f>
        <v>0</v>
      </c>
      <c r="G254" s="9"/>
      <c r="H254" s="10">
        <f t="shared" si="64"/>
        <v>-2625.26</v>
      </c>
      <c r="I254" s="8">
        <f>IFERROR(H254/H444, "NA")</f>
        <v>0.19224083010522722</v>
      </c>
      <c r="J254" s="9"/>
      <c r="K254" s="7">
        <v>2698.27</v>
      </c>
      <c r="L254" s="8">
        <f>IFERROR(K254/K444, "NA")</f>
        <v>6.1950094388675166E-3</v>
      </c>
      <c r="M254" s="9"/>
      <c r="N254" s="10">
        <f t="shared" si="65"/>
        <v>73.009999999999764</v>
      </c>
      <c r="O254" s="8">
        <f>IFERROR(N254/N444, "NA")</f>
        <v>-0.14505394075456937</v>
      </c>
      <c r="P254" s="9"/>
      <c r="Q254" s="7">
        <v>2625.26</v>
      </c>
      <c r="R254" s="8">
        <f>IFERROR(Q254/Q444, "NA")</f>
        <v>6.0343577240519015E-3</v>
      </c>
      <c r="S254" s="9"/>
      <c r="T254" s="7">
        <v>0</v>
      </c>
      <c r="U254" s="8">
        <f>IFERROR(T254/T444, "NA")</f>
        <v>0</v>
      </c>
      <c r="V254" s="9"/>
      <c r="W254" s="10">
        <f t="shared" si="66"/>
        <v>-2625.26</v>
      </c>
      <c r="X254" s="8">
        <f>IFERROR(W254/W444, "NA")</f>
        <v>0.19224083010522722</v>
      </c>
      <c r="Y254" s="9"/>
      <c r="Z254" s="7">
        <v>2698.27</v>
      </c>
      <c r="AA254" s="8">
        <f>IFERROR(Z254/Z444, "NA")</f>
        <v>6.1950094388675166E-3</v>
      </c>
      <c r="AB254" s="9"/>
      <c r="AC254" s="10">
        <f t="shared" si="67"/>
        <v>73.009999999999764</v>
      </c>
      <c r="AD254" s="8">
        <f>IFERROR(AC254/AC444, "NA")</f>
        <v>-0.14505394075456937</v>
      </c>
    </row>
    <row r="255" spans="1:30" ht="16.5" hidden="1" customHeight="1" x14ac:dyDescent="0.45">
      <c r="A255" s="12" t="s">
        <v>232</v>
      </c>
      <c r="B255" s="7">
        <v>0</v>
      </c>
      <c r="C255" s="8">
        <f>IFERROR(B255/B444, "NA")</f>
        <v>0</v>
      </c>
      <c r="D255" s="9"/>
      <c r="E255" s="7">
        <v>0</v>
      </c>
      <c r="F255" s="8">
        <f>IFERROR(E255/E444, "NA")</f>
        <v>0</v>
      </c>
      <c r="G255" s="9"/>
      <c r="H255" s="10">
        <f t="shared" si="64"/>
        <v>0</v>
      </c>
      <c r="I255" s="8">
        <f>IFERROR(H255/H444, "NA")</f>
        <v>0</v>
      </c>
      <c r="J255" s="9"/>
      <c r="K255" s="7">
        <v>0</v>
      </c>
      <c r="L255" s="8">
        <f>IFERROR(K255/K444, "NA")</f>
        <v>0</v>
      </c>
      <c r="M255" s="9"/>
      <c r="N255" s="10">
        <f t="shared" si="65"/>
        <v>0</v>
      </c>
      <c r="O255" s="8">
        <f>IFERROR(N255/N444, "NA")</f>
        <v>0</v>
      </c>
      <c r="P255" s="9"/>
      <c r="Q255" s="7">
        <v>0</v>
      </c>
      <c r="R255" s="8">
        <f>IFERROR(Q255/Q444, "NA")</f>
        <v>0</v>
      </c>
      <c r="S255" s="9"/>
      <c r="T255" s="7">
        <v>0</v>
      </c>
      <c r="U255" s="8">
        <f>IFERROR(T255/T444, "NA")</f>
        <v>0</v>
      </c>
      <c r="V255" s="9"/>
      <c r="W255" s="10">
        <f t="shared" si="66"/>
        <v>0</v>
      </c>
      <c r="X255" s="8">
        <f>IFERROR(W255/W444, "NA")</f>
        <v>0</v>
      </c>
      <c r="Y255" s="9"/>
      <c r="Z255" s="7">
        <v>0</v>
      </c>
      <c r="AA255" s="8">
        <f>IFERROR(Z255/Z444, "NA")</f>
        <v>0</v>
      </c>
      <c r="AB255" s="9"/>
      <c r="AC255" s="10">
        <f t="shared" si="67"/>
        <v>0</v>
      </c>
      <c r="AD255" s="8">
        <f>IFERROR(AC255/AC444, "NA")</f>
        <v>0</v>
      </c>
    </row>
    <row r="256" spans="1:30" ht="16.5" hidden="1" customHeight="1" x14ac:dyDescent="0.45">
      <c r="A256" s="12" t="s">
        <v>233</v>
      </c>
      <c r="B256" s="7">
        <v>0</v>
      </c>
      <c r="C256" s="8">
        <f>IFERROR(B256/B444, "NA")</f>
        <v>0</v>
      </c>
      <c r="D256" s="9"/>
      <c r="E256" s="7">
        <v>0</v>
      </c>
      <c r="F256" s="8">
        <f>IFERROR(E256/E444, "NA")</f>
        <v>0</v>
      </c>
      <c r="G256" s="9"/>
      <c r="H256" s="10">
        <f t="shared" si="64"/>
        <v>0</v>
      </c>
      <c r="I256" s="8">
        <f>IFERROR(H256/H444, "NA")</f>
        <v>0</v>
      </c>
      <c r="J256" s="9"/>
      <c r="K256" s="7">
        <v>0</v>
      </c>
      <c r="L256" s="8">
        <f>IFERROR(K256/K444, "NA")</f>
        <v>0</v>
      </c>
      <c r="M256" s="9"/>
      <c r="N256" s="10">
        <f t="shared" si="65"/>
        <v>0</v>
      </c>
      <c r="O256" s="8">
        <f>IFERROR(N256/N444, "NA")</f>
        <v>0</v>
      </c>
      <c r="P256" s="9"/>
      <c r="Q256" s="7">
        <v>0</v>
      </c>
      <c r="R256" s="8">
        <f>IFERROR(Q256/Q444, "NA")</f>
        <v>0</v>
      </c>
      <c r="S256" s="9"/>
      <c r="T256" s="7">
        <v>0</v>
      </c>
      <c r="U256" s="8">
        <f>IFERROR(T256/T444, "NA")</f>
        <v>0</v>
      </c>
      <c r="V256" s="9"/>
      <c r="W256" s="10">
        <f t="shared" si="66"/>
        <v>0</v>
      </c>
      <c r="X256" s="8">
        <f>IFERROR(W256/W444, "NA")</f>
        <v>0</v>
      </c>
      <c r="Y256" s="9"/>
      <c r="Z256" s="7">
        <v>0</v>
      </c>
      <c r="AA256" s="8">
        <f>IFERROR(Z256/Z444, "NA")</f>
        <v>0</v>
      </c>
      <c r="AB256" s="9"/>
      <c r="AC256" s="10">
        <f t="shared" si="67"/>
        <v>0</v>
      </c>
      <c r="AD256" s="8">
        <f>IFERROR(AC256/AC444, "NA")</f>
        <v>0</v>
      </c>
    </row>
    <row r="257" spans="1:30" ht="16.5" hidden="1" customHeight="1" x14ac:dyDescent="0.45">
      <c r="A257" s="12" t="s">
        <v>234</v>
      </c>
      <c r="B257" s="7">
        <v>0</v>
      </c>
      <c r="C257" s="8">
        <f>IFERROR(B257/B444, "NA")</f>
        <v>0</v>
      </c>
      <c r="D257" s="9"/>
      <c r="E257" s="7">
        <v>0</v>
      </c>
      <c r="F257" s="8">
        <f>IFERROR(E257/E444, "NA")</f>
        <v>0</v>
      </c>
      <c r="G257" s="9"/>
      <c r="H257" s="10">
        <f t="shared" si="64"/>
        <v>0</v>
      </c>
      <c r="I257" s="8">
        <f>IFERROR(H257/H444, "NA")</f>
        <v>0</v>
      </c>
      <c r="J257" s="9"/>
      <c r="K257" s="7">
        <v>0</v>
      </c>
      <c r="L257" s="8">
        <f>IFERROR(K257/K444, "NA")</f>
        <v>0</v>
      </c>
      <c r="M257" s="9"/>
      <c r="N257" s="10">
        <f t="shared" si="65"/>
        <v>0</v>
      </c>
      <c r="O257" s="8">
        <f>IFERROR(N257/N444, "NA")</f>
        <v>0</v>
      </c>
      <c r="P257" s="9"/>
      <c r="Q257" s="7">
        <v>0</v>
      </c>
      <c r="R257" s="8">
        <f>IFERROR(Q257/Q444, "NA")</f>
        <v>0</v>
      </c>
      <c r="S257" s="9"/>
      <c r="T257" s="7">
        <v>0</v>
      </c>
      <c r="U257" s="8">
        <f>IFERROR(T257/T444, "NA")</f>
        <v>0</v>
      </c>
      <c r="V257" s="9"/>
      <c r="W257" s="10">
        <f t="shared" si="66"/>
        <v>0</v>
      </c>
      <c r="X257" s="8">
        <f>IFERROR(W257/W444, "NA")</f>
        <v>0</v>
      </c>
      <c r="Y257" s="9"/>
      <c r="Z257" s="7">
        <v>0</v>
      </c>
      <c r="AA257" s="8">
        <f>IFERROR(Z257/Z444, "NA")</f>
        <v>0</v>
      </c>
      <c r="AB257" s="9"/>
      <c r="AC257" s="10">
        <f t="shared" si="67"/>
        <v>0</v>
      </c>
      <c r="AD257" s="8">
        <f>IFERROR(AC257/AC444, "NA")</f>
        <v>0</v>
      </c>
    </row>
    <row r="258" spans="1:30" ht="16.5" hidden="1" customHeight="1" x14ac:dyDescent="0.45">
      <c r="A258" s="12" t="s">
        <v>235</v>
      </c>
      <c r="B258" s="7">
        <v>0</v>
      </c>
      <c r="C258" s="8">
        <f>IFERROR(B258/B444, "NA")</f>
        <v>0</v>
      </c>
      <c r="D258" s="9"/>
      <c r="E258" s="7">
        <v>0</v>
      </c>
      <c r="F258" s="8">
        <f>IFERROR(E258/E444, "NA")</f>
        <v>0</v>
      </c>
      <c r="G258" s="9"/>
      <c r="H258" s="10">
        <f t="shared" si="64"/>
        <v>0</v>
      </c>
      <c r="I258" s="8">
        <f>IFERROR(H258/H444, "NA")</f>
        <v>0</v>
      </c>
      <c r="J258" s="9"/>
      <c r="K258" s="7">
        <v>0</v>
      </c>
      <c r="L258" s="8">
        <f>IFERROR(K258/K444, "NA")</f>
        <v>0</v>
      </c>
      <c r="M258" s="9"/>
      <c r="N258" s="10">
        <f t="shared" si="65"/>
        <v>0</v>
      </c>
      <c r="O258" s="8">
        <f>IFERROR(N258/N444, "NA")</f>
        <v>0</v>
      </c>
      <c r="P258" s="9"/>
      <c r="Q258" s="7">
        <v>0</v>
      </c>
      <c r="R258" s="8">
        <f>IFERROR(Q258/Q444, "NA")</f>
        <v>0</v>
      </c>
      <c r="S258" s="9"/>
      <c r="T258" s="7">
        <v>0</v>
      </c>
      <c r="U258" s="8">
        <f>IFERROR(T258/T444, "NA")</f>
        <v>0</v>
      </c>
      <c r="V258" s="9"/>
      <c r="W258" s="10">
        <f t="shared" si="66"/>
        <v>0</v>
      </c>
      <c r="X258" s="8">
        <f>IFERROR(W258/W444, "NA")</f>
        <v>0</v>
      </c>
      <c r="Y258" s="9"/>
      <c r="Z258" s="7">
        <v>0</v>
      </c>
      <c r="AA258" s="8">
        <f>IFERROR(Z258/Z444, "NA")</f>
        <v>0</v>
      </c>
      <c r="AB258" s="9"/>
      <c r="AC258" s="10">
        <f t="shared" si="67"/>
        <v>0</v>
      </c>
      <c r="AD258" s="8">
        <f>IFERROR(AC258/AC444, "NA")</f>
        <v>0</v>
      </c>
    </row>
    <row r="259" spans="1:30" ht="16.5" hidden="1" customHeight="1" x14ac:dyDescent="0.45">
      <c r="A259" s="12" t="s">
        <v>236</v>
      </c>
      <c r="B259" s="7">
        <v>0</v>
      </c>
      <c r="C259" s="8">
        <f>IFERROR(B259/B444, "NA")</f>
        <v>0</v>
      </c>
      <c r="D259" s="9"/>
      <c r="E259" s="7">
        <v>0</v>
      </c>
      <c r="F259" s="8">
        <f>IFERROR(E259/E444, "NA")</f>
        <v>0</v>
      </c>
      <c r="G259" s="9"/>
      <c r="H259" s="10">
        <f t="shared" si="64"/>
        <v>0</v>
      </c>
      <c r="I259" s="8">
        <f>IFERROR(H259/H444, "NA")</f>
        <v>0</v>
      </c>
      <c r="J259" s="9"/>
      <c r="K259" s="7">
        <v>0</v>
      </c>
      <c r="L259" s="8">
        <f>IFERROR(K259/K444, "NA")</f>
        <v>0</v>
      </c>
      <c r="M259" s="9"/>
      <c r="N259" s="10">
        <f t="shared" si="65"/>
        <v>0</v>
      </c>
      <c r="O259" s="8">
        <f>IFERROR(N259/N444, "NA")</f>
        <v>0</v>
      </c>
      <c r="P259" s="9"/>
      <c r="Q259" s="7">
        <v>0</v>
      </c>
      <c r="R259" s="8">
        <f>IFERROR(Q259/Q444, "NA")</f>
        <v>0</v>
      </c>
      <c r="S259" s="9"/>
      <c r="T259" s="7">
        <v>0</v>
      </c>
      <c r="U259" s="8">
        <f>IFERROR(T259/T444, "NA")</f>
        <v>0</v>
      </c>
      <c r="V259" s="9"/>
      <c r="W259" s="10">
        <f t="shared" si="66"/>
        <v>0</v>
      </c>
      <c r="X259" s="8">
        <f>IFERROR(W259/W444, "NA")</f>
        <v>0</v>
      </c>
      <c r="Y259" s="9"/>
      <c r="Z259" s="7">
        <v>0</v>
      </c>
      <c r="AA259" s="8">
        <f>IFERROR(Z259/Z444, "NA")</f>
        <v>0</v>
      </c>
      <c r="AB259" s="9"/>
      <c r="AC259" s="10">
        <f t="shared" si="67"/>
        <v>0</v>
      </c>
      <c r="AD259" s="8">
        <f>IFERROR(AC259/AC444, "NA")</f>
        <v>0</v>
      </c>
    </row>
    <row r="260" spans="1:30" ht="16.5" customHeight="1" x14ac:dyDescent="0.45">
      <c r="A260" s="12" t="s">
        <v>237</v>
      </c>
      <c r="B260" s="7">
        <v>1090.5</v>
      </c>
      <c r="C260" s="8">
        <f>IFERROR(B260/B444, "NA")</f>
        <v>2.5065963363928136E-3</v>
      </c>
      <c r="D260" s="9"/>
      <c r="E260" s="7">
        <v>0</v>
      </c>
      <c r="F260" s="8">
        <f>IFERROR(E260/E444, "NA")</f>
        <v>0</v>
      </c>
      <c r="G260" s="9"/>
      <c r="H260" s="10">
        <f t="shared" si="64"/>
        <v>-1090.5</v>
      </c>
      <c r="I260" s="8">
        <f>IFERROR(H260/H444, "NA")</f>
        <v>7.9854424030286628E-2</v>
      </c>
      <c r="J260" s="9"/>
      <c r="K260" s="7">
        <v>0</v>
      </c>
      <c r="L260" s="8">
        <f>IFERROR(K260/K444, "NA")</f>
        <v>0</v>
      </c>
      <c r="M260" s="9"/>
      <c r="N260" s="10">
        <f t="shared" si="65"/>
        <v>-1090.5</v>
      </c>
      <c r="O260" s="8">
        <f>IFERROR(N260/N444, "NA")</f>
        <v>2.166570639540589</v>
      </c>
      <c r="P260" s="9"/>
      <c r="Q260" s="7">
        <v>1090.5</v>
      </c>
      <c r="R260" s="8">
        <f>IFERROR(Q260/Q444, "NA")</f>
        <v>2.5065963363928136E-3</v>
      </c>
      <c r="S260" s="9"/>
      <c r="T260" s="7">
        <v>0</v>
      </c>
      <c r="U260" s="8">
        <f>IFERROR(T260/T444, "NA")</f>
        <v>0</v>
      </c>
      <c r="V260" s="9"/>
      <c r="W260" s="10">
        <f t="shared" si="66"/>
        <v>-1090.5</v>
      </c>
      <c r="X260" s="8">
        <f>IFERROR(W260/W444, "NA")</f>
        <v>7.9854424030286628E-2</v>
      </c>
      <c r="Y260" s="9"/>
      <c r="Z260" s="7">
        <v>0</v>
      </c>
      <c r="AA260" s="8">
        <f>IFERROR(Z260/Z444, "NA")</f>
        <v>0</v>
      </c>
      <c r="AB260" s="9"/>
      <c r="AC260" s="10">
        <f t="shared" si="67"/>
        <v>-1090.5</v>
      </c>
      <c r="AD260" s="8">
        <f>IFERROR(AC260/AC444, "NA")</f>
        <v>2.166570639540589</v>
      </c>
    </row>
    <row r="261" spans="1:30" ht="16.5" hidden="1" customHeight="1" x14ac:dyDescent="0.45">
      <c r="A261" s="12" t="s">
        <v>238</v>
      </c>
      <c r="B261" s="7">
        <v>0</v>
      </c>
      <c r="C261" s="8">
        <f>IFERROR(B261/B444, "NA")</f>
        <v>0</v>
      </c>
      <c r="D261" s="9"/>
      <c r="E261" s="7">
        <v>0</v>
      </c>
      <c r="F261" s="8">
        <f>IFERROR(E261/E444, "NA")</f>
        <v>0</v>
      </c>
      <c r="G261" s="9"/>
      <c r="H261" s="10">
        <f t="shared" si="64"/>
        <v>0</v>
      </c>
      <c r="I261" s="8">
        <f>IFERROR(H261/H444, "NA")</f>
        <v>0</v>
      </c>
      <c r="J261" s="9"/>
      <c r="K261" s="7">
        <v>0</v>
      </c>
      <c r="L261" s="8">
        <f>IFERROR(K261/K444, "NA")</f>
        <v>0</v>
      </c>
      <c r="M261" s="9"/>
      <c r="N261" s="10">
        <f t="shared" si="65"/>
        <v>0</v>
      </c>
      <c r="O261" s="8">
        <f>IFERROR(N261/N444, "NA")</f>
        <v>0</v>
      </c>
      <c r="P261" s="9"/>
      <c r="Q261" s="7">
        <v>0</v>
      </c>
      <c r="R261" s="8">
        <f>IFERROR(Q261/Q444, "NA")</f>
        <v>0</v>
      </c>
      <c r="S261" s="9"/>
      <c r="T261" s="7">
        <v>0</v>
      </c>
      <c r="U261" s="8">
        <f>IFERROR(T261/T444, "NA")</f>
        <v>0</v>
      </c>
      <c r="V261" s="9"/>
      <c r="W261" s="10">
        <f t="shared" si="66"/>
        <v>0</v>
      </c>
      <c r="X261" s="8">
        <f>IFERROR(W261/W444, "NA")</f>
        <v>0</v>
      </c>
      <c r="Y261" s="9"/>
      <c r="Z261" s="7">
        <v>0</v>
      </c>
      <c r="AA261" s="8">
        <f>IFERROR(Z261/Z444, "NA")</f>
        <v>0</v>
      </c>
      <c r="AB261" s="9"/>
      <c r="AC261" s="10">
        <f t="shared" si="67"/>
        <v>0</v>
      </c>
      <c r="AD261" s="8">
        <f>IFERROR(AC261/AC444, "NA")</f>
        <v>0</v>
      </c>
    </row>
    <row r="262" spans="1:30" ht="16.5" customHeight="1" x14ac:dyDescent="0.45">
      <c r="A262" s="13" t="s">
        <v>239</v>
      </c>
      <c r="B262" s="14">
        <f>IFERROR(B240+B241+B242+B243+B244+B245+B246+B247+B248+B249+B250+B251+B252+B253+B254+B255+B256+B257+B258+B259+B260+B261, "NA")</f>
        <v>34540.200000000004</v>
      </c>
      <c r="C262" s="15">
        <f>IFERROR(B262/B444, "NA")</f>
        <v>7.9393249682049596E-2</v>
      </c>
      <c r="D262" s="2"/>
      <c r="E262" s="14">
        <f>IFERROR(E240+E241+E242+E243+E244+E245+E246+E247+E248+E249+E250+E251+E252+E253+E254+E255+E256+E257+E258+E259+E260+E261, "NA")</f>
        <v>29991.739999999998</v>
      </c>
      <c r="F262" s="15">
        <f>IFERROR(E262/E444, "NA")</f>
        <v>6.6840187007948595E-2</v>
      </c>
      <c r="G262" s="2"/>
      <c r="H262" s="14">
        <f t="shared" si="64"/>
        <v>-4548.4600000000064</v>
      </c>
      <c r="I262" s="15">
        <f>IFERROR(H262/H444, "NA")</f>
        <v>0.33307166760641727</v>
      </c>
      <c r="J262" s="2"/>
      <c r="K262" s="14">
        <f>IFERROR(K240+K241+K242+K243+K244+K245+K246+K247+K248+K249+K250+K251+K252+K253+K254+K255+K256+K257+K258+K259+K260+K261, "NA")</f>
        <v>32992.400000000001</v>
      </c>
      <c r="L262" s="15">
        <f>IFERROR(K262/K444, "NA")</f>
        <v>7.5747878978342675E-2</v>
      </c>
      <c r="M262" s="2"/>
      <c r="N262" s="14">
        <f t="shared" si="65"/>
        <v>-1547.8000000000029</v>
      </c>
      <c r="O262" s="15">
        <f>IFERROR(N262/N444, "NA")</f>
        <v>3.0751197027793946</v>
      </c>
      <c r="P262" s="2"/>
      <c r="Q262" s="14">
        <f>IFERROR(Q240+Q241+Q242+Q243+Q244+Q245+Q246+Q247+Q248+Q249+Q250+Q251+Q252+Q253+Q254+Q255+Q256+Q257+Q258+Q259+Q260+Q261, "NA")</f>
        <v>34540.200000000004</v>
      </c>
      <c r="R262" s="15">
        <f>IFERROR(Q262/Q444, "NA")</f>
        <v>7.9393249682049596E-2</v>
      </c>
      <c r="S262" s="2"/>
      <c r="T262" s="14">
        <f>IFERROR(T240+T241+T242+T243+T244+T245+T246+T247+T248+T249+T250+T251+T252+T253+T254+T255+T256+T257+T258+T259+T260+T261, "NA")</f>
        <v>29991.739999999998</v>
      </c>
      <c r="U262" s="15">
        <f>IFERROR(T262/T444, "NA")</f>
        <v>6.6840187007948595E-2</v>
      </c>
      <c r="V262" s="2"/>
      <c r="W262" s="14">
        <f t="shared" si="66"/>
        <v>-4548.4600000000064</v>
      </c>
      <c r="X262" s="15">
        <f>IFERROR(W262/W444, "NA")</f>
        <v>0.33307166760641727</v>
      </c>
      <c r="Y262" s="2"/>
      <c r="Z262" s="14">
        <f>IFERROR(Z240+Z241+Z242+Z243+Z244+Z245+Z246+Z247+Z248+Z249+Z250+Z251+Z252+Z253+Z254+Z255+Z256+Z257+Z258+Z259+Z260+Z261, "NA")</f>
        <v>32992.400000000001</v>
      </c>
      <c r="AA262" s="15">
        <f>IFERROR(Z262/Z444, "NA")</f>
        <v>7.5747878978342675E-2</v>
      </c>
      <c r="AB262" s="2"/>
      <c r="AC262" s="14">
        <f t="shared" si="67"/>
        <v>-1547.8000000000029</v>
      </c>
      <c r="AD262" s="15">
        <f>IFERROR(AC262/AC444, "NA")</f>
        <v>3.0751197027793946</v>
      </c>
    </row>
    <row r="263" spans="1:30" ht="16.5" customHeight="1" x14ac:dyDescent="0.45">
      <c r="A263" s="19" t="s">
        <v>240</v>
      </c>
      <c r="B263" s="14">
        <f>IFERROR(B238+B240+B241+B242+B243+B244+B245+B246+B247+B248+B249+B250+B251+B252+B253+B254+B255+B256+B257+B258+B259+B260+B261, "NA")</f>
        <v>34540.200000000004</v>
      </c>
      <c r="C263" s="15">
        <f>IFERROR(B263/B444, "NA")</f>
        <v>7.9393249682049596E-2</v>
      </c>
      <c r="D263" s="2"/>
      <c r="E263" s="14">
        <f>IFERROR(E238+E240+E241+E242+E243+E244+E245+E246+E247+E248+E249+E250+E251+E252+E253+E254+E255+E256+E257+E258+E259+E260+E261, "NA")</f>
        <v>29991.739999999998</v>
      </c>
      <c r="F263" s="15">
        <f>IFERROR(E263/E444, "NA")</f>
        <v>6.6840187007948595E-2</v>
      </c>
      <c r="G263" s="2"/>
      <c r="H263" s="14">
        <f t="shared" si="64"/>
        <v>-4548.4600000000064</v>
      </c>
      <c r="I263" s="15">
        <f>IFERROR(H263/H444, "NA")</f>
        <v>0.33307166760641727</v>
      </c>
      <c r="J263" s="2"/>
      <c r="K263" s="14">
        <f>IFERROR(K238+K240+K241+K242+K243+K244+K245+K246+K247+K248+K249+K250+K251+K252+K253+K254+K255+K256+K257+K258+K259+K260+K261, "NA")</f>
        <v>32992.400000000001</v>
      </c>
      <c r="L263" s="15">
        <f>IFERROR(K263/K444, "NA")</f>
        <v>7.5747878978342675E-2</v>
      </c>
      <c r="M263" s="2"/>
      <c r="N263" s="14">
        <f t="shared" si="65"/>
        <v>-1547.8000000000029</v>
      </c>
      <c r="O263" s="15">
        <f>IFERROR(N263/N444, "NA")</f>
        <v>3.0751197027793946</v>
      </c>
      <c r="P263" s="2"/>
      <c r="Q263" s="14">
        <f>IFERROR(Q238+Q240+Q241+Q242+Q243+Q244+Q245+Q246+Q247+Q248+Q249+Q250+Q251+Q252+Q253+Q254+Q255+Q256+Q257+Q258+Q259+Q260+Q261, "NA")</f>
        <v>34540.200000000004</v>
      </c>
      <c r="R263" s="15">
        <f>IFERROR(Q263/Q444, "NA")</f>
        <v>7.9393249682049596E-2</v>
      </c>
      <c r="S263" s="2"/>
      <c r="T263" s="14">
        <f>IFERROR(T238+T240+T241+T242+T243+T244+T245+T246+T247+T248+T249+T250+T251+T252+T253+T254+T255+T256+T257+T258+T259+T260+T261, "NA")</f>
        <v>29991.739999999998</v>
      </c>
      <c r="U263" s="15">
        <f>IFERROR(T263/T444, "NA")</f>
        <v>6.6840187007948595E-2</v>
      </c>
      <c r="V263" s="2"/>
      <c r="W263" s="14">
        <f t="shared" si="66"/>
        <v>-4548.4600000000064</v>
      </c>
      <c r="X263" s="15">
        <f>IFERROR(W263/W444, "NA")</f>
        <v>0.33307166760641727</v>
      </c>
      <c r="Y263" s="2"/>
      <c r="Z263" s="14">
        <f>IFERROR(Z238+Z240+Z241+Z242+Z243+Z244+Z245+Z246+Z247+Z248+Z249+Z250+Z251+Z252+Z253+Z254+Z255+Z256+Z257+Z258+Z259+Z260+Z261, "NA")</f>
        <v>32992.400000000001</v>
      </c>
      <c r="AA263" s="15">
        <f>IFERROR(Z263/Z444, "NA")</f>
        <v>7.5747878978342675E-2</v>
      </c>
      <c r="AB263" s="2"/>
      <c r="AC263" s="14">
        <f t="shared" si="67"/>
        <v>-1547.8000000000029</v>
      </c>
      <c r="AD263" s="15">
        <f>IFERROR(AC263/AC444, "NA")</f>
        <v>3.0751197027793946</v>
      </c>
    </row>
    <row r="264" spans="1:30" ht="16.5" customHeight="1" x14ac:dyDescent="0.45">
      <c r="A264" s="5" t="s">
        <v>241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  <c r="Y264" s="4"/>
      <c r="Z264" s="2"/>
      <c r="AA264" s="3"/>
      <c r="AB264" s="4"/>
      <c r="AC264" s="2"/>
      <c r="AD264" s="3"/>
    </row>
    <row r="265" spans="1:30" ht="16.5" customHeight="1" x14ac:dyDescent="0.45">
      <c r="A265" s="6" t="s">
        <v>241</v>
      </c>
      <c r="B265" s="7">
        <v>11223.220000000001</v>
      </c>
      <c r="C265" s="8">
        <f>IFERROR(B265/B444, "NA")</f>
        <v>2.579741598764838E-2</v>
      </c>
      <c r="D265" s="9"/>
      <c r="E265" s="7">
        <v>11635.34</v>
      </c>
      <c r="F265" s="8">
        <f>IFERROR(E265/E444, "NA")</f>
        <v>2.5930749649772392E-2</v>
      </c>
      <c r="G265" s="9"/>
      <c r="H265" s="10">
        <f>IFERROR(-(B265-E265), "NA")</f>
        <v>412.11999999999898</v>
      </c>
      <c r="I265" s="8">
        <f>IFERROR(H265/H444, "NA")</f>
        <v>-3.0178455049391695E-2</v>
      </c>
      <c r="J265" s="9"/>
      <c r="K265" s="7">
        <v>10578.02</v>
      </c>
      <c r="L265" s="8">
        <f>IFERROR(K265/K444, "NA")</f>
        <v>2.4286277409054459E-2</v>
      </c>
      <c r="M265" s="9"/>
      <c r="N265" s="10">
        <f>IFERROR(-(B265-K265), "NA")</f>
        <v>-645.20000000000073</v>
      </c>
      <c r="O265" s="8">
        <f>IFERROR(N265/N444, "NA")</f>
        <v>1.2818627937932963</v>
      </c>
      <c r="P265" s="9"/>
      <c r="Q265" s="7">
        <v>11223.220000000001</v>
      </c>
      <c r="R265" s="8">
        <f>IFERROR(Q265/Q444, "NA")</f>
        <v>2.579741598764838E-2</v>
      </c>
      <c r="S265" s="9"/>
      <c r="T265" s="7">
        <v>11635.34</v>
      </c>
      <c r="U265" s="8">
        <f>IFERROR(T265/T444, "NA")</f>
        <v>2.5930749649772392E-2</v>
      </c>
      <c r="V265" s="9"/>
      <c r="W265" s="10">
        <f>IFERROR(-(Q265-T265), "NA")</f>
        <v>412.11999999999898</v>
      </c>
      <c r="X265" s="8">
        <f>IFERROR(W265/W444, "NA")</f>
        <v>-3.0178455049391695E-2</v>
      </c>
      <c r="Y265" s="9"/>
      <c r="Z265" s="7">
        <v>10578.02</v>
      </c>
      <c r="AA265" s="8">
        <f>IFERROR(Z265/Z444, "NA")</f>
        <v>2.4286277409054459E-2</v>
      </c>
      <c r="AB265" s="9"/>
      <c r="AC265" s="10">
        <f>IFERROR(-(Q265-Z265), "NA")</f>
        <v>-645.20000000000073</v>
      </c>
      <c r="AD265" s="8">
        <f>IFERROR(AC265/AC444, "NA")</f>
        <v>1.2818627937932963</v>
      </c>
    </row>
    <row r="266" spans="1:30" ht="16.5" hidden="1" customHeight="1" x14ac:dyDescent="0.45">
      <c r="A266" s="6" t="s">
        <v>242</v>
      </c>
      <c r="B266" s="7">
        <v>0</v>
      </c>
      <c r="C266" s="8">
        <f>IFERROR(B266/B444, "NA")</f>
        <v>0</v>
      </c>
      <c r="D266" s="9"/>
      <c r="E266" s="7">
        <v>0</v>
      </c>
      <c r="F266" s="8">
        <f>IFERROR(E266/E444, "NA")</f>
        <v>0</v>
      </c>
      <c r="G266" s="9"/>
      <c r="H266" s="10">
        <f>IFERROR(-(B266-E266), "NA")</f>
        <v>0</v>
      </c>
      <c r="I266" s="8">
        <f>IFERROR(H266/H444, "NA")</f>
        <v>0</v>
      </c>
      <c r="J266" s="9"/>
      <c r="K266" s="7">
        <v>0</v>
      </c>
      <c r="L266" s="8">
        <f>IFERROR(K266/K444, "NA")</f>
        <v>0</v>
      </c>
      <c r="M266" s="9"/>
      <c r="N266" s="10">
        <f>IFERROR(-(B266-K266), "NA")</f>
        <v>0</v>
      </c>
      <c r="O266" s="8">
        <f>IFERROR(N266/N444, "NA")</f>
        <v>0</v>
      </c>
      <c r="P266" s="9"/>
      <c r="Q266" s="7">
        <v>0</v>
      </c>
      <c r="R266" s="8">
        <f>IFERROR(Q266/Q444, "NA")</f>
        <v>0</v>
      </c>
      <c r="S266" s="9"/>
      <c r="T266" s="7">
        <v>0</v>
      </c>
      <c r="U266" s="8">
        <f>IFERROR(T266/T444, "NA")</f>
        <v>0</v>
      </c>
      <c r="V266" s="9"/>
      <c r="W266" s="10">
        <f>IFERROR(-(Q266-T266), "NA")</f>
        <v>0</v>
      </c>
      <c r="X266" s="8">
        <f>IFERROR(W266/W444, "NA")</f>
        <v>0</v>
      </c>
      <c r="Y266" s="9"/>
      <c r="Z266" s="7">
        <v>0</v>
      </c>
      <c r="AA266" s="8">
        <f>IFERROR(Z266/Z444, "NA")</f>
        <v>0</v>
      </c>
      <c r="AB266" s="9"/>
      <c r="AC266" s="10">
        <f>IFERROR(-(Q266-Z266), "NA")</f>
        <v>0</v>
      </c>
      <c r="AD266" s="8">
        <f>IFERROR(AC266/AC444, "NA")</f>
        <v>0</v>
      </c>
    </row>
    <row r="267" spans="1:30" ht="16.5" customHeight="1" x14ac:dyDescent="0.45">
      <c r="A267" s="19" t="s">
        <v>243</v>
      </c>
      <c r="B267" s="14">
        <f>IFERROR(B265+B266, "NA")</f>
        <v>11223.220000000001</v>
      </c>
      <c r="C267" s="15">
        <f>IFERROR(B267/B444, "NA")</f>
        <v>2.579741598764838E-2</v>
      </c>
      <c r="D267" s="2"/>
      <c r="E267" s="14">
        <f>IFERROR(E265+E266, "NA")</f>
        <v>11635.34</v>
      </c>
      <c r="F267" s="15">
        <f>IFERROR(E267/E444, "NA")</f>
        <v>2.5930749649772392E-2</v>
      </c>
      <c r="G267" s="2"/>
      <c r="H267" s="14">
        <f>IFERROR(-(B267-E267), "NA")</f>
        <v>412.11999999999898</v>
      </c>
      <c r="I267" s="15">
        <f>IFERROR(H267/H444, "NA")</f>
        <v>-3.0178455049391695E-2</v>
      </c>
      <c r="J267" s="2"/>
      <c r="K267" s="14">
        <f>IFERROR(K265+K266, "NA")</f>
        <v>10578.02</v>
      </c>
      <c r="L267" s="15">
        <f>IFERROR(K267/K444, "NA")</f>
        <v>2.4286277409054459E-2</v>
      </c>
      <c r="M267" s="2"/>
      <c r="N267" s="14">
        <f>IFERROR(-(B267-K267), "NA")</f>
        <v>-645.20000000000073</v>
      </c>
      <c r="O267" s="15">
        <f>IFERROR(N267/N444, "NA")</f>
        <v>1.2818627937932963</v>
      </c>
      <c r="P267" s="2"/>
      <c r="Q267" s="14">
        <f>IFERROR(Q265+Q266, "NA")</f>
        <v>11223.220000000001</v>
      </c>
      <c r="R267" s="15">
        <f>IFERROR(Q267/Q444, "NA")</f>
        <v>2.579741598764838E-2</v>
      </c>
      <c r="S267" s="2"/>
      <c r="T267" s="14">
        <f>IFERROR(T265+T266, "NA")</f>
        <v>11635.34</v>
      </c>
      <c r="U267" s="15">
        <f>IFERROR(T267/T444, "NA")</f>
        <v>2.5930749649772392E-2</v>
      </c>
      <c r="V267" s="2"/>
      <c r="W267" s="14">
        <f>IFERROR(-(Q267-T267), "NA")</f>
        <v>412.11999999999898</v>
      </c>
      <c r="X267" s="15">
        <f>IFERROR(W267/W444, "NA")</f>
        <v>-3.0178455049391695E-2</v>
      </c>
      <c r="Y267" s="2"/>
      <c r="Z267" s="14">
        <f>IFERROR(Z265+Z266, "NA")</f>
        <v>10578.02</v>
      </c>
      <c r="AA267" s="15">
        <f>IFERROR(Z267/Z444, "NA")</f>
        <v>2.4286277409054459E-2</v>
      </c>
      <c r="AB267" s="2"/>
      <c r="AC267" s="14">
        <f>IFERROR(-(Q267-Z267), "NA")</f>
        <v>-645.20000000000073</v>
      </c>
      <c r="AD267" s="15">
        <f>IFERROR(AC267/AC444, "NA")</f>
        <v>1.2818627937932963</v>
      </c>
    </row>
    <row r="268" spans="1:30" ht="16.5" customHeight="1" x14ac:dyDescent="0.45">
      <c r="A268" s="5" t="s">
        <v>244</v>
      </c>
      <c r="B268" s="2"/>
      <c r="C268" s="3"/>
      <c r="D268" s="4"/>
      <c r="E268" s="2"/>
      <c r="F268" s="3"/>
      <c r="G268" s="4"/>
      <c r="H268" s="2"/>
      <c r="I268" s="3"/>
      <c r="J268" s="4"/>
      <c r="K268" s="2"/>
      <c r="L268" s="3"/>
      <c r="M268" s="4"/>
      <c r="N268" s="2"/>
      <c r="O268" s="3"/>
      <c r="P268" s="4"/>
      <c r="Q268" s="2"/>
      <c r="R268" s="3"/>
      <c r="S268" s="4"/>
      <c r="T268" s="2"/>
      <c r="U268" s="3"/>
      <c r="V268" s="4"/>
      <c r="W268" s="2"/>
      <c r="X268" s="3"/>
      <c r="Y268" s="4"/>
      <c r="Z268" s="2"/>
      <c r="AA268" s="3"/>
      <c r="AB268" s="4"/>
      <c r="AC268" s="2"/>
      <c r="AD268" s="3"/>
    </row>
    <row r="269" spans="1:30" ht="16.5" hidden="1" customHeight="1" x14ac:dyDescent="0.45">
      <c r="A269" s="6" t="s">
        <v>244</v>
      </c>
      <c r="B269" s="7">
        <v>0</v>
      </c>
      <c r="C269" s="8">
        <f>IFERROR(B269/B444, "NA")</f>
        <v>0</v>
      </c>
      <c r="D269" s="9"/>
      <c r="E269" s="7">
        <v>0</v>
      </c>
      <c r="F269" s="8">
        <f>IFERROR(E269/E444, "NA")</f>
        <v>0</v>
      </c>
      <c r="G269" s="9"/>
      <c r="H269" s="10">
        <f>IFERROR(-(B269-E269), "NA")</f>
        <v>0</v>
      </c>
      <c r="I269" s="8">
        <f>IFERROR(H269/H444, "NA")</f>
        <v>0</v>
      </c>
      <c r="J269" s="9"/>
      <c r="K269" s="7">
        <v>0</v>
      </c>
      <c r="L269" s="8">
        <f>IFERROR(K269/K444, "NA")</f>
        <v>0</v>
      </c>
      <c r="M269" s="9"/>
      <c r="N269" s="10">
        <f>IFERROR(-(B269-K269), "NA")</f>
        <v>0</v>
      </c>
      <c r="O269" s="8">
        <f>IFERROR(N269/N444, "NA")</f>
        <v>0</v>
      </c>
      <c r="P269" s="9"/>
      <c r="Q269" s="7">
        <v>0</v>
      </c>
      <c r="R269" s="8">
        <f>IFERROR(Q269/Q444, "NA")</f>
        <v>0</v>
      </c>
      <c r="S269" s="9"/>
      <c r="T269" s="7">
        <v>0</v>
      </c>
      <c r="U269" s="8">
        <f>IFERROR(T269/T444, "NA")</f>
        <v>0</v>
      </c>
      <c r="V269" s="9"/>
      <c r="W269" s="10">
        <f>IFERROR(-(Q269-T269), "NA")</f>
        <v>0</v>
      </c>
      <c r="X269" s="8">
        <f>IFERROR(W269/W444, "NA")</f>
        <v>0</v>
      </c>
      <c r="Y269" s="9"/>
      <c r="Z269" s="7">
        <v>0</v>
      </c>
      <c r="AA269" s="8">
        <f>IFERROR(Z269/Z444, "NA")</f>
        <v>0</v>
      </c>
      <c r="AB269" s="9"/>
      <c r="AC269" s="10">
        <f>IFERROR(-(Q269-Z269), "NA")</f>
        <v>0</v>
      </c>
      <c r="AD269" s="8">
        <f>IFERROR(AC269/AC444, "NA")</f>
        <v>0</v>
      </c>
    </row>
    <row r="270" spans="1:30" ht="16.5" customHeight="1" x14ac:dyDescent="0.45">
      <c r="A270" s="6" t="s">
        <v>245</v>
      </c>
      <c r="B270" s="7">
        <v>1104.02</v>
      </c>
      <c r="C270" s="8">
        <f>IFERROR(B270/B444, "NA")</f>
        <v>2.5376730740984815E-3</v>
      </c>
      <c r="D270" s="9"/>
      <c r="E270" s="7">
        <v>1139.06</v>
      </c>
      <c r="F270" s="8">
        <f>IFERROR(E270/E444, "NA")</f>
        <v>2.538531722843487E-3</v>
      </c>
      <c r="G270" s="9"/>
      <c r="H270" s="10">
        <f>IFERROR(-(B270-E270), "NA")</f>
        <v>35.039999999999964</v>
      </c>
      <c r="I270" s="8">
        <f>IFERROR(H270/H444, "NA")</f>
        <v>-2.5658863072180104E-3</v>
      </c>
      <c r="J270" s="9"/>
      <c r="K270" s="7">
        <v>1207.1199999999999</v>
      </c>
      <c r="L270" s="8">
        <f>IFERROR(K270/K444, "NA")</f>
        <v>2.7714497785046553E-3</v>
      </c>
      <c r="M270" s="9"/>
      <c r="N270" s="10">
        <f>IFERROR(-(B270-K270), "NA")</f>
        <v>103.09999999999991</v>
      </c>
      <c r="O270" s="8">
        <f>IFERROR(N270/N444, "NA")</f>
        <v>-0.20483579361452042</v>
      </c>
      <c r="P270" s="9"/>
      <c r="Q270" s="7">
        <v>1104.02</v>
      </c>
      <c r="R270" s="8">
        <f>IFERROR(Q270/Q444, "NA")</f>
        <v>2.5376730740984815E-3</v>
      </c>
      <c r="S270" s="9"/>
      <c r="T270" s="7">
        <v>1139.06</v>
      </c>
      <c r="U270" s="8">
        <f>IFERROR(T270/T444, "NA")</f>
        <v>2.538531722843487E-3</v>
      </c>
      <c r="V270" s="9"/>
      <c r="W270" s="10">
        <f>IFERROR(-(Q270-T270), "NA")</f>
        <v>35.039999999999964</v>
      </c>
      <c r="X270" s="8">
        <f>IFERROR(W270/W444, "NA")</f>
        <v>-2.5658863072180104E-3</v>
      </c>
      <c r="Y270" s="9"/>
      <c r="Z270" s="7">
        <v>1207.1199999999999</v>
      </c>
      <c r="AA270" s="8">
        <f>IFERROR(Z270/Z444, "NA")</f>
        <v>2.7714497785046553E-3</v>
      </c>
      <c r="AB270" s="9"/>
      <c r="AC270" s="10">
        <f>IFERROR(-(Q270-Z270), "NA")</f>
        <v>103.09999999999991</v>
      </c>
      <c r="AD270" s="8">
        <f>IFERROR(AC270/AC444, "NA")</f>
        <v>-0.20483579361452042</v>
      </c>
    </row>
    <row r="271" spans="1:30" ht="16.5" customHeight="1" x14ac:dyDescent="0.45">
      <c r="A271" s="6" t="s">
        <v>246</v>
      </c>
      <c r="B271" s="7">
        <v>5084.82</v>
      </c>
      <c r="C271" s="8">
        <f>IFERROR(B271/B444, "NA")</f>
        <v>1.1687841525187443E-2</v>
      </c>
      <c r="D271" s="9"/>
      <c r="E271" s="7">
        <v>5130.2199999999993</v>
      </c>
      <c r="F271" s="8">
        <f>IFERROR(E271/E444, "NA")</f>
        <v>1.1433310111114526E-2</v>
      </c>
      <c r="G271" s="9"/>
      <c r="H271" s="10">
        <f>IFERROR(-(B271-E271), "NA")</f>
        <v>45.399999999999636</v>
      </c>
      <c r="I271" s="8">
        <f>IFERROR(H271/H444, "NA")</f>
        <v>-3.324521642342947E-3</v>
      </c>
      <c r="J271" s="9"/>
      <c r="K271" s="7">
        <v>4608.8599999999997</v>
      </c>
      <c r="L271" s="8">
        <f>IFERROR(K271/K444, "NA")</f>
        <v>1.0581569376829948E-2</v>
      </c>
      <c r="M271" s="9"/>
      <c r="N271" s="10">
        <f>IFERROR(-(B271-K271), "NA")</f>
        <v>-475.96000000000004</v>
      </c>
      <c r="O271" s="8">
        <f>IFERROR(N271/N444, "NA")</f>
        <v>0.94562215643809155</v>
      </c>
      <c r="P271" s="9"/>
      <c r="Q271" s="7">
        <v>5084.82</v>
      </c>
      <c r="R271" s="8">
        <f>IFERROR(Q271/Q444, "NA")</f>
        <v>1.1687841525187443E-2</v>
      </c>
      <c r="S271" s="9"/>
      <c r="T271" s="7">
        <v>5130.2199999999993</v>
      </c>
      <c r="U271" s="8">
        <f>IFERROR(T271/T444, "NA")</f>
        <v>1.1433310111114526E-2</v>
      </c>
      <c r="V271" s="9"/>
      <c r="W271" s="10">
        <f>IFERROR(-(Q271-T271), "NA")</f>
        <v>45.399999999999636</v>
      </c>
      <c r="X271" s="8">
        <f>IFERROR(W271/W444, "NA")</f>
        <v>-3.324521642342947E-3</v>
      </c>
      <c r="Y271" s="9"/>
      <c r="Z271" s="7">
        <v>4608.8599999999997</v>
      </c>
      <c r="AA271" s="8">
        <f>IFERROR(Z271/Z444, "NA")</f>
        <v>1.0581569376829948E-2</v>
      </c>
      <c r="AB271" s="9"/>
      <c r="AC271" s="10">
        <f>IFERROR(-(Q271-Z271), "NA")</f>
        <v>-475.96000000000004</v>
      </c>
      <c r="AD271" s="8">
        <f>IFERROR(AC271/AC444, "NA")</f>
        <v>0.94562215643809155</v>
      </c>
    </row>
    <row r="272" spans="1:30" ht="16.5" customHeight="1" x14ac:dyDescent="0.45">
      <c r="A272" s="6" t="s">
        <v>247</v>
      </c>
      <c r="B272" s="7">
        <v>199.27</v>
      </c>
      <c r="C272" s="8">
        <f>IFERROR(B272/B444, "NA")</f>
        <v>4.5803709486748833E-4</v>
      </c>
      <c r="D272" s="9"/>
      <c r="E272" s="7">
        <v>0</v>
      </c>
      <c r="F272" s="8">
        <f>IFERROR(E272/E444, "NA")</f>
        <v>0</v>
      </c>
      <c r="G272" s="9"/>
      <c r="H272" s="10">
        <f>IFERROR(-(B272-E272), "NA")</f>
        <v>-199.27</v>
      </c>
      <c r="I272" s="8">
        <f>IFERROR(H272/H444, "NA")</f>
        <v>1.4592013825323446E-2</v>
      </c>
      <c r="J272" s="9"/>
      <c r="K272" s="7">
        <v>0</v>
      </c>
      <c r="L272" s="8">
        <f>IFERROR(K272/K444, "NA")</f>
        <v>0</v>
      </c>
      <c r="M272" s="9"/>
      <c r="N272" s="10">
        <f>IFERROR(-(B272-K272), "NA")</f>
        <v>-199.27</v>
      </c>
      <c r="O272" s="8">
        <f>IFERROR(N272/N444, "NA")</f>
        <v>0.39590328412769665</v>
      </c>
      <c r="P272" s="9"/>
      <c r="Q272" s="7">
        <v>199.27</v>
      </c>
      <c r="R272" s="8">
        <f>IFERROR(Q272/Q444, "NA")</f>
        <v>4.5803709486748833E-4</v>
      </c>
      <c r="S272" s="9"/>
      <c r="T272" s="7">
        <v>0</v>
      </c>
      <c r="U272" s="8">
        <f>IFERROR(T272/T444, "NA")</f>
        <v>0</v>
      </c>
      <c r="V272" s="9"/>
      <c r="W272" s="10">
        <f>IFERROR(-(Q272-T272), "NA")</f>
        <v>-199.27</v>
      </c>
      <c r="X272" s="8">
        <f>IFERROR(W272/W444, "NA")</f>
        <v>1.4592013825323446E-2</v>
      </c>
      <c r="Y272" s="9"/>
      <c r="Z272" s="7">
        <v>0</v>
      </c>
      <c r="AA272" s="8">
        <f>IFERROR(Z272/Z444, "NA")</f>
        <v>0</v>
      </c>
      <c r="AB272" s="9"/>
      <c r="AC272" s="10">
        <f>IFERROR(-(Q272-Z272), "NA")</f>
        <v>-199.27</v>
      </c>
      <c r="AD272" s="8">
        <f>IFERROR(AC272/AC444, "NA")</f>
        <v>0.39590328412769665</v>
      </c>
    </row>
    <row r="273" spans="1:30" ht="16.5" customHeight="1" x14ac:dyDescent="0.45">
      <c r="A273" s="19" t="s">
        <v>248</v>
      </c>
      <c r="B273" s="14">
        <f>IFERROR(B269+B270+B271+B272, "NA")</f>
        <v>6388.1100000000006</v>
      </c>
      <c r="C273" s="15">
        <f>IFERROR(B273/B444, "NA")</f>
        <v>1.4683551694153415E-2</v>
      </c>
      <c r="D273" s="2"/>
      <c r="E273" s="14">
        <f>IFERROR(E269+E270+E271+E272, "NA")</f>
        <v>6269.2799999999988</v>
      </c>
      <c r="F273" s="15">
        <f>IFERROR(E273/E444, "NA")</f>
        <v>1.3971841833958012E-2</v>
      </c>
      <c r="G273" s="2"/>
      <c r="H273" s="14">
        <f>IFERROR(-(B273-E273), "NA")</f>
        <v>-118.83000000000175</v>
      </c>
      <c r="I273" s="15">
        <f>IFERROR(H273/H444, "NA")</f>
        <v>8.7016058757625851E-3</v>
      </c>
      <c r="J273" s="2"/>
      <c r="K273" s="14">
        <f>IFERROR(K269+K270+K271+K272, "NA")</f>
        <v>5815.98</v>
      </c>
      <c r="L273" s="15">
        <f>IFERROR(K273/K444, "NA")</f>
        <v>1.3353019155334604E-2</v>
      </c>
      <c r="M273" s="2"/>
      <c r="N273" s="14">
        <f>IFERROR(-(B273-K273), "NA")</f>
        <v>-572.13000000000102</v>
      </c>
      <c r="O273" s="15">
        <f>IFERROR(N273/N444, "NA")</f>
        <v>1.1366896469512695</v>
      </c>
      <c r="P273" s="2"/>
      <c r="Q273" s="14">
        <f>IFERROR(Q269+Q270+Q271+Q272, "NA")</f>
        <v>6388.1100000000006</v>
      </c>
      <c r="R273" s="15">
        <f>IFERROR(Q273/Q444, "NA")</f>
        <v>1.4683551694153415E-2</v>
      </c>
      <c r="S273" s="2"/>
      <c r="T273" s="14">
        <f>IFERROR(T269+T270+T271+T272, "NA")</f>
        <v>6269.2799999999988</v>
      </c>
      <c r="U273" s="15">
        <f>IFERROR(T273/T444, "NA")</f>
        <v>1.3971841833958012E-2</v>
      </c>
      <c r="V273" s="2"/>
      <c r="W273" s="14">
        <f>IFERROR(-(Q273-T273), "NA")</f>
        <v>-118.83000000000175</v>
      </c>
      <c r="X273" s="15">
        <f>IFERROR(W273/W444, "NA")</f>
        <v>8.7016058757625851E-3</v>
      </c>
      <c r="Y273" s="2"/>
      <c r="Z273" s="14">
        <f>IFERROR(Z269+Z270+Z271+Z272, "NA")</f>
        <v>5815.98</v>
      </c>
      <c r="AA273" s="15">
        <f>IFERROR(Z273/Z444, "NA")</f>
        <v>1.3353019155334604E-2</v>
      </c>
      <c r="AB273" s="2"/>
      <c r="AC273" s="14">
        <f>IFERROR(-(Q273-Z273), "NA")</f>
        <v>-572.13000000000102</v>
      </c>
      <c r="AD273" s="15">
        <f>IFERROR(AC273/AC444, "NA")</f>
        <v>1.1366896469512695</v>
      </c>
    </row>
    <row r="274" spans="1:30" ht="16.5" customHeight="1" x14ac:dyDescent="0.45">
      <c r="A274" s="5" t="s">
        <v>249</v>
      </c>
      <c r="B274" s="2"/>
      <c r="C274" s="3"/>
      <c r="D274" s="4"/>
      <c r="E274" s="2"/>
      <c r="F274" s="3"/>
      <c r="G274" s="4"/>
      <c r="H274" s="2"/>
      <c r="I274" s="3"/>
      <c r="J274" s="4"/>
      <c r="K274" s="2"/>
      <c r="L274" s="3"/>
      <c r="M274" s="4"/>
      <c r="N274" s="2"/>
      <c r="O274" s="3"/>
      <c r="P274" s="4"/>
      <c r="Q274" s="2"/>
      <c r="R274" s="3"/>
      <c r="S274" s="4"/>
      <c r="T274" s="2"/>
      <c r="U274" s="3"/>
      <c r="V274" s="4"/>
      <c r="W274" s="2"/>
      <c r="X274" s="3"/>
      <c r="Y274" s="4"/>
      <c r="Z274" s="2"/>
      <c r="AA274" s="3"/>
      <c r="AB274" s="4"/>
      <c r="AC274" s="2"/>
      <c r="AD274" s="3"/>
    </row>
    <row r="275" spans="1:30" ht="16.5" hidden="1" customHeight="1" x14ac:dyDescent="0.45">
      <c r="A275" s="6" t="s">
        <v>249</v>
      </c>
      <c r="B275" s="7">
        <v>0</v>
      </c>
      <c r="C275" s="8">
        <f>IFERROR(B275/B444, "NA")</f>
        <v>0</v>
      </c>
      <c r="D275" s="9"/>
      <c r="E275" s="7">
        <v>0</v>
      </c>
      <c r="F275" s="8">
        <f>IFERROR(E275/E444, "NA")</f>
        <v>0</v>
      </c>
      <c r="G275" s="9"/>
      <c r="H275" s="10">
        <f t="shared" ref="H275:H284" si="68">IFERROR(-(B275-E275), "NA")</f>
        <v>0</v>
      </c>
      <c r="I275" s="8">
        <f>IFERROR(H275/H444, "NA")</f>
        <v>0</v>
      </c>
      <c r="J275" s="9"/>
      <c r="K275" s="7">
        <v>0</v>
      </c>
      <c r="L275" s="8">
        <f>IFERROR(K275/K444, "NA")</f>
        <v>0</v>
      </c>
      <c r="M275" s="9"/>
      <c r="N275" s="10">
        <f t="shared" ref="N275:N284" si="69">IFERROR(-(B275-K275), "NA")</f>
        <v>0</v>
      </c>
      <c r="O275" s="8">
        <f>IFERROR(N275/N444, "NA")</f>
        <v>0</v>
      </c>
      <c r="P275" s="9"/>
      <c r="Q275" s="7">
        <v>0</v>
      </c>
      <c r="R275" s="8">
        <f>IFERROR(Q275/Q444, "NA")</f>
        <v>0</v>
      </c>
      <c r="S275" s="9"/>
      <c r="T275" s="7">
        <v>0</v>
      </c>
      <c r="U275" s="8">
        <f>IFERROR(T275/T444, "NA")</f>
        <v>0</v>
      </c>
      <c r="V275" s="9"/>
      <c r="W275" s="10">
        <f t="shared" ref="W275:W284" si="70">IFERROR(-(Q275-T275), "NA")</f>
        <v>0</v>
      </c>
      <c r="X275" s="8">
        <f>IFERROR(W275/W444, "NA")</f>
        <v>0</v>
      </c>
      <c r="Y275" s="9"/>
      <c r="Z275" s="7">
        <v>0</v>
      </c>
      <c r="AA275" s="8">
        <f>IFERROR(Z275/Z444, "NA")</f>
        <v>0</v>
      </c>
      <c r="AB275" s="9"/>
      <c r="AC275" s="10">
        <f t="shared" ref="AC275:AC284" si="71">IFERROR(-(Q275-Z275), "NA")</f>
        <v>0</v>
      </c>
      <c r="AD275" s="8">
        <f>IFERROR(AC275/AC444, "NA")</f>
        <v>0</v>
      </c>
    </row>
    <row r="276" spans="1:30" ht="16.5" hidden="1" customHeight="1" x14ac:dyDescent="0.45">
      <c r="A276" s="6" t="s">
        <v>250</v>
      </c>
      <c r="B276" s="7">
        <v>0</v>
      </c>
      <c r="C276" s="8">
        <f>IFERROR(B276/B444, "NA")</f>
        <v>0</v>
      </c>
      <c r="D276" s="9"/>
      <c r="E276" s="7">
        <v>0</v>
      </c>
      <c r="F276" s="8">
        <f>IFERROR(E276/E444, "NA")</f>
        <v>0</v>
      </c>
      <c r="G276" s="9"/>
      <c r="H276" s="10">
        <f t="shared" si="68"/>
        <v>0</v>
      </c>
      <c r="I276" s="8">
        <f>IFERROR(H276/H444, "NA")</f>
        <v>0</v>
      </c>
      <c r="J276" s="9"/>
      <c r="K276" s="7">
        <v>0</v>
      </c>
      <c r="L276" s="8">
        <f>IFERROR(K276/K444, "NA")</f>
        <v>0</v>
      </c>
      <c r="M276" s="9"/>
      <c r="N276" s="10">
        <f t="shared" si="69"/>
        <v>0</v>
      </c>
      <c r="O276" s="8">
        <f>IFERROR(N276/N444, "NA")</f>
        <v>0</v>
      </c>
      <c r="P276" s="9"/>
      <c r="Q276" s="7">
        <v>0</v>
      </c>
      <c r="R276" s="8">
        <f>IFERROR(Q276/Q444, "NA")</f>
        <v>0</v>
      </c>
      <c r="S276" s="9"/>
      <c r="T276" s="7">
        <v>0</v>
      </c>
      <c r="U276" s="8">
        <f>IFERROR(T276/T444, "NA")</f>
        <v>0</v>
      </c>
      <c r="V276" s="9"/>
      <c r="W276" s="10">
        <f t="shared" si="70"/>
        <v>0</v>
      </c>
      <c r="X276" s="8">
        <f>IFERROR(W276/W444, "NA")</f>
        <v>0</v>
      </c>
      <c r="Y276" s="9"/>
      <c r="Z276" s="7">
        <v>0</v>
      </c>
      <c r="AA276" s="8">
        <f>IFERROR(Z276/Z444, "NA")</f>
        <v>0</v>
      </c>
      <c r="AB276" s="9"/>
      <c r="AC276" s="10">
        <f t="shared" si="71"/>
        <v>0</v>
      </c>
      <c r="AD276" s="8">
        <f>IFERROR(AC276/AC444, "NA")</f>
        <v>0</v>
      </c>
    </row>
    <row r="277" spans="1:30" ht="16.5" hidden="1" customHeight="1" x14ac:dyDescent="0.45">
      <c r="A277" s="6" t="s">
        <v>251</v>
      </c>
      <c r="B277" s="7">
        <v>0</v>
      </c>
      <c r="C277" s="8">
        <f>IFERROR(B277/B444, "NA")</f>
        <v>0</v>
      </c>
      <c r="D277" s="9"/>
      <c r="E277" s="7">
        <v>0</v>
      </c>
      <c r="F277" s="8">
        <f>IFERROR(E277/E444, "NA")</f>
        <v>0</v>
      </c>
      <c r="G277" s="9"/>
      <c r="H277" s="10">
        <f t="shared" si="68"/>
        <v>0</v>
      </c>
      <c r="I277" s="8">
        <f>IFERROR(H277/H444, "NA")</f>
        <v>0</v>
      </c>
      <c r="J277" s="9"/>
      <c r="K277" s="7">
        <v>0</v>
      </c>
      <c r="L277" s="8">
        <f>IFERROR(K277/K444, "NA")</f>
        <v>0</v>
      </c>
      <c r="M277" s="9"/>
      <c r="N277" s="10">
        <f t="shared" si="69"/>
        <v>0</v>
      </c>
      <c r="O277" s="8">
        <f>IFERROR(N277/N444, "NA")</f>
        <v>0</v>
      </c>
      <c r="P277" s="9"/>
      <c r="Q277" s="7">
        <v>0</v>
      </c>
      <c r="R277" s="8">
        <f>IFERROR(Q277/Q444, "NA")</f>
        <v>0</v>
      </c>
      <c r="S277" s="9"/>
      <c r="T277" s="7">
        <v>0</v>
      </c>
      <c r="U277" s="8">
        <f>IFERROR(T277/T444, "NA")</f>
        <v>0</v>
      </c>
      <c r="V277" s="9"/>
      <c r="W277" s="10">
        <f t="shared" si="70"/>
        <v>0</v>
      </c>
      <c r="X277" s="8">
        <f>IFERROR(W277/W444, "NA")</f>
        <v>0</v>
      </c>
      <c r="Y277" s="9"/>
      <c r="Z277" s="7">
        <v>0</v>
      </c>
      <c r="AA277" s="8">
        <f>IFERROR(Z277/Z444, "NA")</f>
        <v>0</v>
      </c>
      <c r="AB277" s="9"/>
      <c r="AC277" s="10">
        <f t="shared" si="71"/>
        <v>0</v>
      </c>
      <c r="AD277" s="8">
        <f>IFERROR(AC277/AC444, "NA")</f>
        <v>0</v>
      </c>
    </row>
    <row r="278" spans="1:30" ht="16.5" hidden="1" customHeight="1" x14ac:dyDescent="0.45">
      <c r="A278" s="6" t="s">
        <v>252</v>
      </c>
      <c r="B278" s="7">
        <v>0</v>
      </c>
      <c r="C278" s="8">
        <f>IFERROR(B278/B444, "NA")</f>
        <v>0</v>
      </c>
      <c r="D278" s="9"/>
      <c r="E278" s="7">
        <v>0</v>
      </c>
      <c r="F278" s="8">
        <f>IFERROR(E278/E444, "NA")</f>
        <v>0</v>
      </c>
      <c r="G278" s="9"/>
      <c r="H278" s="10">
        <f t="shared" si="68"/>
        <v>0</v>
      </c>
      <c r="I278" s="8">
        <f>IFERROR(H278/H444, "NA")</f>
        <v>0</v>
      </c>
      <c r="J278" s="9"/>
      <c r="K278" s="7">
        <v>0</v>
      </c>
      <c r="L278" s="8">
        <f>IFERROR(K278/K444, "NA")</f>
        <v>0</v>
      </c>
      <c r="M278" s="9"/>
      <c r="N278" s="10">
        <f t="shared" si="69"/>
        <v>0</v>
      </c>
      <c r="O278" s="8">
        <f>IFERROR(N278/N444, "NA")</f>
        <v>0</v>
      </c>
      <c r="P278" s="9"/>
      <c r="Q278" s="7">
        <v>0</v>
      </c>
      <c r="R278" s="8">
        <f>IFERROR(Q278/Q444, "NA")</f>
        <v>0</v>
      </c>
      <c r="S278" s="9"/>
      <c r="T278" s="7">
        <v>0</v>
      </c>
      <c r="U278" s="8">
        <f>IFERROR(T278/T444, "NA")</f>
        <v>0</v>
      </c>
      <c r="V278" s="9"/>
      <c r="W278" s="10">
        <f t="shared" si="70"/>
        <v>0</v>
      </c>
      <c r="X278" s="8">
        <f>IFERROR(W278/W444, "NA")</f>
        <v>0</v>
      </c>
      <c r="Y278" s="9"/>
      <c r="Z278" s="7">
        <v>0</v>
      </c>
      <c r="AA278" s="8">
        <f>IFERROR(Z278/Z444, "NA")</f>
        <v>0</v>
      </c>
      <c r="AB278" s="9"/>
      <c r="AC278" s="10">
        <f t="shared" si="71"/>
        <v>0</v>
      </c>
      <c r="AD278" s="8">
        <f>IFERROR(AC278/AC444, "NA")</f>
        <v>0</v>
      </c>
    </row>
    <row r="279" spans="1:30" ht="16.5" hidden="1" customHeight="1" x14ac:dyDescent="0.45">
      <c r="A279" s="6" t="s">
        <v>253</v>
      </c>
      <c r="B279" s="7">
        <v>0</v>
      </c>
      <c r="C279" s="8">
        <f>IFERROR(B279/B444, "NA")</f>
        <v>0</v>
      </c>
      <c r="D279" s="9"/>
      <c r="E279" s="7">
        <v>0</v>
      </c>
      <c r="F279" s="8">
        <f>IFERROR(E279/E444, "NA")</f>
        <v>0</v>
      </c>
      <c r="G279" s="9"/>
      <c r="H279" s="10">
        <f t="shared" si="68"/>
        <v>0</v>
      </c>
      <c r="I279" s="8">
        <f>IFERROR(H279/H444, "NA")</f>
        <v>0</v>
      </c>
      <c r="J279" s="9"/>
      <c r="K279" s="7">
        <v>0</v>
      </c>
      <c r="L279" s="8">
        <f>IFERROR(K279/K444, "NA")</f>
        <v>0</v>
      </c>
      <c r="M279" s="9"/>
      <c r="N279" s="10">
        <f t="shared" si="69"/>
        <v>0</v>
      </c>
      <c r="O279" s="8">
        <f>IFERROR(N279/N444, "NA")</f>
        <v>0</v>
      </c>
      <c r="P279" s="9"/>
      <c r="Q279" s="7">
        <v>0</v>
      </c>
      <c r="R279" s="8">
        <f>IFERROR(Q279/Q444, "NA")</f>
        <v>0</v>
      </c>
      <c r="S279" s="9"/>
      <c r="T279" s="7">
        <v>0</v>
      </c>
      <c r="U279" s="8">
        <f>IFERROR(T279/T444, "NA")</f>
        <v>0</v>
      </c>
      <c r="V279" s="9"/>
      <c r="W279" s="10">
        <f t="shared" si="70"/>
        <v>0</v>
      </c>
      <c r="X279" s="8">
        <f>IFERROR(W279/W444, "NA")</f>
        <v>0</v>
      </c>
      <c r="Y279" s="9"/>
      <c r="Z279" s="7">
        <v>0</v>
      </c>
      <c r="AA279" s="8">
        <f>IFERROR(Z279/Z444, "NA")</f>
        <v>0</v>
      </c>
      <c r="AB279" s="9"/>
      <c r="AC279" s="10">
        <f t="shared" si="71"/>
        <v>0</v>
      </c>
      <c r="AD279" s="8">
        <f>IFERROR(AC279/AC444, "NA")</f>
        <v>0</v>
      </c>
    </row>
    <row r="280" spans="1:30" ht="16.5" hidden="1" customHeight="1" x14ac:dyDescent="0.45">
      <c r="A280" s="6" t="s">
        <v>254</v>
      </c>
      <c r="B280" s="7">
        <v>0</v>
      </c>
      <c r="C280" s="8">
        <f>IFERROR(B280/B444, "NA")</f>
        <v>0</v>
      </c>
      <c r="D280" s="9"/>
      <c r="E280" s="7">
        <v>0</v>
      </c>
      <c r="F280" s="8">
        <f>IFERROR(E280/E444, "NA")</f>
        <v>0</v>
      </c>
      <c r="G280" s="9"/>
      <c r="H280" s="10">
        <f t="shared" si="68"/>
        <v>0</v>
      </c>
      <c r="I280" s="8">
        <f>IFERROR(H280/H444, "NA")</f>
        <v>0</v>
      </c>
      <c r="J280" s="9"/>
      <c r="K280" s="7">
        <v>0</v>
      </c>
      <c r="L280" s="8">
        <f>IFERROR(K280/K444, "NA")</f>
        <v>0</v>
      </c>
      <c r="M280" s="9"/>
      <c r="N280" s="10">
        <f t="shared" si="69"/>
        <v>0</v>
      </c>
      <c r="O280" s="8">
        <f>IFERROR(N280/N444, "NA")</f>
        <v>0</v>
      </c>
      <c r="P280" s="9"/>
      <c r="Q280" s="7">
        <v>0</v>
      </c>
      <c r="R280" s="8">
        <f>IFERROR(Q280/Q444, "NA")</f>
        <v>0</v>
      </c>
      <c r="S280" s="9"/>
      <c r="T280" s="7">
        <v>0</v>
      </c>
      <c r="U280" s="8">
        <f>IFERROR(T280/T444, "NA")</f>
        <v>0</v>
      </c>
      <c r="V280" s="9"/>
      <c r="W280" s="10">
        <f t="shared" si="70"/>
        <v>0</v>
      </c>
      <c r="X280" s="8">
        <f>IFERROR(W280/W444, "NA")</f>
        <v>0</v>
      </c>
      <c r="Y280" s="9"/>
      <c r="Z280" s="7">
        <v>0</v>
      </c>
      <c r="AA280" s="8">
        <f>IFERROR(Z280/Z444, "NA")</f>
        <v>0</v>
      </c>
      <c r="AB280" s="9"/>
      <c r="AC280" s="10">
        <f t="shared" si="71"/>
        <v>0</v>
      </c>
      <c r="AD280" s="8">
        <f>IFERROR(AC280/AC444, "NA")</f>
        <v>0</v>
      </c>
    </row>
    <row r="281" spans="1:30" ht="16.5" hidden="1" customHeight="1" x14ac:dyDescent="0.45">
      <c r="A281" s="6" t="s">
        <v>255</v>
      </c>
      <c r="B281" s="7">
        <v>0</v>
      </c>
      <c r="C281" s="8">
        <f>IFERROR(B281/B444, "NA")</f>
        <v>0</v>
      </c>
      <c r="D281" s="9"/>
      <c r="E281" s="7">
        <v>0</v>
      </c>
      <c r="F281" s="8">
        <f>IFERROR(E281/E444, "NA")</f>
        <v>0</v>
      </c>
      <c r="G281" s="9"/>
      <c r="H281" s="10">
        <f t="shared" si="68"/>
        <v>0</v>
      </c>
      <c r="I281" s="8">
        <f>IFERROR(H281/H444, "NA")</f>
        <v>0</v>
      </c>
      <c r="J281" s="9"/>
      <c r="K281" s="7">
        <v>0</v>
      </c>
      <c r="L281" s="8">
        <f>IFERROR(K281/K444, "NA")</f>
        <v>0</v>
      </c>
      <c r="M281" s="9"/>
      <c r="N281" s="10">
        <f t="shared" si="69"/>
        <v>0</v>
      </c>
      <c r="O281" s="8">
        <f>IFERROR(N281/N444, "NA")</f>
        <v>0</v>
      </c>
      <c r="P281" s="9"/>
      <c r="Q281" s="7">
        <v>0</v>
      </c>
      <c r="R281" s="8">
        <f>IFERROR(Q281/Q444, "NA")</f>
        <v>0</v>
      </c>
      <c r="S281" s="9"/>
      <c r="T281" s="7">
        <v>0</v>
      </c>
      <c r="U281" s="8">
        <f>IFERROR(T281/T444, "NA")</f>
        <v>0</v>
      </c>
      <c r="V281" s="9"/>
      <c r="W281" s="10">
        <f t="shared" si="70"/>
        <v>0</v>
      </c>
      <c r="X281" s="8">
        <f>IFERROR(W281/W444, "NA")</f>
        <v>0</v>
      </c>
      <c r="Y281" s="9"/>
      <c r="Z281" s="7">
        <v>0</v>
      </c>
      <c r="AA281" s="8">
        <f>IFERROR(Z281/Z444, "NA")</f>
        <v>0</v>
      </c>
      <c r="AB281" s="9"/>
      <c r="AC281" s="10">
        <f t="shared" si="71"/>
        <v>0</v>
      </c>
      <c r="AD281" s="8">
        <f>IFERROR(AC281/AC444, "NA")</f>
        <v>0</v>
      </c>
    </row>
    <row r="282" spans="1:30" ht="16.5" hidden="1" customHeight="1" x14ac:dyDescent="0.45">
      <c r="A282" s="6" t="s">
        <v>256</v>
      </c>
      <c r="B282" s="7">
        <v>0</v>
      </c>
      <c r="C282" s="8">
        <f>IFERROR(B282/B444, "NA")</f>
        <v>0</v>
      </c>
      <c r="D282" s="9"/>
      <c r="E282" s="7">
        <v>0</v>
      </c>
      <c r="F282" s="8">
        <f>IFERROR(E282/E444, "NA")</f>
        <v>0</v>
      </c>
      <c r="G282" s="9"/>
      <c r="H282" s="10">
        <f t="shared" si="68"/>
        <v>0</v>
      </c>
      <c r="I282" s="8">
        <f>IFERROR(H282/H444, "NA")</f>
        <v>0</v>
      </c>
      <c r="J282" s="9"/>
      <c r="K282" s="7">
        <v>0</v>
      </c>
      <c r="L282" s="8">
        <f>IFERROR(K282/K444, "NA")</f>
        <v>0</v>
      </c>
      <c r="M282" s="9"/>
      <c r="N282" s="10">
        <f t="shared" si="69"/>
        <v>0</v>
      </c>
      <c r="O282" s="8">
        <f>IFERROR(N282/N444, "NA")</f>
        <v>0</v>
      </c>
      <c r="P282" s="9"/>
      <c r="Q282" s="7">
        <v>0</v>
      </c>
      <c r="R282" s="8">
        <f>IFERROR(Q282/Q444, "NA")</f>
        <v>0</v>
      </c>
      <c r="S282" s="9"/>
      <c r="T282" s="7">
        <v>0</v>
      </c>
      <c r="U282" s="8">
        <f>IFERROR(T282/T444, "NA")</f>
        <v>0</v>
      </c>
      <c r="V282" s="9"/>
      <c r="W282" s="10">
        <f t="shared" si="70"/>
        <v>0</v>
      </c>
      <c r="X282" s="8">
        <f>IFERROR(W282/W444, "NA")</f>
        <v>0</v>
      </c>
      <c r="Y282" s="9"/>
      <c r="Z282" s="7">
        <v>0</v>
      </c>
      <c r="AA282" s="8">
        <f>IFERROR(Z282/Z444, "NA")</f>
        <v>0</v>
      </c>
      <c r="AB282" s="9"/>
      <c r="AC282" s="10">
        <f t="shared" si="71"/>
        <v>0</v>
      </c>
      <c r="AD282" s="8">
        <f>IFERROR(AC282/AC444, "NA")</f>
        <v>0</v>
      </c>
    </row>
    <row r="283" spans="1:30" ht="16.5" hidden="1" customHeight="1" x14ac:dyDescent="0.45">
      <c r="A283" s="6" t="s">
        <v>257</v>
      </c>
      <c r="B283" s="7">
        <v>0</v>
      </c>
      <c r="C283" s="8">
        <f>IFERROR(B283/B444, "NA")</f>
        <v>0</v>
      </c>
      <c r="D283" s="9"/>
      <c r="E283" s="7">
        <v>0</v>
      </c>
      <c r="F283" s="8">
        <f>IFERROR(E283/E444, "NA")</f>
        <v>0</v>
      </c>
      <c r="G283" s="9"/>
      <c r="H283" s="10">
        <f t="shared" si="68"/>
        <v>0</v>
      </c>
      <c r="I283" s="8">
        <f>IFERROR(H283/H444, "NA")</f>
        <v>0</v>
      </c>
      <c r="J283" s="9"/>
      <c r="K283" s="7">
        <v>0</v>
      </c>
      <c r="L283" s="8">
        <f>IFERROR(K283/K444, "NA")</f>
        <v>0</v>
      </c>
      <c r="M283" s="9"/>
      <c r="N283" s="10">
        <f t="shared" si="69"/>
        <v>0</v>
      </c>
      <c r="O283" s="8">
        <f>IFERROR(N283/N444, "NA")</f>
        <v>0</v>
      </c>
      <c r="P283" s="9"/>
      <c r="Q283" s="7">
        <v>0</v>
      </c>
      <c r="R283" s="8">
        <f>IFERROR(Q283/Q444, "NA")</f>
        <v>0</v>
      </c>
      <c r="S283" s="9"/>
      <c r="T283" s="7">
        <v>0</v>
      </c>
      <c r="U283" s="8">
        <f>IFERROR(T283/T444, "NA")</f>
        <v>0</v>
      </c>
      <c r="V283" s="9"/>
      <c r="W283" s="10">
        <f t="shared" si="70"/>
        <v>0</v>
      </c>
      <c r="X283" s="8">
        <f>IFERROR(W283/W444, "NA")</f>
        <v>0</v>
      </c>
      <c r="Y283" s="9"/>
      <c r="Z283" s="7">
        <v>0</v>
      </c>
      <c r="AA283" s="8">
        <f>IFERROR(Z283/Z444, "NA")</f>
        <v>0</v>
      </c>
      <c r="AB283" s="9"/>
      <c r="AC283" s="10">
        <f t="shared" si="71"/>
        <v>0</v>
      </c>
      <c r="AD283" s="8">
        <f>IFERROR(AC283/AC444, "NA")</f>
        <v>0</v>
      </c>
    </row>
    <row r="284" spans="1:30" ht="16.5" customHeight="1" x14ac:dyDescent="0.45">
      <c r="A284" s="19" t="s">
        <v>258</v>
      </c>
      <c r="B284" s="14">
        <f>IFERROR(B275+B276+B277+B278+B279+B280+B281+B282+B283, "NA")</f>
        <v>0</v>
      </c>
      <c r="C284" s="15">
        <f>IFERROR(B284/B444, "NA")</f>
        <v>0</v>
      </c>
      <c r="D284" s="2"/>
      <c r="E284" s="14">
        <f>IFERROR(E275+E276+E277+E278+E279+E280+E281+E282+E283, "NA")</f>
        <v>0</v>
      </c>
      <c r="F284" s="15">
        <f>IFERROR(E284/E444, "NA")</f>
        <v>0</v>
      </c>
      <c r="G284" s="2"/>
      <c r="H284" s="14">
        <f t="shared" si="68"/>
        <v>0</v>
      </c>
      <c r="I284" s="15">
        <f>IFERROR(H284/H444, "NA")</f>
        <v>0</v>
      </c>
      <c r="J284" s="2"/>
      <c r="K284" s="14">
        <f>IFERROR(K275+K276+K277+K278+K279+K280+K281+K282+K283, "NA")</f>
        <v>0</v>
      </c>
      <c r="L284" s="15">
        <f>IFERROR(K284/K444, "NA")</f>
        <v>0</v>
      </c>
      <c r="M284" s="2"/>
      <c r="N284" s="14">
        <f t="shared" si="69"/>
        <v>0</v>
      </c>
      <c r="O284" s="15">
        <f>IFERROR(N284/N444, "NA")</f>
        <v>0</v>
      </c>
      <c r="P284" s="2"/>
      <c r="Q284" s="14">
        <f>IFERROR(Q275+Q276+Q277+Q278+Q279+Q280+Q281+Q282+Q283, "NA")</f>
        <v>0</v>
      </c>
      <c r="R284" s="15">
        <f>IFERROR(Q284/Q444, "NA")</f>
        <v>0</v>
      </c>
      <c r="S284" s="2"/>
      <c r="T284" s="14">
        <f>IFERROR(T275+T276+T277+T278+T279+T280+T281+T282+T283, "NA")</f>
        <v>0</v>
      </c>
      <c r="U284" s="15">
        <f>IFERROR(T284/T444, "NA")</f>
        <v>0</v>
      </c>
      <c r="V284" s="2"/>
      <c r="W284" s="14">
        <f t="shared" si="70"/>
        <v>0</v>
      </c>
      <c r="X284" s="15">
        <f>IFERROR(W284/W444, "NA")</f>
        <v>0</v>
      </c>
      <c r="Y284" s="2"/>
      <c r="Z284" s="14">
        <f>IFERROR(Z275+Z276+Z277+Z278+Z279+Z280+Z281+Z282+Z283, "NA")</f>
        <v>0</v>
      </c>
      <c r="AA284" s="15">
        <f>IFERROR(Z284/Z444, "NA")</f>
        <v>0</v>
      </c>
      <c r="AB284" s="2"/>
      <c r="AC284" s="14">
        <f t="shared" si="71"/>
        <v>0</v>
      </c>
      <c r="AD284" s="15">
        <f>IFERROR(AC284/AC444, "NA")</f>
        <v>0</v>
      </c>
    </row>
    <row r="285" spans="1:30" ht="16.5" customHeight="1" x14ac:dyDescent="0.45">
      <c r="A285" s="5" t="s">
        <v>259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  <c r="Y285" s="4"/>
      <c r="Z285" s="2"/>
      <c r="AA285" s="3"/>
      <c r="AB285" s="4"/>
      <c r="AC285" s="2"/>
      <c r="AD285" s="3"/>
    </row>
    <row r="286" spans="1:30" ht="16.5" hidden="1" customHeight="1" x14ac:dyDescent="0.45">
      <c r="A286" s="6" t="s">
        <v>259</v>
      </c>
      <c r="B286" s="7">
        <v>0</v>
      </c>
      <c r="C286" s="8">
        <f>IFERROR(B286/B444, "NA")</f>
        <v>0</v>
      </c>
      <c r="D286" s="9"/>
      <c r="E286" s="7">
        <v>0</v>
      </c>
      <c r="F286" s="8">
        <f>IFERROR(E286/E444, "NA")</f>
        <v>0</v>
      </c>
      <c r="G286" s="9"/>
      <c r="H286" s="10">
        <f t="shared" ref="H286:H295" si="72">IFERROR(-(B286-E286), "NA")</f>
        <v>0</v>
      </c>
      <c r="I286" s="8">
        <f>IFERROR(H286/H444, "NA")</f>
        <v>0</v>
      </c>
      <c r="J286" s="9"/>
      <c r="K286" s="7">
        <v>0</v>
      </c>
      <c r="L286" s="8">
        <f>IFERROR(K286/K444, "NA")</f>
        <v>0</v>
      </c>
      <c r="M286" s="9"/>
      <c r="N286" s="10">
        <f t="shared" ref="N286:N295" si="73">IFERROR(-(B286-K286), "NA")</f>
        <v>0</v>
      </c>
      <c r="O286" s="8">
        <f>IFERROR(N286/N444, "NA")</f>
        <v>0</v>
      </c>
      <c r="P286" s="9"/>
      <c r="Q286" s="7">
        <v>0</v>
      </c>
      <c r="R286" s="8">
        <f>IFERROR(Q286/Q444, "NA")</f>
        <v>0</v>
      </c>
      <c r="S286" s="9"/>
      <c r="T286" s="7">
        <v>0</v>
      </c>
      <c r="U286" s="8">
        <f>IFERROR(T286/T444, "NA")</f>
        <v>0</v>
      </c>
      <c r="V286" s="9"/>
      <c r="W286" s="10">
        <f t="shared" ref="W286:W295" si="74">IFERROR(-(Q286-T286), "NA")</f>
        <v>0</v>
      </c>
      <c r="X286" s="8">
        <f>IFERROR(W286/W444, "NA")</f>
        <v>0</v>
      </c>
      <c r="Y286" s="9"/>
      <c r="Z286" s="7">
        <v>0</v>
      </c>
      <c r="AA286" s="8">
        <f>IFERROR(Z286/Z444, "NA")</f>
        <v>0</v>
      </c>
      <c r="AB286" s="9"/>
      <c r="AC286" s="10">
        <f t="shared" ref="AC286:AC295" si="75">IFERROR(-(Q286-Z286), "NA")</f>
        <v>0</v>
      </c>
      <c r="AD286" s="8">
        <f>IFERROR(AC286/AC444, "NA")</f>
        <v>0</v>
      </c>
    </row>
    <row r="287" spans="1:30" ht="16.5" customHeight="1" x14ac:dyDescent="0.45">
      <c r="A287" s="6" t="s">
        <v>260</v>
      </c>
      <c r="B287" s="7">
        <v>1067.5899999999999</v>
      </c>
      <c r="C287" s="8">
        <f>IFERROR(B287/B444, "NA")</f>
        <v>2.4539359768634608E-3</v>
      </c>
      <c r="D287" s="9"/>
      <c r="E287" s="7">
        <v>971</v>
      </c>
      <c r="F287" s="8">
        <f>IFERROR(E287/E444, "NA")</f>
        <v>2.1639898713685197E-3</v>
      </c>
      <c r="G287" s="9"/>
      <c r="H287" s="10">
        <f t="shared" si="72"/>
        <v>-96.589999999999918</v>
      </c>
      <c r="I287" s="8">
        <f>IFERROR(H287/H444, "NA")</f>
        <v>7.0730296351080961E-3</v>
      </c>
      <c r="J287" s="9"/>
      <c r="K287" s="7">
        <v>970.53</v>
      </c>
      <c r="L287" s="8">
        <f>IFERROR(K287/K444, "NA")</f>
        <v>2.2282582953907842E-3</v>
      </c>
      <c r="M287" s="9"/>
      <c r="N287" s="10">
        <f t="shared" si="73"/>
        <v>-97.059999999999945</v>
      </c>
      <c r="O287" s="8">
        <f>IFERROR(N287/N444, "NA")</f>
        <v>0.19283571414379591</v>
      </c>
      <c r="P287" s="9"/>
      <c r="Q287" s="7">
        <v>1067.5899999999999</v>
      </c>
      <c r="R287" s="8">
        <f>IFERROR(Q287/Q444, "NA")</f>
        <v>2.4539359768634608E-3</v>
      </c>
      <c r="S287" s="9"/>
      <c r="T287" s="7">
        <v>971</v>
      </c>
      <c r="U287" s="8">
        <f>IFERROR(T287/T444, "NA")</f>
        <v>2.1639898713685197E-3</v>
      </c>
      <c r="V287" s="9"/>
      <c r="W287" s="10">
        <f t="shared" si="74"/>
        <v>-96.589999999999918</v>
      </c>
      <c r="X287" s="8">
        <f>IFERROR(W287/W444, "NA")</f>
        <v>7.0730296351080961E-3</v>
      </c>
      <c r="Y287" s="9"/>
      <c r="Z287" s="7">
        <v>970.53</v>
      </c>
      <c r="AA287" s="8">
        <f>IFERROR(Z287/Z444, "NA")</f>
        <v>2.2282582953907842E-3</v>
      </c>
      <c r="AB287" s="9"/>
      <c r="AC287" s="10">
        <f t="shared" si="75"/>
        <v>-97.059999999999945</v>
      </c>
      <c r="AD287" s="8">
        <f>IFERROR(AC287/AC444, "NA")</f>
        <v>0.19283571414379591</v>
      </c>
    </row>
    <row r="288" spans="1:30" ht="16.5" customHeight="1" x14ac:dyDescent="0.45">
      <c r="A288" s="6" t="s">
        <v>261</v>
      </c>
      <c r="B288" s="7">
        <v>839.23</v>
      </c>
      <c r="C288" s="8">
        <f>IFERROR(B288/B444, "NA")</f>
        <v>1.9290333272727568E-3</v>
      </c>
      <c r="D288" s="9"/>
      <c r="E288" s="7">
        <v>843</v>
      </c>
      <c r="F288" s="8">
        <f>IFERROR(E288/E444, "NA")</f>
        <v>1.8787265309615469E-3</v>
      </c>
      <c r="G288" s="9"/>
      <c r="H288" s="10">
        <f t="shared" si="72"/>
        <v>3.7699999999999818</v>
      </c>
      <c r="I288" s="8">
        <f>IFERROR(H288/H444, "NA")</f>
        <v>-2.7606710554257599E-4</v>
      </c>
      <c r="J288" s="9"/>
      <c r="K288" s="7">
        <v>949.93000000000006</v>
      </c>
      <c r="L288" s="8">
        <f>IFERROR(K288/K444, "NA")</f>
        <v>2.1809623633896611E-3</v>
      </c>
      <c r="M288" s="9"/>
      <c r="N288" s="10">
        <f t="shared" si="73"/>
        <v>110.70000000000005</v>
      </c>
      <c r="O288" s="8">
        <f>IFERROR(N288/N444, "NA")</f>
        <v>-0.21993523135914103</v>
      </c>
      <c r="P288" s="9"/>
      <c r="Q288" s="7">
        <v>839.23</v>
      </c>
      <c r="R288" s="8">
        <f>IFERROR(Q288/Q444, "NA")</f>
        <v>1.9290333272727568E-3</v>
      </c>
      <c r="S288" s="9"/>
      <c r="T288" s="7">
        <v>843</v>
      </c>
      <c r="U288" s="8">
        <f>IFERROR(T288/T444, "NA")</f>
        <v>1.8787265309615469E-3</v>
      </c>
      <c r="V288" s="9"/>
      <c r="W288" s="10">
        <f t="shared" si="74"/>
        <v>3.7699999999999818</v>
      </c>
      <c r="X288" s="8">
        <f>IFERROR(W288/W444, "NA")</f>
        <v>-2.7606710554257599E-4</v>
      </c>
      <c r="Y288" s="9"/>
      <c r="Z288" s="7">
        <v>949.93000000000006</v>
      </c>
      <c r="AA288" s="8">
        <f>IFERROR(Z288/Z444, "NA")</f>
        <v>2.1809623633896611E-3</v>
      </c>
      <c r="AB288" s="9"/>
      <c r="AC288" s="10">
        <f t="shared" si="75"/>
        <v>110.70000000000005</v>
      </c>
      <c r="AD288" s="8">
        <f>IFERROR(AC288/AC444, "NA")</f>
        <v>-0.21993523135914103</v>
      </c>
    </row>
    <row r="289" spans="1:30" ht="16.5" customHeight="1" x14ac:dyDescent="0.45">
      <c r="A289" s="6" t="s">
        <v>262</v>
      </c>
      <c r="B289" s="7">
        <v>1136.28</v>
      </c>
      <c r="C289" s="8">
        <f>IFERROR(B289/B444, "NA")</f>
        <v>2.6118251124405559E-3</v>
      </c>
      <c r="D289" s="9"/>
      <c r="E289" s="7">
        <v>1149</v>
      </c>
      <c r="F289" s="8">
        <f>IFERROR(E289/E444, "NA")</f>
        <v>2.560684204121966E-3</v>
      </c>
      <c r="G289" s="9"/>
      <c r="H289" s="10">
        <f t="shared" si="72"/>
        <v>12.720000000000027</v>
      </c>
      <c r="I289" s="8">
        <f>IFERROR(H289/H444, "NA")</f>
        <v>-9.3145187864763699E-4</v>
      </c>
      <c r="J289" s="9"/>
      <c r="K289" s="7">
        <v>990.91</v>
      </c>
      <c r="L289" s="8">
        <f>IFERROR(K289/K444, "NA")</f>
        <v>2.2750491252054874E-3</v>
      </c>
      <c r="M289" s="9"/>
      <c r="N289" s="10">
        <f t="shared" si="73"/>
        <v>-145.37</v>
      </c>
      <c r="O289" s="8">
        <f>IFERROR(N289/N444, "NA")</f>
        <v>0.28881648222834977</v>
      </c>
      <c r="P289" s="9"/>
      <c r="Q289" s="7">
        <v>1136.28</v>
      </c>
      <c r="R289" s="8">
        <f>IFERROR(Q289/Q444, "NA")</f>
        <v>2.6118251124405559E-3</v>
      </c>
      <c r="S289" s="9"/>
      <c r="T289" s="7">
        <v>1149</v>
      </c>
      <c r="U289" s="8">
        <f>IFERROR(T289/T444, "NA")</f>
        <v>2.560684204121966E-3</v>
      </c>
      <c r="V289" s="9"/>
      <c r="W289" s="10">
        <f t="shared" si="74"/>
        <v>12.720000000000027</v>
      </c>
      <c r="X289" s="8">
        <f>IFERROR(W289/W444, "NA")</f>
        <v>-9.3145187864763699E-4</v>
      </c>
      <c r="Y289" s="9"/>
      <c r="Z289" s="7">
        <v>990.91</v>
      </c>
      <c r="AA289" s="8">
        <f>IFERROR(Z289/Z444, "NA")</f>
        <v>2.2750491252054874E-3</v>
      </c>
      <c r="AB289" s="9"/>
      <c r="AC289" s="10">
        <f t="shared" si="75"/>
        <v>-145.37</v>
      </c>
      <c r="AD289" s="8">
        <f>IFERROR(AC289/AC444, "NA")</f>
        <v>0.28881648222834977</v>
      </c>
    </row>
    <row r="290" spans="1:30" ht="16.5" customHeight="1" x14ac:dyDescent="0.45">
      <c r="A290" s="6" t="s">
        <v>263</v>
      </c>
      <c r="B290" s="7">
        <v>4477.67</v>
      </c>
      <c r="C290" s="8">
        <f>IFERROR(B290/B444, "NA")</f>
        <v>1.0292261547524998E-2</v>
      </c>
      <c r="D290" s="9"/>
      <c r="E290" s="7">
        <v>2337.96</v>
      </c>
      <c r="F290" s="8">
        <f>IFERROR(E290/E444, "NA")</f>
        <v>5.2104240573272341E-3</v>
      </c>
      <c r="G290" s="9"/>
      <c r="H290" s="10">
        <f t="shared" si="72"/>
        <v>-2139.71</v>
      </c>
      <c r="I290" s="8">
        <f>IFERROR(H290/H444, "NA")</f>
        <v>0.15668529082241595</v>
      </c>
      <c r="J290" s="9"/>
      <c r="K290" s="7">
        <v>2785.6000000000004</v>
      </c>
      <c r="L290" s="8">
        <f>IFERROR(K290/K444, "NA")</f>
        <v>6.3955120476858716E-3</v>
      </c>
      <c r="M290" s="9"/>
      <c r="N290" s="10">
        <f t="shared" si="73"/>
        <v>-1692.0699999999997</v>
      </c>
      <c r="O290" s="8">
        <f>IFERROR(N290/N444, "NA")</f>
        <v>3.3617507400710167</v>
      </c>
      <c r="P290" s="9"/>
      <c r="Q290" s="7">
        <v>4477.67</v>
      </c>
      <c r="R290" s="8">
        <f>IFERROR(Q290/Q444, "NA")</f>
        <v>1.0292261547524998E-2</v>
      </c>
      <c r="S290" s="9"/>
      <c r="T290" s="7">
        <v>2337.96</v>
      </c>
      <c r="U290" s="8">
        <f>IFERROR(T290/T444, "NA")</f>
        <v>5.2104240573272341E-3</v>
      </c>
      <c r="V290" s="9"/>
      <c r="W290" s="10">
        <f t="shared" si="74"/>
        <v>-2139.71</v>
      </c>
      <c r="X290" s="8">
        <f>IFERROR(W290/W444, "NA")</f>
        <v>0.15668529082241595</v>
      </c>
      <c r="Y290" s="9"/>
      <c r="Z290" s="7">
        <v>2785.6000000000004</v>
      </c>
      <c r="AA290" s="8">
        <f>IFERROR(Z290/Z444, "NA")</f>
        <v>6.3955120476858716E-3</v>
      </c>
      <c r="AB290" s="9"/>
      <c r="AC290" s="10">
        <f t="shared" si="75"/>
        <v>-1692.0699999999997</v>
      </c>
      <c r="AD290" s="8">
        <f>IFERROR(AC290/AC444, "NA")</f>
        <v>3.3617507400710167</v>
      </c>
    </row>
    <row r="291" spans="1:30" ht="16.5" customHeight="1" x14ac:dyDescent="0.45">
      <c r="A291" s="6" t="s">
        <v>264</v>
      </c>
      <c r="B291" s="7">
        <v>7409.0599999999995</v>
      </c>
      <c r="C291" s="8">
        <f>IFERROR(B291/B444, "NA")</f>
        <v>1.7030282120233414E-2</v>
      </c>
      <c r="D291" s="9"/>
      <c r="E291" s="7">
        <v>2346.1800000000003</v>
      </c>
      <c r="F291" s="8">
        <f>IFERROR(E291/E444, "NA")</f>
        <v>5.2287433124689952E-3</v>
      </c>
      <c r="G291" s="9"/>
      <c r="H291" s="10">
        <f t="shared" si="72"/>
        <v>-5062.8799999999992</v>
      </c>
      <c r="I291" s="8">
        <f>IFERROR(H291/H444, "NA")</f>
        <v>0.37074128045342275</v>
      </c>
      <c r="J291" s="9"/>
      <c r="K291" s="7">
        <v>5669.0599999999995</v>
      </c>
      <c r="L291" s="8">
        <f>IFERROR(K291/K444, "NA")</f>
        <v>1.3015702731567368E-2</v>
      </c>
      <c r="M291" s="9"/>
      <c r="N291" s="10">
        <f t="shared" si="73"/>
        <v>-1740</v>
      </c>
      <c r="O291" s="8">
        <f>IFERROR(N291/N444, "NA")</f>
        <v>3.45697653626834</v>
      </c>
      <c r="P291" s="9"/>
      <c r="Q291" s="7">
        <v>7409.0599999999995</v>
      </c>
      <c r="R291" s="8">
        <f>IFERROR(Q291/Q444, "NA")</f>
        <v>1.7030282120233414E-2</v>
      </c>
      <c r="S291" s="9"/>
      <c r="T291" s="7">
        <v>2346.1800000000003</v>
      </c>
      <c r="U291" s="8">
        <f>IFERROR(T291/T444, "NA")</f>
        <v>5.2287433124689952E-3</v>
      </c>
      <c r="V291" s="9"/>
      <c r="W291" s="10">
        <f t="shared" si="74"/>
        <v>-5062.8799999999992</v>
      </c>
      <c r="X291" s="8">
        <f>IFERROR(W291/W444, "NA")</f>
        <v>0.37074128045342275</v>
      </c>
      <c r="Y291" s="9"/>
      <c r="Z291" s="7">
        <v>5669.0599999999995</v>
      </c>
      <c r="AA291" s="8">
        <f>IFERROR(Z291/Z444, "NA")</f>
        <v>1.3015702731567368E-2</v>
      </c>
      <c r="AB291" s="9"/>
      <c r="AC291" s="10">
        <f t="shared" si="75"/>
        <v>-1740</v>
      </c>
      <c r="AD291" s="8">
        <f>IFERROR(AC291/AC444, "NA")</f>
        <v>3.45697653626834</v>
      </c>
    </row>
    <row r="292" spans="1:30" ht="16.5" customHeight="1" x14ac:dyDescent="0.45">
      <c r="A292" s="6" t="s">
        <v>265</v>
      </c>
      <c r="B292" s="7">
        <v>394.79</v>
      </c>
      <c r="C292" s="8">
        <f>IFERROR(B292/B444, "NA")</f>
        <v>9.074545324571472E-4</v>
      </c>
      <c r="D292" s="9"/>
      <c r="E292" s="7">
        <v>648.04999999999995</v>
      </c>
      <c r="F292" s="8">
        <f>IFERROR(E292/E444, "NA")</f>
        <v>1.4442570918026458E-3</v>
      </c>
      <c r="G292" s="9"/>
      <c r="H292" s="10">
        <f t="shared" si="72"/>
        <v>253.25999999999993</v>
      </c>
      <c r="I292" s="8">
        <f>IFERROR(H292/H444, "NA")</f>
        <v>-1.8545558395149368E-2</v>
      </c>
      <c r="J292" s="9"/>
      <c r="K292" s="7">
        <v>0</v>
      </c>
      <c r="L292" s="8">
        <f>IFERROR(K292/K444, "NA")</f>
        <v>0</v>
      </c>
      <c r="M292" s="9"/>
      <c r="N292" s="10">
        <f t="shared" si="73"/>
        <v>-394.79</v>
      </c>
      <c r="O292" s="8">
        <f>IFERROR(N292/N444, "NA")</f>
        <v>0.78435618778929772</v>
      </c>
      <c r="P292" s="9"/>
      <c r="Q292" s="7">
        <v>394.79</v>
      </c>
      <c r="R292" s="8">
        <f>IFERROR(Q292/Q444, "NA")</f>
        <v>9.074545324571472E-4</v>
      </c>
      <c r="S292" s="9"/>
      <c r="T292" s="7">
        <v>648.04999999999995</v>
      </c>
      <c r="U292" s="8">
        <f>IFERROR(T292/T444, "NA")</f>
        <v>1.4442570918026458E-3</v>
      </c>
      <c r="V292" s="9"/>
      <c r="W292" s="10">
        <f t="shared" si="74"/>
        <v>253.25999999999993</v>
      </c>
      <c r="X292" s="8">
        <f>IFERROR(W292/W444, "NA")</f>
        <v>-1.8545558395149368E-2</v>
      </c>
      <c r="Y292" s="9"/>
      <c r="Z292" s="7">
        <v>0</v>
      </c>
      <c r="AA292" s="8">
        <f>IFERROR(Z292/Z444, "NA")</f>
        <v>0</v>
      </c>
      <c r="AB292" s="9"/>
      <c r="AC292" s="10">
        <f t="shared" si="75"/>
        <v>-394.79</v>
      </c>
      <c r="AD292" s="8">
        <f>IFERROR(AC292/AC444, "NA")</f>
        <v>0.78435618778929772</v>
      </c>
    </row>
    <row r="293" spans="1:30" ht="16.5" customHeight="1" x14ac:dyDescent="0.45">
      <c r="A293" s="6" t="s">
        <v>266</v>
      </c>
      <c r="B293" s="7">
        <v>0</v>
      </c>
      <c r="C293" s="8">
        <f>IFERROR(B293/B444, "NA")</f>
        <v>0</v>
      </c>
      <c r="D293" s="9"/>
      <c r="E293" s="7">
        <v>620.76</v>
      </c>
      <c r="F293" s="8">
        <f>IFERROR(E293/E444, "NA")</f>
        <v>1.3834380561799405E-3</v>
      </c>
      <c r="G293" s="9"/>
      <c r="H293" s="10">
        <f t="shared" si="72"/>
        <v>620.76</v>
      </c>
      <c r="I293" s="8">
        <f>IFERROR(H293/H444, "NA")</f>
        <v>-4.5456609134379392E-2</v>
      </c>
      <c r="J293" s="9"/>
      <c r="K293" s="7">
        <v>369.93</v>
      </c>
      <c r="L293" s="8">
        <f>IFERROR(K293/K444, "NA")</f>
        <v>8.4932932646483142E-4</v>
      </c>
      <c r="M293" s="9"/>
      <c r="N293" s="10">
        <f t="shared" si="73"/>
        <v>369.93</v>
      </c>
      <c r="O293" s="8">
        <f>IFERROR(N293/N444, "NA")</f>
        <v>-0.73496513221939486</v>
      </c>
      <c r="P293" s="9"/>
      <c r="Q293" s="7">
        <v>0</v>
      </c>
      <c r="R293" s="8">
        <f>IFERROR(Q293/Q444, "NA")</f>
        <v>0</v>
      </c>
      <c r="S293" s="9"/>
      <c r="T293" s="7">
        <v>620.76</v>
      </c>
      <c r="U293" s="8">
        <f>IFERROR(T293/T444, "NA")</f>
        <v>1.3834380561799405E-3</v>
      </c>
      <c r="V293" s="9"/>
      <c r="W293" s="10">
        <f t="shared" si="74"/>
        <v>620.76</v>
      </c>
      <c r="X293" s="8">
        <f>IFERROR(W293/W444, "NA")</f>
        <v>-4.5456609134379392E-2</v>
      </c>
      <c r="Y293" s="9"/>
      <c r="Z293" s="7">
        <v>369.93</v>
      </c>
      <c r="AA293" s="8">
        <f>IFERROR(Z293/Z444, "NA")</f>
        <v>8.4932932646483142E-4</v>
      </c>
      <c r="AB293" s="9"/>
      <c r="AC293" s="10">
        <f t="shared" si="75"/>
        <v>369.93</v>
      </c>
      <c r="AD293" s="8">
        <f>IFERROR(AC293/AC444, "NA")</f>
        <v>-0.73496513221939486</v>
      </c>
    </row>
    <row r="294" spans="1:30" ht="16.5" customHeight="1" x14ac:dyDescent="0.45">
      <c r="A294" s="6" t="s">
        <v>267</v>
      </c>
      <c r="B294" s="7">
        <v>1590.44</v>
      </c>
      <c r="C294" s="8">
        <f>IFERROR(B294/B444, "NA")</f>
        <v>3.6557460589202997E-3</v>
      </c>
      <c r="D294" s="9"/>
      <c r="E294" s="7">
        <v>1784</v>
      </c>
      <c r="F294" s="8">
        <f>IFERROR(E294/E444, "NA")</f>
        <v>3.975857806922182E-3</v>
      </c>
      <c r="G294" s="9"/>
      <c r="H294" s="10">
        <f t="shared" si="72"/>
        <v>193.55999999999995</v>
      </c>
      <c r="I294" s="8">
        <f>IFERROR(H294/H444, "NA")</f>
        <v>-1.4173885662817309E-2</v>
      </c>
      <c r="J294" s="9"/>
      <c r="K294" s="7">
        <v>1703.28</v>
      </c>
      <c r="L294" s="8">
        <f>IFERROR(K294/K444, "NA")</f>
        <v>3.9105929640229718E-3</v>
      </c>
      <c r="M294" s="9"/>
      <c r="N294" s="10">
        <f t="shared" si="73"/>
        <v>112.83999999999992</v>
      </c>
      <c r="O294" s="8">
        <f>IFERROR(N294/N444, "NA")</f>
        <v>-0.22418691514512598</v>
      </c>
      <c r="P294" s="9"/>
      <c r="Q294" s="7">
        <v>1590.44</v>
      </c>
      <c r="R294" s="8">
        <f>IFERROR(Q294/Q444, "NA")</f>
        <v>3.6557460589202997E-3</v>
      </c>
      <c r="S294" s="9"/>
      <c r="T294" s="7">
        <v>1784</v>
      </c>
      <c r="U294" s="8">
        <f>IFERROR(T294/T444, "NA")</f>
        <v>3.975857806922182E-3</v>
      </c>
      <c r="V294" s="9"/>
      <c r="W294" s="10">
        <f t="shared" si="74"/>
        <v>193.55999999999995</v>
      </c>
      <c r="X294" s="8">
        <f>IFERROR(W294/W444, "NA")</f>
        <v>-1.4173885662817309E-2</v>
      </c>
      <c r="Y294" s="9"/>
      <c r="Z294" s="7">
        <v>1703.28</v>
      </c>
      <c r="AA294" s="8">
        <f>IFERROR(Z294/Z444, "NA")</f>
        <v>3.9105929640229718E-3</v>
      </c>
      <c r="AB294" s="9"/>
      <c r="AC294" s="10">
        <f t="shared" si="75"/>
        <v>112.83999999999992</v>
      </c>
      <c r="AD294" s="8">
        <f>IFERROR(AC294/AC444, "NA")</f>
        <v>-0.22418691514512598</v>
      </c>
    </row>
    <row r="295" spans="1:30" ht="16.5" customHeight="1" x14ac:dyDescent="0.45">
      <c r="A295" s="19" t="s">
        <v>268</v>
      </c>
      <c r="B295" s="14">
        <f>IFERROR(B286+B287+B288+B289+B290+B291+B292+B293+B294, "NA")</f>
        <v>16915.060000000001</v>
      </c>
      <c r="C295" s="15">
        <f>IFERROR(B295/B444, "NA")</f>
        <v>3.8880538675712638E-2</v>
      </c>
      <c r="D295" s="2"/>
      <c r="E295" s="14">
        <f>IFERROR(E286+E287+E288+E289+E290+E291+E292+E293+E294, "NA")</f>
        <v>10699.95</v>
      </c>
      <c r="F295" s="15">
        <f>IFERROR(E295/E444, "NA")</f>
        <v>2.3846120931153032E-2</v>
      </c>
      <c r="G295" s="2"/>
      <c r="H295" s="14">
        <f t="shared" si="72"/>
        <v>-6215.1100000000006</v>
      </c>
      <c r="I295" s="15">
        <f>IFERROR(H295/H444, "NA")</f>
        <v>0.45511602873441059</v>
      </c>
      <c r="J295" s="2"/>
      <c r="K295" s="14">
        <f>IFERROR(K286+K287+K288+K289+K290+K291+K292+K293+K294, "NA")</f>
        <v>13439.24</v>
      </c>
      <c r="L295" s="15">
        <f>IFERROR(K295/K444, "NA")</f>
        <v>3.0855406853726976E-2</v>
      </c>
      <c r="M295" s="2"/>
      <c r="N295" s="14">
        <f t="shared" si="73"/>
        <v>-3475.8200000000015</v>
      </c>
      <c r="O295" s="15">
        <f>IFERROR(N295/N444, "NA")</f>
        <v>6.9056483817771426</v>
      </c>
      <c r="P295" s="2"/>
      <c r="Q295" s="14">
        <f>IFERROR(Q286+Q287+Q288+Q289+Q290+Q291+Q292+Q293+Q294, "NA")</f>
        <v>16915.060000000001</v>
      </c>
      <c r="R295" s="15">
        <f>IFERROR(Q295/Q444, "NA")</f>
        <v>3.8880538675712638E-2</v>
      </c>
      <c r="S295" s="2"/>
      <c r="T295" s="14">
        <f>IFERROR(T286+T287+T288+T289+T290+T291+T292+T293+T294, "NA")</f>
        <v>10699.95</v>
      </c>
      <c r="U295" s="15">
        <f>IFERROR(T295/T444, "NA")</f>
        <v>2.3846120931153032E-2</v>
      </c>
      <c r="V295" s="2"/>
      <c r="W295" s="14">
        <f t="shared" si="74"/>
        <v>-6215.1100000000006</v>
      </c>
      <c r="X295" s="15">
        <f>IFERROR(W295/W444, "NA")</f>
        <v>0.45511602873441059</v>
      </c>
      <c r="Y295" s="2"/>
      <c r="Z295" s="14">
        <f>IFERROR(Z286+Z287+Z288+Z289+Z290+Z291+Z292+Z293+Z294, "NA")</f>
        <v>13439.24</v>
      </c>
      <c r="AA295" s="15">
        <f>IFERROR(Z295/Z444, "NA")</f>
        <v>3.0855406853726976E-2</v>
      </c>
      <c r="AB295" s="2"/>
      <c r="AC295" s="14">
        <f t="shared" si="75"/>
        <v>-3475.8200000000015</v>
      </c>
      <c r="AD295" s="15">
        <f>IFERROR(AC295/AC444, "NA")</f>
        <v>6.9056483817771426</v>
      </c>
    </row>
    <row r="296" spans="1:30" ht="16.5" customHeight="1" x14ac:dyDescent="0.45">
      <c r="A296" s="5" t="s">
        <v>269</v>
      </c>
      <c r="B296" s="2"/>
      <c r="C296" s="3"/>
      <c r="D296" s="4"/>
      <c r="E296" s="2"/>
      <c r="F296" s="3"/>
      <c r="G296" s="4"/>
      <c r="H296" s="2"/>
      <c r="I296" s="3"/>
      <c r="J296" s="4"/>
      <c r="K296" s="2"/>
      <c r="L296" s="3"/>
      <c r="M296" s="4"/>
      <c r="N296" s="2"/>
      <c r="O296" s="3"/>
      <c r="P296" s="4"/>
      <c r="Q296" s="2"/>
      <c r="R296" s="3"/>
      <c r="S296" s="4"/>
      <c r="T296" s="2"/>
      <c r="U296" s="3"/>
      <c r="V296" s="4"/>
      <c r="W296" s="2"/>
      <c r="X296" s="3"/>
      <c r="Y296" s="4"/>
      <c r="Z296" s="2"/>
      <c r="AA296" s="3"/>
      <c r="AB296" s="4"/>
      <c r="AC296" s="2"/>
      <c r="AD296" s="3"/>
    </row>
    <row r="297" spans="1:30" ht="16.5" hidden="1" customHeight="1" x14ac:dyDescent="0.45">
      <c r="A297" s="6" t="s">
        <v>269</v>
      </c>
      <c r="B297" s="7">
        <v>0</v>
      </c>
      <c r="C297" s="8">
        <f>IFERROR(B297/B444, "NA")</f>
        <v>0</v>
      </c>
      <c r="D297" s="9"/>
      <c r="E297" s="7">
        <v>0</v>
      </c>
      <c r="F297" s="8">
        <f>IFERROR(E297/E444, "NA")</f>
        <v>0</v>
      </c>
      <c r="G297" s="9"/>
      <c r="H297" s="10">
        <f t="shared" ref="H297:H325" si="76">IFERROR(-(B297-E297), "NA")</f>
        <v>0</v>
      </c>
      <c r="I297" s="8">
        <f>IFERROR(H297/H444, "NA")</f>
        <v>0</v>
      </c>
      <c r="J297" s="9"/>
      <c r="K297" s="7">
        <v>0</v>
      </c>
      <c r="L297" s="8">
        <f>IFERROR(K297/K444, "NA")</f>
        <v>0</v>
      </c>
      <c r="M297" s="9"/>
      <c r="N297" s="10">
        <f t="shared" ref="N297:N325" si="77">IFERROR(-(B297-K297), "NA")</f>
        <v>0</v>
      </c>
      <c r="O297" s="8">
        <f>IFERROR(N297/N444, "NA")</f>
        <v>0</v>
      </c>
      <c r="P297" s="9"/>
      <c r="Q297" s="7">
        <v>0</v>
      </c>
      <c r="R297" s="8">
        <f>IFERROR(Q297/Q444, "NA")</f>
        <v>0</v>
      </c>
      <c r="S297" s="9"/>
      <c r="T297" s="7">
        <v>0</v>
      </c>
      <c r="U297" s="8">
        <f>IFERROR(T297/T444, "NA")</f>
        <v>0</v>
      </c>
      <c r="V297" s="9"/>
      <c r="W297" s="10">
        <f t="shared" ref="W297:W325" si="78">IFERROR(-(Q297-T297), "NA")</f>
        <v>0</v>
      </c>
      <c r="X297" s="8">
        <f>IFERROR(W297/W444, "NA")</f>
        <v>0</v>
      </c>
      <c r="Y297" s="9"/>
      <c r="Z297" s="7">
        <v>0</v>
      </c>
      <c r="AA297" s="8">
        <f>IFERROR(Z297/Z444, "NA")</f>
        <v>0</v>
      </c>
      <c r="AB297" s="9"/>
      <c r="AC297" s="10">
        <f t="shared" ref="AC297:AC325" si="79">IFERROR(-(Q297-Z297), "NA")</f>
        <v>0</v>
      </c>
      <c r="AD297" s="8">
        <f>IFERROR(AC297/AC444, "NA")</f>
        <v>0</v>
      </c>
    </row>
    <row r="298" spans="1:30" ht="16.5" hidden="1" customHeight="1" x14ac:dyDescent="0.45">
      <c r="A298" s="6" t="s">
        <v>270</v>
      </c>
      <c r="B298" s="7">
        <v>0</v>
      </c>
      <c r="C298" s="8">
        <f>IFERROR(B298/B444, "NA")</f>
        <v>0</v>
      </c>
      <c r="D298" s="9"/>
      <c r="E298" s="7">
        <v>0</v>
      </c>
      <c r="F298" s="8">
        <f>IFERROR(E298/E444, "NA")</f>
        <v>0</v>
      </c>
      <c r="G298" s="9"/>
      <c r="H298" s="10">
        <f t="shared" si="76"/>
        <v>0</v>
      </c>
      <c r="I298" s="8">
        <f>IFERROR(H298/H444, "NA")</f>
        <v>0</v>
      </c>
      <c r="J298" s="9"/>
      <c r="K298" s="7">
        <v>0</v>
      </c>
      <c r="L298" s="8">
        <f>IFERROR(K298/K444, "NA")</f>
        <v>0</v>
      </c>
      <c r="M298" s="9"/>
      <c r="N298" s="10">
        <f t="shared" si="77"/>
        <v>0</v>
      </c>
      <c r="O298" s="8">
        <f>IFERROR(N298/N444, "NA")</f>
        <v>0</v>
      </c>
      <c r="P298" s="9"/>
      <c r="Q298" s="7">
        <v>0</v>
      </c>
      <c r="R298" s="8">
        <f>IFERROR(Q298/Q444, "NA")</f>
        <v>0</v>
      </c>
      <c r="S298" s="9"/>
      <c r="T298" s="7">
        <v>0</v>
      </c>
      <c r="U298" s="8">
        <f>IFERROR(T298/T444, "NA")</f>
        <v>0</v>
      </c>
      <c r="V298" s="9"/>
      <c r="W298" s="10">
        <f t="shared" si="78"/>
        <v>0</v>
      </c>
      <c r="X298" s="8">
        <f>IFERROR(W298/W444, "NA")</f>
        <v>0</v>
      </c>
      <c r="Y298" s="9"/>
      <c r="Z298" s="7">
        <v>0</v>
      </c>
      <c r="AA298" s="8">
        <f>IFERROR(Z298/Z444, "NA")</f>
        <v>0</v>
      </c>
      <c r="AB298" s="9"/>
      <c r="AC298" s="10">
        <f t="shared" si="79"/>
        <v>0</v>
      </c>
      <c r="AD298" s="8">
        <f>IFERROR(AC298/AC444, "NA")</f>
        <v>0</v>
      </c>
    </row>
    <row r="299" spans="1:30" ht="16.5" customHeight="1" x14ac:dyDescent="0.45">
      <c r="A299" s="6" t="s">
        <v>271</v>
      </c>
      <c r="B299" s="7">
        <v>2225.0200000000004</v>
      </c>
      <c r="C299" s="8">
        <f>IFERROR(B299/B444, "NA")</f>
        <v>5.1143759563509758E-3</v>
      </c>
      <c r="D299" s="9"/>
      <c r="E299" s="7">
        <v>2209</v>
      </c>
      <c r="F299" s="8">
        <f>IFERROR(E299/E444, "NA")</f>
        <v>4.9230212418672091E-3</v>
      </c>
      <c r="G299" s="9"/>
      <c r="H299" s="10">
        <f t="shared" si="76"/>
        <v>-16.020000000000437</v>
      </c>
      <c r="I299" s="8">
        <f>IFERROR(H299/H444, "NA")</f>
        <v>1.1731021301836099E-3</v>
      </c>
      <c r="J299" s="9"/>
      <c r="K299" s="7">
        <v>2086.7199999999998</v>
      </c>
      <c r="L299" s="8">
        <f>IFERROR(K299/K444, "NA")</f>
        <v>4.7909401565720345E-3</v>
      </c>
      <c r="M299" s="9"/>
      <c r="N299" s="10">
        <f t="shared" si="77"/>
        <v>-138.30000000000064</v>
      </c>
      <c r="O299" s="8">
        <f>IFERROR(N299/N444, "NA")</f>
        <v>0.27477003158960556</v>
      </c>
      <c r="P299" s="9"/>
      <c r="Q299" s="7">
        <v>2225.0200000000004</v>
      </c>
      <c r="R299" s="8">
        <f>IFERROR(Q299/Q444, "NA")</f>
        <v>5.1143759563509758E-3</v>
      </c>
      <c r="S299" s="9"/>
      <c r="T299" s="7">
        <v>2209</v>
      </c>
      <c r="U299" s="8">
        <f>IFERROR(T299/T444, "NA")</f>
        <v>4.9230212418672091E-3</v>
      </c>
      <c r="V299" s="9"/>
      <c r="W299" s="10">
        <f t="shared" si="78"/>
        <v>-16.020000000000437</v>
      </c>
      <c r="X299" s="8">
        <f>IFERROR(W299/W444, "NA")</f>
        <v>1.1731021301836099E-3</v>
      </c>
      <c r="Y299" s="9"/>
      <c r="Z299" s="7">
        <v>2086.7199999999998</v>
      </c>
      <c r="AA299" s="8">
        <f>IFERROR(Z299/Z444, "NA")</f>
        <v>4.7909401565720345E-3</v>
      </c>
      <c r="AB299" s="9"/>
      <c r="AC299" s="10">
        <f t="shared" si="79"/>
        <v>-138.30000000000064</v>
      </c>
      <c r="AD299" s="8">
        <f>IFERROR(AC299/AC444, "NA")</f>
        <v>0.27477003158960556</v>
      </c>
    </row>
    <row r="300" spans="1:30" ht="16.5" hidden="1" customHeight="1" x14ac:dyDescent="0.45">
      <c r="A300" s="6" t="s">
        <v>272</v>
      </c>
      <c r="B300" s="7">
        <v>0</v>
      </c>
      <c r="C300" s="8">
        <f>IFERROR(B300/B444, "NA")</f>
        <v>0</v>
      </c>
      <c r="D300" s="9"/>
      <c r="E300" s="7">
        <v>0</v>
      </c>
      <c r="F300" s="8">
        <f>IFERROR(E300/E444, "NA")</f>
        <v>0</v>
      </c>
      <c r="G300" s="9"/>
      <c r="H300" s="10">
        <f t="shared" si="76"/>
        <v>0</v>
      </c>
      <c r="I300" s="8">
        <f>IFERROR(H300/H444, "NA")</f>
        <v>0</v>
      </c>
      <c r="J300" s="9"/>
      <c r="K300" s="7">
        <v>0</v>
      </c>
      <c r="L300" s="8">
        <f>IFERROR(K300/K444, "NA")</f>
        <v>0</v>
      </c>
      <c r="M300" s="9"/>
      <c r="N300" s="10">
        <f t="shared" si="77"/>
        <v>0</v>
      </c>
      <c r="O300" s="8">
        <f>IFERROR(N300/N444, "NA")</f>
        <v>0</v>
      </c>
      <c r="P300" s="9"/>
      <c r="Q300" s="7">
        <v>0</v>
      </c>
      <c r="R300" s="8">
        <f>IFERROR(Q300/Q444, "NA")</f>
        <v>0</v>
      </c>
      <c r="S300" s="9"/>
      <c r="T300" s="7">
        <v>0</v>
      </c>
      <c r="U300" s="8">
        <f>IFERROR(T300/T444, "NA")</f>
        <v>0</v>
      </c>
      <c r="V300" s="9"/>
      <c r="W300" s="10">
        <f t="shared" si="78"/>
        <v>0</v>
      </c>
      <c r="X300" s="8">
        <f>IFERROR(W300/W444, "NA")</f>
        <v>0</v>
      </c>
      <c r="Y300" s="9"/>
      <c r="Z300" s="7">
        <v>0</v>
      </c>
      <c r="AA300" s="8">
        <f>IFERROR(Z300/Z444, "NA")</f>
        <v>0</v>
      </c>
      <c r="AB300" s="9"/>
      <c r="AC300" s="10">
        <f t="shared" si="79"/>
        <v>0</v>
      </c>
      <c r="AD300" s="8">
        <f>IFERROR(AC300/AC444, "NA")</f>
        <v>0</v>
      </c>
    </row>
    <row r="301" spans="1:30" ht="16.5" hidden="1" customHeight="1" x14ac:dyDescent="0.45">
      <c r="A301" s="6" t="s">
        <v>273</v>
      </c>
      <c r="B301" s="7">
        <v>0</v>
      </c>
      <c r="C301" s="8">
        <f>IFERROR(B301/B444, "NA")</f>
        <v>0</v>
      </c>
      <c r="D301" s="9"/>
      <c r="E301" s="7">
        <v>0</v>
      </c>
      <c r="F301" s="8">
        <f>IFERROR(E301/E444, "NA")</f>
        <v>0</v>
      </c>
      <c r="G301" s="9"/>
      <c r="H301" s="10">
        <f t="shared" si="76"/>
        <v>0</v>
      </c>
      <c r="I301" s="8">
        <f>IFERROR(H301/H444, "NA")</f>
        <v>0</v>
      </c>
      <c r="J301" s="9"/>
      <c r="K301" s="7">
        <v>0</v>
      </c>
      <c r="L301" s="8">
        <f>IFERROR(K301/K444, "NA")</f>
        <v>0</v>
      </c>
      <c r="M301" s="9"/>
      <c r="N301" s="10">
        <f t="shared" si="77"/>
        <v>0</v>
      </c>
      <c r="O301" s="8">
        <f>IFERROR(N301/N444, "NA")</f>
        <v>0</v>
      </c>
      <c r="P301" s="9"/>
      <c r="Q301" s="7">
        <v>0</v>
      </c>
      <c r="R301" s="8">
        <f>IFERROR(Q301/Q444, "NA")</f>
        <v>0</v>
      </c>
      <c r="S301" s="9"/>
      <c r="T301" s="7">
        <v>0</v>
      </c>
      <c r="U301" s="8">
        <f>IFERROR(T301/T444, "NA")</f>
        <v>0</v>
      </c>
      <c r="V301" s="9"/>
      <c r="W301" s="10">
        <f t="shared" si="78"/>
        <v>0</v>
      </c>
      <c r="X301" s="8">
        <f>IFERROR(W301/W444, "NA")</f>
        <v>0</v>
      </c>
      <c r="Y301" s="9"/>
      <c r="Z301" s="7">
        <v>0</v>
      </c>
      <c r="AA301" s="8">
        <f>IFERROR(Z301/Z444, "NA")</f>
        <v>0</v>
      </c>
      <c r="AB301" s="9"/>
      <c r="AC301" s="10">
        <f t="shared" si="79"/>
        <v>0</v>
      </c>
      <c r="AD301" s="8">
        <f>IFERROR(AC301/AC444, "NA")</f>
        <v>0</v>
      </c>
    </row>
    <row r="302" spans="1:30" ht="16.5" hidden="1" customHeight="1" x14ac:dyDescent="0.45">
      <c r="A302" s="6" t="s">
        <v>274</v>
      </c>
      <c r="B302" s="7">
        <v>0</v>
      </c>
      <c r="C302" s="8">
        <f>IFERROR(B302/B444, "NA")</f>
        <v>0</v>
      </c>
      <c r="D302" s="9"/>
      <c r="E302" s="7">
        <v>0</v>
      </c>
      <c r="F302" s="8">
        <f>IFERROR(E302/E444, "NA")</f>
        <v>0</v>
      </c>
      <c r="G302" s="9"/>
      <c r="H302" s="10">
        <f t="shared" si="76"/>
        <v>0</v>
      </c>
      <c r="I302" s="8">
        <f>IFERROR(H302/H444, "NA")</f>
        <v>0</v>
      </c>
      <c r="J302" s="9"/>
      <c r="K302" s="7">
        <v>0</v>
      </c>
      <c r="L302" s="8">
        <f>IFERROR(K302/K444, "NA")</f>
        <v>0</v>
      </c>
      <c r="M302" s="9"/>
      <c r="N302" s="10">
        <f t="shared" si="77"/>
        <v>0</v>
      </c>
      <c r="O302" s="8">
        <f>IFERROR(N302/N444, "NA")</f>
        <v>0</v>
      </c>
      <c r="P302" s="9"/>
      <c r="Q302" s="7">
        <v>0</v>
      </c>
      <c r="R302" s="8">
        <f>IFERROR(Q302/Q444, "NA")</f>
        <v>0</v>
      </c>
      <c r="S302" s="9"/>
      <c r="T302" s="7">
        <v>0</v>
      </c>
      <c r="U302" s="8">
        <f>IFERROR(T302/T444, "NA")</f>
        <v>0</v>
      </c>
      <c r="V302" s="9"/>
      <c r="W302" s="10">
        <f t="shared" si="78"/>
        <v>0</v>
      </c>
      <c r="X302" s="8">
        <f>IFERROR(W302/W444, "NA")</f>
        <v>0</v>
      </c>
      <c r="Y302" s="9"/>
      <c r="Z302" s="7">
        <v>0</v>
      </c>
      <c r="AA302" s="8">
        <f>IFERROR(Z302/Z444, "NA")</f>
        <v>0</v>
      </c>
      <c r="AB302" s="9"/>
      <c r="AC302" s="10">
        <f t="shared" si="79"/>
        <v>0</v>
      </c>
      <c r="AD302" s="8">
        <f>IFERROR(AC302/AC444, "NA")</f>
        <v>0</v>
      </c>
    </row>
    <row r="303" spans="1:30" ht="16.5" hidden="1" customHeight="1" x14ac:dyDescent="0.45">
      <c r="A303" s="6" t="s">
        <v>275</v>
      </c>
      <c r="B303" s="7">
        <v>0</v>
      </c>
      <c r="C303" s="8">
        <f>IFERROR(B303/B444, "NA")</f>
        <v>0</v>
      </c>
      <c r="D303" s="9"/>
      <c r="E303" s="7">
        <v>0</v>
      </c>
      <c r="F303" s="8">
        <f>IFERROR(E303/E444, "NA")</f>
        <v>0</v>
      </c>
      <c r="G303" s="9"/>
      <c r="H303" s="10">
        <f t="shared" si="76"/>
        <v>0</v>
      </c>
      <c r="I303" s="8">
        <f>IFERROR(H303/H444, "NA")</f>
        <v>0</v>
      </c>
      <c r="J303" s="9"/>
      <c r="K303" s="7">
        <v>0</v>
      </c>
      <c r="L303" s="8">
        <f>IFERROR(K303/K444, "NA")</f>
        <v>0</v>
      </c>
      <c r="M303" s="9"/>
      <c r="N303" s="10">
        <f t="shared" si="77"/>
        <v>0</v>
      </c>
      <c r="O303" s="8">
        <f>IFERROR(N303/N444, "NA")</f>
        <v>0</v>
      </c>
      <c r="P303" s="9"/>
      <c r="Q303" s="7">
        <v>0</v>
      </c>
      <c r="R303" s="8">
        <f>IFERROR(Q303/Q444, "NA")</f>
        <v>0</v>
      </c>
      <c r="S303" s="9"/>
      <c r="T303" s="7">
        <v>0</v>
      </c>
      <c r="U303" s="8">
        <f>IFERROR(T303/T444, "NA")</f>
        <v>0</v>
      </c>
      <c r="V303" s="9"/>
      <c r="W303" s="10">
        <f t="shared" si="78"/>
        <v>0</v>
      </c>
      <c r="X303" s="8">
        <f>IFERROR(W303/W444, "NA")</f>
        <v>0</v>
      </c>
      <c r="Y303" s="9"/>
      <c r="Z303" s="7">
        <v>0</v>
      </c>
      <c r="AA303" s="8">
        <f>IFERROR(Z303/Z444, "NA")</f>
        <v>0</v>
      </c>
      <c r="AB303" s="9"/>
      <c r="AC303" s="10">
        <f t="shared" si="79"/>
        <v>0</v>
      </c>
      <c r="AD303" s="8">
        <f>IFERROR(AC303/AC444, "NA")</f>
        <v>0</v>
      </c>
    </row>
    <row r="304" spans="1:30" ht="16.5" hidden="1" customHeight="1" x14ac:dyDescent="0.45">
      <c r="A304" s="6" t="s">
        <v>276</v>
      </c>
      <c r="B304" s="7">
        <v>0</v>
      </c>
      <c r="C304" s="8">
        <f>IFERROR(B304/B444, "NA")</f>
        <v>0</v>
      </c>
      <c r="D304" s="9"/>
      <c r="E304" s="7">
        <v>0</v>
      </c>
      <c r="F304" s="8">
        <f>IFERROR(E304/E444, "NA")</f>
        <v>0</v>
      </c>
      <c r="G304" s="9"/>
      <c r="H304" s="10">
        <f t="shared" si="76"/>
        <v>0</v>
      </c>
      <c r="I304" s="8">
        <f>IFERROR(H304/H444, "NA")</f>
        <v>0</v>
      </c>
      <c r="J304" s="9"/>
      <c r="K304" s="7">
        <v>0</v>
      </c>
      <c r="L304" s="8">
        <f>IFERROR(K304/K444, "NA")</f>
        <v>0</v>
      </c>
      <c r="M304" s="9"/>
      <c r="N304" s="10">
        <f t="shared" si="77"/>
        <v>0</v>
      </c>
      <c r="O304" s="8">
        <f>IFERROR(N304/N444, "NA")</f>
        <v>0</v>
      </c>
      <c r="P304" s="9"/>
      <c r="Q304" s="7">
        <v>0</v>
      </c>
      <c r="R304" s="8">
        <f>IFERROR(Q304/Q444, "NA")</f>
        <v>0</v>
      </c>
      <c r="S304" s="9"/>
      <c r="T304" s="7">
        <v>0</v>
      </c>
      <c r="U304" s="8">
        <f>IFERROR(T304/T444, "NA")</f>
        <v>0</v>
      </c>
      <c r="V304" s="9"/>
      <c r="W304" s="10">
        <f t="shared" si="78"/>
        <v>0</v>
      </c>
      <c r="X304" s="8">
        <f>IFERROR(W304/W444, "NA")</f>
        <v>0</v>
      </c>
      <c r="Y304" s="9"/>
      <c r="Z304" s="7">
        <v>0</v>
      </c>
      <c r="AA304" s="8">
        <f>IFERROR(Z304/Z444, "NA")</f>
        <v>0</v>
      </c>
      <c r="AB304" s="9"/>
      <c r="AC304" s="10">
        <f t="shared" si="79"/>
        <v>0</v>
      </c>
      <c r="AD304" s="8">
        <f>IFERROR(AC304/AC444, "NA")</f>
        <v>0</v>
      </c>
    </row>
    <row r="305" spans="1:30" ht="16.5" customHeight="1" x14ac:dyDescent="0.45">
      <c r="A305" s="6" t="s">
        <v>277</v>
      </c>
      <c r="B305" s="7">
        <v>24.07</v>
      </c>
      <c r="C305" s="8">
        <f>IFERROR(B305/B444, "NA")</f>
        <v>5.5326706847294846E-5</v>
      </c>
      <c r="D305" s="9"/>
      <c r="E305" s="7">
        <v>0</v>
      </c>
      <c r="F305" s="8">
        <f>IFERROR(E305/E444, "NA")</f>
        <v>0</v>
      </c>
      <c r="G305" s="9"/>
      <c r="H305" s="10">
        <f t="shared" si="76"/>
        <v>-24.07</v>
      </c>
      <c r="I305" s="8">
        <f>IFERROR(H305/H444, "NA")</f>
        <v>1.7625822892333783E-3</v>
      </c>
      <c r="J305" s="9"/>
      <c r="K305" s="7">
        <v>15</v>
      </c>
      <c r="L305" s="8">
        <f>IFERROR(K305/K444, "NA")</f>
        <v>3.4438785437711111E-5</v>
      </c>
      <c r="M305" s="9"/>
      <c r="N305" s="10">
        <f t="shared" si="77"/>
        <v>-9.07</v>
      </c>
      <c r="O305" s="8">
        <f>IFERROR(N305/N444, "NA")</f>
        <v>1.8019986887329798E-2</v>
      </c>
      <c r="P305" s="9"/>
      <c r="Q305" s="7">
        <v>24.07</v>
      </c>
      <c r="R305" s="8">
        <f>IFERROR(Q305/Q444, "NA")</f>
        <v>5.5326706847294846E-5</v>
      </c>
      <c r="S305" s="9"/>
      <c r="T305" s="7">
        <v>0</v>
      </c>
      <c r="U305" s="8">
        <f>IFERROR(T305/T444, "NA")</f>
        <v>0</v>
      </c>
      <c r="V305" s="9"/>
      <c r="W305" s="10">
        <f t="shared" si="78"/>
        <v>-24.07</v>
      </c>
      <c r="X305" s="8">
        <f>IFERROR(W305/W444, "NA")</f>
        <v>1.7625822892333783E-3</v>
      </c>
      <c r="Y305" s="9"/>
      <c r="Z305" s="7">
        <v>15</v>
      </c>
      <c r="AA305" s="8">
        <f>IFERROR(Z305/Z444, "NA")</f>
        <v>3.4438785437711111E-5</v>
      </c>
      <c r="AB305" s="9"/>
      <c r="AC305" s="10">
        <f t="shared" si="79"/>
        <v>-9.07</v>
      </c>
      <c r="AD305" s="8">
        <f>IFERROR(AC305/AC444, "NA")</f>
        <v>1.8019986887329798E-2</v>
      </c>
    </row>
    <row r="306" spans="1:30" ht="16.5" hidden="1" customHeight="1" x14ac:dyDescent="0.45">
      <c r="A306" s="6" t="s">
        <v>278</v>
      </c>
      <c r="B306" s="7">
        <v>0</v>
      </c>
      <c r="C306" s="8">
        <f>IFERROR(B306/B444, "NA")</f>
        <v>0</v>
      </c>
      <c r="D306" s="9"/>
      <c r="E306" s="7">
        <v>0</v>
      </c>
      <c r="F306" s="8">
        <f>IFERROR(E306/E444, "NA")</f>
        <v>0</v>
      </c>
      <c r="G306" s="9"/>
      <c r="H306" s="10">
        <f t="shared" si="76"/>
        <v>0</v>
      </c>
      <c r="I306" s="8">
        <f>IFERROR(H306/H444, "NA")</f>
        <v>0</v>
      </c>
      <c r="J306" s="9"/>
      <c r="K306" s="7">
        <v>0</v>
      </c>
      <c r="L306" s="8">
        <f>IFERROR(K306/K444, "NA")</f>
        <v>0</v>
      </c>
      <c r="M306" s="9"/>
      <c r="N306" s="10">
        <f t="shared" si="77"/>
        <v>0</v>
      </c>
      <c r="O306" s="8">
        <f>IFERROR(N306/N444, "NA")</f>
        <v>0</v>
      </c>
      <c r="P306" s="9"/>
      <c r="Q306" s="7">
        <v>0</v>
      </c>
      <c r="R306" s="8">
        <f>IFERROR(Q306/Q444, "NA")</f>
        <v>0</v>
      </c>
      <c r="S306" s="9"/>
      <c r="T306" s="7">
        <v>0</v>
      </c>
      <c r="U306" s="8">
        <f>IFERROR(T306/T444, "NA")</f>
        <v>0</v>
      </c>
      <c r="V306" s="9"/>
      <c r="W306" s="10">
        <f t="shared" si="78"/>
        <v>0</v>
      </c>
      <c r="X306" s="8">
        <f>IFERROR(W306/W444, "NA")</f>
        <v>0</v>
      </c>
      <c r="Y306" s="9"/>
      <c r="Z306" s="7">
        <v>0</v>
      </c>
      <c r="AA306" s="8">
        <f>IFERROR(Z306/Z444, "NA")</f>
        <v>0</v>
      </c>
      <c r="AB306" s="9"/>
      <c r="AC306" s="10">
        <f t="shared" si="79"/>
        <v>0</v>
      </c>
      <c r="AD306" s="8">
        <f>IFERROR(AC306/AC444, "NA")</f>
        <v>0</v>
      </c>
    </row>
    <row r="307" spans="1:30" ht="16.5" hidden="1" customHeight="1" x14ac:dyDescent="0.45">
      <c r="A307" s="6" t="s">
        <v>279</v>
      </c>
      <c r="B307" s="7">
        <v>0</v>
      </c>
      <c r="C307" s="8">
        <f>IFERROR(B307/B444, "NA")</f>
        <v>0</v>
      </c>
      <c r="D307" s="9"/>
      <c r="E307" s="7">
        <v>0</v>
      </c>
      <c r="F307" s="8">
        <f>IFERROR(E307/E444, "NA")</f>
        <v>0</v>
      </c>
      <c r="G307" s="9"/>
      <c r="H307" s="10">
        <f t="shared" si="76"/>
        <v>0</v>
      </c>
      <c r="I307" s="8">
        <f>IFERROR(H307/H444, "NA")</f>
        <v>0</v>
      </c>
      <c r="J307" s="9"/>
      <c r="K307" s="7">
        <v>0</v>
      </c>
      <c r="L307" s="8">
        <f>IFERROR(K307/K444, "NA")</f>
        <v>0</v>
      </c>
      <c r="M307" s="9"/>
      <c r="N307" s="10">
        <f t="shared" si="77"/>
        <v>0</v>
      </c>
      <c r="O307" s="8">
        <f>IFERROR(N307/N444, "NA")</f>
        <v>0</v>
      </c>
      <c r="P307" s="9"/>
      <c r="Q307" s="7">
        <v>0</v>
      </c>
      <c r="R307" s="8">
        <f>IFERROR(Q307/Q444, "NA")</f>
        <v>0</v>
      </c>
      <c r="S307" s="9"/>
      <c r="T307" s="7">
        <v>0</v>
      </c>
      <c r="U307" s="8">
        <f>IFERROR(T307/T444, "NA")</f>
        <v>0</v>
      </c>
      <c r="V307" s="9"/>
      <c r="W307" s="10">
        <f t="shared" si="78"/>
        <v>0</v>
      </c>
      <c r="X307" s="8">
        <f>IFERROR(W307/W444, "NA")</f>
        <v>0</v>
      </c>
      <c r="Y307" s="9"/>
      <c r="Z307" s="7">
        <v>0</v>
      </c>
      <c r="AA307" s="8">
        <f>IFERROR(Z307/Z444, "NA")</f>
        <v>0</v>
      </c>
      <c r="AB307" s="9"/>
      <c r="AC307" s="10">
        <f t="shared" si="79"/>
        <v>0</v>
      </c>
      <c r="AD307" s="8">
        <f>IFERROR(AC307/AC444, "NA")</f>
        <v>0</v>
      </c>
    </row>
    <row r="308" spans="1:30" ht="16.5" hidden="1" customHeight="1" x14ac:dyDescent="0.45">
      <c r="A308" s="6" t="s">
        <v>280</v>
      </c>
      <c r="B308" s="7">
        <v>0</v>
      </c>
      <c r="C308" s="8">
        <f>IFERROR(B308/B444, "NA")</f>
        <v>0</v>
      </c>
      <c r="D308" s="9"/>
      <c r="E308" s="7">
        <v>0</v>
      </c>
      <c r="F308" s="8">
        <f>IFERROR(E308/E444, "NA")</f>
        <v>0</v>
      </c>
      <c r="G308" s="9"/>
      <c r="H308" s="10">
        <f t="shared" si="76"/>
        <v>0</v>
      </c>
      <c r="I308" s="8">
        <f>IFERROR(H308/H444, "NA")</f>
        <v>0</v>
      </c>
      <c r="J308" s="9"/>
      <c r="K308" s="7">
        <v>0</v>
      </c>
      <c r="L308" s="8">
        <f>IFERROR(K308/K444, "NA")</f>
        <v>0</v>
      </c>
      <c r="M308" s="9"/>
      <c r="N308" s="10">
        <f t="shared" si="77"/>
        <v>0</v>
      </c>
      <c r="O308" s="8">
        <f>IFERROR(N308/N444, "NA")</f>
        <v>0</v>
      </c>
      <c r="P308" s="9"/>
      <c r="Q308" s="7">
        <v>0</v>
      </c>
      <c r="R308" s="8">
        <f>IFERROR(Q308/Q444, "NA")</f>
        <v>0</v>
      </c>
      <c r="S308" s="9"/>
      <c r="T308" s="7">
        <v>0</v>
      </c>
      <c r="U308" s="8">
        <f>IFERROR(T308/T444, "NA")</f>
        <v>0</v>
      </c>
      <c r="V308" s="9"/>
      <c r="W308" s="10">
        <f t="shared" si="78"/>
        <v>0</v>
      </c>
      <c r="X308" s="8">
        <f>IFERROR(W308/W444, "NA")</f>
        <v>0</v>
      </c>
      <c r="Y308" s="9"/>
      <c r="Z308" s="7">
        <v>0</v>
      </c>
      <c r="AA308" s="8">
        <f>IFERROR(Z308/Z444, "NA")</f>
        <v>0</v>
      </c>
      <c r="AB308" s="9"/>
      <c r="AC308" s="10">
        <f t="shared" si="79"/>
        <v>0</v>
      </c>
      <c r="AD308" s="8">
        <f>IFERROR(AC308/AC444, "NA")</f>
        <v>0</v>
      </c>
    </row>
    <row r="309" spans="1:30" ht="16.5" hidden="1" customHeight="1" x14ac:dyDescent="0.45">
      <c r="A309" s="6" t="s">
        <v>281</v>
      </c>
      <c r="B309" s="7">
        <v>0</v>
      </c>
      <c r="C309" s="8">
        <f>IFERROR(B309/B444, "NA")</f>
        <v>0</v>
      </c>
      <c r="D309" s="9"/>
      <c r="E309" s="7">
        <v>0</v>
      </c>
      <c r="F309" s="8">
        <f>IFERROR(E309/E444, "NA")</f>
        <v>0</v>
      </c>
      <c r="G309" s="9"/>
      <c r="H309" s="10">
        <f t="shared" si="76"/>
        <v>0</v>
      </c>
      <c r="I309" s="8">
        <f>IFERROR(H309/H444, "NA")</f>
        <v>0</v>
      </c>
      <c r="J309" s="9"/>
      <c r="K309" s="7">
        <v>0</v>
      </c>
      <c r="L309" s="8">
        <f>IFERROR(K309/K444, "NA")</f>
        <v>0</v>
      </c>
      <c r="M309" s="9"/>
      <c r="N309" s="10">
        <f t="shared" si="77"/>
        <v>0</v>
      </c>
      <c r="O309" s="8">
        <f>IFERROR(N309/N444, "NA")</f>
        <v>0</v>
      </c>
      <c r="P309" s="9"/>
      <c r="Q309" s="7">
        <v>0</v>
      </c>
      <c r="R309" s="8">
        <f>IFERROR(Q309/Q444, "NA")</f>
        <v>0</v>
      </c>
      <c r="S309" s="9"/>
      <c r="T309" s="7">
        <v>0</v>
      </c>
      <c r="U309" s="8">
        <f>IFERROR(T309/T444, "NA")</f>
        <v>0</v>
      </c>
      <c r="V309" s="9"/>
      <c r="W309" s="10">
        <f t="shared" si="78"/>
        <v>0</v>
      </c>
      <c r="X309" s="8">
        <f>IFERROR(W309/W444, "NA")</f>
        <v>0</v>
      </c>
      <c r="Y309" s="9"/>
      <c r="Z309" s="7">
        <v>0</v>
      </c>
      <c r="AA309" s="8">
        <f>IFERROR(Z309/Z444, "NA")</f>
        <v>0</v>
      </c>
      <c r="AB309" s="9"/>
      <c r="AC309" s="10">
        <f t="shared" si="79"/>
        <v>0</v>
      </c>
      <c r="AD309" s="8">
        <f>IFERROR(AC309/AC444, "NA")</f>
        <v>0</v>
      </c>
    </row>
    <row r="310" spans="1:30" ht="16.5" customHeight="1" x14ac:dyDescent="0.45">
      <c r="A310" s="6" t="s">
        <v>282</v>
      </c>
      <c r="B310" s="7">
        <v>268.53999999999996</v>
      </c>
      <c r="C310" s="8">
        <f>IFERROR(B310/B444, "NA")</f>
        <v>6.1725940410355443E-4</v>
      </c>
      <c r="D310" s="9"/>
      <c r="E310" s="7">
        <v>275</v>
      </c>
      <c r="F310" s="8">
        <f>IFERROR(E310/E444, "NA")</f>
        <v>6.1287045790560542E-4</v>
      </c>
      <c r="G310" s="9"/>
      <c r="H310" s="10">
        <f t="shared" si="76"/>
        <v>6.4600000000000364</v>
      </c>
      <c r="I310" s="8">
        <f>IFERROR(H310/H444, "NA")</f>
        <v>-4.7304867421884872E-4</v>
      </c>
      <c r="J310" s="9"/>
      <c r="K310" s="7">
        <v>31.57</v>
      </c>
      <c r="L310" s="8">
        <f>IFERROR(K310/K444, "NA")</f>
        <v>7.2482163751235975E-5</v>
      </c>
      <c r="M310" s="9"/>
      <c r="N310" s="10">
        <f t="shared" si="77"/>
        <v>-236.96999999999997</v>
      </c>
      <c r="O310" s="8">
        <f>IFERROR(N310/N444, "NA")</f>
        <v>0.4708044424135106</v>
      </c>
      <c r="P310" s="9"/>
      <c r="Q310" s="7">
        <v>268.53999999999996</v>
      </c>
      <c r="R310" s="8">
        <f>IFERROR(Q310/Q444, "NA")</f>
        <v>6.1725940410355443E-4</v>
      </c>
      <c r="S310" s="9"/>
      <c r="T310" s="7">
        <v>275</v>
      </c>
      <c r="U310" s="8">
        <f>IFERROR(T310/T444, "NA")</f>
        <v>6.1287045790560542E-4</v>
      </c>
      <c r="V310" s="9"/>
      <c r="W310" s="10">
        <f t="shared" si="78"/>
        <v>6.4600000000000364</v>
      </c>
      <c r="X310" s="8">
        <f>IFERROR(W310/W444, "NA")</f>
        <v>-4.7304867421884872E-4</v>
      </c>
      <c r="Y310" s="9"/>
      <c r="Z310" s="7">
        <v>31.57</v>
      </c>
      <c r="AA310" s="8">
        <f>IFERROR(Z310/Z444, "NA")</f>
        <v>7.2482163751235975E-5</v>
      </c>
      <c r="AB310" s="9"/>
      <c r="AC310" s="10">
        <f t="shared" si="79"/>
        <v>-236.96999999999997</v>
      </c>
      <c r="AD310" s="8">
        <f>IFERROR(AC310/AC444, "NA")</f>
        <v>0.4708044424135106</v>
      </c>
    </row>
    <row r="311" spans="1:30" ht="16.5" hidden="1" customHeight="1" x14ac:dyDescent="0.45">
      <c r="A311" s="6" t="s">
        <v>283</v>
      </c>
      <c r="B311" s="7">
        <v>0</v>
      </c>
      <c r="C311" s="8">
        <f>IFERROR(B311/B444, "NA")</f>
        <v>0</v>
      </c>
      <c r="D311" s="9"/>
      <c r="E311" s="7">
        <v>0</v>
      </c>
      <c r="F311" s="8">
        <f>IFERROR(E311/E444, "NA")</f>
        <v>0</v>
      </c>
      <c r="G311" s="9"/>
      <c r="H311" s="10">
        <f t="shared" si="76"/>
        <v>0</v>
      </c>
      <c r="I311" s="8">
        <f>IFERROR(H311/H444, "NA")</f>
        <v>0</v>
      </c>
      <c r="J311" s="9"/>
      <c r="K311" s="7">
        <v>0</v>
      </c>
      <c r="L311" s="8">
        <f>IFERROR(K311/K444, "NA")</f>
        <v>0</v>
      </c>
      <c r="M311" s="9"/>
      <c r="N311" s="10">
        <f t="shared" si="77"/>
        <v>0</v>
      </c>
      <c r="O311" s="8">
        <f>IFERROR(N311/N444, "NA")</f>
        <v>0</v>
      </c>
      <c r="P311" s="9"/>
      <c r="Q311" s="7">
        <v>0</v>
      </c>
      <c r="R311" s="8">
        <f>IFERROR(Q311/Q444, "NA")</f>
        <v>0</v>
      </c>
      <c r="S311" s="9"/>
      <c r="T311" s="7">
        <v>0</v>
      </c>
      <c r="U311" s="8">
        <f>IFERROR(T311/T444, "NA")</f>
        <v>0</v>
      </c>
      <c r="V311" s="9"/>
      <c r="W311" s="10">
        <f t="shared" si="78"/>
        <v>0</v>
      </c>
      <c r="X311" s="8">
        <f>IFERROR(W311/W444, "NA")</f>
        <v>0</v>
      </c>
      <c r="Y311" s="9"/>
      <c r="Z311" s="7">
        <v>0</v>
      </c>
      <c r="AA311" s="8">
        <f>IFERROR(Z311/Z444, "NA")</f>
        <v>0</v>
      </c>
      <c r="AB311" s="9"/>
      <c r="AC311" s="10">
        <f t="shared" si="79"/>
        <v>0</v>
      </c>
      <c r="AD311" s="8">
        <f>IFERROR(AC311/AC444, "NA")</f>
        <v>0</v>
      </c>
    </row>
    <row r="312" spans="1:30" ht="16.5" customHeight="1" x14ac:dyDescent="0.45">
      <c r="A312" s="6" t="s">
        <v>284</v>
      </c>
      <c r="B312" s="7">
        <v>1296.5</v>
      </c>
      <c r="C312" s="8">
        <f>IFERROR(B312/B444, "NA")</f>
        <v>2.9801028428549136E-3</v>
      </c>
      <c r="D312" s="9"/>
      <c r="E312" s="7">
        <v>175</v>
      </c>
      <c r="F312" s="8">
        <f>IFERROR(E312/E444, "NA")</f>
        <v>3.9000847321265803E-4</v>
      </c>
      <c r="G312" s="9"/>
      <c r="H312" s="10">
        <f t="shared" si="76"/>
        <v>-1121.5</v>
      </c>
      <c r="I312" s="8">
        <f>IFERROR(H312/H444, "NA")</f>
        <v>8.2124471847745489E-2</v>
      </c>
      <c r="J312" s="9"/>
      <c r="K312" s="7">
        <v>376.99</v>
      </c>
      <c r="L312" s="8">
        <f>IFERROR(K312/K444, "NA")</f>
        <v>8.6553851481084739E-4</v>
      </c>
      <c r="M312" s="9"/>
      <c r="N312" s="10">
        <f t="shared" si="77"/>
        <v>-919.51</v>
      </c>
      <c r="O312" s="8">
        <f>IFERROR(N312/N444, "NA")</f>
        <v>1.8268531579678744</v>
      </c>
      <c r="P312" s="9"/>
      <c r="Q312" s="7">
        <v>1296.5</v>
      </c>
      <c r="R312" s="8">
        <f>IFERROR(Q312/Q444, "NA")</f>
        <v>2.9801028428549136E-3</v>
      </c>
      <c r="S312" s="9"/>
      <c r="T312" s="7">
        <v>175</v>
      </c>
      <c r="U312" s="8">
        <f>IFERROR(T312/T444, "NA")</f>
        <v>3.9000847321265803E-4</v>
      </c>
      <c r="V312" s="9"/>
      <c r="W312" s="10">
        <f t="shared" si="78"/>
        <v>-1121.5</v>
      </c>
      <c r="X312" s="8">
        <f>IFERROR(W312/W444, "NA")</f>
        <v>8.2124471847745489E-2</v>
      </c>
      <c r="Y312" s="9"/>
      <c r="Z312" s="7">
        <v>376.99</v>
      </c>
      <c r="AA312" s="8">
        <f>IFERROR(Z312/Z444, "NA")</f>
        <v>8.6553851481084739E-4</v>
      </c>
      <c r="AB312" s="9"/>
      <c r="AC312" s="10">
        <f t="shared" si="79"/>
        <v>-919.51</v>
      </c>
      <c r="AD312" s="8">
        <f>IFERROR(AC312/AC444, "NA")</f>
        <v>1.8268531579678744</v>
      </c>
    </row>
    <row r="313" spans="1:30" ht="16.5" customHeight="1" x14ac:dyDescent="0.45">
      <c r="A313" s="6" t="s">
        <v>285</v>
      </c>
      <c r="B313" s="7">
        <v>246.6</v>
      </c>
      <c r="C313" s="8">
        <f>IFERROR(B313/B444, "NA")</f>
        <v>5.6682866259006681E-4</v>
      </c>
      <c r="D313" s="9"/>
      <c r="E313" s="7">
        <v>310</v>
      </c>
      <c r="F313" s="8">
        <f>IFERROR(E313/E444, "NA")</f>
        <v>6.9087215254813703E-4</v>
      </c>
      <c r="G313" s="9"/>
      <c r="H313" s="10">
        <f t="shared" si="76"/>
        <v>63.400000000000006</v>
      </c>
      <c r="I313" s="8">
        <f>IFERROR(H313/H444, "NA")</f>
        <v>-4.6426139234481177E-3</v>
      </c>
      <c r="J313" s="9"/>
      <c r="K313" s="7">
        <v>295</v>
      </c>
      <c r="L313" s="8">
        <f>IFERROR(K313/K444, "NA")</f>
        <v>6.7729611360831847E-4</v>
      </c>
      <c r="M313" s="9"/>
      <c r="N313" s="10">
        <f t="shared" si="77"/>
        <v>48.400000000000006</v>
      </c>
      <c r="O313" s="8">
        <f>IFERROR(N313/N444, "NA")</f>
        <v>-9.6159577215740047E-2</v>
      </c>
      <c r="P313" s="9"/>
      <c r="Q313" s="7">
        <v>246.6</v>
      </c>
      <c r="R313" s="8">
        <f>IFERROR(Q313/Q444, "NA")</f>
        <v>5.6682866259006681E-4</v>
      </c>
      <c r="S313" s="9"/>
      <c r="T313" s="7">
        <v>310</v>
      </c>
      <c r="U313" s="8">
        <f>IFERROR(T313/T444, "NA")</f>
        <v>6.9087215254813703E-4</v>
      </c>
      <c r="V313" s="9"/>
      <c r="W313" s="10">
        <f t="shared" si="78"/>
        <v>63.400000000000006</v>
      </c>
      <c r="X313" s="8">
        <f>IFERROR(W313/W444, "NA")</f>
        <v>-4.6426139234481177E-3</v>
      </c>
      <c r="Y313" s="9"/>
      <c r="Z313" s="7">
        <v>295</v>
      </c>
      <c r="AA313" s="8">
        <f>IFERROR(Z313/Z444, "NA")</f>
        <v>6.7729611360831847E-4</v>
      </c>
      <c r="AB313" s="9"/>
      <c r="AC313" s="10">
        <f t="shared" si="79"/>
        <v>48.400000000000006</v>
      </c>
      <c r="AD313" s="8">
        <f>IFERROR(AC313/AC444, "NA")</f>
        <v>-9.6159577215740047E-2</v>
      </c>
    </row>
    <row r="314" spans="1:30" ht="16.5" hidden="1" customHeight="1" x14ac:dyDescent="0.45">
      <c r="A314" s="6" t="s">
        <v>286</v>
      </c>
      <c r="B314" s="7">
        <v>0</v>
      </c>
      <c r="C314" s="8">
        <f>IFERROR(B314/B444, "NA")</f>
        <v>0</v>
      </c>
      <c r="D314" s="9"/>
      <c r="E314" s="7">
        <v>0</v>
      </c>
      <c r="F314" s="8">
        <f>IFERROR(E314/E444, "NA")</f>
        <v>0</v>
      </c>
      <c r="G314" s="9"/>
      <c r="H314" s="10">
        <f t="shared" si="76"/>
        <v>0</v>
      </c>
      <c r="I314" s="8">
        <f>IFERROR(H314/H444, "NA")</f>
        <v>0</v>
      </c>
      <c r="J314" s="9"/>
      <c r="K314" s="7">
        <v>0</v>
      </c>
      <c r="L314" s="8">
        <f>IFERROR(K314/K444, "NA")</f>
        <v>0</v>
      </c>
      <c r="M314" s="9"/>
      <c r="N314" s="10">
        <f t="shared" si="77"/>
        <v>0</v>
      </c>
      <c r="O314" s="8">
        <f>IFERROR(N314/N444, "NA")</f>
        <v>0</v>
      </c>
      <c r="P314" s="9"/>
      <c r="Q314" s="7">
        <v>0</v>
      </c>
      <c r="R314" s="8">
        <f>IFERROR(Q314/Q444, "NA")</f>
        <v>0</v>
      </c>
      <c r="S314" s="9"/>
      <c r="T314" s="7">
        <v>0</v>
      </c>
      <c r="U314" s="8">
        <f>IFERROR(T314/T444, "NA")</f>
        <v>0</v>
      </c>
      <c r="V314" s="9"/>
      <c r="W314" s="10">
        <f t="shared" si="78"/>
        <v>0</v>
      </c>
      <c r="X314" s="8">
        <f>IFERROR(W314/W444, "NA")</f>
        <v>0</v>
      </c>
      <c r="Y314" s="9"/>
      <c r="Z314" s="7">
        <v>0</v>
      </c>
      <c r="AA314" s="8">
        <f>IFERROR(Z314/Z444, "NA")</f>
        <v>0</v>
      </c>
      <c r="AB314" s="9"/>
      <c r="AC314" s="10">
        <f t="shared" si="79"/>
        <v>0</v>
      </c>
      <c r="AD314" s="8">
        <f>IFERROR(AC314/AC444, "NA")</f>
        <v>0</v>
      </c>
    </row>
    <row r="315" spans="1:30" ht="16.5" customHeight="1" x14ac:dyDescent="0.45">
      <c r="A315" s="6" t="s">
        <v>287</v>
      </c>
      <c r="B315" s="7">
        <v>1690.37</v>
      </c>
      <c r="C315" s="8">
        <f>IFERROR(B315/B444, "NA")</f>
        <v>3.8854426860598997E-3</v>
      </c>
      <c r="D315" s="9"/>
      <c r="E315" s="7">
        <v>1190.82</v>
      </c>
      <c r="F315" s="8">
        <f>IFERROR(E315/E444, "NA")</f>
        <v>2.6538850861205564E-3</v>
      </c>
      <c r="G315" s="9"/>
      <c r="H315" s="10">
        <f t="shared" si="76"/>
        <v>-499.54999999999995</v>
      </c>
      <c r="I315" s="8">
        <f>IFERROR(H315/H444, "NA")</f>
        <v>3.6580722168115254E-2</v>
      </c>
      <c r="J315" s="9"/>
      <c r="K315" s="7">
        <v>1249.6300000000001</v>
      </c>
      <c r="L315" s="8">
        <f>IFERROR(K315/K444, "NA")</f>
        <v>2.8690492964351293E-3</v>
      </c>
      <c r="M315" s="9"/>
      <c r="N315" s="10">
        <f t="shared" si="77"/>
        <v>-440.73999999999978</v>
      </c>
      <c r="O315" s="8">
        <f>IFERROR(N315/N444, "NA")</f>
        <v>0.8756481831005215</v>
      </c>
      <c r="P315" s="9"/>
      <c r="Q315" s="7">
        <v>1690.37</v>
      </c>
      <c r="R315" s="8">
        <f>IFERROR(Q315/Q444, "NA")</f>
        <v>3.8854426860598997E-3</v>
      </c>
      <c r="S315" s="9"/>
      <c r="T315" s="7">
        <v>1190.82</v>
      </c>
      <c r="U315" s="8">
        <f>IFERROR(T315/T444, "NA")</f>
        <v>2.6538850861205564E-3</v>
      </c>
      <c r="V315" s="9"/>
      <c r="W315" s="10">
        <f t="shared" si="78"/>
        <v>-499.54999999999995</v>
      </c>
      <c r="X315" s="8">
        <f>IFERROR(W315/W444, "NA")</f>
        <v>3.6580722168115254E-2</v>
      </c>
      <c r="Y315" s="9"/>
      <c r="Z315" s="7">
        <v>1249.6300000000001</v>
      </c>
      <c r="AA315" s="8">
        <f>IFERROR(Z315/Z444, "NA")</f>
        <v>2.8690492964351293E-3</v>
      </c>
      <c r="AB315" s="9"/>
      <c r="AC315" s="10">
        <f t="shared" si="79"/>
        <v>-440.73999999999978</v>
      </c>
      <c r="AD315" s="8">
        <f>IFERROR(AC315/AC444, "NA")</f>
        <v>0.8756481831005215</v>
      </c>
    </row>
    <row r="316" spans="1:30" ht="16.5" hidden="1" customHeight="1" x14ac:dyDescent="0.45">
      <c r="A316" s="6" t="s">
        <v>288</v>
      </c>
      <c r="B316" s="7">
        <v>0</v>
      </c>
      <c r="C316" s="8">
        <f>IFERROR(B316/B444, "NA")</f>
        <v>0</v>
      </c>
      <c r="D316" s="9"/>
      <c r="E316" s="7">
        <v>0</v>
      </c>
      <c r="F316" s="8">
        <f>IFERROR(E316/E444, "NA")</f>
        <v>0</v>
      </c>
      <c r="G316" s="9"/>
      <c r="H316" s="10">
        <f t="shared" si="76"/>
        <v>0</v>
      </c>
      <c r="I316" s="8">
        <f>IFERROR(H316/H444, "NA")</f>
        <v>0</v>
      </c>
      <c r="J316" s="9"/>
      <c r="K316" s="7">
        <v>0</v>
      </c>
      <c r="L316" s="8">
        <f>IFERROR(K316/K444, "NA")</f>
        <v>0</v>
      </c>
      <c r="M316" s="9"/>
      <c r="N316" s="10">
        <f t="shared" si="77"/>
        <v>0</v>
      </c>
      <c r="O316" s="8">
        <f>IFERROR(N316/N444, "NA")</f>
        <v>0</v>
      </c>
      <c r="P316" s="9"/>
      <c r="Q316" s="7">
        <v>0</v>
      </c>
      <c r="R316" s="8">
        <f>IFERROR(Q316/Q444, "NA")</f>
        <v>0</v>
      </c>
      <c r="S316" s="9"/>
      <c r="T316" s="7">
        <v>0</v>
      </c>
      <c r="U316" s="8">
        <f>IFERROR(T316/T444, "NA")</f>
        <v>0</v>
      </c>
      <c r="V316" s="9"/>
      <c r="W316" s="10">
        <f t="shared" si="78"/>
        <v>0</v>
      </c>
      <c r="X316" s="8">
        <f>IFERROR(W316/W444, "NA")</f>
        <v>0</v>
      </c>
      <c r="Y316" s="9"/>
      <c r="Z316" s="7">
        <v>0</v>
      </c>
      <c r="AA316" s="8">
        <f>IFERROR(Z316/Z444, "NA")</f>
        <v>0</v>
      </c>
      <c r="AB316" s="9"/>
      <c r="AC316" s="10">
        <f t="shared" si="79"/>
        <v>0</v>
      </c>
      <c r="AD316" s="8">
        <f>IFERROR(AC316/AC444, "NA")</f>
        <v>0</v>
      </c>
    </row>
    <row r="317" spans="1:30" ht="16.5" hidden="1" customHeight="1" x14ac:dyDescent="0.45">
      <c r="A317" s="6" t="s">
        <v>289</v>
      </c>
      <c r="B317" s="7">
        <v>0</v>
      </c>
      <c r="C317" s="8">
        <f>IFERROR(B317/B444, "NA")</f>
        <v>0</v>
      </c>
      <c r="D317" s="9"/>
      <c r="E317" s="7">
        <v>0</v>
      </c>
      <c r="F317" s="8">
        <f>IFERROR(E317/E444, "NA")</f>
        <v>0</v>
      </c>
      <c r="G317" s="9"/>
      <c r="H317" s="10">
        <f t="shared" si="76"/>
        <v>0</v>
      </c>
      <c r="I317" s="8">
        <f>IFERROR(H317/H444, "NA")</f>
        <v>0</v>
      </c>
      <c r="J317" s="9"/>
      <c r="K317" s="7">
        <v>0</v>
      </c>
      <c r="L317" s="8">
        <f>IFERROR(K317/K444, "NA")</f>
        <v>0</v>
      </c>
      <c r="M317" s="9"/>
      <c r="N317" s="10">
        <f t="shared" si="77"/>
        <v>0</v>
      </c>
      <c r="O317" s="8">
        <f>IFERROR(N317/N444, "NA")</f>
        <v>0</v>
      </c>
      <c r="P317" s="9"/>
      <c r="Q317" s="7">
        <v>0</v>
      </c>
      <c r="R317" s="8">
        <f>IFERROR(Q317/Q444, "NA")</f>
        <v>0</v>
      </c>
      <c r="S317" s="9"/>
      <c r="T317" s="7">
        <v>0</v>
      </c>
      <c r="U317" s="8">
        <f>IFERROR(T317/T444, "NA")</f>
        <v>0</v>
      </c>
      <c r="V317" s="9"/>
      <c r="W317" s="10">
        <f t="shared" si="78"/>
        <v>0</v>
      </c>
      <c r="X317" s="8">
        <f>IFERROR(W317/W444, "NA")</f>
        <v>0</v>
      </c>
      <c r="Y317" s="9"/>
      <c r="Z317" s="7">
        <v>0</v>
      </c>
      <c r="AA317" s="8">
        <f>IFERROR(Z317/Z444, "NA")</f>
        <v>0</v>
      </c>
      <c r="AB317" s="9"/>
      <c r="AC317" s="10">
        <f t="shared" si="79"/>
        <v>0</v>
      </c>
      <c r="AD317" s="8">
        <f>IFERROR(AC317/AC444, "NA")</f>
        <v>0</v>
      </c>
    </row>
    <row r="318" spans="1:30" ht="16.5" customHeight="1" x14ac:dyDescent="0.45">
      <c r="A318" s="6" t="s">
        <v>290</v>
      </c>
      <c r="B318" s="7">
        <v>1319.75</v>
      </c>
      <c r="C318" s="8">
        <f>IFERROR(B318/B444, "NA")</f>
        <v>3.0335447179774561E-3</v>
      </c>
      <c r="D318" s="9"/>
      <c r="E318" s="7">
        <v>1321</v>
      </c>
      <c r="F318" s="8">
        <f>IFERROR(E318/E444, "NA")</f>
        <v>2.9440068177938356E-3</v>
      </c>
      <c r="G318" s="9"/>
      <c r="H318" s="10">
        <f t="shared" si="76"/>
        <v>1.25</v>
      </c>
      <c r="I318" s="8">
        <f>IFERROR(H318/H444, "NA")</f>
        <v>-9.1534186187857214E-5</v>
      </c>
      <c r="J318" s="9"/>
      <c r="K318" s="7">
        <v>1319.75</v>
      </c>
      <c r="L318" s="8">
        <f>IFERROR(K318/K444, "NA")</f>
        <v>3.0300391387612824E-3</v>
      </c>
      <c r="M318" s="9"/>
      <c r="N318" s="10">
        <f t="shared" si="77"/>
        <v>0</v>
      </c>
      <c r="O318" s="8">
        <f>IFERROR(N318/N444, "NA")</f>
        <v>0</v>
      </c>
      <c r="P318" s="9"/>
      <c r="Q318" s="7">
        <v>1319.75</v>
      </c>
      <c r="R318" s="8">
        <f>IFERROR(Q318/Q444, "NA")</f>
        <v>3.0335447179774561E-3</v>
      </c>
      <c r="S318" s="9"/>
      <c r="T318" s="7">
        <v>1321</v>
      </c>
      <c r="U318" s="8">
        <f>IFERROR(T318/T444, "NA")</f>
        <v>2.9440068177938356E-3</v>
      </c>
      <c r="V318" s="9"/>
      <c r="W318" s="10">
        <f t="shared" si="78"/>
        <v>1.25</v>
      </c>
      <c r="X318" s="8">
        <f>IFERROR(W318/W444, "NA")</f>
        <v>-9.1534186187857214E-5</v>
      </c>
      <c r="Y318" s="9"/>
      <c r="Z318" s="7">
        <v>1319.75</v>
      </c>
      <c r="AA318" s="8">
        <f>IFERROR(Z318/Z444, "NA")</f>
        <v>3.0300391387612824E-3</v>
      </c>
      <c r="AB318" s="9"/>
      <c r="AC318" s="10">
        <f t="shared" si="79"/>
        <v>0</v>
      </c>
      <c r="AD318" s="8">
        <f>IFERROR(AC318/AC444, "NA")</f>
        <v>0</v>
      </c>
    </row>
    <row r="319" spans="1:30" ht="16.5" customHeight="1" x14ac:dyDescent="0.45">
      <c r="A319" s="6" t="s">
        <v>291</v>
      </c>
      <c r="B319" s="7">
        <v>1269.8600000000001</v>
      </c>
      <c r="C319" s="8">
        <f>IFERROR(B319/B444, "NA")</f>
        <v>2.918868797553213E-3</v>
      </c>
      <c r="D319" s="9"/>
      <c r="E319" s="7">
        <v>1241</v>
      </c>
      <c r="F319" s="8">
        <f>IFERROR(E319/E444, "NA")</f>
        <v>2.7657172300394775E-3</v>
      </c>
      <c r="G319" s="9"/>
      <c r="H319" s="10">
        <f t="shared" si="76"/>
        <v>-28.860000000000127</v>
      </c>
      <c r="I319" s="8">
        <f>IFERROR(H319/H444, "NA")</f>
        <v>2.1133412907052567E-3</v>
      </c>
      <c r="J319" s="9"/>
      <c r="K319" s="7">
        <v>1120.46</v>
      </c>
      <c r="L319" s="8">
        <f>IFERROR(K319/K444, "NA")</f>
        <v>2.5724854354358525E-3</v>
      </c>
      <c r="M319" s="9"/>
      <c r="N319" s="10">
        <f t="shared" si="77"/>
        <v>-149.40000000000009</v>
      </c>
      <c r="O319" s="8">
        <f>IFERROR(N319/N444, "NA")</f>
        <v>0.29682315776924734</v>
      </c>
      <c r="P319" s="9"/>
      <c r="Q319" s="7">
        <v>1269.8600000000001</v>
      </c>
      <c r="R319" s="8">
        <f>IFERROR(Q319/Q444, "NA")</f>
        <v>2.918868797553213E-3</v>
      </c>
      <c r="S319" s="9"/>
      <c r="T319" s="7">
        <v>1241</v>
      </c>
      <c r="U319" s="8">
        <f>IFERROR(T319/T444, "NA")</f>
        <v>2.7657172300394775E-3</v>
      </c>
      <c r="V319" s="9"/>
      <c r="W319" s="10">
        <f t="shared" si="78"/>
        <v>-28.860000000000127</v>
      </c>
      <c r="X319" s="8">
        <f>IFERROR(W319/W444, "NA")</f>
        <v>2.1133412907052567E-3</v>
      </c>
      <c r="Y319" s="9"/>
      <c r="Z319" s="7">
        <v>1120.46</v>
      </c>
      <c r="AA319" s="8">
        <f>IFERROR(Z319/Z444, "NA")</f>
        <v>2.5724854354358525E-3</v>
      </c>
      <c r="AB319" s="9"/>
      <c r="AC319" s="10">
        <f t="shared" si="79"/>
        <v>-149.40000000000009</v>
      </c>
      <c r="AD319" s="8">
        <f>IFERROR(AC319/AC444, "NA")</f>
        <v>0.29682315776924734</v>
      </c>
    </row>
    <row r="320" spans="1:30" ht="16.5" customHeight="1" x14ac:dyDescent="0.45">
      <c r="A320" s="6" t="s">
        <v>292</v>
      </c>
      <c r="B320" s="7">
        <v>6956.7199999999993</v>
      </c>
      <c r="C320" s="8">
        <f>IFERROR(B320/B444, "NA")</f>
        <v>1.5990544580752511E-2</v>
      </c>
      <c r="D320" s="9"/>
      <c r="E320" s="7">
        <v>5783</v>
      </c>
      <c r="F320" s="8">
        <f>IFERROR(E320/E444, "NA")</f>
        <v>1.2888108574793151E-2</v>
      </c>
      <c r="G320" s="9"/>
      <c r="H320" s="10">
        <f t="shared" si="76"/>
        <v>-1173.7199999999993</v>
      </c>
      <c r="I320" s="8">
        <f>IFERROR(H320/H444, "NA")</f>
        <v>8.5948404009929355E-2</v>
      </c>
      <c r="J320" s="9"/>
      <c r="K320" s="7">
        <v>5142.41</v>
      </c>
      <c r="L320" s="8">
        <f>IFERROR(K320/K444, "NA")</f>
        <v>1.1806556974849333E-2</v>
      </c>
      <c r="M320" s="9"/>
      <c r="N320" s="10">
        <f t="shared" si="77"/>
        <v>-1814.3099999999995</v>
      </c>
      <c r="O320" s="8">
        <f>IFERROR(N320/N444, "NA")</f>
        <v>3.6046132755844886</v>
      </c>
      <c r="P320" s="9"/>
      <c r="Q320" s="7">
        <v>6956.7199999999993</v>
      </c>
      <c r="R320" s="8">
        <f>IFERROR(Q320/Q444, "NA")</f>
        <v>1.5990544580752511E-2</v>
      </c>
      <c r="S320" s="9"/>
      <c r="T320" s="7">
        <v>5783</v>
      </c>
      <c r="U320" s="8">
        <f>IFERROR(T320/T444, "NA")</f>
        <v>1.2888108574793151E-2</v>
      </c>
      <c r="V320" s="9"/>
      <c r="W320" s="10">
        <f t="shared" si="78"/>
        <v>-1173.7199999999993</v>
      </c>
      <c r="X320" s="8">
        <f>IFERROR(W320/W444, "NA")</f>
        <v>8.5948404009929355E-2</v>
      </c>
      <c r="Y320" s="9"/>
      <c r="Z320" s="7">
        <v>5142.41</v>
      </c>
      <c r="AA320" s="8">
        <f>IFERROR(Z320/Z444, "NA")</f>
        <v>1.1806556974849333E-2</v>
      </c>
      <c r="AB320" s="9"/>
      <c r="AC320" s="10">
        <f t="shared" si="79"/>
        <v>-1814.3099999999995</v>
      </c>
      <c r="AD320" s="8">
        <f>IFERROR(AC320/AC444, "NA")</f>
        <v>3.6046132755844886</v>
      </c>
    </row>
    <row r="321" spans="1:30" ht="16.5" customHeight="1" x14ac:dyDescent="0.45">
      <c r="A321" s="6" t="s">
        <v>293</v>
      </c>
      <c r="B321" s="7">
        <v>5308.03</v>
      </c>
      <c r="C321" s="8">
        <f>IFERROR(B321/B444, "NA")</f>
        <v>1.2200906512116595E-2</v>
      </c>
      <c r="D321" s="9"/>
      <c r="E321" s="7">
        <v>5366.49</v>
      </c>
      <c r="F321" s="8">
        <f>IFERROR(E321/E444, "NA")</f>
        <v>1.1959866122348554E-2</v>
      </c>
      <c r="G321" s="9"/>
      <c r="H321" s="10">
        <f t="shared" si="76"/>
        <v>58.460000000000036</v>
      </c>
      <c r="I321" s="8">
        <f>IFERROR(H321/H444, "NA")</f>
        <v>-4.2808708196337081E-3</v>
      </c>
      <c r="J321" s="9"/>
      <c r="K321" s="7">
        <v>12423.76</v>
      </c>
      <c r="L321" s="8">
        <f>IFERROR(K321/K444, "NA")</f>
        <v>2.8523946997974517E-2</v>
      </c>
      <c r="M321" s="9"/>
      <c r="N321" s="10">
        <f t="shared" si="77"/>
        <v>7115.7300000000005</v>
      </c>
      <c r="O321" s="8">
        <f>IFERROR(N321/N444, "NA")</f>
        <v>-14.137305545069378</v>
      </c>
      <c r="P321" s="9"/>
      <c r="Q321" s="7">
        <v>5308.03</v>
      </c>
      <c r="R321" s="8">
        <f>IFERROR(Q321/Q444, "NA")</f>
        <v>1.2200906512116595E-2</v>
      </c>
      <c r="S321" s="9"/>
      <c r="T321" s="7">
        <v>5366.49</v>
      </c>
      <c r="U321" s="8">
        <f>IFERROR(T321/T444, "NA")</f>
        <v>1.1959866122348554E-2</v>
      </c>
      <c r="V321" s="9"/>
      <c r="W321" s="10">
        <f t="shared" si="78"/>
        <v>58.460000000000036</v>
      </c>
      <c r="X321" s="8">
        <f>IFERROR(W321/W444, "NA")</f>
        <v>-4.2808708196337081E-3</v>
      </c>
      <c r="Y321" s="9"/>
      <c r="Z321" s="7">
        <v>12423.76</v>
      </c>
      <c r="AA321" s="8">
        <f>IFERROR(Z321/Z444, "NA")</f>
        <v>2.8523946997974517E-2</v>
      </c>
      <c r="AB321" s="9"/>
      <c r="AC321" s="10">
        <f t="shared" si="79"/>
        <v>7115.7300000000005</v>
      </c>
      <c r="AD321" s="8">
        <f>IFERROR(AC321/AC444, "NA")</f>
        <v>-14.137305545069378</v>
      </c>
    </row>
    <row r="322" spans="1:30" ht="16.5" customHeight="1" x14ac:dyDescent="0.45">
      <c r="A322" s="6" t="s">
        <v>294</v>
      </c>
      <c r="B322" s="7">
        <v>1694.8300000000002</v>
      </c>
      <c r="C322" s="8">
        <f>IFERROR(B322/B444, "NA")</f>
        <v>3.895694331782332E-3</v>
      </c>
      <c r="D322" s="9"/>
      <c r="E322" s="7">
        <v>1413</v>
      </c>
      <c r="F322" s="8">
        <f>IFERROR(E322/E444, "NA")</f>
        <v>3.1490398437113475E-3</v>
      </c>
      <c r="G322" s="9"/>
      <c r="H322" s="10">
        <f t="shared" si="76"/>
        <v>-281.83000000000015</v>
      </c>
      <c r="I322" s="8">
        <f>IFERROR(H322/H444, "NA")</f>
        <v>2.0637663754659048E-2</v>
      </c>
      <c r="J322" s="9"/>
      <c r="K322" s="7">
        <v>1076.0999999999999</v>
      </c>
      <c r="L322" s="8">
        <f>IFERROR(K322/K444, "NA")</f>
        <v>2.4706384673013949E-3</v>
      </c>
      <c r="M322" s="9"/>
      <c r="N322" s="10">
        <f t="shared" si="77"/>
        <v>-618.73000000000025</v>
      </c>
      <c r="O322" s="8">
        <f>IFERROR(N322/N444, "NA")</f>
        <v>1.2292730415432822</v>
      </c>
      <c r="P322" s="9"/>
      <c r="Q322" s="7">
        <v>1694.8300000000002</v>
      </c>
      <c r="R322" s="8">
        <f>IFERROR(Q322/Q444, "NA")</f>
        <v>3.895694331782332E-3</v>
      </c>
      <c r="S322" s="9"/>
      <c r="T322" s="7">
        <v>1413</v>
      </c>
      <c r="U322" s="8">
        <f>IFERROR(T322/T444, "NA")</f>
        <v>3.1490398437113475E-3</v>
      </c>
      <c r="V322" s="9"/>
      <c r="W322" s="10">
        <f t="shared" si="78"/>
        <v>-281.83000000000015</v>
      </c>
      <c r="X322" s="8">
        <f>IFERROR(W322/W444, "NA")</f>
        <v>2.0637663754659048E-2</v>
      </c>
      <c r="Y322" s="9"/>
      <c r="Z322" s="7">
        <v>1076.0999999999999</v>
      </c>
      <c r="AA322" s="8">
        <f>IFERROR(Z322/Z444, "NA")</f>
        <v>2.4706384673013949E-3</v>
      </c>
      <c r="AB322" s="9"/>
      <c r="AC322" s="10">
        <f t="shared" si="79"/>
        <v>-618.73000000000025</v>
      </c>
      <c r="AD322" s="8">
        <f>IFERROR(AC322/AC444, "NA")</f>
        <v>1.2292730415432822</v>
      </c>
    </row>
    <row r="323" spans="1:30" ht="16.5" customHeight="1" x14ac:dyDescent="0.45">
      <c r="A323" s="6" t="s">
        <v>295</v>
      </c>
      <c r="B323" s="7">
        <v>0.01</v>
      </c>
      <c r="C323" s="8">
        <f>IFERROR(B323/B444, "NA")</f>
        <v>2.2985752740878624E-8</v>
      </c>
      <c r="D323" s="9"/>
      <c r="E323" s="7">
        <v>0</v>
      </c>
      <c r="F323" s="8">
        <f>IFERROR(E323/E444, "NA")</f>
        <v>0</v>
      </c>
      <c r="G323" s="9"/>
      <c r="H323" s="10">
        <f t="shared" si="76"/>
        <v>-0.01</v>
      </c>
      <c r="I323" s="8">
        <f>IFERROR(H323/H444, "NA")</f>
        <v>7.3227348950285766E-7</v>
      </c>
      <c r="J323" s="9"/>
      <c r="K323" s="7">
        <v>0</v>
      </c>
      <c r="L323" s="8">
        <f>IFERROR(K323/K444, "NA")</f>
        <v>0</v>
      </c>
      <c r="M323" s="9"/>
      <c r="N323" s="10">
        <f t="shared" si="77"/>
        <v>-0.01</v>
      </c>
      <c r="O323" s="8">
        <f>IFERROR(N323/N444, "NA")</f>
        <v>1.9867681242921495E-5</v>
      </c>
      <c r="P323" s="9"/>
      <c r="Q323" s="7">
        <v>0.01</v>
      </c>
      <c r="R323" s="8">
        <f>IFERROR(Q323/Q444, "NA")</f>
        <v>2.2985752740878624E-8</v>
      </c>
      <c r="S323" s="9"/>
      <c r="T323" s="7">
        <v>0</v>
      </c>
      <c r="U323" s="8">
        <f>IFERROR(T323/T444, "NA")</f>
        <v>0</v>
      </c>
      <c r="V323" s="9"/>
      <c r="W323" s="10">
        <f t="shared" si="78"/>
        <v>-0.01</v>
      </c>
      <c r="X323" s="8">
        <f>IFERROR(W323/W444, "NA")</f>
        <v>7.3227348950285766E-7</v>
      </c>
      <c r="Y323" s="9"/>
      <c r="Z323" s="7">
        <v>0</v>
      </c>
      <c r="AA323" s="8">
        <f>IFERROR(Z323/Z444, "NA")</f>
        <v>0</v>
      </c>
      <c r="AB323" s="9"/>
      <c r="AC323" s="10">
        <f t="shared" si="79"/>
        <v>-0.01</v>
      </c>
      <c r="AD323" s="8">
        <f>IFERROR(AC323/AC444, "NA")</f>
        <v>1.9867681242921495E-5</v>
      </c>
    </row>
    <row r="324" spans="1:30" ht="16.5" customHeight="1" x14ac:dyDescent="0.45">
      <c r="A324" s="19" t="s">
        <v>296</v>
      </c>
      <c r="B324" s="14">
        <f>IFERROR(B297+B298+B299+B300+B301+B302+B303+B304+B305+B306+B307+B308+B309+B310+B311+B312+B313+B314+B315+B316+B317+B318+B319+B320+B321+B322+B323, "NA")</f>
        <v>22300.3</v>
      </c>
      <c r="C324" s="15">
        <f>IFERROR(B324/B444, "NA")</f>
        <v>5.1258918184741556E-2</v>
      </c>
      <c r="D324" s="2"/>
      <c r="E324" s="14">
        <f>IFERROR(E297+E298+E299+E300+E301+E302+E303+E304+E305+E306+E307+E308+E309+E310+E311+E312+E313+E314+E315+E316+E317+E318+E319+E320+E321+E322+E323, "NA")</f>
        <v>19284.309999999998</v>
      </c>
      <c r="F324" s="15">
        <f>IFERROR(E324/E444, "NA")</f>
        <v>4.2977396000340527E-2</v>
      </c>
      <c r="G324" s="2"/>
      <c r="H324" s="14">
        <f t="shared" si="76"/>
        <v>-3015.9900000000016</v>
      </c>
      <c r="I324" s="15">
        <f>IFERROR(H324/H444, "NA")</f>
        <v>0.22085295216057249</v>
      </c>
      <c r="J324" s="2"/>
      <c r="K324" s="14">
        <f>IFERROR(K297+K298+K299+K300+K301+K302+K303+K304+K305+K306+K307+K308+K309+K310+K311+K312+K313+K314+K315+K316+K317+K318+K319+K320+K321+K322+K323, "NA")</f>
        <v>25137.39</v>
      </c>
      <c r="L324" s="15">
        <f>IFERROR(K324/K444, "NA")</f>
        <v>5.7713412044937656E-2</v>
      </c>
      <c r="M324" s="2"/>
      <c r="N324" s="14">
        <f t="shared" si="77"/>
        <v>2837.09</v>
      </c>
      <c r="O324" s="15">
        <f>IFERROR(N324/N444, "NA")</f>
        <v>-5.6366399777480147</v>
      </c>
      <c r="P324" s="2"/>
      <c r="Q324" s="14">
        <f>IFERROR(Q297+Q298+Q299+Q300+Q301+Q302+Q303+Q304+Q305+Q306+Q307+Q308+Q309+Q310+Q311+Q312+Q313+Q314+Q315+Q316+Q317+Q318+Q319+Q320+Q321+Q322+Q323, "NA")</f>
        <v>22300.3</v>
      </c>
      <c r="R324" s="15">
        <f>IFERROR(Q324/Q444, "NA")</f>
        <v>5.1258918184741556E-2</v>
      </c>
      <c r="S324" s="2"/>
      <c r="T324" s="14">
        <f>IFERROR(T297+T298+T299+T300+T301+T302+T303+T304+T305+T306+T307+T308+T309+T310+T311+T312+T313+T314+T315+T316+T317+T318+T319+T320+T321+T322+T323, "NA")</f>
        <v>19284.309999999998</v>
      </c>
      <c r="U324" s="15">
        <f>IFERROR(T324/T444, "NA")</f>
        <v>4.2977396000340527E-2</v>
      </c>
      <c r="V324" s="2"/>
      <c r="W324" s="14">
        <f t="shared" si="78"/>
        <v>-3015.9900000000016</v>
      </c>
      <c r="X324" s="15">
        <f>IFERROR(W324/W444, "NA")</f>
        <v>0.22085295216057249</v>
      </c>
      <c r="Y324" s="2"/>
      <c r="Z324" s="14">
        <f>IFERROR(Z297+Z298+Z299+Z300+Z301+Z302+Z303+Z304+Z305+Z306+Z307+Z308+Z309+Z310+Z311+Z312+Z313+Z314+Z315+Z316+Z317+Z318+Z319+Z320+Z321+Z322+Z323, "NA")</f>
        <v>25137.39</v>
      </c>
      <c r="AA324" s="15">
        <f>IFERROR(Z324/Z444, "NA")</f>
        <v>5.7713412044937656E-2</v>
      </c>
      <c r="AB324" s="2"/>
      <c r="AC324" s="14">
        <f t="shared" si="79"/>
        <v>2837.09</v>
      </c>
      <c r="AD324" s="15">
        <f>IFERROR(AC324/AC444, "NA")</f>
        <v>-5.6366399777480147</v>
      </c>
    </row>
    <row r="325" spans="1:30" ht="16.5" customHeight="1" x14ac:dyDescent="0.45">
      <c r="A325" s="21" t="s">
        <v>297</v>
      </c>
      <c r="B325" s="14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265+B266+B269+B270+B271+B272+B275+B276+B277+B278+B279+B280+B281+B282+B283+B286+B287+B288+B289+B290+B291+B292+B293+B294+B297+B298+B299+B300+B301+B302+B303+B304+B305+B306+B307+B308+B309+B310+B311+B312+B313+B314+B315+B316+B317+B318+B319+B320+B321+B322+B323, "NA")</f>
        <v>123524.33</v>
      </c>
      <c r="C325" s="15">
        <f>IFERROR(B325/B444, "NA")</f>
        <v>0.28392997068626957</v>
      </c>
      <c r="D325" s="2"/>
      <c r="E325" s="14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265+E266+E269+E270+E271+E272+E275+E276+E277+E278+E279+E280+E281+E282+E283+E286+E287+E288+E289+E290+E291+E292+E293+E294+E297+E298+E299+E300+E301+E302+E303+E304+E305+E306+E307+E308+E309+E310+E311+E312+E313+E314+E315+E316+E317+E318+E319+E320+E321+E322+E323, "NA")</f>
        <v>111257.63000000002</v>
      </c>
      <c r="F325" s="15">
        <f>IFERROR(E325/E444, "NA")</f>
        <v>0.24795096234033615</v>
      </c>
      <c r="G325" s="2"/>
      <c r="H325" s="14">
        <f t="shared" si="76"/>
        <v>-12266.699999999983</v>
      </c>
      <c r="I325" s="15">
        <f>IFERROR(H325/H444, "NA")</f>
        <v>0.89825792136846916</v>
      </c>
      <c r="J325" s="2"/>
      <c r="K325" s="14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265+K266+K269+K270+K271+K272+K275+K276+K277+K278+K279+K280+K281+K282+K283+K286+K287+K288+K289+K290+K291+K292+K293+K294+K297+K298+K299+K300+K301+K302+K303+K304+K305+K306+K307+K308+K309+K310+K311+K312+K313+K314+K315+K316+K317+K318+K319+K320+K321+K322+K323, "NA")</f>
        <v>131391.24000000002</v>
      </c>
      <c r="L325" s="15">
        <f>IFERROR(K325/K444, "NA")</f>
        <v>0.30166364818365371</v>
      </c>
      <c r="M325" s="2"/>
      <c r="N325" s="14">
        <f t="shared" si="77"/>
        <v>7866.910000000018</v>
      </c>
      <c r="O325" s="15">
        <f>IFERROR(N325/N444, "NA")</f>
        <v>-15.62972602467519</v>
      </c>
      <c r="P325" s="2"/>
      <c r="Q325" s="14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265+Q266+Q269+Q270+Q271+Q272+Q275+Q276+Q277+Q278+Q279+Q280+Q281+Q282+Q283+Q286+Q287+Q288+Q289+Q290+Q291+Q292+Q293+Q294+Q297+Q298+Q299+Q300+Q301+Q302+Q303+Q304+Q305+Q306+Q307+Q308+Q309+Q310+Q311+Q312+Q313+Q314+Q315+Q316+Q317+Q318+Q319+Q320+Q321+Q322+Q323, "NA")</f>
        <v>123524.33</v>
      </c>
      <c r="R325" s="15">
        <f>IFERROR(Q325/Q444, "NA")</f>
        <v>0.28392997068626957</v>
      </c>
      <c r="S325" s="2"/>
      <c r="T325" s="14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265+T266+T269+T270+T271+T272+T275+T276+T277+T278+T279+T280+T281+T282+T283+T286+T287+T288+T289+T290+T291+T292+T293+T294+T297+T298+T299+T300+T301+T302+T303+T304+T305+T306+T307+T308+T309+T310+T311+T312+T313+T314+T315+T316+T317+T318+T319+T320+T321+T322+T323, "NA")</f>
        <v>111257.63000000002</v>
      </c>
      <c r="U325" s="15">
        <f>IFERROR(T325/T444, "NA")</f>
        <v>0.24795096234033615</v>
      </c>
      <c r="V325" s="2"/>
      <c r="W325" s="14">
        <f t="shared" si="78"/>
        <v>-12266.699999999983</v>
      </c>
      <c r="X325" s="15">
        <f>IFERROR(W325/W444, "NA")</f>
        <v>0.89825792136846916</v>
      </c>
      <c r="Y325" s="2"/>
      <c r="Z325" s="14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265+Z266+Z269+Z270+Z271+Z272+Z275+Z276+Z277+Z278+Z279+Z280+Z281+Z282+Z283+Z286+Z287+Z288+Z289+Z290+Z291+Z292+Z293+Z294+Z297+Z298+Z299+Z300+Z301+Z302+Z303+Z304+Z305+Z306+Z307+Z308+Z309+Z310+Z311+Z312+Z313+Z314+Z315+Z316+Z317+Z318+Z319+Z320+Z321+Z322+Z323, "NA")</f>
        <v>131391.24000000002</v>
      </c>
      <c r="AA325" s="15">
        <f>IFERROR(Z325/Z444, "NA")</f>
        <v>0.30166364818365371</v>
      </c>
      <c r="AB325" s="2"/>
      <c r="AC325" s="14">
        <f t="shared" si="79"/>
        <v>7866.910000000018</v>
      </c>
      <c r="AD325" s="15">
        <f>IFERROR(AC325/AC444, "NA")</f>
        <v>-15.62972602467519</v>
      </c>
    </row>
    <row r="326" spans="1:30" ht="16.5" customHeight="1" x14ac:dyDescent="0.45">
      <c r="A326" s="1" t="s">
        <v>298</v>
      </c>
      <c r="B326" s="2"/>
      <c r="C326" s="3"/>
      <c r="D326" s="4"/>
      <c r="E326" s="2"/>
      <c r="F326" s="3"/>
      <c r="G326" s="4"/>
      <c r="H326" s="2"/>
      <c r="I326" s="3"/>
      <c r="J326" s="4"/>
      <c r="K326" s="2"/>
      <c r="L326" s="3"/>
      <c r="M326" s="4"/>
      <c r="N326" s="2"/>
      <c r="O326" s="3"/>
      <c r="P326" s="4"/>
      <c r="Q326" s="2"/>
      <c r="R326" s="3"/>
      <c r="S326" s="4"/>
      <c r="T326" s="2"/>
      <c r="U326" s="3"/>
      <c r="V326" s="4"/>
      <c r="W326" s="2"/>
      <c r="X326" s="3"/>
      <c r="Y326" s="4"/>
      <c r="Z326" s="2"/>
      <c r="AA326" s="3"/>
      <c r="AB326" s="4"/>
      <c r="AC326" s="2"/>
      <c r="AD326" s="3"/>
    </row>
    <row r="327" spans="1:30" ht="16.5" customHeight="1" x14ac:dyDescent="0.45">
      <c r="A327" s="5" t="s">
        <v>299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hidden="1" customHeight="1" x14ac:dyDescent="0.45">
      <c r="A328" s="6" t="s">
        <v>299</v>
      </c>
      <c r="B328" s="7">
        <v>0</v>
      </c>
      <c r="C328" s="8">
        <f>IFERROR(B328/B444, "NA")</f>
        <v>0</v>
      </c>
      <c r="D328" s="9"/>
      <c r="E328" s="7">
        <v>0</v>
      </c>
      <c r="F328" s="8">
        <f>IFERROR(E328/E444, "NA")</f>
        <v>0</v>
      </c>
      <c r="G328" s="9"/>
      <c r="H328" s="10">
        <f t="shared" ref="H328:H335" si="80">IFERROR(-(B328-E328), "NA")</f>
        <v>0</v>
      </c>
      <c r="I328" s="8">
        <f>IFERROR(H328/H444, "NA")</f>
        <v>0</v>
      </c>
      <c r="J328" s="9"/>
      <c r="K328" s="7">
        <v>0</v>
      </c>
      <c r="L328" s="8">
        <f>IFERROR(K328/K444, "NA")</f>
        <v>0</v>
      </c>
      <c r="M328" s="9"/>
      <c r="N328" s="10">
        <f t="shared" ref="N328:N335" si="81">IFERROR(-(B328-K328), "NA")</f>
        <v>0</v>
      </c>
      <c r="O328" s="8">
        <f>IFERROR(N328/N444, "NA")</f>
        <v>0</v>
      </c>
      <c r="P328" s="9"/>
      <c r="Q328" s="7">
        <v>0</v>
      </c>
      <c r="R328" s="8">
        <f>IFERROR(Q328/Q444, "NA")</f>
        <v>0</v>
      </c>
      <c r="S328" s="9"/>
      <c r="T328" s="7">
        <v>0</v>
      </c>
      <c r="U328" s="8">
        <f>IFERROR(T328/T444, "NA")</f>
        <v>0</v>
      </c>
      <c r="V328" s="9"/>
      <c r="W328" s="10">
        <f t="shared" ref="W328:W335" si="82">IFERROR(-(Q328-T328), "NA")</f>
        <v>0</v>
      </c>
      <c r="X328" s="8">
        <f>IFERROR(W328/W444, "NA")</f>
        <v>0</v>
      </c>
      <c r="Y328" s="9"/>
      <c r="Z328" s="7">
        <v>0</v>
      </c>
      <c r="AA328" s="8">
        <f>IFERROR(Z328/Z444, "NA")</f>
        <v>0</v>
      </c>
      <c r="AB328" s="9"/>
      <c r="AC328" s="10">
        <f t="shared" ref="AC328:AC335" si="83">IFERROR(-(Q328-Z328), "NA")</f>
        <v>0</v>
      </c>
      <c r="AD328" s="8">
        <f>IFERROR(AC328/AC444, "NA")</f>
        <v>0</v>
      </c>
    </row>
    <row r="329" spans="1:30" ht="16.5" customHeight="1" x14ac:dyDescent="0.45">
      <c r="A329" s="6" t="s">
        <v>300</v>
      </c>
      <c r="B329" s="7">
        <v>60203.63</v>
      </c>
      <c r="C329" s="8">
        <f>IFERROR(B329/B444, "NA")</f>
        <v>0.13838257532833423</v>
      </c>
      <c r="D329" s="9"/>
      <c r="E329" s="7">
        <v>60203.63</v>
      </c>
      <c r="F329" s="8">
        <f>IFERROR(E329/E444, "NA")</f>
        <v>0.13417100467519871</v>
      </c>
      <c r="G329" s="9"/>
      <c r="H329" s="10">
        <f t="shared" si="80"/>
        <v>0</v>
      </c>
      <c r="I329" s="8">
        <f>IFERROR(H329/H444, "NA")</f>
        <v>0</v>
      </c>
      <c r="J329" s="9"/>
      <c r="K329" s="7">
        <v>52829.58</v>
      </c>
      <c r="L329" s="8">
        <f>IFERROR(K329/K444, "NA")</f>
        <v>0.12129243802562627</v>
      </c>
      <c r="M329" s="9"/>
      <c r="N329" s="10">
        <f t="shared" si="81"/>
        <v>-7374.0499999999956</v>
      </c>
      <c r="O329" s="8">
        <f>IFERROR(N329/N444, "NA")</f>
        <v>14.650527486936516</v>
      </c>
      <c r="P329" s="9"/>
      <c r="Q329" s="7">
        <v>60203.63</v>
      </c>
      <c r="R329" s="8">
        <f>IFERROR(Q329/Q444, "NA")</f>
        <v>0.13838257532833423</v>
      </c>
      <c r="S329" s="9"/>
      <c r="T329" s="7">
        <v>60203.63</v>
      </c>
      <c r="U329" s="8">
        <f>IFERROR(T329/T444, "NA")</f>
        <v>0.13417100467519871</v>
      </c>
      <c r="V329" s="9"/>
      <c r="W329" s="10">
        <f t="shared" si="82"/>
        <v>0</v>
      </c>
      <c r="X329" s="8">
        <f>IFERROR(W329/W444, "NA")</f>
        <v>0</v>
      </c>
      <c r="Y329" s="9"/>
      <c r="Z329" s="7">
        <v>52829.58</v>
      </c>
      <c r="AA329" s="8">
        <f>IFERROR(Z329/Z444, "NA")</f>
        <v>0.12129243802562627</v>
      </c>
      <c r="AB329" s="9"/>
      <c r="AC329" s="10">
        <f t="shared" si="83"/>
        <v>-7374.0499999999956</v>
      </c>
      <c r="AD329" s="8">
        <f>IFERROR(AC329/AC444, "NA")</f>
        <v>14.650527486936516</v>
      </c>
    </row>
    <row r="330" spans="1:30" ht="16.5" customHeight="1" x14ac:dyDescent="0.45">
      <c r="A330" s="6" t="s">
        <v>301</v>
      </c>
      <c r="B330" s="7">
        <v>6433.13</v>
      </c>
      <c r="C330" s="8">
        <f>IFERROR(B330/B444, "NA")</f>
        <v>1.4787033552992849E-2</v>
      </c>
      <c r="D330" s="9"/>
      <c r="E330" s="7">
        <v>6433.13</v>
      </c>
      <c r="F330" s="8">
        <f>IFERROR(E330/E444, "NA")</f>
        <v>1.433700119587741E-2</v>
      </c>
      <c r="G330" s="9"/>
      <c r="H330" s="10">
        <f t="shared" si="80"/>
        <v>0</v>
      </c>
      <c r="I330" s="8">
        <f>IFERROR(H330/H444, "NA")</f>
        <v>0</v>
      </c>
      <c r="J330" s="9"/>
      <c r="K330" s="7">
        <v>6225.6100000000006</v>
      </c>
      <c r="L330" s="8">
        <f>IFERROR(K330/K444, "NA")</f>
        <v>1.4293496467257912E-2</v>
      </c>
      <c r="M330" s="9"/>
      <c r="N330" s="10">
        <f t="shared" si="81"/>
        <v>-207.51999999999953</v>
      </c>
      <c r="O330" s="8">
        <f>IFERROR(N330/N444, "NA")</f>
        <v>0.41229412115310593</v>
      </c>
      <c r="P330" s="9"/>
      <c r="Q330" s="7">
        <v>6433.13</v>
      </c>
      <c r="R330" s="8">
        <f>IFERROR(Q330/Q444, "NA")</f>
        <v>1.4787033552992849E-2</v>
      </c>
      <c r="S330" s="9"/>
      <c r="T330" s="7">
        <v>6433.13</v>
      </c>
      <c r="U330" s="8">
        <f>IFERROR(T330/T444, "NA")</f>
        <v>1.433700119587741E-2</v>
      </c>
      <c r="V330" s="9"/>
      <c r="W330" s="10">
        <f t="shared" si="82"/>
        <v>0</v>
      </c>
      <c r="X330" s="8">
        <f>IFERROR(W330/W444, "NA")</f>
        <v>0</v>
      </c>
      <c r="Y330" s="9"/>
      <c r="Z330" s="7">
        <v>6225.6100000000006</v>
      </c>
      <c r="AA330" s="8">
        <f>IFERROR(Z330/Z444, "NA")</f>
        <v>1.4293496467257912E-2</v>
      </c>
      <c r="AB330" s="9"/>
      <c r="AC330" s="10">
        <f t="shared" si="83"/>
        <v>-207.51999999999953</v>
      </c>
      <c r="AD330" s="8">
        <f>IFERROR(AC330/AC444, "NA")</f>
        <v>0.41229412115310593</v>
      </c>
    </row>
    <row r="331" spans="1:30" ht="16.5" hidden="1" customHeight="1" x14ac:dyDescent="0.45">
      <c r="A331" s="6" t="s">
        <v>302</v>
      </c>
      <c r="B331" s="7">
        <v>0</v>
      </c>
      <c r="C331" s="8">
        <f>IFERROR(B331/B444, "NA")</f>
        <v>0</v>
      </c>
      <c r="D331" s="9"/>
      <c r="E331" s="7">
        <v>0</v>
      </c>
      <c r="F331" s="8">
        <f>IFERROR(E331/E444, "NA")</f>
        <v>0</v>
      </c>
      <c r="G331" s="9"/>
      <c r="H331" s="10">
        <f t="shared" si="80"/>
        <v>0</v>
      </c>
      <c r="I331" s="8">
        <f>IFERROR(H331/H444, "NA")</f>
        <v>0</v>
      </c>
      <c r="J331" s="9"/>
      <c r="K331" s="7">
        <v>0</v>
      </c>
      <c r="L331" s="8">
        <f>IFERROR(K331/K444, "NA")</f>
        <v>0</v>
      </c>
      <c r="M331" s="9"/>
      <c r="N331" s="10">
        <f t="shared" si="81"/>
        <v>0</v>
      </c>
      <c r="O331" s="8">
        <f>IFERROR(N331/N444, "NA")</f>
        <v>0</v>
      </c>
      <c r="P331" s="9"/>
      <c r="Q331" s="7">
        <v>0</v>
      </c>
      <c r="R331" s="8">
        <f>IFERROR(Q331/Q444, "NA")</f>
        <v>0</v>
      </c>
      <c r="S331" s="9"/>
      <c r="T331" s="7">
        <v>0</v>
      </c>
      <c r="U331" s="8">
        <f>IFERROR(T331/T444, "NA")</f>
        <v>0</v>
      </c>
      <c r="V331" s="9"/>
      <c r="W331" s="10">
        <f t="shared" si="82"/>
        <v>0</v>
      </c>
      <c r="X331" s="8">
        <f>IFERROR(W331/W444, "NA")</f>
        <v>0</v>
      </c>
      <c r="Y331" s="9"/>
      <c r="Z331" s="7">
        <v>0</v>
      </c>
      <c r="AA331" s="8">
        <f>IFERROR(Z331/Z444, "NA")</f>
        <v>0</v>
      </c>
      <c r="AB331" s="9"/>
      <c r="AC331" s="10">
        <f t="shared" si="83"/>
        <v>0</v>
      </c>
      <c r="AD331" s="8">
        <f>IFERROR(AC331/AC444, "NA")</f>
        <v>0</v>
      </c>
    </row>
    <row r="332" spans="1:30" ht="16.5" customHeight="1" x14ac:dyDescent="0.45">
      <c r="A332" s="6" t="s">
        <v>303</v>
      </c>
      <c r="B332" s="7">
        <v>195.16</v>
      </c>
      <c r="C332" s="8">
        <f>IFERROR(B332/B444, "NA")</f>
        <v>4.4858995049098718E-4</v>
      </c>
      <c r="D332" s="9"/>
      <c r="E332" s="7">
        <v>313</v>
      </c>
      <c r="F332" s="8">
        <f>IFERROR(E332/E444, "NA")</f>
        <v>6.9755801208892549E-4</v>
      </c>
      <c r="G332" s="9"/>
      <c r="H332" s="10">
        <f t="shared" si="80"/>
        <v>117.84</v>
      </c>
      <c r="I332" s="8">
        <f>IFERROR(H332/H444, "NA")</f>
        <v>-8.6291108003016745E-3</v>
      </c>
      <c r="J332" s="9"/>
      <c r="K332" s="7">
        <v>195.16</v>
      </c>
      <c r="L332" s="8">
        <f>IFERROR(K332/K444, "NA")</f>
        <v>4.4807155773491335E-4</v>
      </c>
      <c r="M332" s="9"/>
      <c r="N332" s="10">
        <f t="shared" si="81"/>
        <v>0</v>
      </c>
      <c r="O332" s="8">
        <f>IFERROR(N332/N444, "NA")</f>
        <v>0</v>
      </c>
      <c r="P332" s="9"/>
      <c r="Q332" s="7">
        <v>195.16</v>
      </c>
      <c r="R332" s="8">
        <f>IFERROR(Q332/Q444, "NA")</f>
        <v>4.4858995049098718E-4</v>
      </c>
      <c r="S332" s="9"/>
      <c r="T332" s="7">
        <v>313</v>
      </c>
      <c r="U332" s="8">
        <f>IFERROR(T332/T444, "NA")</f>
        <v>6.9755801208892549E-4</v>
      </c>
      <c r="V332" s="9"/>
      <c r="W332" s="10">
        <f t="shared" si="82"/>
        <v>117.84</v>
      </c>
      <c r="X332" s="8">
        <f>IFERROR(W332/W444, "NA")</f>
        <v>-8.6291108003016745E-3</v>
      </c>
      <c r="Y332" s="9"/>
      <c r="Z332" s="7">
        <v>195.16</v>
      </c>
      <c r="AA332" s="8">
        <f>IFERROR(Z332/Z444, "NA")</f>
        <v>4.4807155773491335E-4</v>
      </c>
      <c r="AB332" s="9"/>
      <c r="AC332" s="10">
        <f t="shared" si="83"/>
        <v>0</v>
      </c>
      <c r="AD332" s="8">
        <f>IFERROR(AC332/AC444, "NA")</f>
        <v>0</v>
      </c>
    </row>
    <row r="333" spans="1:30" ht="16.5" customHeight="1" x14ac:dyDescent="0.45">
      <c r="A333" s="6" t="s">
        <v>304</v>
      </c>
      <c r="B333" s="7">
        <v>5737.81</v>
      </c>
      <c r="C333" s="8">
        <f>IFERROR(B333/B444, "NA")</f>
        <v>1.3188788193414078E-2</v>
      </c>
      <c r="D333" s="9"/>
      <c r="E333" s="7">
        <v>5619</v>
      </c>
      <c r="F333" s="8">
        <f>IFERROR(E333/E444, "NA")</f>
        <v>1.2522614919896716E-2</v>
      </c>
      <c r="G333" s="9"/>
      <c r="H333" s="10">
        <f t="shared" si="80"/>
        <v>-118.8100000000004</v>
      </c>
      <c r="I333" s="8">
        <f>IFERROR(H333/H444, "NA")</f>
        <v>8.7001413287834811E-3</v>
      </c>
      <c r="J333" s="9"/>
      <c r="K333" s="7">
        <v>5523.6</v>
      </c>
      <c r="L333" s="8">
        <f>IFERROR(K333/K444, "NA")</f>
        <v>1.2681738349582739E-2</v>
      </c>
      <c r="M333" s="9"/>
      <c r="N333" s="10">
        <f t="shared" si="81"/>
        <v>-214.21000000000004</v>
      </c>
      <c r="O333" s="8">
        <f>IFERROR(N333/N444, "NA")</f>
        <v>0.42558559990462141</v>
      </c>
      <c r="P333" s="9"/>
      <c r="Q333" s="7">
        <v>5737.81</v>
      </c>
      <c r="R333" s="8">
        <f>IFERROR(Q333/Q444, "NA")</f>
        <v>1.3188788193414078E-2</v>
      </c>
      <c r="S333" s="9"/>
      <c r="T333" s="7">
        <v>5619</v>
      </c>
      <c r="U333" s="8">
        <f>IFERROR(T333/T444, "NA")</f>
        <v>1.2522614919896716E-2</v>
      </c>
      <c r="V333" s="9"/>
      <c r="W333" s="10">
        <f t="shared" si="82"/>
        <v>-118.8100000000004</v>
      </c>
      <c r="X333" s="8">
        <f>IFERROR(W333/W444, "NA")</f>
        <v>8.7001413287834811E-3</v>
      </c>
      <c r="Y333" s="9"/>
      <c r="Z333" s="7">
        <v>5523.6</v>
      </c>
      <c r="AA333" s="8">
        <f>IFERROR(Z333/Z444, "NA")</f>
        <v>1.2681738349582739E-2</v>
      </c>
      <c r="AB333" s="9"/>
      <c r="AC333" s="10">
        <f t="shared" si="83"/>
        <v>-214.21000000000004</v>
      </c>
      <c r="AD333" s="8">
        <f>IFERROR(AC333/AC444, "NA")</f>
        <v>0.42558559990462141</v>
      </c>
    </row>
    <row r="334" spans="1:30" ht="16.5" customHeight="1" x14ac:dyDescent="0.45">
      <c r="A334" s="6" t="s">
        <v>305</v>
      </c>
      <c r="B334" s="7">
        <v>-4635.6899999999996</v>
      </c>
      <c r="C334" s="8">
        <f>IFERROR(B334/B444, "NA")</f>
        <v>-1.065548241233636E-2</v>
      </c>
      <c r="D334" s="9"/>
      <c r="E334" s="7">
        <v>-4635.6899999999996</v>
      </c>
      <c r="F334" s="8">
        <f>IFERROR(E334/E444, "NA")</f>
        <v>-1.0331190738212493E-2</v>
      </c>
      <c r="G334" s="9"/>
      <c r="H334" s="10">
        <f t="shared" si="80"/>
        <v>0</v>
      </c>
      <c r="I334" s="8">
        <f>IFERROR(H334/H444, "NA")</f>
        <v>0</v>
      </c>
      <c r="J334" s="9"/>
      <c r="K334" s="7">
        <v>-4067.87</v>
      </c>
      <c r="L334" s="8">
        <f>IFERROR(K334/K444, "NA")</f>
        <v>-9.3395001412334595E-3</v>
      </c>
      <c r="M334" s="9"/>
      <c r="N334" s="10">
        <f t="shared" si="81"/>
        <v>567.81999999999971</v>
      </c>
      <c r="O334" s="8">
        <f>IFERROR(N334/N444, "NA")</f>
        <v>-1.1281266763355677</v>
      </c>
      <c r="P334" s="9"/>
      <c r="Q334" s="7">
        <v>-4635.6899999999996</v>
      </c>
      <c r="R334" s="8">
        <f>IFERROR(Q334/Q444, "NA")</f>
        <v>-1.065548241233636E-2</v>
      </c>
      <c r="S334" s="9"/>
      <c r="T334" s="7">
        <v>-4635.6899999999996</v>
      </c>
      <c r="U334" s="8">
        <f>IFERROR(T334/T444, "NA")</f>
        <v>-1.0331190738212493E-2</v>
      </c>
      <c r="V334" s="9"/>
      <c r="W334" s="10">
        <f t="shared" si="82"/>
        <v>0</v>
      </c>
      <c r="X334" s="8">
        <f>IFERROR(W334/W444, "NA")</f>
        <v>0</v>
      </c>
      <c r="Y334" s="9"/>
      <c r="Z334" s="7">
        <v>-4067.87</v>
      </c>
      <c r="AA334" s="8">
        <f>IFERROR(Z334/Z444, "NA")</f>
        <v>-9.3395001412334595E-3</v>
      </c>
      <c r="AB334" s="9"/>
      <c r="AC334" s="10">
        <f t="shared" si="83"/>
        <v>567.81999999999971</v>
      </c>
      <c r="AD334" s="8">
        <f>IFERROR(AC334/AC444, "NA")</f>
        <v>-1.1281266763355677</v>
      </c>
    </row>
    <row r="335" spans="1:30" ht="16.5" customHeight="1" x14ac:dyDescent="0.45">
      <c r="A335" s="6" t="s">
        <v>306</v>
      </c>
      <c r="B335" s="7">
        <v>0</v>
      </c>
      <c r="C335" s="8">
        <f>IFERROR(B335/B444, "NA")</f>
        <v>0</v>
      </c>
      <c r="D335" s="9"/>
      <c r="E335" s="7">
        <v>213.25</v>
      </c>
      <c r="F335" s="8">
        <f>IFERROR(E335/E444, "NA")</f>
        <v>4.7525318235771039E-4</v>
      </c>
      <c r="G335" s="9"/>
      <c r="H335" s="10">
        <f t="shared" si="80"/>
        <v>213.25</v>
      </c>
      <c r="I335" s="8">
        <f>IFERROR(H335/H444, "NA")</f>
        <v>-1.5615732163648439E-2</v>
      </c>
      <c r="J335" s="9"/>
      <c r="K335" s="7">
        <v>1654.81</v>
      </c>
      <c r="L335" s="8">
        <f>IFERROR(K335/K444, "NA")</f>
        <v>3.7993097686785811E-3</v>
      </c>
      <c r="M335" s="9"/>
      <c r="N335" s="10">
        <f t="shared" si="81"/>
        <v>1654.81</v>
      </c>
      <c r="O335" s="8">
        <f>IFERROR(N335/N444, "NA")</f>
        <v>-3.2877237597598921</v>
      </c>
      <c r="P335" s="9"/>
      <c r="Q335" s="7">
        <v>0</v>
      </c>
      <c r="R335" s="8">
        <f>IFERROR(Q335/Q444, "NA")</f>
        <v>0</v>
      </c>
      <c r="S335" s="9"/>
      <c r="T335" s="7">
        <v>213.25</v>
      </c>
      <c r="U335" s="8">
        <f>IFERROR(T335/T444, "NA")</f>
        <v>4.7525318235771039E-4</v>
      </c>
      <c r="V335" s="9"/>
      <c r="W335" s="10">
        <f t="shared" si="82"/>
        <v>213.25</v>
      </c>
      <c r="X335" s="8">
        <f>IFERROR(W335/W444, "NA")</f>
        <v>-1.5615732163648439E-2</v>
      </c>
      <c r="Y335" s="9"/>
      <c r="Z335" s="7">
        <v>1654.81</v>
      </c>
      <c r="AA335" s="8">
        <f>IFERROR(Z335/Z444, "NA")</f>
        <v>3.7993097686785811E-3</v>
      </c>
      <c r="AB335" s="9"/>
      <c r="AC335" s="10">
        <f t="shared" si="83"/>
        <v>1654.81</v>
      </c>
      <c r="AD335" s="8">
        <f>IFERROR(AC335/AC444, "NA")</f>
        <v>-3.2877237597598921</v>
      </c>
    </row>
    <row r="336" spans="1:30" ht="16.5" customHeight="1" x14ac:dyDescent="0.45">
      <c r="A336" s="11" t="s">
        <v>307</v>
      </c>
      <c r="B336" s="2"/>
      <c r="C336" s="3"/>
      <c r="D336" s="4"/>
      <c r="E336" s="2"/>
      <c r="F336" s="3"/>
      <c r="G336" s="4"/>
      <c r="H336" s="2"/>
      <c r="I336" s="3"/>
      <c r="J336" s="4"/>
      <c r="K336" s="2"/>
      <c r="L336" s="3"/>
      <c r="M336" s="4"/>
      <c r="N336" s="2"/>
      <c r="O336" s="3"/>
      <c r="P336" s="4"/>
      <c r="Q336" s="2"/>
      <c r="R336" s="3"/>
      <c r="S336" s="4"/>
      <c r="T336" s="2"/>
      <c r="U336" s="3"/>
      <c r="V336" s="4"/>
      <c r="W336" s="2"/>
      <c r="X336" s="3"/>
      <c r="Y336" s="4"/>
      <c r="Z336" s="2"/>
      <c r="AA336" s="3"/>
      <c r="AB336" s="4"/>
      <c r="AC336" s="2"/>
      <c r="AD336" s="3"/>
    </row>
    <row r="337" spans="1:30" ht="16.5" hidden="1" customHeight="1" x14ac:dyDescent="0.45">
      <c r="A337" s="12" t="s">
        <v>307</v>
      </c>
      <c r="B337" s="7">
        <v>0</v>
      </c>
      <c r="C337" s="8">
        <f>IFERROR(B337/B444, "NA")</f>
        <v>0</v>
      </c>
      <c r="D337" s="9"/>
      <c r="E337" s="7">
        <v>0</v>
      </c>
      <c r="F337" s="8">
        <f>IFERROR(E337/E444, "NA")</f>
        <v>0</v>
      </c>
      <c r="G337" s="9"/>
      <c r="H337" s="10">
        <f t="shared" ref="H337:H344" si="84">IFERROR(-(B337-E337), "NA")</f>
        <v>0</v>
      </c>
      <c r="I337" s="8">
        <f>IFERROR(H337/H444, "NA")</f>
        <v>0</v>
      </c>
      <c r="J337" s="9"/>
      <c r="K337" s="7">
        <v>0</v>
      </c>
      <c r="L337" s="8">
        <f>IFERROR(K337/K444, "NA")</f>
        <v>0</v>
      </c>
      <c r="M337" s="9"/>
      <c r="N337" s="10">
        <f t="shared" ref="N337:N344" si="85">IFERROR(-(B337-K337), "NA")</f>
        <v>0</v>
      </c>
      <c r="O337" s="8">
        <f>IFERROR(N337/N444, "NA")</f>
        <v>0</v>
      </c>
      <c r="P337" s="9"/>
      <c r="Q337" s="7">
        <v>0</v>
      </c>
      <c r="R337" s="8">
        <f>IFERROR(Q337/Q444, "NA")</f>
        <v>0</v>
      </c>
      <c r="S337" s="9"/>
      <c r="T337" s="7">
        <v>0</v>
      </c>
      <c r="U337" s="8">
        <f>IFERROR(T337/T444, "NA")</f>
        <v>0</v>
      </c>
      <c r="V337" s="9"/>
      <c r="W337" s="10">
        <f t="shared" ref="W337:W344" si="86">IFERROR(-(Q337-T337), "NA")</f>
        <v>0</v>
      </c>
      <c r="X337" s="8">
        <f>IFERROR(W337/W444, "NA")</f>
        <v>0</v>
      </c>
      <c r="Y337" s="9"/>
      <c r="Z337" s="7">
        <v>0</v>
      </c>
      <c r="AA337" s="8">
        <f>IFERROR(Z337/Z444, "NA")</f>
        <v>0</v>
      </c>
      <c r="AB337" s="9"/>
      <c r="AC337" s="10">
        <f t="shared" ref="AC337:AC344" si="87">IFERROR(-(Q337-Z337), "NA")</f>
        <v>0</v>
      </c>
      <c r="AD337" s="8">
        <f>IFERROR(AC337/AC444, "NA")</f>
        <v>0</v>
      </c>
    </row>
    <row r="338" spans="1:30" ht="16.5" customHeight="1" x14ac:dyDescent="0.45">
      <c r="A338" s="12" t="s">
        <v>308</v>
      </c>
      <c r="B338" s="7">
        <v>9755.51</v>
      </c>
      <c r="C338" s="8">
        <f>IFERROR(B338/B444, "NA")</f>
        <v>2.2423774072116882E-2</v>
      </c>
      <c r="D338" s="9"/>
      <c r="E338" s="7">
        <v>7905.43</v>
      </c>
      <c r="F338" s="8">
        <f>IFERROR(E338/E444, "NA")</f>
        <v>1.7618198196511677E-2</v>
      </c>
      <c r="G338" s="9"/>
      <c r="H338" s="10">
        <f t="shared" si="84"/>
        <v>-1850.08</v>
      </c>
      <c r="I338" s="8">
        <f>IFERROR(H338/H444, "NA")</f>
        <v>0.13547645374594469</v>
      </c>
      <c r="J338" s="9"/>
      <c r="K338" s="7">
        <v>10556.45</v>
      </c>
      <c r="L338" s="8">
        <f>IFERROR(K338/K444, "NA")</f>
        <v>2.4236754435595032E-2</v>
      </c>
      <c r="M338" s="9"/>
      <c r="N338" s="10">
        <f t="shared" si="85"/>
        <v>800.94000000000051</v>
      </c>
      <c r="O338" s="8">
        <f>IFERROR(N338/N444, "NA")</f>
        <v>-1.5912820614705552</v>
      </c>
      <c r="P338" s="9"/>
      <c r="Q338" s="7">
        <v>9755.51</v>
      </c>
      <c r="R338" s="8">
        <f>IFERROR(Q338/Q444, "NA")</f>
        <v>2.2423774072116882E-2</v>
      </c>
      <c r="S338" s="9"/>
      <c r="T338" s="7">
        <v>7905.43</v>
      </c>
      <c r="U338" s="8">
        <f>IFERROR(T338/T444, "NA")</f>
        <v>1.7618198196511677E-2</v>
      </c>
      <c r="V338" s="9"/>
      <c r="W338" s="10">
        <f t="shared" si="86"/>
        <v>-1850.08</v>
      </c>
      <c r="X338" s="8">
        <f>IFERROR(W338/W444, "NA")</f>
        <v>0.13547645374594469</v>
      </c>
      <c r="Y338" s="9"/>
      <c r="Z338" s="7">
        <v>10556.45</v>
      </c>
      <c r="AA338" s="8">
        <f>IFERROR(Z338/Z444, "NA")</f>
        <v>2.4236754435595032E-2</v>
      </c>
      <c r="AB338" s="9"/>
      <c r="AC338" s="10">
        <f t="shared" si="87"/>
        <v>800.94000000000051</v>
      </c>
      <c r="AD338" s="8">
        <f>IFERROR(AC338/AC444, "NA")</f>
        <v>-1.5912820614705552</v>
      </c>
    </row>
    <row r="339" spans="1:30" ht="16.5" customHeight="1" x14ac:dyDescent="0.45">
      <c r="A339" s="12" t="s">
        <v>309</v>
      </c>
      <c r="B339" s="7">
        <v>2912.22</v>
      </c>
      <c r="C339" s="8">
        <f>IFERROR(B339/B444, "NA")</f>
        <v>6.6939568847041537E-3</v>
      </c>
      <c r="D339" s="9"/>
      <c r="E339" s="7">
        <v>1794.3899999999999</v>
      </c>
      <c r="F339" s="8">
        <f>IFERROR(E339/E444, "NA")</f>
        <v>3.9990131671317789E-3</v>
      </c>
      <c r="G339" s="9"/>
      <c r="H339" s="10">
        <f t="shared" si="84"/>
        <v>-1117.83</v>
      </c>
      <c r="I339" s="8">
        <f>IFERROR(H339/H444, "NA")</f>
        <v>8.1855727477097934E-2</v>
      </c>
      <c r="J339" s="9"/>
      <c r="K339" s="7">
        <v>2922.23</v>
      </c>
      <c r="L339" s="8">
        <f>IFERROR(K339/K444, "NA")</f>
        <v>6.7092034646428359E-3</v>
      </c>
      <c r="M339" s="9"/>
      <c r="N339" s="10">
        <f t="shared" si="85"/>
        <v>10.010000000000218</v>
      </c>
      <c r="O339" s="8">
        <f>IFERROR(N339/N444, "NA")</f>
        <v>-1.988754892416485E-2</v>
      </c>
      <c r="P339" s="9"/>
      <c r="Q339" s="7">
        <v>2912.22</v>
      </c>
      <c r="R339" s="8">
        <f>IFERROR(Q339/Q444, "NA")</f>
        <v>6.6939568847041537E-3</v>
      </c>
      <c r="S339" s="9"/>
      <c r="T339" s="7">
        <v>1794.3899999999999</v>
      </c>
      <c r="U339" s="8">
        <f>IFERROR(T339/T444, "NA")</f>
        <v>3.9990131671317789E-3</v>
      </c>
      <c r="V339" s="9"/>
      <c r="W339" s="10">
        <f t="shared" si="86"/>
        <v>-1117.83</v>
      </c>
      <c r="X339" s="8">
        <f>IFERROR(W339/W444, "NA")</f>
        <v>8.1855727477097934E-2</v>
      </c>
      <c r="Y339" s="9"/>
      <c r="Z339" s="7">
        <v>2922.23</v>
      </c>
      <c r="AA339" s="8">
        <f>IFERROR(Z339/Z444, "NA")</f>
        <v>6.7092034646428359E-3</v>
      </c>
      <c r="AB339" s="9"/>
      <c r="AC339" s="10">
        <f t="shared" si="87"/>
        <v>10.010000000000218</v>
      </c>
      <c r="AD339" s="8">
        <f>IFERROR(AC339/AC444, "NA")</f>
        <v>-1.988754892416485E-2</v>
      </c>
    </row>
    <row r="340" spans="1:30" ht="16.5" customHeight="1" x14ac:dyDescent="0.45">
      <c r="A340" s="12" t="s">
        <v>310</v>
      </c>
      <c r="B340" s="7">
        <v>3318.4500000000003</v>
      </c>
      <c r="C340" s="8">
        <f>IFERROR(B340/B444, "NA")</f>
        <v>7.6277071182968672E-3</v>
      </c>
      <c r="D340" s="9"/>
      <c r="E340" s="7">
        <v>2010.52</v>
      </c>
      <c r="F340" s="8">
        <f>IFERROR(E340/E444, "NA")</f>
        <v>4.4806847746486468E-3</v>
      </c>
      <c r="G340" s="9"/>
      <c r="H340" s="10">
        <f t="shared" si="84"/>
        <v>-1307.9300000000003</v>
      </c>
      <c r="I340" s="8">
        <f>IFERROR(H340/H444, "NA")</f>
        <v>9.5776246512547278E-2</v>
      </c>
      <c r="J340" s="9"/>
      <c r="K340" s="7">
        <v>2909.56</v>
      </c>
      <c r="L340" s="8">
        <f>IFERROR(K340/K444, "NA")</f>
        <v>6.6801141705431152E-3</v>
      </c>
      <c r="M340" s="9"/>
      <c r="N340" s="10">
        <f t="shared" si="85"/>
        <v>-408.89000000000033</v>
      </c>
      <c r="O340" s="8">
        <f>IFERROR(N340/N444, "NA")</f>
        <v>0.81236961834181765</v>
      </c>
      <c r="P340" s="9"/>
      <c r="Q340" s="7">
        <v>3318.4500000000003</v>
      </c>
      <c r="R340" s="8">
        <f>IFERROR(Q340/Q444, "NA")</f>
        <v>7.6277071182968672E-3</v>
      </c>
      <c r="S340" s="9"/>
      <c r="T340" s="7">
        <v>2010.52</v>
      </c>
      <c r="U340" s="8">
        <f>IFERROR(T340/T444, "NA")</f>
        <v>4.4806847746486468E-3</v>
      </c>
      <c r="V340" s="9"/>
      <c r="W340" s="10">
        <f t="shared" si="86"/>
        <v>-1307.9300000000003</v>
      </c>
      <c r="X340" s="8">
        <f>IFERROR(W340/W444, "NA")</f>
        <v>9.5776246512547278E-2</v>
      </c>
      <c r="Y340" s="9"/>
      <c r="Z340" s="7">
        <v>2909.56</v>
      </c>
      <c r="AA340" s="8">
        <f>IFERROR(Z340/Z444, "NA")</f>
        <v>6.6801141705431152E-3</v>
      </c>
      <c r="AB340" s="9"/>
      <c r="AC340" s="10">
        <f t="shared" si="87"/>
        <v>-408.89000000000033</v>
      </c>
      <c r="AD340" s="8">
        <f>IFERROR(AC340/AC444, "NA")</f>
        <v>0.81236961834181765</v>
      </c>
    </row>
    <row r="341" spans="1:30" ht="16.5" customHeight="1" x14ac:dyDescent="0.45">
      <c r="A341" s="12" t="s">
        <v>311</v>
      </c>
      <c r="B341" s="7">
        <v>1884.5900000000001</v>
      </c>
      <c r="C341" s="8">
        <f>IFERROR(B341/B444, "NA")</f>
        <v>4.331871975793245E-3</v>
      </c>
      <c r="D341" s="9"/>
      <c r="E341" s="7">
        <v>1460.99</v>
      </c>
      <c r="F341" s="8">
        <f>IFERROR(E341/E444, "NA")</f>
        <v>3.2559913101654929E-3</v>
      </c>
      <c r="G341" s="9"/>
      <c r="H341" s="10">
        <f t="shared" si="84"/>
        <v>-423.60000000000014</v>
      </c>
      <c r="I341" s="8">
        <f>IFERROR(H341/H444, "NA")</f>
        <v>3.101910501534106E-2</v>
      </c>
      <c r="J341" s="9"/>
      <c r="K341" s="7">
        <v>1902.8200000000002</v>
      </c>
      <c r="L341" s="8">
        <f>IFERROR(K341/K444, "NA")</f>
        <v>4.3687206471056976E-3</v>
      </c>
      <c r="M341" s="9"/>
      <c r="N341" s="10">
        <f t="shared" si="85"/>
        <v>18.230000000000018</v>
      </c>
      <c r="O341" s="8">
        <f>IFERROR(N341/N444, "NA")</f>
        <v>-3.6218782905845924E-2</v>
      </c>
      <c r="P341" s="9"/>
      <c r="Q341" s="7">
        <v>1884.5900000000001</v>
      </c>
      <c r="R341" s="8">
        <f>IFERROR(Q341/Q444, "NA")</f>
        <v>4.331871975793245E-3</v>
      </c>
      <c r="S341" s="9"/>
      <c r="T341" s="7">
        <v>1460.99</v>
      </c>
      <c r="U341" s="8">
        <f>IFERROR(T341/T444, "NA")</f>
        <v>3.2559913101654929E-3</v>
      </c>
      <c r="V341" s="9"/>
      <c r="W341" s="10">
        <f t="shared" si="86"/>
        <v>-423.60000000000014</v>
      </c>
      <c r="X341" s="8">
        <f>IFERROR(W341/W444, "NA")</f>
        <v>3.101910501534106E-2</v>
      </c>
      <c r="Y341" s="9"/>
      <c r="Z341" s="7">
        <v>1902.8200000000002</v>
      </c>
      <c r="AA341" s="8">
        <f>IFERROR(Z341/Z444, "NA")</f>
        <v>4.3687206471056976E-3</v>
      </c>
      <c r="AB341" s="9"/>
      <c r="AC341" s="10">
        <f t="shared" si="87"/>
        <v>18.230000000000018</v>
      </c>
      <c r="AD341" s="8">
        <f>IFERROR(AC341/AC444, "NA")</f>
        <v>-3.6218782905845924E-2</v>
      </c>
    </row>
    <row r="342" spans="1:30" ht="16.5" customHeight="1" x14ac:dyDescent="0.45">
      <c r="A342" s="13" t="s">
        <v>312</v>
      </c>
      <c r="B342" s="14">
        <f>IFERROR(B337+B338+B339+B340+B341, "NA")</f>
        <v>17870.77</v>
      </c>
      <c r="C342" s="15">
        <f>IFERROR(B342/B444, "NA")</f>
        <v>4.1077310050911149E-2</v>
      </c>
      <c r="D342" s="2"/>
      <c r="E342" s="14">
        <f>IFERROR(E337+E338+E339+E340+E341, "NA")</f>
        <v>13171.33</v>
      </c>
      <c r="F342" s="15">
        <f>IFERROR(E342/E444, "NA")</f>
        <v>2.9353887448457593E-2</v>
      </c>
      <c r="G342" s="2"/>
      <c r="H342" s="14">
        <f t="shared" si="84"/>
        <v>-4699.4400000000005</v>
      </c>
      <c r="I342" s="15">
        <f>IFERROR(H342/H444, "NA")</f>
        <v>0.344127532750931</v>
      </c>
      <c r="J342" s="2"/>
      <c r="K342" s="14">
        <f>IFERROR(K337+K338+K339+K340+K341, "NA")</f>
        <v>18291.060000000001</v>
      </c>
      <c r="L342" s="15">
        <f>IFERROR(K342/K444, "NA")</f>
        <v>4.1994792717886677E-2</v>
      </c>
      <c r="M342" s="2"/>
      <c r="N342" s="14">
        <f t="shared" si="85"/>
        <v>420.29000000000087</v>
      </c>
      <c r="O342" s="15">
        <f>IFERROR(N342/N444, "NA")</f>
        <v>-0.83501877495874921</v>
      </c>
      <c r="P342" s="2"/>
      <c r="Q342" s="14">
        <f>IFERROR(Q337+Q338+Q339+Q340+Q341, "NA")</f>
        <v>17870.77</v>
      </c>
      <c r="R342" s="15">
        <f>IFERROR(Q342/Q444, "NA")</f>
        <v>4.1077310050911149E-2</v>
      </c>
      <c r="S342" s="2"/>
      <c r="T342" s="14">
        <f>IFERROR(T337+T338+T339+T340+T341, "NA")</f>
        <v>13171.33</v>
      </c>
      <c r="U342" s="15">
        <f>IFERROR(T342/T444, "NA")</f>
        <v>2.9353887448457593E-2</v>
      </c>
      <c r="V342" s="2"/>
      <c r="W342" s="14">
        <f t="shared" si="86"/>
        <v>-4699.4400000000005</v>
      </c>
      <c r="X342" s="15">
        <f>IFERROR(W342/W444, "NA")</f>
        <v>0.344127532750931</v>
      </c>
      <c r="Y342" s="2"/>
      <c r="Z342" s="14">
        <f>IFERROR(Z337+Z338+Z339+Z340+Z341, "NA")</f>
        <v>18291.060000000001</v>
      </c>
      <c r="AA342" s="15">
        <f>IFERROR(Z342/Z444, "NA")</f>
        <v>4.1994792717886677E-2</v>
      </c>
      <c r="AB342" s="2"/>
      <c r="AC342" s="14">
        <f t="shared" si="87"/>
        <v>420.29000000000087</v>
      </c>
      <c r="AD342" s="15">
        <f>IFERROR(AC342/AC444, "NA")</f>
        <v>-0.83501877495874921</v>
      </c>
    </row>
    <row r="343" spans="1:30" ht="16.5" customHeight="1" x14ac:dyDescent="0.45">
      <c r="A343" s="19" t="s">
        <v>313</v>
      </c>
      <c r="B343" s="14">
        <f>IFERROR(B328+B329+B330+B331+B332+B333+B334+B335+B337+B338+B339+B340+B341, "NA")</f>
        <v>85804.809999999983</v>
      </c>
      <c r="C343" s="15">
        <f>IFERROR(B343/B444, "NA")</f>
        <v>0.1972288146638069</v>
      </c>
      <c r="D343" s="2"/>
      <c r="E343" s="14">
        <f>IFERROR(E328+E329+E330+E331+E332+E333+E334+E335+E337+E338+E339+E340+E341, "NA")</f>
        <v>81317.650000000009</v>
      </c>
      <c r="F343" s="15">
        <f>IFERROR(E343/E444, "NA")</f>
        <v>0.1812261286956646</v>
      </c>
      <c r="G343" s="2"/>
      <c r="H343" s="14">
        <f t="shared" si="84"/>
        <v>-4487.1599999999744</v>
      </c>
      <c r="I343" s="15">
        <f>IFERROR(H343/H444, "NA")</f>
        <v>0.32858283111576242</v>
      </c>
      <c r="J343" s="2"/>
      <c r="K343" s="14">
        <f>IFERROR(K328+K329+K330+K331+K332+K333+K334+K335+K337+K338+K339+K340+K341, "NA")</f>
        <v>80651.95</v>
      </c>
      <c r="L343" s="15">
        <f>IFERROR(K343/K444, "NA")</f>
        <v>0.18517034674553362</v>
      </c>
      <c r="M343" s="2"/>
      <c r="N343" s="14">
        <f t="shared" si="85"/>
        <v>-5152.859999999986</v>
      </c>
      <c r="O343" s="15">
        <f>IFERROR(N343/N444, "NA")</f>
        <v>10.237537996940018</v>
      </c>
      <c r="P343" s="2"/>
      <c r="Q343" s="14">
        <f>IFERROR(Q328+Q329+Q330+Q331+Q332+Q333+Q334+Q335+Q337+Q338+Q339+Q340+Q341, "NA")</f>
        <v>85804.809999999983</v>
      </c>
      <c r="R343" s="15">
        <f>IFERROR(Q343/Q444, "NA")</f>
        <v>0.1972288146638069</v>
      </c>
      <c r="S343" s="2"/>
      <c r="T343" s="14">
        <f>IFERROR(T328+T329+T330+T331+T332+T333+T334+T335+T337+T338+T339+T340+T341, "NA")</f>
        <v>81317.650000000009</v>
      </c>
      <c r="U343" s="15">
        <f>IFERROR(T343/T444, "NA")</f>
        <v>0.1812261286956646</v>
      </c>
      <c r="V343" s="2"/>
      <c r="W343" s="14">
        <f t="shared" si="86"/>
        <v>-4487.1599999999744</v>
      </c>
      <c r="X343" s="15">
        <f>IFERROR(W343/W444, "NA")</f>
        <v>0.32858283111576242</v>
      </c>
      <c r="Y343" s="2"/>
      <c r="Z343" s="14">
        <f>IFERROR(Z328+Z329+Z330+Z331+Z332+Z333+Z334+Z335+Z337+Z338+Z339+Z340+Z341, "NA")</f>
        <v>80651.95</v>
      </c>
      <c r="AA343" s="15">
        <f>IFERROR(Z343/Z444, "NA")</f>
        <v>0.18517034674553362</v>
      </c>
      <c r="AB343" s="2"/>
      <c r="AC343" s="14">
        <f t="shared" si="87"/>
        <v>-5152.859999999986</v>
      </c>
      <c r="AD343" s="15">
        <f>IFERROR(AC343/AC444, "NA")</f>
        <v>10.237537996940018</v>
      </c>
    </row>
    <row r="344" spans="1:30" ht="16.5" customHeight="1" x14ac:dyDescent="0.45">
      <c r="A344" s="21" t="s">
        <v>314</v>
      </c>
      <c r="B344" s="14">
        <f>IFERROR(B328+B329+B330+B331+B332+B333+B334+B335+B337+B338+B339+B340+B341, "NA")</f>
        <v>85804.809999999983</v>
      </c>
      <c r="C344" s="15">
        <f>IFERROR(B344/B444, "NA")</f>
        <v>0.1972288146638069</v>
      </c>
      <c r="D344" s="2"/>
      <c r="E344" s="14">
        <f>IFERROR(E328+E329+E330+E331+E332+E333+E334+E335+E337+E338+E339+E340+E341, "NA")</f>
        <v>81317.650000000009</v>
      </c>
      <c r="F344" s="15">
        <f>IFERROR(E344/E444, "NA")</f>
        <v>0.1812261286956646</v>
      </c>
      <c r="G344" s="2"/>
      <c r="H344" s="14">
        <f t="shared" si="84"/>
        <v>-4487.1599999999744</v>
      </c>
      <c r="I344" s="15">
        <f>IFERROR(H344/H444, "NA")</f>
        <v>0.32858283111576242</v>
      </c>
      <c r="J344" s="2"/>
      <c r="K344" s="14">
        <f>IFERROR(K328+K329+K330+K331+K332+K333+K334+K335+K337+K338+K339+K340+K341, "NA")</f>
        <v>80651.95</v>
      </c>
      <c r="L344" s="15">
        <f>IFERROR(K344/K444, "NA")</f>
        <v>0.18517034674553362</v>
      </c>
      <c r="M344" s="2"/>
      <c r="N344" s="14">
        <f t="shared" si="85"/>
        <v>-5152.859999999986</v>
      </c>
      <c r="O344" s="15">
        <f>IFERROR(N344/N444, "NA")</f>
        <v>10.237537996940018</v>
      </c>
      <c r="P344" s="2"/>
      <c r="Q344" s="14">
        <f>IFERROR(Q328+Q329+Q330+Q331+Q332+Q333+Q334+Q335+Q337+Q338+Q339+Q340+Q341, "NA")</f>
        <v>85804.809999999983</v>
      </c>
      <c r="R344" s="15">
        <f>IFERROR(Q344/Q444, "NA")</f>
        <v>0.1972288146638069</v>
      </c>
      <c r="S344" s="2"/>
      <c r="T344" s="14">
        <f>IFERROR(T328+T329+T330+T331+T332+T333+T334+T335+T337+T338+T339+T340+T341, "NA")</f>
        <v>81317.650000000009</v>
      </c>
      <c r="U344" s="15">
        <f>IFERROR(T344/T444, "NA")</f>
        <v>0.1812261286956646</v>
      </c>
      <c r="V344" s="2"/>
      <c r="W344" s="14">
        <f t="shared" si="86"/>
        <v>-4487.1599999999744</v>
      </c>
      <c r="X344" s="15">
        <f>IFERROR(W344/W444, "NA")</f>
        <v>0.32858283111576242</v>
      </c>
      <c r="Y344" s="2"/>
      <c r="Z344" s="14">
        <f>IFERROR(Z328+Z329+Z330+Z331+Z332+Z333+Z334+Z335+Z337+Z338+Z339+Z340+Z341, "NA")</f>
        <v>80651.95</v>
      </c>
      <c r="AA344" s="15">
        <f>IFERROR(Z344/Z444, "NA")</f>
        <v>0.18517034674553362</v>
      </c>
      <c r="AB344" s="2"/>
      <c r="AC344" s="14">
        <f t="shared" si="87"/>
        <v>-5152.859999999986</v>
      </c>
      <c r="AD344" s="15">
        <f>IFERROR(AC344/AC444, "NA")</f>
        <v>10.237537996940018</v>
      </c>
    </row>
    <row r="345" spans="1:30" ht="16.5" customHeight="1" x14ac:dyDescent="0.45">
      <c r="A345" s="22" t="s">
        <v>315</v>
      </c>
      <c r="B345" s="23">
        <f>IFERROR(B198-B325-B344, "NA")</f>
        <v>-31597.849999999948</v>
      </c>
      <c r="C345" s="24">
        <f>IFERROR(B345/B444, "NA")</f>
        <v>-7.2630036724337044E-2</v>
      </c>
      <c r="D345" s="25"/>
      <c r="E345" s="23">
        <f>IFERROR(E198-E325-E344, "NA")</f>
        <v>-791.39000000001397</v>
      </c>
      <c r="F345" s="24">
        <f>IFERROR(E345/E444, "NA")</f>
        <v>-1.763707460661548E-3</v>
      </c>
      <c r="G345" s="25"/>
      <c r="H345" s="23">
        <f>IFERROR(B345-E345, "NA")</f>
        <v>-30806.459999999934</v>
      </c>
      <c r="I345" s="24">
        <f>IFERROR(H345/H444, "NA")</f>
        <v>2.2558753963430154</v>
      </c>
      <c r="J345" s="25"/>
      <c r="K345" s="23">
        <f>IFERROR(K198-K325-K344, "NA")</f>
        <v>-24952.040000000023</v>
      </c>
      <c r="L345" s="24">
        <f>IFERROR(K345/K444, "NA")</f>
        <v>-5.7287863452879062E-2</v>
      </c>
      <c r="M345" s="25"/>
      <c r="N345" s="23">
        <f>IFERROR(B345-K345, "NA")</f>
        <v>-6645.8099999999249</v>
      </c>
      <c r="O345" s="24">
        <f>IFERROR(N345/N444, "NA")</f>
        <v>13.203683468101861</v>
      </c>
      <c r="P345" s="25"/>
      <c r="Q345" s="23">
        <f>IFERROR(Q198-Q325-Q344, "NA")</f>
        <v>-31597.849999999948</v>
      </c>
      <c r="R345" s="24">
        <f>IFERROR(Q345/Q444, "NA")</f>
        <v>-7.2630036724337044E-2</v>
      </c>
      <c r="S345" s="25"/>
      <c r="T345" s="23">
        <f>IFERROR(T198-T325-T344, "NA")</f>
        <v>-791.39000000001397</v>
      </c>
      <c r="U345" s="24">
        <f>IFERROR(T345/T444, "NA")</f>
        <v>-1.763707460661548E-3</v>
      </c>
      <c r="V345" s="25"/>
      <c r="W345" s="23">
        <f>IFERROR(Q345-T345, "NA")</f>
        <v>-30806.459999999934</v>
      </c>
      <c r="X345" s="24">
        <f>IFERROR(W345/W444, "NA")</f>
        <v>2.2558753963430154</v>
      </c>
      <c r="Y345" s="25"/>
      <c r="Z345" s="23">
        <f>IFERROR(Z198-Z325-Z344, "NA")</f>
        <v>-24952.040000000023</v>
      </c>
      <c r="AA345" s="24">
        <f>IFERROR(Z345/Z444, "NA")</f>
        <v>-5.7287863452879062E-2</v>
      </c>
      <c r="AB345" s="25"/>
      <c r="AC345" s="23">
        <f>IFERROR(Q345-Z345, "NA")</f>
        <v>-6645.8099999999249</v>
      </c>
      <c r="AD345" s="24">
        <f>IFERROR(AC345/AC444, "NA")</f>
        <v>13.203683468101861</v>
      </c>
    </row>
    <row r="346" spans="1:30" ht="16.5" customHeight="1" x14ac:dyDescent="0.45">
      <c r="A346" s="1" t="s">
        <v>316</v>
      </c>
      <c r="B346" s="2"/>
      <c r="C346" s="3"/>
      <c r="D346" s="4"/>
      <c r="E346" s="2"/>
      <c r="F346" s="3"/>
      <c r="G346" s="4"/>
      <c r="H346" s="2"/>
      <c r="I346" s="3"/>
      <c r="J346" s="4"/>
      <c r="K346" s="2"/>
      <c r="L346" s="3"/>
      <c r="M346" s="4"/>
      <c r="N346" s="2"/>
      <c r="O346" s="3"/>
      <c r="P346" s="4"/>
      <c r="Q346" s="2"/>
      <c r="R346" s="3"/>
      <c r="S346" s="4"/>
      <c r="T346" s="2"/>
      <c r="U346" s="3"/>
      <c r="V346" s="4"/>
      <c r="W346" s="2"/>
      <c r="X346" s="3"/>
      <c r="Y346" s="4"/>
      <c r="Z346" s="2"/>
      <c r="AA346" s="3"/>
      <c r="AB346" s="4"/>
      <c r="AC346" s="2"/>
      <c r="AD346" s="3"/>
    </row>
    <row r="347" spans="1:30" ht="16.5" hidden="1" customHeight="1" x14ac:dyDescent="0.45">
      <c r="A347" s="20" t="s">
        <v>317</v>
      </c>
      <c r="B347" s="7">
        <v>0</v>
      </c>
      <c r="C347" s="8">
        <f>IFERROR(B347/B444, "NA")</f>
        <v>0</v>
      </c>
      <c r="D347" s="9"/>
      <c r="E347" s="7">
        <v>0</v>
      </c>
      <c r="F347" s="8">
        <f>IFERROR(E347/E444, "NA")</f>
        <v>0</v>
      </c>
      <c r="G347" s="9"/>
      <c r="H347" s="10">
        <f>IFERROR(-(B347-E347), "NA")</f>
        <v>0</v>
      </c>
      <c r="I347" s="8">
        <f>IFERROR(H347/H444, "NA")</f>
        <v>0</v>
      </c>
      <c r="J347" s="9"/>
      <c r="K347" s="7">
        <v>0</v>
      </c>
      <c r="L347" s="8">
        <f>IFERROR(K347/K444, "NA")</f>
        <v>0</v>
      </c>
      <c r="M347" s="9"/>
      <c r="N347" s="10">
        <f>IFERROR(-(B347-K347), "NA")</f>
        <v>0</v>
      </c>
      <c r="O347" s="8">
        <f>IFERROR(N347/N444, "NA")</f>
        <v>0</v>
      </c>
      <c r="P347" s="9"/>
      <c r="Q347" s="7">
        <v>0</v>
      </c>
      <c r="R347" s="8">
        <f>IFERROR(Q347/Q444, "NA")</f>
        <v>0</v>
      </c>
      <c r="S347" s="9"/>
      <c r="T347" s="7">
        <v>0</v>
      </c>
      <c r="U347" s="8">
        <f>IFERROR(T347/T444, "NA")</f>
        <v>0</v>
      </c>
      <c r="V347" s="9"/>
      <c r="W347" s="10">
        <f>IFERROR(-(Q347-T347), "NA")</f>
        <v>0</v>
      </c>
      <c r="X347" s="8">
        <f>IFERROR(W347/W444, "NA")</f>
        <v>0</v>
      </c>
      <c r="Y347" s="9"/>
      <c r="Z347" s="7">
        <v>0</v>
      </c>
      <c r="AA347" s="8">
        <f>IFERROR(Z347/Z444, "NA")</f>
        <v>0</v>
      </c>
      <c r="AB347" s="9"/>
      <c r="AC347" s="10">
        <f>IFERROR(-(Q347-Z347), "NA")</f>
        <v>0</v>
      </c>
      <c r="AD347" s="8">
        <f>IFERROR(AC347/AC444, "NA")</f>
        <v>0</v>
      </c>
    </row>
    <row r="348" spans="1:30" ht="16.5" customHeight="1" x14ac:dyDescent="0.45">
      <c r="A348" s="5" t="s">
        <v>318</v>
      </c>
      <c r="B348" s="2"/>
      <c r="C348" s="3"/>
      <c r="D348" s="4"/>
      <c r="E348" s="2"/>
      <c r="F348" s="3"/>
      <c r="G348" s="4"/>
      <c r="H348" s="2"/>
      <c r="I348" s="3"/>
      <c r="J348" s="4"/>
      <c r="K348" s="2"/>
      <c r="L348" s="3"/>
      <c r="M348" s="4"/>
      <c r="N348" s="2"/>
      <c r="O348" s="3"/>
      <c r="P348" s="4"/>
      <c r="Q348" s="2"/>
      <c r="R348" s="3"/>
      <c r="S348" s="4"/>
      <c r="T348" s="2"/>
      <c r="U348" s="3"/>
      <c r="V348" s="4"/>
      <c r="W348" s="2"/>
      <c r="X348" s="3"/>
      <c r="Y348" s="4"/>
      <c r="Z348" s="2"/>
      <c r="AA348" s="3"/>
      <c r="AB348" s="4"/>
      <c r="AC348" s="2"/>
      <c r="AD348" s="3"/>
    </row>
    <row r="349" spans="1:30" ht="16.5" hidden="1" customHeight="1" x14ac:dyDescent="0.45">
      <c r="A349" s="6" t="s">
        <v>318</v>
      </c>
      <c r="B349" s="7">
        <v>0</v>
      </c>
      <c r="C349" s="8">
        <f>IFERROR(B349/B444, "NA")</f>
        <v>0</v>
      </c>
      <c r="D349" s="9"/>
      <c r="E349" s="7">
        <v>0</v>
      </c>
      <c r="F349" s="8">
        <f>IFERROR(E349/E444, "NA")</f>
        <v>0</v>
      </c>
      <c r="G349" s="9"/>
      <c r="H349" s="10">
        <f t="shared" ref="H349:H358" si="88">IFERROR(-(B349-E349), "NA")</f>
        <v>0</v>
      </c>
      <c r="I349" s="8">
        <f>IFERROR(H349/H444, "NA")</f>
        <v>0</v>
      </c>
      <c r="J349" s="9"/>
      <c r="K349" s="7">
        <v>0</v>
      </c>
      <c r="L349" s="8">
        <f>IFERROR(K349/K444, "NA")</f>
        <v>0</v>
      </c>
      <c r="M349" s="9"/>
      <c r="N349" s="10">
        <f t="shared" ref="N349:N358" si="89">IFERROR(-(B349-K349), "NA")</f>
        <v>0</v>
      </c>
      <c r="O349" s="8">
        <f>IFERROR(N349/N444, "NA")</f>
        <v>0</v>
      </c>
      <c r="P349" s="9"/>
      <c r="Q349" s="7">
        <v>0</v>
      </c>
      <c r="R349" s="8">
        <f>IFERROR(Q349/Q444, "NA")</f>
        <v>0</v>
      </c>
      <c r="S349" s="9"/>
      <c r="T349" s="7">
        <v>0</v>
      </c>
      <c r="U349" s="8">
        <f>IFERROR(T349/T444, "NA")</f>
        <v>0</v>
      </c>
      <c r="V349" s="9"/>
      <c r="W349" s="10">
        <f t="shared" ref="W349:W358" si="90">IFERROR(-(Q349-T349), "NA")</f>
        <v>0</v>
      </c>
      <c r="X349" s="8">
        <f>IFERROR(W349/W444, "NA")</f>
        <v>0</v>
      </c>
      <c r="Y349" s="9"/>
      <c r="Z349" s="7">
        <v>0</v>
      </c>
      <c r="AA349" s="8">
        <f>IFERROR(Z349/Z444, "NA")</f>
        <v>0</v>
      </c>
      <c r="AB349" s="9"/>
      <c r="AC349" s="10">
        <f t="shared" ref="AC349:AC358" si="91">IFERROR(-(Q349-Z349), "NA")</f>
        <v>0</v>
      </c>
      <c r="AD349" s="8">
        <f>IFERROR(AC349/AC444, "NA")</f>
        <v>0</v>
      </c>
    </row>
    <row r="350" spans="1:30" ht="16.5" customHeight="1" x14ac:dyDescent="0.45">
      <c r="A350" s="6" t="s">
        <v>319</v>
      </c>
      <c r="B350" s="7">
        <v>35403.839999999997</v>
      </c>
      <c r="C350" s="8">
        <f>IFERROR(B350/B444, "NA")</f>
        <v>8.1378391231762812E-2</v>
      </c>
      <c r="D350" s="9"/>
      <c r="E350" s="7">
        <v>36000</v>
      </c>
      <c r="F350" s="8">
        <f>IFERROR(E350/E444, "NA")</f>
        <v>8.023031448946108E-2</v>
      </c>
      <c r="G350" s="9"/>
      <c r="H350" s="10">
        <f t="shared" si="88"/>
        <v>596.16000000000349</v>
      </c>
      <c r="I350" s="8">
        <f>IFERROR(H350/H444, "NA")</f>
        <v>-4.3655216350202621E-2</v>
      </c>
      <c r="J350" s="9"/>
      <c r="K350" s="7">
        <v>60610.54</v>
      </c>
      <c r="L350" s="8">
        <f>IFERROR(K350/K444, "NA")</f>
        <v>0.13915689215492044</v>
      </c>
      <c r="M350" s="9"/>
      <c r="N350" s="10">
        <f t="shared" si="89"/>
        <v>25206.700000000004</v>
      </c>
      <c r="O350" s="8">
        <f>IFERROR(N350/N444, "NA")</f>
        <v>-50.079868078594934</v>
      </c>
      <c r="P350" s="9"/>
      <c r="Q350" s="7">
        <v>35403.839999999997</v>
      </c>
      <c r="R350" s="8">
        <f>IFERROR(Q350/Q444, "NA")</f>
        <v>8.1378391231762812E-2</v>
      </c>
      <c r="S350" s="9"/>
      <c r="T350" s="7">
        <v>36000</v>
      </c>
      <c r="U350" s="8">
        <f>IFERROR(T350/T444, "NA")</f>
        <v>8.023031448946108E-2</v>
      </c>
      <c r="V350" s="9"/>
      <c r="W350" s="10">
        <f t="shared" si="90"/>
        <v>596.16000000000349</v>
      </c>
      <c r="X350" s="8">
        <f>IFERROR(W350/W444, "NA")</f>
        <v>-4.3655216350202621E-2</v>
      </c>
      <c r="Y350" s="9"/>
      <c r="Z350" s="7">
        <v>60610.54</v>
      </c>
      <c r="AA350" s="8">
        <f>IFERROR(Z350/Z444, "NA")</f>
        <v>0.13915689215492044</v>
      </c>
      <c r="AB350" s="9"/>
      <c r="AC350" s="10">
        <f t="shared" si="91"/>
        <v>25206.700000000004</v>
      </c>
      <c r="AD350" s="8">
        <f>IFERROR(AC350/AC444, "NA")</f>
        <v>-50.079868078594934</v>
      </c>
    </row>
    <row r="351" spans="1:30" ht="16.5" hidden="1" customHeight="1" x14ac:dyDescent="0.45">
      <c r="A351" s="6" t="s">
        <v>320</v>
      </c>
      <c r="B351" s="7">
        <v>0</v>
      </c>
      <c r="C351" s="8">
        <f>IFERROR(B351/B444, "NA")</f>
        <v>0</v>
      </c>
      <c r="D351" s="9"/>
      <c r="E351" s="7">
        <v>0</v>
      </c>
      <c r="F351" s="8">
        <f>IFERROR(E351/E444, "NA")</f>
        <v>0</v>
      </c>
      <c r="G351" s="9"/>
      <c r="H351" s="10">
        <f t="shared" si="88"/>
        <v>0</v>
      </c>
      <c r="I351" s="8">
        <f>IFERROR(H351/H444, "NA")</f>
        <v>0</v>
      </c>
      <c r="J351" s="9"/>
      <c r="K351" s="7">
        <v>0</v>
      </c>
      <c r="L351" s="8">
        <f>IFERROR(K351/K444, "NA")</f>
        <v>0</v>
      </c>
      <c r="M351" s="9"/>
      <c r="N351" s="10">
        <f t="shared" si="89"/>
        <v>0</v>
      </c>
      <c r="O351" s="8">
        <f>IFERROR(N351/N444, "NA")</f>
        <v>0</v>
      </c>
      <c r="P351" s="9"/>
      <c r="Q351" s="7">
        <v>0</v>
      </c>
      <c r="R351" s="8">
        <f>IFERROR(Q351/Q444, "NA")</f>
        <v>0</v>
      </c>
      <c r="S351" s="9"/>
      <c r="T351" s="7">
        <v>0</v>
      </c>
      <c r="U351" s="8">
        <f>IFERROR(T351/T444, "NA")</f>
        <v>0</v>
      </c>
      <c r="V351" s="9"/>
      <c r="W351" s="10">
        <f t="shared" si="90"/>
        <v>0</v>
      </c>
      <c r="X351" s="8">
        <f>IFERROR(W351/W444, "NA")</f>
        <v>0</v>
      </c>
      <c r="Y351" s="9"/>
      <c r="Z351" s="7">
        <v>0</v>
      </c>
      <c r="AA351" s="8">
        <f>IFERROR(Z351/Z444, "NA")</f>
        <v>0</v>
      </c>
      <c r="AB351" s="9"/>
      <c r="AC351" s="10">
        <f t="shared" si="91"/>
        <v>0</v>
      </c>
      <c r="AD351" s="8">
        <f>IFERROR(AC351/AC444, "NA")</f>
        <v>0</v>
      </c>
    </row>
    <row r="352" spans="1:30" ht="16.5" hidden="1" customHeight="1" x14ac:dyDescent="0.45">
      <c r="A352" s="6" t="s">
        <v>321</v>
      </c>
      <c r="B352" s="7">
        <v>0</v>
      </c>
      <c r="C352" s="8">
        <f>IFERROR(B352/B444, "NA")</f>
        <v>0</v>
      </c>
      <c r="D352" s="9"/>
      <c r="E352" s="7">
        <v>0</v>
      </c>
      <c r="F352" s="8">
        <f>IFERROR(E352/E444, "NA")</f>
        <v>0</v>
      </c>
      <c r="G352" s="9"/>
      <c r="H352" s="10">
        <f t="shared" si="88"/>
        <v>0</v>
      </c>
      <c r="I352" s="8">
        <f>IFERROR(H352/H444, "NA")</f>
        <v>0</v>
      </c>
      <c r="J352" s="9"/>
      <c r="K352" s="7">
        <v>0</v>
      </c>
      <c r="L352" s="8">
        <f>IFERROR(K352/K444, "NA")</f>
        <v>0</v>
      </c>
      <c r="M352" s="9"/>
      <c r="N352" s="10">
        <f t="shared" si="89"/>
        <v>0</v>
      </c>
      <c r="O352" s="8">
        <f>IFERROR(N352/N444, "NA")</f>
        <v>0</v>
      </c>
      <c r="P352" s="9"/>
      <c r="Q352" s="7">
        <v>0</v>
      </c>
      <c r="R352" s="8">
        <f>IFERROR(Q352/Q444, "NA")</f>
        <v>0</v>
      </c>
      <c r="S352" s="9"/>
      <c r="T352" s="7">
        <v>0</v>
      </c>
      <c r="U352" s="8">
        <f>IFERROR(T352/T444, "NA")</f>
        <v>0</v>
      </c>
      <c r="V352" s="9"/>
      <c r="W352" s="10">
        <f t="shared" si="90"/>
        <v>0</v>
      </c>
      <c r="X352" s="8">
        <f>IFERROR(W352/W444, "NA")</f>
        <v>0</v>
      </c>
      <c r="Y352" s="9"/>
      <c r="Z352" s="7">
        <v>0</v>
      </c>
      <c r="AA352" s="8">
        <f>IFERROR(Z352/Z444, "NA")</f>
        <v>0</v>
      </c>
      <c r="AB352" s="9"/>
      <c r="AC352" s="10">
        <f t="shared" si="91"/>
        <v>0</v>
      </c>
      <c r="AD352" s="8">
        <f>IFERROR(AC352/AC444, "NA")</f>
        <v>0</v>
      </c>
    </row>
    <row r="353" spans="1:30" ht="16.5" customHeight="1" x14ac:dyDescent="0.45">
      <c r="A353" s="6" t="s">
        <v>322</v>
      </c>
      <c r="B353" s="7">
        <v>0</v>
      </c>
      <c r="C353" s="8">
        <f>IFERROR(B353/B444, "NA")</f>
        <v>0</v>
      </c>
      <c r="D353" s="9"/>
      <c r="E353" s="7">
        <v>0</v>
      </c>
      <c r="F353" s="8">
        <f>IFERROR(E353/E444, "NA")</f>
        <v>0</v>
      </c>
      <c r="G353" s="9"/>
      <c r="H353" s="10">
        <f t="shared" si="88"/>
        <v>0</v>
      </c>
      <c r="I353" s="8">
        <f>IFERROR(H353/H444, "NA")</f>
        <v>0</v>
      </c>
      <c r="J353" s="9"/>
      <c r="K353" s="7">
        <v>4192.95</v>
      </c>
      <c r="L353" s="8">
        <f>IFERROR(K353/K444, "NA")</f>
        <v>9.6266736934033856E-3</v>
      </c>
      <c r="M353" s="9"/>
      <c r="N353" s="10">
        <f t="shared" si="89"/>
        <v>4192.95</v>
      </c>
      <c r="O353" s="8">
        <f>IFERROR(N353/N444, "NA")</f>
        <v>-8.3304194067507673</v>
      </c>
      <c r="P353" s="9"/>
      <c r="Q353" s="7">
        <v>0</v>
      </c>
      <c r="R353" s="8">
        <f>IFERROR(Q353/Q444, "NA")</f>
        <v>0</v>
      </c>
      <c r="S353" s="9"/>
      <c r="T353" s="7">
        <v>0</v>
      </c>
      <c r="U353" s="8">
        <f>IFERROR(T353/T444, "NA")</f>
        <v>0</v>
      </c>
      <c r="V353" s="9"/>
      <c r="W353" s="10">
        <f t="shared" si="90"/>
        <v>0</v>
      </c>
      <c r="X353" s="8">
        <f>IFERROR(W353/W444, "NA")</f>
        <v>0</v>
      </c>
      <c r="Y353" s="9"/>
      <c r="Z353" s="7">
        <v>4192.95</v>
      </c>
      <c r="AA353" s="8">
        <f>IFERROR(Z353/Z444, "NA")</f>
        <v>9.6266736934033856E-3</v>
      </c>
      <c r="AB353" s="9"/>
      <c r="AC353" s="10">
        <f t="shared" si="91"/>
        <v>4192.95</v>
      </c>
      <c r="AD353" s="8">
        <f>IFERROR(AC353/AC444, "NA")</f>
        <v>-8.3304194067507673</v>
      </c>
    </row>
    <row r="354" spans="1:30" ht="16.5" customHeight="1" x14ac:dyDescent="0.45">
      <c r="A354" s="6" t="s">
        <v>323</v>
      </c>
      <c r="B354" s="7">
        <v>3301.2</v>
      </c>
      <c r="C354" s="8">
        <f>IFERROR(B354/B444, "NA")</f>
        <v>7.5880566948188502E-3</v>
      </c>
      <c r="D354" s="9"/>
      <c r="E354" s="7">
        <v>2988</v>
      </c>
      <c r="F354" s="8">
        <f>IFERROR(E354/E444, "NA")</f>
        <v>6.659116102625269E-3</v>
      </c>
      <c r="G354" s="9"/>
      <c r="H354" s="10">
        <f t="shared" si="88"/>
        <v>-313.19999999999982</v>
      </c>
      <c r="I354" s="8">
        <f>IFERROR(H354/H444, "NA")</f>
        <v>2.2934805691229489E-2</v>
      </c>
      <c r="J354" s="9"/>
      <c r="K354" s="7">
        <v>6790.24</v>
      </c>
      <c r="L354" s="8">
        <f>IFERROR(K354/K444, "NA")</f>
        <v>1.5589841228704231E-2</v>
      </c>
      <c r="M354" s="9"/>
      <c r="N354" s="10">
        <f t="shared" si="89"/>
        <v>3489.04</v>
      </c>
      <c r="O354" s="8">
        <f>IFERROR(N354/N444, "NA")</f>
        <v>-6.9319134563802809</v>
      </c>
      <c r="P354" s="9"/>
      <c r="Q354" s="7">
        <v>3301.2</v>
      </c>
      <c r="R354" s="8">
        <f>IFERROR(Q354/Q444, "NA")</f>
        <v>7.5880566948188502E-3</v>
      </c>
      <c r="S354" s="9"/>
      <c r="T354" s="7">
        <v>2988</v>
      </c>
      <c r="U354" s="8">
        <f>IFERROR(T354/T444, "NA")</f>
        <v>6.659116102625269E-3</v>
      </c>
      <c r="V354" s="9"/>
      <c r="W354" s="10">
        <f t="shared" si="90"/>
        <v>-313.19999999999982</v>
      </c>
      <c r="X354" s="8">
        <f>IFERROR(W354/W444, "NA")</f>
        <v>2.2934805691229489E-2</v>
      </c>
      <c r="Y354" s="9"/>
      <c r="Z354" s="7">
        <v>6790.24</v>
      </c>
      <c r="AA354" s="8">
        <f>IFERROR(Z354/Z444, "NA")</f>
        <v>1.5589841228704231E-2</v>
      </c>
      <c r="AB354" s="9"/>
      <c r="AC354" s="10">
        <f t="shared" si="91"/>
        <v>3489.04</v>
      </c>
      <c r="AD354" s="8">
        <f>IFERROR(AC354/AC444, "NA")</f>
        <v>-6.9319134563802809</v>
      </c>
    </row>
    <row r="355" spans="1:30" ht="16.5" customHeight="1" x14ac:dyDescent="0.45">
      <c r="A355" s="6" t="s">
        <v>324</v>
      </c>
      <c r="B355" s="7">
        <v>169.6</v>
      </c>
      <c r="C355" s="8">
        <f>IFERROR(B355/B444, "NA")</f>
        <v>3.8983836648530141E-4</v>
      </c>
      <c r="D355" s="9"/>
      <c r="E355" s="7">
        <v>212</v>
      </c>
      <c r="F355" s="8">
        <f>IFERROR(E355/E444, "NA")</f>
        <v>4.7246740754904856E-4</v>
      </c>
      <c r="G355" s="9"/>
      <c r="H355" s="10">
        <f t="shared" si="88"/>
        <v>42.400000000000006</v>
      </c>
      <c r="I355" s="8">
        <f>IFERROR(H355/H444, "NA")</f>
        <v>-3.1048395954921169E-3</v>
      </c>
      <c r="J355" s="9"/>
      <c r="K355" s="7">
        <v>233.2</v>
      </c>
      <c r="L355" s="8">
        <f>IFERROR(K355/K444, "NA")</f>
        <v>5.3540831760494866E-4</v>
      </c>
      <c r="M355" s="9"/>
      <c r="N355" s="10">
        <f t="shared" si="89"/>
        <v>63.599999999999994</v>
      </c>
      <c r="O355" s="8">
        <f>IFERROR(N355/N444, "NA")</f>
        <v>-0.12635845270498069</v>
      </c>
      <c r="P355" s="9"/>
      <c r="Q355" s="7">
        <v>169.6</v>
      </c>
      <c r="R355" s="8">
        <f>IFERROR(Q355/Q444, "NA")</f>
        <v>3.8983836648530141E-4</v>
      </c>
      <c r="S355" s="9"/>
      <c r="T355" s="7">
        <v>212</v>
      </c>
      <c r="U355" s="8">
        <f>IFERROR(T355/T444, "NA")</f>
        <v>4.7246740754904856E-4</v>
      </c>
      <c r="V355" s="9"/>
      <c r="W355" s="10">
        <f t="shared" si="90"/>
        <v>42.400000000000006</v>
      </c>
      <c r="X355" s="8">
        <f>IFERROR(W355/W444, "NA")</f>
        <v>-3.1048395954921169E-3</v>
      </c>
      <c r="Y355" s="9"/>
      <c r="Z355" s="7">
        <v>233.2</v>
      </c>
      <c r="AA355" s="8">
        <f>IFERROR(Z355/Z444, "NA")</f>
        <v>5.3540831760494866E-4</v>
      </c>
      <c r="AB355" s="9"/>
      <c r="AC355" s="10">
        <f t="shared" si="91"/>
        <v>63.599999999999994</v>
      </c>
      <c r="AD355" s="8">
        <f>IFERROR(AC355/AC444, "NA")</f>
        <v>-0.12635845270498069</v>
      </c>
    </row>
    <row r="356" spans="1:30" ht="16.5" customHeight="1" x14ac:dyDescent="0.45">
      <c r="A356" s="6" t="s">
        <v>325</v>
      </c>
      <c r="B356" s="7">
        <v>4500</v>
      </c>
      <c r="C356" s="8">
        <f>IFERROR(B356/B444, "NA")</f>
        <v>1.034358873339538E-2</v>
      </c>
      <c r="D356" s="9"/>
      <c r="E356" s="7">
        <v>4500</v>
      </c>
      <c r="F356" s="8">
        <f>IFERROR(E356/E444, "NA")</f>
        <v>1.0028789311182635E-2</v>
      </c>
      <c r="G356" s="9"/>
      <c r="H356" s="10">
        <f t="shared" si="88"/>
        <v>0</v>
      </c>
      <c r="I356" s="8">
        <f>IFERROR(H356/H444, "NA")</f>
        <v>0</v>
      </c>
      <c r="J356" s="9"/>
      <c r="K356" s="7">
        <v>6187.5</v>
      </c>
      <c r="L356" s="8">
        <f>IFERROR(K356/K444, "NA")</f>
        <v>1.4205998993055833E-2</v>
      </c>
      <c r="M356" s="9"/>
      <c r="N356" s="10">
        <f t="shared" si="89"/>
        <v>1687.5</v>
      </c>
      <c r="O356" s="8">
        <f>IFERROR(N356/N444, "NA")</f>
        <v>-3.3526712097430025</v>
      </c>
      <c r="P356" s="9"/>
      <c r="Q356" s="7">
        <v>4500</v>
      </c>
      <c r="R356" s="8">
        <f>IFERROR(Q356/Q444, "NA")</f>
        <v>1.034358873339538E-2</v>
      </c>
      <c r="S356" s="9"/>
      <c r="T356" s="7">
        <v>4500</v>
      </c>
      <c r="U356" s="8">
        <f>IFERROR(T356/T444, "NA")</f>
        <v>1.0028789311182635E-2</v>
      </c>
      <c r="V356" s="9"/>
      <c r="W356" s="10">
        <f t="shared" si="90"/>
        <v>0</v>
      </c>
      <c r="X356" s="8">
        <f>IFERROR(W356/W444, "NA")</f>
        <v>0</v>
      </c>
      <c r="Y356" s="9"/>
      <c r="Z356" s="7">
        <v>6187.5</v>
      </c>
      <c r="AA356" s="8">
        <f>IFERROR(Z356/Z444, "NA")</f>
        <v>1.4205998993055833E-2</v>
      </c>
      <c r="AB356" s="9"/>
      <c r="AC356" s="10">
        <f t="shared" si="91"/>
        <v>1687.5</v>
      </c>
      <c r="AD356" s="8">
        <f>IFERROR(AC356/AC444, "NA")</f>
        <v>-3.3526712097430025</v>
      </c>
    </row>
    <row r="357" spans="1:30" ht="16.5" customHeight="1" x14ac:dyDescent="0.45">
      <c r="A357" s="6" t="s">
        <v>326</v>
      </c>
      <c r="B357" s="7">
        <v>3319.24</v>
      </c>
      <c r="C357" s="8">
        <f>IFERROR(B357/B444, "NA")</f>
        <v>7.6295229927633955E-3</v>
      </c>
      <c r="D357" s="9"/>
      <c r="E357" s="7">
        <v>3680</v>
      </c>
      <c r="F357" s="8">
        <f>IFERROR(E357/E444, "NA")</f>
        <v>8.2013210367004648E-3</v>
      </c>
      <c r="G357" s="9"/>
      <c r="H357" s="10">
        <f t="shared" si="88"/>
        <v>360.76000000000022</v>
      </c>
      <c r="I357" s="8">
        <f>IFERROR(H357/H444, "NA")</f>
        <v>-2.6417498407305107E-2</v>
      </c>
      <c r="J357" s="9"/>
      <c r="K357" s="7">
        <v>3469.35</v>
      </c>
      <c r="L357" s="8">
        <f>IFERROR(K357/K444, "NA")</f>
        <v>7.9653466838882029E-3</v>
      </c>
      <c r="M357" s="9"/>
      <c r="N357" s="10">
        <f t="shared" si="89"/>
        <v>150.11000000000013</v>
      </c>
      <c r="O357" s="8">
        <f>IFERROR(N357/N444, "NA")</f>
        <v>-0.29823376313749483</v>
      </c>
      <c r="P357" s="9"/>
      <c r="Q357" s="7">
        <v>3319.24</v>
      </c>
      <c r="R357" s="8">
        <f>IFERROR(Q357/Q444, "NA")</f>
        <v>7.6295229927633955E-3</v>
      </c>
      <c r="S357" s="9"/>
      <c r="T357" s="7">
        <v>3680</v>
      </c>
      <c r="U357" s="8">
        <f>IFERROR(T357/T444, "NA")</f>
        <v>8.2013210367004648E-3</v>
      </c>
      <c r="V357" s="9"/>
      <c r="W357" s="10">
        <f t="shared" si="90"/>
        <v>360.76000000000022</v>
      </c>
      <c r="X357" s="8">
        <f>IFERROR(W357/W444, "NA")</f>
        <v>-2.6417498407305107E-2</v>
      </c>
      <c r="Y357" s="9"/>
      <c r="Z357" s="7">
        <v>3469.35</v>
      </c>
      <c r="AA357" s="8">
        <f>IFERROR(Z357/Z444, "NA")</f>
        <v>7.9653466838882029E-3</v>
      </c>
      <c r="AB357" s="9"/>
      <c r="AC357" s="10">
        <f t="shared" si="91"/>
        <v>150.11000000000013</v>
      </c>
      <c r="AD357" s="8">
        <f>IFERROR(AC357/AC444, "NA")</f>
        <v>-0.29823376313749483</v>
      </c>
    </row>
    <row r="358" spans="1:30" ht="16.5" customHeight="1" x14ac:dyDescent="0.45">
      <c r="A358" s="19" t="s">
        <v>327</v>
      </c>
      <c r="B358" s="14">
        <f>IFERROR(B349+B350+B351+B352+B353+B354+B355+B356+B357, "NA")</f>
        <v>46693.87999999999</v>
      </c>
      <c r="C358" s="15">
        <f>IFERROR(B358/B444, "NA")</f>
        <v>0.10732939801922572</v>
      </c>
      <c r="D358" s="2"/>
      <c r="E358" s="14">
        <f>IFERROR(E349+E350+E351+E352+E353+E354+E355+E356+E357, "NA")</f>
        <v>47380</v>
      </c>
      <c r="F358" s="15">
        <f>IFERROR(E358/E444, "NA")</f>
        <v>0.1055920083475185</v>
      </c>
      <c r="G358" s="2"/>
      <c r="H358" s="14">
        <f t="shared" si="88"/>
        <v>686.1200000000099</v>
      </c>
      <c r="I358" s="15">
        <f>IFERROR(H358/H444, "NA")</f>
        <v>-5.0242748661770795E-2</v>
      </c>
      <c r="J358" s="2"/>
      <c r="K358" s="14">
        <f>IFERROR(K349+K350+K351+K352+K353+K354+K355+K356+K357, "NA")</f>
        <v>81483.78</v>
      </c>
      <c r="L358" s="15">
        <f>IFERROR(K358/K444, "NA")</f>
        <v>0.18708016107157704</v>
      </c>
      <c r="M358" s="2"/>
      <c r="N358" s="14">
        <f t="shared" si="89"/>
        <v>34789.900000000009</v>
      </c>
      <c r="O358" s="15">
        <f>IFERROR(N358/N444, "NA")</f>
        <v>-69.119464367311465</v>
      </c>
      <c r="P358" s="2"/>
      <c r="Q358" s="14">
        <f>IFERROR(Q349+Q350+Q351+Q352+Q353+Q354+Q355+Q356+Q357, "NA")</f>
        <v>46693.87999999999</v>
      </c>
      <c r="R358" s="15">
        <f>IFERROR(Q358/Q444, "NA")</f>
        <v>0.10732939801922572</v>
      </c>
      <c r="S358" s="2"/>
      <c r="T358" s="14">
        <f>IFERROR(T349+T350+T351+T352+T353+T354+T355+T356+T357, "NA")</f>
        <v>47380</v>
      </c>
      <c r="U358" s="15">
        <f>IFERROR(T358/T444, "NA")</f>
        <v>0.1055920083475185</v>
      </c>
      <c r="V358" s="2"/>
      <c r="W358" s="14">
        <f t="shared" si="90"/>
        <v>686.1200000000099</v>
      </c>
      <c r="X358" s="15">
        <f>IFERROR(W358/W444, "NA")</f>
        <v>-5.0242748661770795E-2</v>
      </c>
      <c r="Y358" s="2"/>
      <c r="Z358" s="14">
        <f>IFERROR(Z349+Z350+Z351+Z352+Z353+Z354+Z355+Z356+Z357, "NA")</f>
        <v>81483.78</v>
      </c>
      <c r="AA358" s="15">
        <f>IFERROR(Z358/Z444, "NA")</f>
        <v>0.18708016107157704</v>
      </c>
      <c r="AB358" s="2"/>
      <c r="AC358" s="14">
        <f t="shared" si="91"/>
        <v>34789.900000000009</v>
      </c>
      <c r="AD358" s="15">
        <f>IFERROR(AC358/AC444, "NA")</f>
        <v>-69.119464367311465</v>
      </c>
    </row>
    <row r="359" spans="1:30" ht="16.5" customHeight="1" x14ac:dyDescent="0.45">
      <c r="A359" s="5" t="s">
        <v>328</v>
      </c>
      <c r="B359" s="2"/>
      <c r="C359" s="3"/>
      <c r="D359" s="4"/>
      <c r="E359" s="2"/>
      <c r="F359" s="3"/>
      <c r="G359" s="4"/>
      <c r="H359" s="2"/>
      <c r="I359" s="3"/>
      <c r="J359" s="4"/>
      <c r="K359" s="2"/>
      <c r="L359" s="3"/>
      <c r="M359" s="4"/>
      <c r="N359" s="2"/>
      <c r="O359" s="3"/>
      <c r="P359" s="4"/>
      <c r="Q359" s="2"/>
      <c r="R359" s="3"/>
      <c r="S359" s="4"/>
      <c r="T359" s="2"/>
      <c r="U359" s="3"/>
      <c r="V359" s="4"/>
      <c r="W359" s="2"/>
      <c r="X359" s="3"/>
      <c r="Y359" s="4"/>
      <c r="Z359" s="2"/>
      <c r="AA359" s="3"/>
      <c r="AB359" s="4"/>
      <c r="AC359" s="2"/>
      <c r="AD359" s="3"/>
    </row>
    <row r="360" spans="1:30" ht="16.5" hidden="1" customHeight="1" x14ac:dyDescent="0.45">
      <c r="A360" s="6" t="s">
        <v>328</v>
      </c>
      <c r="B360" s="7">
        <v>0</v>
      </c>
      <c r="C360" s="8">
        <f>IFERROR(B360/B444, "NA")</f>
        <v>0</v>
      </c>
      <c r="D360" s="9"/>
      <c r="E360" s="7">
        <v>0</v>
      </c>
      <c r="F360" s="8">
        <f>IFERROR(E360/E444, "NA")</f>
        <v>0</v>
      </c>
      <c r="G360" s="9"/>
      <c r="H360" s="10">
        <f t="shared" ref="H360:H383" si="92">IFERROR(-(B360-E360), "NA")</f>
        <v>0</v>
      </c>
      <c r="I360" s="8">
        <f>IFERROR(H360/H444, "NA")</f>
        <v>0</v>
      </c>
      <c r="J360" s="9"/>
      <c r="K360" s="7">
        <v>0</v>
      </c>
      <c r="L360" s="8">
        <f>IFERROR(K360/K444, "NA")</f>
        <v>0</v>
      </c>
      <c r="M360" s="9"/>
      <c r="N360" s="10">
        <f t="shared" ref="N360:N383" si="93">IFERROR(-(B360-K360), "NA")</f>
        <v>0</v>
      </c>
      <c r="O360" s="8">
        <f>IFERROR(N360/N444, "NA")</f>
        <v>0</v>
      </c>
      <c r="P360" s="9"/>
      <c r="Q360" s="7">
        <v>0</v>
      </c>
      <c r="R360" s="8">
        <f>IFERROR(Q360/Q444, "NA")</f>
        <v>0</v>
      </c>
      <c r="S360" s="9"/>
      <c r="T360" s="7">
        <v>0</v>
      </c>
      <c r="U360" s="8">
        <f>IFERROR(T360/T444, "NA")</f>
        <v>0</v>
      </c>
      <c r="V360" s="9"/>
      <c r="W360" s="10">
        <f t="shared" ref="W360:W383" si="94">IFERROR(-(Q360-T360), "NA")</f>
        <v>0</v>
      </c>
      <c r="X360" s="8">
        <f>IFERROR(W360/W444, "NA")</f>
        <v>0</v>
      </c>
      <c r="Y360" s="9"/>
      <c r="Z360" s="7">
        <v>0</v>
      </c>
      <c r="AA360" s="8">
        <f>IFERROR(Z360/Z444, "NA")</f>
        <v>0</v>
      </c>
      <c r="AB360" s="9"/>
      <c r="AC360" s="10">
        <f t="shared" ref="AC360:AC383" si="95">IFERROR(-(Q360-Z360), "NA")</f>
        <v>0</v>
      </c>
      <c r="AD360" s="8">
        <f>IFERROR(AC360/AC444, "NA")</f>
        <v>0</v>
      </c>
    </row>
    <row r="361" spans="1:30" ht="16.5" hidden="1" customHeight="1" x14ac:dyDescent="0.45">
      <c r="A361" s="6" t="s">
        <v>329</v>
      </c>
      <c r="B361" s="7">
        <v>0</v>
      </c>
      <c r="C361" s="8">
        <f>IFERROR(B361/B444, "NA")</f>
        <v>0</v>
      </c>
      <c r="D361" s="9"/>
      <c r="E361" s="7">
        <v>0</v>
      </c>
      <c r="F361" s="8">
        <f>IFERROR(E361/E444, "NA")</f>
        <v>0</v>
      </c>
      <c r="G361" s="9"/>
      <c r="H361" s="10">
        <f t="shared" si="92"/>
        <v>0</v>
      </c>
      <c r="I361" s="8">
        <f>IFERROR(H361/H444, "NA")</f>
        <v>0</v>
      </c>
      <c r="J361" s="9"/>
      <c r="K361" s="7">
        <v>0</v>
      </c>
      <c r="L361" s="8">
        <f>IFERROR(K361/K444, "NA")</f>
        <v>0</v>
      </c>
      <c r="M361" s="9"/>
      <c r="N361" s="10">
        <f t="shared" si="93"/>
        <v>0</v>
      </c>
      <c r="O361" s="8">
        <f>IFERROR(N361/N444, "NA")</f>
        <v>0</v>
      </c>
      <c r="P361" s="9"/>
      <c r="Q361" s="7">
        <v>0</v>
      </c>
      <c r="R361" s="8">
        <f>IFERROR(Q361/Q444, "NA")</f>
        <v>0</v>
      </c>
      <c r="S361" s="9"/>
      <c r="T361" s="7">
        <v>0</v>
      </c>
      <c r="U361" s="8">
        <f>IFERROR(T361/T444, "NA")</f>
        <v>0</v>
      </c>
      <c r="V361" s="9"/>
      <c r="W361" s="10">
        <f t="shared" si="94"/>
        <v>0</v>
      </c>
      <c r="X361" s="8">
        <f>IFERROR(W361/W444, "NA")</f>
        <v>0</v>
      </c>
      <c r="Y361" s="9"/>
      <c r="Z361" s="7">
        <v>0</v>
      </c>
      <c r="AA361" s="8">
        <f>IFERROR(Z361/Z444, "NA")</f>
        <v>0</v>
      </c>
      <c r="AB361" s="9"/>
      <c r="AC361" s="10">
        <f t="shared" si="95"/>
        <v>0</v>
      </c>
      <c r="AD361" s="8">
        <f>IFERROR(AC361/AC444, "NA")</f>
        <v>0</v>
      </c>
    </row>
    <row r="362" spans="1:30" ht="16.5" customHeight="1" x14ac:dyDescent="0.45">
      <c r="A362" s="6" t="s">
        <v>330</v>
      </c>
      <c r="B362" s="7">
        <v>250.95</v>
      </c>
      <c r="C362" s="8">
        <f>IFERROR(B362/B444, "NA")</f>
        <v>5.7682746503234903E-4</v>
      </c>
      <c r="D362" s="9"/>
      <c r="E362" s="7">
        <v>864</v>
      </c>
      <c r="F362" s="8">
        <f>IFERROR(E362/E444, "NA")</f>
        <v>1.9255275477470658E-3</v>
      </c>
      <c r="G362" s="9"/>
      <c r="H362" s="10">
        <f t="shared" si="92"/>
        <v>613.04999999999995</v>
      </c>
      <c r="I362" s="8">
        <f>IFERROR(H362/H444, "NA")</f>
        <v>-4.4892026273972686E-2</v>
      </c>
      <c r="J362" s="9"/>
      <c r="K362" s="7">
        <v>726.28</v>
      </c>
      <c r="L362" s="8">
        <f>IFERROR(K362/K444, "NA")</f>
        <v>1.6674800725133881E-3</v>
      </c>
      <c r="M362" s="9"/>
      <c r="N362" s="10">
        <f t="shared" si="93"/>
        <v>475.33</v>
      </c>
      <c r="O362" s="8">
        <f>IFERROR(N362/N444, "NA")</f>
        <v>-0.94437049251978744</v>
      </c>
      <c r="P362" s="9"/>
      <c r="Q362" s="7">
        <v>250.95</v>
      </c>
      <c r="R362" s="8">
        <f>IFERROR(Q362/Q444, "NA")</f>
        <v>5.7682746503234903E-4</v>
      </c>
      <c r="S362" s="9"/>
      <c r="T362" s="7">
        <v>864</v>
      </c>
      <c r="U362" s="8">
        <f>IFERROR(T362/T444, "NA")</f>
        <v>1.9255275477470658E-3</v>
      </c>
      <c r="V362" s="9"/>
      <c r="W362" s="10">
        <f t="shared" si="94"/>
        <v>613.04999999999995</v>
      </c>
      <c r="X362" s="8">
        <f>IFERROR(W362/W444, "NA")</f>
        <v>-4.4892026273972686E-2</v>
      </c>
      <c r="Y362" s="9"/>
      <c r="Z362" s="7">
        <v>726.28</v>
      </c>
      <c r="AA362" s="8">
        <f>IFERROR(Z362/Z444, "NA")</f>
        <v>1.6674800725133881E-3</v>
      </c>
      <c r="AB362" s="9"/>
      <c r="AC362" s="10">
        <f t="shared" si="95"/>
        <v>475.33</v>
      </c>
      <c r="AD362" s="8">
        <f>IFERROR(AC362/AC444, "NA")</f>
        <v>-0.94437049251978744</v>
      </c>
    </row>
    <row r="363" spans="1:30" ht="16.5" customHeight="1" x14ac:dyDescent="0.45">
      <c r="A363" s="6" t="s">
        <v>331</v>
      </c>
      <c r="B363" s="7">
        <v>811.94</v>
      </c>
      <c r="C363" s="8">
        <f>IFERROR(B363/B444, "NA")</f>
        <v>1.8663052080428991E-3</v>
      </c>
      <c r="D363" s="9"/>
      <c r="E363" s="7">
        <v>150</v>
      </c>
      <c r="F363" s="8">
        <f>IFERROR(E363/E444, "NA")</f>
        <v>3.3429297703942113E-4</v>
      </c>
      <c r="G363" s="9"/>
      <c r="H363" s="10">
        <f t="shared" si="92"/>
        <v>-661.94</v>
      </c>
      <c r="I363" s="8">
        <f>IFERROR(H363/H444, "NA")</f>
        <v>4.8472111364152165E-2</v>
      </c>
      <c r="J363" s="9"/>
      <c r="K363" s="7">
        <v>326.55</v>
      </c>
      <c r="L363" s="8">
        <f>IFERROR(K363/K444, "NA")</f>
        <v>7.4973235897897081E-4</v>
      </c>
      <c r="M363" s="9"/>
      <c r="N363" s="10">
        <f t="shared" si="93"/>
        <v>-485.39000000000004</v>
      </c>
      <c r="O363" s="8">
        <f>IFERROR(N363/N444, "NA")</f>
        <v>0.96435737985016656</v>
      </c>
      <c r="P363" s="9"/>
      <c r="Q363" s="7">
        <v>811.94</v>
      </c>
      <c r="R363" s="8">
        <f>IFERROR(Q363/Q444, "NA")</f>
        <v>1.8663052080428991E-3</v>
      </c>
      <c r="S363" s="9"/>
      <c r="T363" s="7">
        <v>150</v>
      </c>
      <c r="U363" s="8">
        <f>IFERROR(T363/T444, "NA")</f>
        <v>3.3429297703942113E-4</v>
      </c>
      <c r="V363" s="9"/>
      <c r="W363" s="10">
        <f t="shared" si="94"/>
        <v>-661.94</v>
      </c>
      <c r="X363" s="8">
        <f>IFERROR(W363/W444, "NA")</f>
        <v>4.8472111364152165E-2</v>
      </c>
      <c r="Y363" s="9"/>
      <c r="Z363" s="7">
        <v>326.55</v>
      </c>
      <c r="AA363" s="8">
        <f>IFERROR(Z363/Z444, "NA")</f>
        <v>7.4973235897897081E-4</v>
      </c>
      <c r="AB363" s="9"/>
      <c r="AC363" s="10">
        <f t="shared" si="95"/>
        <v>-485.39000000000004</v>
      </c>
      <c r="AD363" s="8">
        <f>IFERROR(AC363/AC444, "NA")</f>
        <v>0.96435737985016656</v>
      </c>
    </row>
    <row r="364" spans="1:30" ht="16.5" customHeight="1" x14ac:dyDescent="0.45">
      <c r="A364" s="6" t="s">
        <v>332</v>
      </c>
      <c r="B364" s="7">
        <v>54.63</v>
      </c>
      <c r="C364" s="8">
        <f>IFERROR(B364/B444, "NA")</f>
        <v>1.2557116722341992E-4</v>
      </c>
      <c r="D364" s="9"/>
      <c r="E364" s="7">
        <v>400</v>
      </c>
      <c r="F364" s="8">
        <f>IFERROR(E364/E444, "NA")</f>
        <v>8.9144793877178976E-4</v>
      </c>
      <c r="G364" s="9"/>
      <c r="H364" s="10">
        <f t="shared" si="92"/>
        <v>345.37</v>
      </c>
      <c r="I364" s="8">
        <f>IFERROR(H364/H444, "NA")</f>
        <v>-2.5290529506960195E-2</v>
      </c>
      <c r="J364" s="9"/>
      <c r="K364" s="7">
        <v>45.26</v>
      </c>
      <c r="L364" s="8">
        <f>IFERROR(K364/K444, "NA")</f>
        <v>1.0391329526072031E-4</v>
      </c>
      <c r="M364" s="9"/>
      <c r="N364" s="10">
        <f t="shared" si="93"/>
        <v>-9.3700000000000045</v>
      </c>
      <c r="O364" s="8">
        <f>IFERROR(N364/N444, "NA")</f>
        <v>1.861601732461745E-2</v>
      </c>
      <c r="P364" s="9"/>
      <c r="Q364" s="7">
        <v>54.63</v>
      </c>
      <c r="R364" s="8">
        <f>IFERROR(Q364/Q444, "NA")</f>
        <v>1.2557116722341992E-4</v>
      </c>
      <c r="S364" s="9"/>
      <c r="T364" s="7">
        <v>400</v>
      </c>
      <c r="U364" s="8">
        <f>IFERROR(T364/T444, "NA")</f>
        <v>8.9144793877178976E-4</v>
      </c>
      <c r="V364" s="9"/>
      <c r="W364" s="10">
        <f t="shared" si="94"/>
        <v>345.37</v>
      </c>
      <c r="X364" s="8">
        <f>IFERROR(W364/W444, "NA")</f>
        <v>-2.5290529506960195E-2</v>
      </c>
      <c r="Y364" s="9"/>
      <c r="Z364" s="7">
        <v>45.26</v>
      </c>
      <c r="AA364" s="8">
        <f>IFERROR(Z364/Z444, "NA")</f>
        <v>1.0391329526072031E-4</v>
      </c>
      <c r="AB364" s="9"/>
      <c r="AC364" s="10">
        <f t="shared" si="95"/>
        <v>-9.3700000000000045</v>
      </c>
      <c r="AD364" s="8">
        <f>IFERROR(AC364/AC444, "NA")</f>
        <v>1.861601732461745E-2</v>
      </c>
    </row>
    <row r="365" spans="1:30" ht="16.5" customHeight="1" x14ac:dyDescent="0.45">
      <c r="A365" s="6" t="s">
        <v>333</v>
      </c>
      <c r="B365" s="7">
        <v>0</v>
      </c>
      <c r="C365" s="8">
        <f>IFERROR(B365/B444, "NA")</f>
        <v>0</v>
      </c>
      <c r="D365" s="9"/>
      <c r="E365" s="7">
        <v>900</v>
      </c>
      <c r="F365" s="8">
        <f>IFERROR(E365/E444, "NA")</f>
        <v>2.0057578622365269E-3</v>
      </c>
      <c r="G365" s="9"/>
      <c r="H365" s="10">
        <f t="shared" si="92"/>
        <v>900</v>
      </c>
      <c r="I365" s="8">
        <f>IFERROR(H365/H444, "NA")</f>
        <v>-6.5904614055257188E-2</v>
      </c>
      <c r="J365" s="9"/>
      <c r="K365" s="7">
        <v>0</v>
      </c>
      <c r="L365" s="8">
        <f>IFERROR(K365/K444, "NA")</f>
        <v>0</v>
      </c>
      <c r="M365" s="9"/>
      <c r="N365" s="10">
        <f t="shared" si="93"/>
        <v>0</v>
      </c>
      <c r="O365" s="8">
        <f>IFERROR(N365/N444, "NA")</f>
        <v>0</v>
      </c>
      <c r="P365" s="9"/>
      <c r="Q365" s="7">
        <v>0</v>
      </c>
      <c r="R365" s="8">
        <f>IFERROR(Q365/Q444, "NA")</f>
        <v>0</v>
      </c>
      <c r="S365" s="9"/>
      <c r="T365" s="7">
        <v>900</v>
      </c>
      <c r="U365" s="8">
        <f>IFERROR(T365/T444, "NA")</f>
        <v>2.0057578622365269E-3</v>
      </c>
      <c r="V365" s="9"/>
      <c r="W365" s="10">
        <f t="shared" si="94"/>
        <v>900</v>
      </c>
      <c r="X365" s="8">
        <f>IFERROR(W365/W444, "NA")</f>
        <v>-6.5904614055257188E-2</v>
      </c>
      <c r="Y365" s="9"/>
      <c r="Z365" s="7">
        <v>0</v>
      </c>
      <c r="AA365" s="8">
        <f>IFERROR(Z365/Z444, "NA")</f>
        <v>0</v>
      </c>
      <c r="AB365" s="9"/>
      <c r="AC365" s="10">
        <f t="shared" si="95"/>
        <v>0</v>
      </c>
      <c r="AD365" s="8">
        <f>IFERROR(AC365/AC444, "NA")</f>
        <v>0</v>
      </c>
    </row>
    <row r="366" spans="1:30" ht="16.5" customHeight="1" x14ac:dyDescent="0.45">
      <c r="A366" s="6" t="s">
        <v>334</v>
      </c>
      <c r="B366" s="7">
        <v>0</v>
      </c>
      <c r="C366" s="8">
        <f>IFERROR(B366/B444, "NA")</f>
        <v>0</v>
      </c>
      <c r="D366" s="9"/>
      <c r="E366" s="7">
        <v>450</v>
      </c>
      <c r="F366" s="8">
        <f>IFERROR(E366/E444, "NA")</f>
        <v>1.0028789311182635E-3</v>
      </c>
      <c r="G366" s="9"/>
      <c r="H366" s="10">
        <f t="shared" si="92"/>
        <v>450</v>
      </c>
      <c r="I366" s="8">
        <f>IFERROR(H366/H444, "NA")</f>
        <v>-3.2952307027628594E-2</v>
      </c>
      <c r="J366" s="9"/>
      <c r="K366" s="7">
        <v>0</v>
      </c>
      <c r="L366" s="8">
        <f>IFERROR(K366/K444, "NA")</f>
        <v>0</v>
      </c>
      <c r="M366" s="9"/>
      <c r="N366" s="10">
        <f t="shared" si="93"/>
        <v>0</v>
      </c>
      <c r="O366" s="8">
        <f>IFERROR(N366/N444, "NA")</f>
        <v>0</v>
      </c>
      <c r="P366" s="9"/>
      <c r="Q366" s="7">
        <v>0</v>
      </c>
      <c r="R366" s="8">
        <f>IFERROR(Q366/Q444, "NA")</f>
        <v>0</v>
      </c>
      <c r="S366" s="9"/>
      <c r="T366" s="7">
        <v>450</v>
      </c>
      <c r="U366" s="8">
        <f>IFERROR(T366/T444, "NA")</f>
        <v>1.0028789311182635E-3</v>
      </c>
      <c r="V366" s="9"/>
      <c r="W366" s="10">
        <f t="shared" si="94"/>
        <v>450</v>
      </c>
      <c r="X366" s="8">
        <f>IFERROR(W366/W444, "NA")</f>
        <v>-3.2952307027628594E-2</v>
      </c>
      <c r="Y366" s="9"/>
      <c r="Z366" s="7">
        <v>0</v>
      </c>
      <c r="AA366" s="8">
        <f>IFERROR(Z366/Z444, "NA")</f>
        <v>0</v>
      </c>
      <c r="AB366" s="9"/>
      <c r="AC366" s="10">
        <f t="shared" si="95"/>
        <v>0</v>
      </c>
      <c r="AD366" s="8">
        <f>IFERROR(AC366/AC444, "NA")</f>
        <v>0</v>
      </c>
    </row>
    <row r="367" spans="1:30" ht="16.5" customHeight="1" x14ac:dyDescent="0.45">
      <c r="A367" s="6" t="s">
        <v>335</v>
      </c>
      <c r="B367" s="7">
        <v>1667.61</v>
      </c>
      <c r="C367" s="8">
        <f>IFERROR(B367/B444, "NA")</f>
        <v>3.8331271128216595E-3</v>
      </c>
      <c r="D367" s="9"/>
      <c r="E367" s="7">
        <v>0</v>
      </c>
      <c r="F367" s="8">
        <f>IFERROR(E367/E444, "NA")</f>
        <v>0</v>
      </c>
      <c r="G367" s="9"/>
      <c r="H367" s="10">
        <f t="shared" si="92"/>
        <v>-1667.61</v>
      </c>
      <c r="I367" s="8">
        <f>IFERROR(H367/H444, "NA")</f>
        <v>0.12211465938298603</v>
      </c>
      <c r="J367" s="9"/>
      <c r="K367" s="7">
        <v>0</v>
      </c>
      <c r="L367" s="8">
        <f>IFERROR(K367/K444, "NA")</f>
        <v>0</v>
      </c>
      <c r="M367" s="9"/>
      <c r="N367" s="10">
        <f t="shared" si="93"/>
        <v>-1667.61</v>
      </c>
      <c r="O367" s="8">
        <f>IFERROR(N367/N444, "NA")</f>
        <v>3.3131543917508313</v>
      </c>
      <c r="P367" s="9"/>
      <c r="Q367" s="7">
        <v>1667.61</v>
      </c>
      <c r="R367" s="8">
        <f>IFERROR(Q367/Q444, "NA")</f>
        <v>3.8331271128216595E-3</v>
      </c>
      <c r="S367" s="9"/>
      <c r="T367" s="7">
        <v>0</v>
      </c>
      <c r="U367" s="8">
        <f>IFERROR(T367/T444, "NA")</f>
        <v>0</v>
      </c>
      <c r="V367" s="9"/>
      <c r="W367" s="10">
        <f t="shared" si="94"/>
        <v>-1667.61</v>
      </c>
      <c r="X367" s="8">
        <f>IFERROR(W367/W444, "NA")</f>
        <v>0.12211465938298603</v>
      </c>
      <c r="Y367" s="9"/>
      <c r="Z367" s="7">
        <v>0</v>
      </c>
      <c r="AA367" s="8">
        <f>IFERROR(Z367/Z444, "NA")</f>
        <v>0</v>
      </c>
      <c r="AB367" s="9"/>
      <c r="AC367" s="10">
        <f t="shared" si="95"/>
        <v>-1667.61</v>
      </c>
      <c r="AD367" s="8">
        <f>IFERROR(AC367/AC444, "NA")</f>
        <v>3.3131543917508313</v>
      </c>
    </row>
    <row r="368" spans="1:30" ht="16.5" customHeight="1" x14ac:dyDescent="0.45">
      <c r="A368" s="19" t="s">
        <v>336</v>
      </c>
      <c r="B368" s="14">
        <f>IFERROR(B360+B361+B362+B363+B364+B365+B366+B367, "NA")</f>
        <v>2785.13</v>
      </c>
      <c r="C368" s="15">
        <f>IFERROR(B368/B444, "NA")</f>
        <v>6.4018309531203282E-3</v>
      </c>
      <c r="D368" s="2"/>
      <c r="E368" s="14">
        <f>IFERROR(E360+E361+E362+E363+E364+E365+E366+E367, "NA")</f>
        <v>2764</v>
      </c>
      <c r="F368" s="15">
        <f>IFERROR(E368/E444, "NA")</f>
        <v>6.1599052569130675E-3</v>
      </c>
      <c r="G368" s="2"/>
      <c r="H368" s="14">
        <f t="shared" si="92"/>
        <v>-21.130000000000109</v>
      </c>
      <c r="I368" s="15">
        <f>IFERROR(H368/H444, "NA")</f>
        <v>1.5472938833195461E-3</v>
      </c>
      <c r="J368" s="2"/>
      <c r="K368" s="14">
        <f>IFERROR(K360+K361+K362+K363+K364+K365+K366+K367, "NA")</f>
        <v>1098.0899999999999</v>
      </c>
      <c r="L368" s="15">
        <f>IFERROR(K368/K444, "NA")</f>
        <v>2.5211257267530791E-3</v>
      </c>
      <c r="M368" s="2"/>
      <c r="N368" s="14">
        <f t="shared" si="93"/>
        <v>-1687.0400000000002</v>
      </c>
      <c r="O368" s="15">
        <f>IFERROR(N368/N444, "NA")</f>
        <v>3.3517572964058284</v>
      </c>
      <c r="P368" s="2"/>
      <c r="Q368" s="14">
        <f>IFERROR(Q360+Q361+Q362+Q363+Q364+Q365+Q366+Q367, "NA")</f>
        <v>2785.13</v>
      </c>
      <c r="R368" s="15">
        <f>IFERROR(Q368/Q444, "NA")</f>
        <v>6.4018309531203282E-3</v>
      </c>
      <c r="S368" s="2"/>
      <c r="T368" s="14">
        <f>IFERROR(T360+T361+T362+T363+T364+T365+T366+T367, "NA")</f>
        <v>2764</v>
      </c>
      <c r="U368" s="15">
        <f>IFERROR(T368/T444, "NA")</f>
        <v>6.1599052569130675E-3</v>
      </c>
      <c r="V368" s="2"/>
      <c r="W368" s="14">
        <f t="shared" si="94"/>
        <v>-21.130000000000109</v>
      </c>
      <c r="X368" s="15">
        <f>IFERROR(W368/W444, "NA")</f>
        <v>1.5472938833195461E-3</v>
      </c>
      <c r="Y368" s="2"/>
      <c r="Z368" s="14">
        <f>IFERROR(Z360+Z361+Z362+Z363+Z364+Z365+Z366+Z367, "NA")</f>
        <v>1098.0899999999999</v>
      </c>
      <c r="AA368" s="15">
        <f>IFERROR(Z368/Z444, "NA")</f>
        <v>2.5211257267530791E-3</v>
      </c>
      <c r="AB368" s="2"/>
      <c r="AC368" s="14">
        <f t="shared" si="95"/>
        <v>-1687.0400000000002</v>
      </c>
      <c r="AD368" s="15">
        <f>IFERROR(AC368/AC444, "NA")</f>
        <v>3.3517572964058284</v>
      </c>
    </row>
    <row r="369" spans="1:30" ht="16.5" hidden="1" customHeight="1" x14ac:dyDescent="0.45">
      <c r="A369" s="20" t="s">
        <v>337</v>
      </c>
      <c r="B369" s="7">
        <v>0</v>
      </c>
      <c r="C369" s="8">
        <f>IFERROR(B369/B444, "NA")</f>
        <v>0</v>
      </c>
      <c r="D369" s="9"/>
      <c r="E369" s="7">
        <v>0</v>
      </c>
      <c r="F369" s="8">
        <f>IFERROR(E369/E444, "NA")</f>
        <v>0</v>
      </c>
      <c r="G369" s="9"/>
      <c r="H369" s="10">
        <f t="shared" si="92"/>
        <v>0</v>
      </c>
      <c r="I369" s="8">
        <f>IFERROR(H369/H444, "NA")</f>
        <v>0</v>
      </c>
      <c r="J369" s="9"/>
      <c r="K369" s="7">
        <v>0</v>
      </c>
      <c r="L369" s="8">
        <f>IFERROR(K369/K444, "NA")</f>
        <v>0</v>
      </c>
      <c r="M369" s="9"/>
      <c r="N369" s="10">
        <f t="shared" si="93"/>
        <v>0</v>
      </c>
      <c r="O369" s="8">
        <f>IFERROR(N369/N444, "NA")</f>
        <v>0</v>
      </c>
      <c r="P369" s="9"/>
      <c r="Q369" s="7">
        <v>0</v>
      </c>
      <c r="R369" s="8">
        <f>IFERROR(Q369/Q444, "NA")</f>
        <v>0</v>
      </c>
      <c r="S369" s="9"/>
      <c r="T369" s="7">
        <v>0</v>
      </c>
      <c r="U369" s="8">
        <f>IFERROR(T369/T444, "NA")</f>
        <v>0</v>
      </c>
      <c r="V369" s="9"/>
      <c r="W369" s="10">
        <f t="shared" si="94"/>
        <v>0</v>
      </c>
      <c r="X369" s="8">
        <f>IFERROR(W369/W444, "NA")</f>
        <v>0</v>
      </c>
      <c r="Y369" s="9"/>
      <c r="Z369" s="7">
        <v>0</v>
      </c>
      <c r="AA369" s="8">
        <f>IFERROR(Z369/Z444, "NA")</f>
        <v>0</v>
      </c>
      <c r="AB369" s="9"/>
      <c r="AC369" s="10">
        <f t="shared" si="95"/>
        <v>0</v>
      </c>
      <c r="AD369" s="8">
        <f>IFERROR(AC369/AC444, "NA")</f>
        <v>0</v>
      </c>
    </row>
    <row r="370" spans="1:30" ht="16.5" customHeight="1" x14ac:dyDescent="0.45">
      <c r="A370" s="20" t="s">
        <v>338</v>
      </c>
      <c r="B370" s="7">
        <v>98</v>
      </c>
      <c r="C370" s="8">
        <f>IFERROR(B370/B444, "NA")</f>
        <v>2.252603768606105E-4</v>
      </c>
      <c r="D370" s="9"/>
      <c r="E370" s="7">
        <v>100</v>
      </c>
      <c r="F370" s="8">
        <f>IFERROR(E370/E444, "NA")</f>
        <v>2.2286198469294744E-4</v>
      </c>
      <c r="G370" s="9"/>
      <c r="H370" s="10">
        <f t="shared" si="92"/>
        <v>2</v>
      </c>
      <c r="I370" s="8">
        <f>IFERROR(H370/H444, "NA")</f>
        <v>-1.4645469790057153E-4</v>
      </c>
      <c r="J370" s="9"/>
      <c r="K370" s="7">
        <v>103</v>
      </c>
      <c r="L370" s="8">
        <f>IFERROR(K370/K444, "NA")</f>
        <v>2.3647966000561629E-4</v>
      </c>
      <c r="M370" s="9"/>
      <c r="N370" s="10">
        <f t="shared" si="93"/>
        <v>5</v>
      </c>
      <c r="O370" s="8">
        <f>IFERROR(N370/N444, "NA")</f>
        <v>-9.9338406214607468E-3</v>
      </c>
      <c r="P370" s="9"/>
      <c r="Q370" s="7">
        <v>98</v>
      </c>
      <c r="R370" s="8">
        <f>IFERROR(Q370/Q444, "NA")</f>
        <v>2.252603768606105E-4</v>
      </c>
      <c r="S370" s="9"/>
      <c r="T370" s="7">
        <v>100</v>
      </c>
      <c r="U370" s="8">
        <f>IFERROR(T370/T444, "NA")</f>
        <v>2.2286198469294744E-4</v>
      </c>
      <c r="V370" s="9"/>
      <c r="W370" s="10">
        <f t="shared" si="94"/>
        <v>2</v>
      </c>
      <c r="X370" s="8">
        <f>IFERROR(W370/W444, "NA")</f>
        <v>-1.4645469790057153E-4</v>
      </c>
      <c r="Y370" s="9"/>
      <c r="Z370" s="7">
        <v>103</v>
      </c>
      <c r="AA370" s="8">
        <f>IFERROR(Z370/Z444, "NA")</f>
        <v>2.3647966000561629E-4</v>
      </c>
      <c r="AB370" s="9"/>
      <c r="AC370" s="10">
        <f t="shared" si="95"/>
        <v>5</v>
      </c>
      <c r="AD370" s="8">
        <f>IFERROR(AC370/AC444, "NA")</f>
        <v>-9.9338406214607468E-3</v>
      </c>
    </row>
    <row r="371" spans="1:30" ht="16.5" customHeight="1" x14ac:dyDescent="0.45">
      <c r="A371" s="20" t="s">
        <v>339</v>
      </c>
      <c r="B371" s="7">
        <v>89.6</v>
      </c>
      <c r="C371" s="8">
        <f>IFERROR(B371/B444, "NA")</f>
        <v>2.0595234455827245E-4</v>
      </c>
      <c r="D371" s="9"/>
      <c r="E371" s="7">
        <v>125</v>
      </c>
      <c r="F371" s="8">
        <f>IFERROR(E371/E444, "NA")</f>
        <v>2.7857748086618429E-4</v>
      </c>
      <c r="G371" s="9"/>
      <c r="H371" s="10">
        <f t="shared" si="92"/>
        <v>35.400000000000006</v>
      </c>
      <c r="I371" s="8">
        <f>IFERROR(H371/H444, "NA")</f>
        <v>-2.5922481528401166E-3</v>
      </c>
      <c r="J371" s="9"/>
      <c r="K371" s="7">
        <v>110.07</v>
      </c>
      <c r="L371" s="8">
        <f>IFERROR(K371/K444, "NA")</f>
        <v>2.5271180754192409E-4</v>
      </c>
      <c r="M371" s="9"/>
      <c r="N371" s="10">
        <f t="shared" si="93"/>
        <v>20.47</v>
      </c>
      <c r="O371" s="8">
        <f>IFERROR(N371/N444, "NA")</f>
        <v>-4.0669143504260298E-2</v>
      </c>
      <c r="P371" s="9"/>
      <c r="Q371" s="7">
        <v>89.6</v>
      </c>
      <c r="R371" s="8">
        <f>IFERROR(Q371/Q444, "NA")</f>
        <v>2.0595234455827245E-4</v>
      </c>
      <c r="S371" s="9"/>
      <c r="T371" s="7">
        <v>125</v>
      </c>
      <c r="U371" s="8">
        <f>IFERROR(T371/T444, "NA")</f>
        <v>2.7857748086618429E-4</v>
      </c>
      <c r="V371" s="9"/>
      <c r="W371" s="10">
        <f t="shared" si="94"/>
        <v>35.400000000000006</v>
      </c>
      <c r="X371" s="8">
        <f>IFERROR(W371/W444, "NA")</f>
        <v>-2.5922481528401166E-3</v>
      </c>
      <c r="Y371" s="9"/>
      <c r="Z371" s="7">
        <v>110.07</v>
      </c>
      <c r="AA371" s="8">
        <f>IFERROR(Z371/Z444, "NA")</f>
        <v>2.5271180754192409E-4</v>
      </c>
      <c r="AB371" s="9"/>
      <c r="AC371" s="10">
        <f t="shared" si="95"/>
        <v>20.47</v>
      </c>
      <c r="AD371" s="8">
        <f>IFERROR(AC371/AC444, "NA")</f>
        <v>-4.0669143504260298E-2</v>
      </c>
    </row>
    <row r="372" spans="1:30" ht="16.5" customHeight="1" x14ac:dyDescent="0.45">
      <c r="A372" s="20" t="s">
        <v>340</v>
      </c>
      <c r="B372" s="7">
        <v>254.08</v>
      </c>
      <c r="C372" s="8">
        <f>IFERROR(B372/B444, "NA")</f>
        <v>5.8402200564024404E-4</v>
      </c>
      <c r="D372" s="9"/>
      <c r="E372" s="7">
        <v>0</v>
      </c>
      <c r="F372" s="8">
        <f>IFERROR(E372/E444, "NA")</f>
        <v>0</v>
      </c>
      <c r="G372" s="9"/>
      <c r="H372" s="10">
        <f t="shared" si="92"/>
        <v>-254.08</v>
      </c>
      <c r="I372" s="8">
        <f>IFERROR(H372/H444, "NA")</f>
        <v>1.8605604821288608E-2</v>
      </c>
      <c r="J372" s="9"/>
      <c r="K372" s="7">
        <v>0</v>
      </c>
      <c r="L372" s="8">
        <f>IFERROR(K372/K444, "NA")</f>
        <v>0</v>
      </c>
      <c r="M372" s="9"/>
      <c r="N372" s="10">
        <f t="shared" si="93"/>
        <v>-254.08</v>
      </c>
      <c r="O372" s="8">
        <f>IFERROR(N372/N444, "NA")</f>
        <v>0.50479804502014936</v>
      </c>
      <c r="P372" s="9"/>
      <c r="Q372" s="7">
        <v>254.08</v>
      </c>
      <c r="R372" s="8">
        <f>IFERROR(Q372/Q444, "NA")</f>
        <v>5.8402200564024404E-4</v>
      </c>
      <c r="S372" s="9"/>
      <c r="T372" s="7">
        <v>0</v>
      </c>
      <c r="U372" s="8">
        <f>IFERROR(T372/T444, "NA")</f>
        <v>0</v>
      </c>
      <c r="V372" s="9"/>
      <c r="W372" s="10">
        <f t="shared" si="94"/>
        <v>-254.08</v>
      </c>
      <c r="X372" s="8">
        <f>IFERROR(W372/W444, "NA")</f>
        <v>1.8605604821288608E-2</v>
      </c>
      <c r="Y372" s="9"/>
      <c r="Z372" s="7">
        <v>0</v>
      </c>
      <c r="AA372" s="8">
        <f>IFERROR(Z372/Z444, "NA")</f>
        <v>0</v>
      </c>
      <c r="AB372" s="9"/>
      <c r="AC372" s="10">
        <f t="shared" si="95"/>
        <v>-254.08</v>
      </c>
      <c r="AD372" s="8">
        <f>IFERROR(AC372/AC444, "NA")</f>
        <v>0.50479804502014936</v>
      </c>
    </row>
    <row r="373" spans="1:30" ht="16.5" customHeight="1" x14ac:dyDescent="0.45">
      <c r="A373" s="20" t="s">
        <v>341</v>
      </c>
      <c r="B373" s="7">
        <v>667.13</v>
      </c>
      <c r="C373" s="8">
        <f>IFERROR(B373/B444, "NA")</f>
        <v>1.5334485226022355E-3</v>
      </c>
      <c r="D373" s="9"/>
      <c r="E373" s="7">
        <v>629</v>
      </c>
      <c r="F373" s="8">
        <f>IFERROR(E373/E444, "NA")</f>
        <v>1.4018018837186393E-3</v>
      </c>
      <c r="G373" s="9"/>
      <c r="H373" s="10">
        <f t="shared" si="92"/>
        <v>-38.129999999999995</v>
      </c>
      <c r="I373" s="8">
        <f>IFERROR(H373/H444, "NA")</f>
        <v>2.7921588154743958E-3</v>
      </c>
      <c r="J373" s="9"/>
      <c r="K373" s="7">
        <v>454.89</v>
      </c>
      <c r="L373" s="8">
        <f>IFERROR(K373/K444, "NA")</f>
        <v>1.0443906071840271E-3</v>
      </c>
      <c r="M373" s="9"/>
      <c r="N373" s="10">
        <f t="shared" si="93"/>
        <v>-212.24</v>
      </c>
      <c r="O373" s="8">
        <f>IFERROR(N373/N444, "NA")</f>
        <v>0.42167166669976586</v>
      </c>
      <c r="P373" s="9"/>
      <c r="Q373" s="7">
        <v>667.13</v>
      </c>
      <c r="R373" s="8">
        <f>IFERROR(Q373/Q444, "NA")</f>
        <v>1.5334485226022355E-3</v>
      </c>
      <c r="S373" s="9"/>
      <c r="T373" s="7">
        <v>629</v>
      </c>
      <c r="U373" s="8">
        <f>IFERROR(T373/T444, "NA")</f>
        <v>1.4018018837186393E-3</v>
      </c>
      <c r="V373" s="9"/>
      <c r="W373" s="10">
        <f t="shared" si="94"/>
        <v>-38.129999999999995</v>
      </c>
      <c r="X373" s="8">
        <f>IFERROR(W373/W444, "NA")</f>
        <v>2.7921588154743958E-3</v>
      </c>
      <c r="Y373" s="9"/>
      <c r="Z373" s="7">
        <v>454.89</v>
      </c>
      <c r="AA373" s="8">
        <f>IFERROR(Z373/Z444, "NA")</f>
        <v>1.0443906071840271E-3</v>
      </c>
      <c r="AB373" s="9"/>
      <c r="AC373" s="10">
        <f t="shared" si="95"/>
        <v>-212.24</v>
      </c>
      <c r="AD373" s="8">
        <f>IFERROR(AC373/AC444, "NA")</f>
        <v>0.42167166669976586</v>
      </c>
    </row>
    <row r="374" spans="1:30" ht="16.5" customHeight="1" x14ac:dyDescent="0.45">
      <c r="A374" s="20" t="s">
        <v>342</v>
      </c>
      <c r="B374" s="7">
        <v>2114.1</v>
      </c>
      <c r="C374" s="8">
        <f>IFERROR(B374/B444, "NA")</f>
        <v>4.8594179869491496E-3</v>
      </c>
      <c r="D374" s="9"/>
      <c r="E374" s="7">
        <v>2150</v>
      </c>
      <c r="F374" s="8">
        <f>IFERROR(E374/E444, "NA")</f>
        <v>4.7915326708983701E-3</v>
      </c>
      <c r="G374" s="9"/>
      <c r="H374" s="10">
        <f t="shared" si="92"/>
        <v>35.900000000000091</v>
      </c>
      <c r="I374" s="8">
        <f>IFERROR(H374/H444, "NA")</f>
        <v>-2.6288618273152655E-3</v>
      </c>
      <c r="J374" s="9"/>
      <c r="K374" s="7">
        <v>1897.01</v>
      </c>
      <c r="L374" s="8">
        <f>IFERROR(K374/K444, "NA")</f>
        <v>4.3553813575461569E-3</v>
      </c>
      <c r="M374" s="9"/>
      <c r="N374" s="10">
        <f t="shared" si="93"/>
        <v>-217.08999999999992</v>
      </c>
      <c r="O374" s="8">
        <f>IFERROR(N374/N444, "NA")</f>
        <v>0.43130749210258257</v>
      </c>
      <c r="P374" s="9"/>
      <c r="Q374" s="7">
        <v>2114.1</v>
      </c>
      <c r="R374" s="8">
        <f>IFERROR(Q374/Q444, "NA")</f>
        <v>4.8594179869491496E-3</v>
      </c>
      <c r="S374" s="9"/>
      <c r="T374" s="7">
        <v>2150</v>
      </c>
      <c r="U374" s="8">
        <f>IFERROR(T374/T444, "NA")</f>
        <v>4.7915326708983701E-3</v>
      </c>
      <c r="V374" s="9"/>
      <c r="W374" s="10">
        <f t="shared" si="94"/>
        <v>35.900000000000091</v>
      </c>
      <c r="X374" s="8">
        <f>IFERROR(W374/W444, "NA")</f>
        <v>-2.6288618273152655E-3</v>
      </c>
      <c r="Y374" s="9"/>
      <c r="Z374" s="7">
        <v>1897.01</v>
      </c>
      <c r="AA374" s="8">
        <f>IFERROR(Z374/Z444, "NA")</f>
        <v>4.3553813575461569E-3</v>
      </c>
      <c r="AB374" s="9"/>
      <c r="AC374" s="10">
        <f t="shared" si="95"/>
        <v>-217.08999999999992</v>
      </c>
      <c r="AD374" s="8">
        <f>IFERROR(AC374/AC444, "NA")</f>
        <v>0.43130749210258257</v>
      </c>
    </row>
    <row r="375" spans="1:30" ht="16.5" customHeight="1" x14ac:dyDescent="0.45">
      <c r="A375" s="20" t="s">
        <v>343</v>
      </c>
      <c r="B375" s="7">
        <v>0</v>
      </c>
      <c r="C375" s="8">
        <f>IFERROR(B375/B444, "NA")</f>
        <v>0</v>
      </c>
      <c r="D375" s="9"/>
      <c r="E375" s="7">
        <v>0</v>
      </c>
      <c r="F375" s="8">
        <f>IFERROR(E375/E444, "NA")</f>
        <v>0</v>
      </c>
      <c r="G375" s="9"/>
      <c r="H375" s="10">
        <f t="shared" si="92"/>
        <v>0</v>
      </c>
      <c r="I375" s="8">
        <f>IFERROR(H375/H444, "NA")</f>
        <v>0</v>
      </c>
      <c r="J375" s="9"/>
      <c r="K375" s="7">
        <v>205.26</v>
      </c>
      <c r="L375" s="8">
        <f>IFERROR(K375/K444, "NA")</f>
        <v>4.7126033992963878E-4</v>
      </c>
      <c r="M375" s="9"/>
      <c r="N375" s="10">
        <f t="shared" si="93"/>
        <v>205.26</v>
      </c>
      <c r="O375" s="8">
        <f>IFERROR(N375/N444, "NA")</f>
        <v>-0.4078040251922066</v>
      </c>
      <c r="P375" s="9"/>
      <c r="Q375" s="7">
        <v>0</v>
      </c>
      <c r="R375" s="8">
        <f>IFERROR(Q375/Q444, "NA")</f>
        <v>0</v>
      </c>
      <c r="S375" s="9"/>
      <c r="T375" s="7">
        <v>0</v>
      </c>
      <c r="U375" s="8">
        <f>IFERROR(T375/T444, "NA")</f>
        <v>0</v>
      </c>
      <c r="V375" s="9"/>
      <c r="W375" s="10">
        <f t="shared" si="94"/>
        <v>0</v>
      </c>
      <c r="X375" s="8">
        <f>IFERROR(W375/W444, "NA")</f>
        <v>0</v>
      </c>
      <c r="Y375" s="9"/>
      <c r="Z375" s="7">
        <v>205.26</v>
      </c>
      <c r="AA375" s="8">
        <f>IFERROR(Z375/Z444, "NA")</f>
        <v>4.7126033992963878E-4</v>
      </c>
      <c r="AB375" s="9"/>
      <c r="AC375" s="10">
        <f t="shared" si="95"/>
        <v>205.26</v>
      </c>
      <c r="AD375" s="8">
        <f>IFERROR(AC375/AC444, "NA")</f>
        <v>-0.4078040251922066</v>
      </c>
    </row>
    <row r="376" spans="1:30" ht="16.5" customHeight="1" x14ac:dyDescent="0.45">
      <c r="A376" s="20" t="s">
        <v>344</v>
      </c>
      <c r="B376" s="7">
        <v>0</v>
      </c>
      <c r="C376" s="8">
        <f>IFERROR(B376/B444, "NA")</f>
        <v>0</v>
      </c>
      <c r="D376" s="9"/>
      <c r="E376" s="7">
        <v>0</v>
      </c>
      <c r="F376" s="8">
        <f>IFERROR(E376/E444, "NA")</f>
        <v>0</v>
      </c>
      <c r="G376" s="9"/>
      <c r="H376" s="10">
        <f t="shared" si="92"/>
        <v>0</v>
      </c>
      <c r="I376" s="8">
        <f>IFERROR(H376/H444, "NA")</f>
        <v>0</v>
      </c>
      <c r="J376" s="9"/>
      <c r="K376" s="7">
        <v>-2413</v>
      </c>
      <c r="L376" s="8">
        <f>IFERROR(K376/K444, "NA")</f>
        <v>-5.5400526174131269E-3</v>
      </c>
      <c r="M376" s="9"/>
      <c r="N376" s="10">
        <f t="shared" si="93"/>
        <v>-2413</v>
      </c>
      <c r="O376" s="8">
        <f>IFERROR(N376/N444, "NA")</f>
        <v>4.7940714839169569</v>
      </c>
      <c r="P376" s="9"/>
      <c r="Q376" s="7">
        <v>0</v>
      </c>
      <c r="R376" s="8">
        <f>IFERROR(Q376/Q444, "NA")</f>
        <v>0</v>
      </c>
      <c r="S376" s="9"/>
      <c r="T376" s="7">
        <v>0</v>
      </c>
      <c r="U376" s="8">
        <f>IFERROR(T376/T444, "NA")</f>
        <v>0</v>
      </c>
      <c r="V376" s="9"/>
      <c r="W376" s="10">
        <f t="shared" si="94"/>
        <v>0</v>
      </c>
      <c r="X376" s="8">
        <f>IFERROR(W376/W444, "NA")</f>
        <v>0</v>
      </c>
      <c r="Y376" s="9"/>
      <c r="Z376" s="7">
        <v>-2413</v>
      </c>
      <c r="AA376" s="8">
        <f>IFERROR(Z376/Z444, "NA")</f>
        <v>-5.5400526174131269E-3</v>
      </c>
      <c r="AB376" s="9"/>
      <c r="AC376" s="10">
        <f t="shared" si="95"/>
        <v>-2413</v>
      </c>
      <c r="AD376" s="8">
        <f>IFERROR(AC376/AC444, "NA")</f>
        <v>4.7940714839169569</v>
      </c>
    </row>
    <row r="377" spans="1:30" ht="16.5" hidden="1" customHeight="1" x14ac:dyDescent="0.45">
      <c r="A377" s="20" t="s">
        <v>345</v>
      </c>
      <c r="B377" s="7">
        <v>0</v>
      </c>
      <c r="C377" s="8">
        <f>IFERROR(B377/B444, "NA")</f>
        <v>0</v>
      </c>
      <c r="D377" s="9"/>
      <c r="E377" s="7">
        <v>0</v>
      </c>
      <c r="F377" s="8">
        <f>IFERROR(E377/E444, "NA")</f>
        <v>0</v>
      </c>
      <c r="G377" s="9"/>
      <c r="H377" s="10">
        <f t="shared" si="92"/>
        <v>0</v>
      </c>
      <c r="I377" s="8">
        <f>IFERROR(H377/H444, "NA")</f>
        <v>0</v>
      </c>
      <c r="J377" s="9"/>
      <c r="K377" s="7">
        <v>0</v>
      </c>
      <c r="L377" s="8">
        <f>IFERROR(K377/K444, "NA")</f>
        <v>0</v>
      </c>
      <c r="M377" s="9"/>
      <c r="N377" s="10">
        <f t="shared" si="93"/>
        <v>0</v>
      </c>
      <c r="O377" s="8">
        <f>IFERROR(N377/N444, "NA")</f>
        <v>0</v>
      </c>
      <c r="P377" s="9"/>
      <c r="Q377" s="7">
        <v>0</v>
      </c>
      <c r="R377" s="8">
        <f>IFERROR(Q377/Q444, "NA")</f>
        <v>0</v>
      </c>
      <c r="S377" s="9"/>
      <c r="T377" s="7">
        <v>0</v>
      </c>
      <c r="U377" s="8">
        <f>IFERROR(T377/T444, "NA")</f>
        <v>0</v>
      </c>
      <c r="V377" s="9"/>
      <c r="W377" s="10">
        <f t="shared" si="94"/>
        <v>0</v>
      </c>
      <c r="X377" s="8">
        <f>IFERROR(W377/W444, "NA")</f>
        <v>0</v>
      </c>
      <c r="Y377" s="9"/>
      <c r="Z377" s="7">
        <v>0</v>
      </c>
      <c r="AA377" s="8">
        <f>IFERROR(Z377/Z444, "NA")</f>
        <v>0</v>
      </c>
      <c r="AB377" s="9"/>
      <c r="AC377" s="10">
        <f t="shared" si="95"/>
        <v>0</v>
      </c>
      <c r="AD377" s="8">
        <f>IFERROR(AC377/AC444, "NA")</f>
        <v>0</v>
      </c>
    </row>
    <row r="378" spans="1:30" ht="16.5" customHeight="1" x14ac:dyDescent="0.45">
      <c r="A378" s="20" t="s">
        <v>346</v>
      </c>
      <c r="B378" s="7">
        <v>6574.18</v>
      </c>
      <c r="C378" s="8">
        <f>IFERROR(B378/B444, "NA")</f>
        <v>1.5111247595402943E-2</v>
      </c>
      <c r="D378" s="9"/>
      <c r="E378" s="7">
        <v>9484</v>
      </c>
      <c r="F378" s="8">
        <f>IFERROR(E378/E444, "NA")</f>
        <v>2.1136230628279136E-2</v>
      </c>
      <c r="G378" s="9"/>
      <c r="H378" s="10">
        <f t="shared" si="92"/>
        <v>2909.8199999999997</v>
      </c>
      <c r="I378" s="8">
        <f>IFERROR(H378/H444, "NA")</f>
        <v>-0.2130784045225205</v>
      </c>
      <c r="J378" s="9"/>
      <c r="K378" s="7">
        <v>7928.96</v>
      </c>
      <c r="L378" s="8">
        <f>IFERROR(K378/K444, "NA")</f>
        <v>1.8204250145612926E-2</v>
      </c>
      <c r="M378" s="9"/>
      <c r="N378" s="10">
        <f t="shared" si="93"/>
        <v>1354.7799999999997</v>
      </c>
      <c r="O378" s="8">
        <f>IFERROR(N378/N444, "NA")</f>
        <v>-2.691633719428518</v>
      </c>
      <c r="P378" s="9"/>
      <c r="Q378" s="7">
        <v>6574.18</v>
      </c>
      <c r="R378" s="8">
        <f>IFERROR(Q378/Q444, "NA")</f>
        <v>1.5111247595402943E-2</v>
      </c>
      <c r="S378" s="9"/>
      <c r="T378" s="7">
        <v>9484</v>
      </c>
      <c r="U378" s="8">
        <f>IFERROR(T378/T444, "NA")</f>
        <v>2.1136230628279136E-2</v>
      </c>
      <c r="V378" s="9"/>
      <c r="W378" s="10">
        <f t="shared" si="94"/>
        <v>2909.8199999999997</v>
      </c>
      <c r="X378" s="8">
        <f>IFERROR(W378/W444, "NA")</f>
        <v>-0.2130784045225205</v>
      </c>
      <c r="Y378" s="9"/>
      <c r="Z378" s="7">
        <v>7928.96</v>
      </c>
      <c r="AA378" s="8">
        <f>IFERROR(Z378/Z444, "NA")</f>
        <v>1.8204250145612926E-2</v>
      </c>
      <c r="AB378" s="9"/>
      <c r="AC378" s="10">
        <f t="shared" si="95"/>
        <v>1354.7799999999997</v>
      </c>
      <c r="AD378" s="8">
        <f>IFERROR(AC378/AC444, "NA")</f>
        <v>-2.691633719428518</v>
      </c>
    </row>
    <row r="379" spans="1:30" ht="16.5" customHeight="1" x14ac:dyDescent="0.45">
      <c r="A379" s="20" t="s">
        <v>347</v>
      </c>
      <c r="B379" s="7">
        <v>740.52</v>
      </c>
      <c r="C379" s="8">
        <f>IFERROR(B379/B444, "NA")</f>
        <v>1.7021409619675438E-3</v>
      </c>
      <c r="D379" s="9"/>
      <c r="E379" s="7">
        <v>0</v>
      </c>
      <c r="F379" s="8">
        <f>IFERROR(E379/E444, "NA")</f>
        <v>0</v>
      </c>
      <c r="G379" s="9"/>
      <c r="H379" s="10">
        <f t="shared" si="92"/>
        <v>-740.52</v>
      </c>
      <c r="I379" s="8">
        <f>IFERROR(H379/H444, "NA")</f>
        <v>5.4226316444665613E-2</v>
      </c>
      <c r="J379" s="9"/>
      <c r="K379" s="7">
        <v>18.41</v>
      </c>
      <c r="L379" s="8">
        <f>IFERROR(K379/K444, "NA")</f>
        <v>4.2267869327217438E-5</v>
      </c>
      <c r="M379" s="9"/>
      <c r="N379" s="10">
        <f t="shared" si="93"/>
        <v>-722.11</v>
      </c>
      <c r="O379" s="8">
        <f>IFERROR(N379/N444, "NA")</f>
        <v>1.4346651302326041</v>
      </c>
      <c r="P379" s="9"/>
      <c r="Q379" s="7">
        <v>740.52</v>
      </c>
      <c r="R379" s="8">
        <f>IFERROR(Q379/Q444, "NA")</f>
        <v>1.7021409619675438E-3</v>
      </c>
      <c r="S379" s="9"/>
      <c r="T379" s="7">
        <v>0</v>
      </c>
      <c r="U379" s="8">
        <f>IFERROR(T379/T444, "NA")</f>
        <v>0</v>
      </c>
      <c r="V379" s="9"/>
      <c r="W379" s="10">
        <f t="shared" si="94"/>
        <v>-740.52</v>
      </c>
      <c r="X379" s="8">
        <f>IFERROR(W379/W444, "NA")</f>
        <v>5.4226316444665613E-2</v>
      </c>
      <c r="Y379" s="9"/>
      <c r="Z379" s="7">
        <v>18.41</v>
      </c>
      <c r="AA379" s="8">
        <f>IFERROR(Z379/Z444, "NA")</f>
        <v>4.2267869327217438E-5</v>
      </c>
      <c r="AB379" s="9"/>
      <c r="AC379" s="10">
        <f t="shared" si="95"/>
        <v>-722.11</v>
      </c>
      <c r="AD379" s="8">
        <f>IFERROR(AC379/AC444, "NA")</f>
        <v>1.4346651302326041</v>
      </c>
    </row>
    <row r="380" spans="1:30" ht="16.5" customHeight="1" x14ac:dyDescent="0.45">
      <c r="A380" s="20" t="s">
        <v>348</v>
      </c>
      <c r="B380" s="7">
        <v>11800</v>
      </c>
      <c r="C380" s="8">
        <f>IFERROR(B380/B444, "NA")</f>
        <v>2.7123188234236775E-2</v>
      </c>
      <c r="D380" s="9"/>
      <c r="E380" s="7">
        <v>11800</v>
      </c>
      <c r="F380" s="8">
        <f>IFERROR(E380/E444, "NA")</f>
        <v>2.6297714193767797E-2</v>
      </c>
      <c r="G380" s="9"/>
      <c r="H380" s="10">
        <f t="shared" si="92"/>
        <v>0</v>
      </c>
      <c r="I380" s="8">
        <f>IFERROR(H380/H444, "NA")</f>
        <v>0</v>
      </c>
      <c r="J380" s="9"/>
      <c r="K380" s="7">
        <v>11500</v>
      </c>
      <c r="L380" s="8">
        <f>IFERROR(K380/K444, "NA")</f>
        <v>2.6403068835578518E-2</v>
      </c>
      <c r="M380" s="9"/>
      <c r="N380" s="10">
        <f t="shared" si="93"/>
        <v>-300</v>
      </c>
      <c r="O380" s="8">
        <f>IFERROR(N380/N444, "NA")</f>
        <v>0.59603043728764482</v>
      </c>
      <c r="P380" s="9"/>
      <c r="Q380" s="7">
        <v>11800</v>
      </c>
      <c r="R380" s="8">
        <f>IFERROR(Q380/Q444, "NA")</f>
        <v>2.7123188234236775E-2</v>
      </c>
      <c r="S380" s="9"/>
      <c r="T380" s="7">
        <v>11800</v>
      </c>
      <c r="U380" s="8">
        <f>IFERROR(T380/T444, "NA")</f>
        <v>2.6297714193767797E-2</v>
      </c>
      <c r="V380" s="9"/>
      <c r="W380" s="10">
        <f t="shared" si="94"/>
        <v>0</v>
      </c>
      <c r="X380" s="8">
        <f>IFERROR(W380/W444, "NA")</f>
        <v>0</v>
      </c>
      <c r="Y380" s="9"/>
      <c r="Z380" s="7">
        <v>11500</v>
      </c>
      <c r="AA380" s="8">
        <f>IFERROR(Z380/Z444, "NA")</f>
        <v>2.6403068835578518E-2</v>
      </c>
      <c r="AB380" s="9"/>
      <c r="AC380" s="10">
        <f t="shared" si="95"/>
        <v>-300</v>
      </c>
      <c r="AD380" s="8">
        <f>IFERROR(AC380/AC444, "NA")</f>
        <v>0.59603043728764482</v>
      </c>
    </row>
    <row r="381" spans="1:30" ht="16.5" customHeight="1" x14ac:dyDescent="0.45">
      <c r="A381" s="20" t="s">
        <v>349</v>
      </c>
      <c r="B381" s="7">
        <v>3547.5</v>
      </c>
      <c r="C381" s="8">
        <f>IFERROR(B381/B444, "NA")</f>
        <v>8.154195784826691E-3</v>
      </c>
      <c r="D381" s="9"/>
      <c r="E381" s="7">
        <v>2500</v>
      </c>
      <c r="F381" s="8">
        <f>IFERROR(E381/E444, "NA")</f>
        <v>5.5715496173236855E-3</v>
      </c>
      <c r="G381" s="9"/>
      <c r="H381" s="10">
        <f t="shared" si="92"/>
        <v>-1047.5</v>
      </c>
      <c r="I381" s="8">
        <f>IFERROR(H381/H444, "NA")</f>
        <v>7.6705648025424344E-2</v>
      </c>
      <c r="J381" s="9"/>
      <c r="K381" s="7">
        <v>4000</v>
      </c>
      <c r="L381" s="8">
        <f>IFERROR(K381/K444, "NA")</f>
        <v>9.1836761167229629E-3</v>
      </c>
      <c r="M381" s="9"/>
      <c r="N381" s="10">
        <f t="shared" si="93"/>
        <v>452.5</v>
      </c>
      <c r="O381" s="8">
        <f>IFERROR(N381/N444, "NA")</f>
        <v>-0.89901257624219766</v>
      </c>
      <c r="P381" s="9"/>
      <c r="Q381" s="7">
        <v>3547.5</v>
      </c>
      <c r="R381" s="8">
        <f>IFERROR(Q381/Q444, "NA")</f>
        <v>8.154195784826691E-3</v>
      </c>
      <c r="S381" s="9"/>
      <c r="T381" s="7">
        <v>2500</v>
      </c>
      <c r="U381" s="8">
        <f>IFERROR(T381/T444, "NA")</f>
        <v>5.5715496173236855E-3</v>
      </c>
      <c r="V381" s="9"/>
      <c r="W381" s="10">
        <f t="shared" si="94"/>
        <v>-1047.5</v>
      </c>
      <c r="X381" s="8">
        <f>IFERROR(W381/W444, "NA")</f>
        <v>7.6705648025424344E-2</v>
      </c>
      <c r="Y381" s="9"/>
      <c r="Z381" s="7">
        <v>4000</v>
      </c>
      <c r="AA381" s="8">
        <f>IFERROR(Z381/Z444, "NA")</f>
        <v>9.1836761167229629E-3</v>
      </c>
      <c r="AB381" s="9"/>
      <c r="AC381" s="10">
        <f t="shared" si="95"/>
        <v>452.5</v>
      </c>
      <c r="AD381" s="8">
        <f>IFERROR(AC381/AC444, "NA")</f>
        <v>-0.89901257624219766</v>
      </c>
    </row>
    <row r="382" spans="1:30" ht="16.5" customHeight="1" x14ac:dyDescent="0.45">
      <c r="A382" s="20" t="s">
        <v>350</v>
      </c>
      <c r="B382" s="7">
        <v>674.16</v>
      </c>
      <c r="C382" s="8">
        <f>IFERROR(B382/B444, "NA")</f>
        <v>1.5496075067790731E-3</v>
      </c>
      <c r="D382" s="9"/>
      <c r="E382" s="7">
        <v>506</v>
      </c>
      <c r="F382" s="8">
        <f>IFERROR(E382/E444, "NA")</f>
        <v>1.1276816425463141E-3</v>
      </c>
      <c r="G382" s="9"/>
      <c r="H382" s="10">
        <f t="shared" si="92"/>
        <v>-168.15999999999997</v>
      </c>
      <c r="I382" s="8">
        <f>IFERROR(H382/H444, "NA")</f>
        <v>1.2313910999480052E-2</v>
      </c>
      <c r="J382" s="9"/>
      <c r="K382" s="7">
        <v>505.62</v>
      </c>
      <c r="L382" s="8">
        <f>IFERROR(K382/K444, "NA")</f>
        <v>1.1608625795343662E-3</v>
      </c>
      <c r="M382" s="9"/>
      <c r="N382" s="10">
        <f t="shared" si="93"/>
        <v>-168.53999999999996</v>
      </c>
      <c r="O382" s="8">
        <f>IFERROR(N382/N444, "NA")</f>
        <v>0.33484989966819884</v>
      </c>
      <c r="P382" s="9"/>
      <c r="Q382" s="7">
        <v>674.16</v>
      </c>
      <c r="R382" s="8">
        <f>IFERROR(Q382/Q444, "NA")</f>
        <v>1.5496075067790731E-3</v>
      </c>
      <c r="S382" s="9"/>
      <c r="T382" s="7">
        <v>506</v>
      </c>
      <c r="U382" s="8">
        <f>IFERROR(T382/T444, "NA")</f>
        <v>1.1276816425463141E-3</v>
      </c>
      <c r="V382" s="9"/>
      <c r="W382" s="10">
        <f t="shared" si="94"/>
        <v>-168.15999999999997</v>
      </c>
      <c r="X382" s="8">
        <f>IFERROR(W382/W444, "NA")</f>
        <v>1.2313910999480052E-2</v>
      </c>
      <c r="Y382" s="9"/>
      <c r="Z382" s="7">
        <v>505.62</v>
      </c>
      <c r="AA382" s="8">
        <f>IFERROR(Z382/Z444, "NA")</f>
        <v>1.1608625795343662E-3</v>
      </c>
      <c r="AB382" s="9"/>
      <c r="AC382" s="10">
        <f t="shared" si="95"/>
        <v>-168.53999999999996</v>
      </c>
      <c r="AD382" s="8">
        <f>IFERROR(AC382/AC444, "NA")</f>
        <v>0.33484989966819884</v>
      </c>
    </row>
    <row r="383" spans="1:30" ht="16.5" hidden="1" customHeight="1" x14ac:dyDescent="0.45">
      <c r="A383" s="20" t="s">
        <v>351</v>
      </c>
      <c r="B383" s="7">
        <v>0</v>
      </c>
      <c r="C383" s="8">
        <f>IFERROR(B383/B444, "NA")</f>
        <v>0</v>
      </c>
      <c r="D383" s="9"/>
      <c r="E383" s="7">
        <v>0</v>
      </c>
      <c r="F383" s="8">
        <f>IFERROR(E383/E444, "NA")</f>
        <v>0</v>
      </c>
      <c r="G383" s="9"/>
      <c r="H383" s="10">
        <f t="shared" si="92"/>
        <v>0</v>
      </c>
      <c r="I383" s="8">
        <f>IFERROR(H383/H444, "NA")</f>
        <v>0</v>
      </c>
      <c r="J383" s="9"/>
      <c r="K383" s="7">
        <v>0</v>
      </c>
      <c r="L383" s="8">
        <f>IFERROR(K383/K444, "NA")</f>
        <v>0</v>
      </c>
      <c r="M383" s="9"/>
      <c r="N383" s="10">
        <f t="shared" si="93"/>
        <v>0</v>
      </c>
      <c r="O383" s="8">
        <f>IFERROR(N383/N444, "NA")</f>
        <v>0</v>
      </c>
      <c r="P383" s="9"/>
      <c r="Q383" s="7">
        <v>0</v>
      </c>
      <c r="R383" s="8">
        <f>IFERROR(Q383/Q444, "NA")</f>
        <v>0</v>
      </c>
      <c r="S383" s="9"/>
      <c r="T383" s="7">
        <v>0</v>
      </c>
      <c r="U383" s="8">
        <f>IFERROR(T383/T444, "NA")</f>
        <v>0</v>
      </c>
      <c r="V383" s="9"/>
      <c r="W383" s="10">
        <f t="shared" si="94"/>
        <v>0</v>
      </c>
      <c r="X383" s="8">
        <f>IFERROR(W383/W444, "NA")</f>
        <v>0</v>
      </c>
      <c r="Y383" s="9"/>
      <c r="Z383" s="7">
        <v>0</v>
      </c>
      <c r="AA383" s="8">
        <f>IFERROR(Z383/Z444, "NA")</f>
        <v>0</v>
      </c>
      <c r="AB383" s="9"/>
      <c r="AC383" s="10">
        <f t="shared" si="95"/>
        <v>0</v>
      </c>
      <c r="AD383" s="8">
        <f>IFERROR(AC383/AC444, "NA")</f>
        <v>0</v>
      </c>
    </row>
    <row r="384" spans="1:30" ht="16.5" customHeight="1" x14ac:dyDescent="0.45">
      <c r="A384" s="5" t="s">
        <v>352</v>
      </c>
      <c r="B384" s="2"/>
      <c r="C384" s="3"/>
      <c r="D384" s="4"/>
      <c r="E384" s="2"/>
      <c r="F384" s="3"/>
      <c r="G384" s="4"/>
      <c r="H384" s="2"/>
      <c r="I384" s="3"/>
      <c r="J384" s="4"/>
      <c r="K384" s="2"/>
      <c r="L384" s="3"/>
      <c r="M384" s="4"/>
      <c r="N384" s="2"/>
      <c r="O384" s="3"/>
      <c r="P384" s="4"/>
      <c r="Q384" s="2"/>
      <c r="R384" s="3"/>
      <c r="S384" s="4"/>
      <c r="T384" s="2"/>
      <c r="U384" s="3"/>
      <c r="V384" s="4"/>
      <c r="W384" s="2"/>
      <c r="X384" s="3"/>
      <c r="Y384" s="4"/>
      <c r="Z384" s="2"/>
      <c r="AA384" s="3"/>
      <c r="AB384" s="4"/>
      <c r="AC384" s="2"/>
      <c r="AD384" s="3"/>
    </row>
    <row r="385" spans="1:30" ht="16.5" customHeight="1" x14ac:dyDescent="0.45">
      <c r="A385" s="6" t="s">
        <v>352</v>
      </c>
      <c r="B385" s="7">
        <v>2222.3000000000002</v>
      </c>
      <c r="C385" s="8">
        <f>IFERROR(B385/B444, "NA")</f>
        <v>5.1081238316054564E-3</v>
      </c>
      <c r="D385" s="9"/>
      <c r="E385" s="7">
        <v>750</v>
      </c>
      <c r="F385" s="8">
        <f>IFERROR(E385/E444, "NA")</f>
        <v>1.6714648851971058E-3</v>
      </c>
      <c r="G385" s="9"/>
      <c r="H385" s="10">
        <f>IFERROR(-(B385-E385), "NA")</f>
        <v>-1472.3000000000002</v>
      </c>
      <c r="I385" s="8">
        <f>IFERROR(H385/H444, "NA")</f>
        <v>0.10781262585950574</v>
      </c>
      <c r="J385" s="9"/>
      <c r="K385" s="7">
        <v>2197.23</v>
      </c>
      <c r="L385" s="8">
        <f>IFERROR(K385/K444, "NA")</f>
        <v>5.0446621684867984E-3</v>
      </c>
      <c r="M385" s="9"/>
      <c r="N385" s="10">
        <f>IFERROR(-(B385-K385), "NA")</f>
        <v>-25.070000000000164</v>
      </c>
      <c r="O385" s="8">
        <f>IFERROR(N385/N444, "NA")</f>
        <v>4.9808276876004511E-2</v>
      </c>
      <c r="P385" s="9"/>
      <c r="Q385" s="7">
        <v>2222.3000000000002</v>
      </c>
      <c r="R385" s="8">
        <f>IFERROR(Q385/Q444, "NA")</f>
        <v>5.1081238316054564E-3</v>
      </c>
      <c r="S385" s="9"/>
      <c r="T385" s="7">
        <v>750</v>
      </c>
      <c r="U385" s="8">
        <f>IFERROR(T385/T444, "NA")</f>
        <v>1.6714648851971058E-3</v>
      </c>
      <c r="V385" s="9"/>
      <c r="W385" s="10">
        <f>IFERROR(-(Q385-T385), "NA")</f>
        <v>-1472.3000000000002</v>
      </c>
      <c r="X385" s="8">
        <f>IFERROR(W385/W444, "NA")</f>
        <v>0.10781262585950574</v>
      </c>
      <c r="Y385" s="9"/>
      <c r="Z385" s="7">
        <v>2197.23</v>
      </c>
      <c r="AA385" s="8">
        <f>IFERROR(Z385/Z444, "NA")</f>
        <v>5.0446621684867984E-3</v>
      </c>
      <c r="AB385" s="9"/>
      <c r="AC385" s="10">
        <f>IFERROR(-(Q385-Z385), "NA")</f>
        <v>-25.070000000000164</v>
      </c>
      <c r="AD385" s="8">
        <f>IFERROR(AC385/AC444, "NA")</f>
        <v>4.9808276876004511E-2</v>
      </c>
    </row>
    <row r="386" spans="1:30" ht="16.5" hidden="1" customHeight="1" x14ac:dyDescent="0.45">
      <c r="A386" s="6" t="s">
        <v>353</v>
      </c>
      <c r="B386" s="7">
        <v>0</v>
      </c>
      <c r="C386" s="8">
        <f>IFERROR(B386/B444, "NA")</f>
        <v>0</v>
      </c>
      <c r="D386" s="9"/>
      <c r="E386" s="7">
        <v>0</v>
      </c>
      <c r="F386" s="8">
        <f>IFERROR(E386/E444, "NA")</f>
        <v>0</v>
      </c>
      <c r="G386" s="9"/>
      <c r="H386" s="10">
        <f>IFERROR(-(B386-E386), "NA")</f>
        <v>0</v>
      </c>
      <c r="I386" s="8">
        <f>IFERROR(H386/H444, "NA")</f>
        <v>0</v>
      </c>
      <c r="J386" s="9"/>
      <c r="K386" s="7">
        <v>0</v>
      </c>
      <c r="L386" s="8">
        <f>IFERROR(K386/K444, "NA")</f>
        <v>0</v>
      </c>
      <c r="M386" s="9"/>
      <c r="N386" s="10">
        <f>IFERROR(-(B386-K386), "NA")</f>
        <v>0</v>
      </c>
      <c r="O386" s="8">
        <f>IFERROR(N386/N444, "NA")</f>
        <v>0</v>
      </c>
      <c r="P386" s="9"/>
      <c r="Q386" s="7">
        <v>0</v>
      </c>
      <c r="R386" s="8">
        <f>IFERROR(Q386/Q444, "NA")</f>
        <v>0</v>
      </c>
      <c r="S386" s="9"/>
      <c r="T386" s="7">
        <v>0</v>
      </c>
      <c r="U386" s="8">
        <f>IFERROR(T386/T444, "NA")</f>
        <v>0</v>
      </c>
      <c r="V386" s="9"/>
      <c r="W386" s="10">
        <f>IFERROR(-(Q386-T386), "NA")</f>
        <v>0</v>
      </c>
      <c r="X386" s="8">
        <f>IFERROR(W386/W444, "NA")</f>
        <v>0</v>
      </c>
      <c r="Y386" s="9"/>
      <c r="Z386" s="7">
        <v>0</v>
      </c>
      <c r="AA386" s="8">
        <f>IFERROR(Z386/Z444, "NA")</f>
        <v>0</v>
      </c>
      <c r="AB386" s="9"/>
      <c r="AC386" s="10">
        <f>IFERROR(-(Q386-Z386), "NA")</f>
        <v>0</v>
      </c>
      <c r="AD386" s="8">
        <f>IFERROR(AC386/AC444, "NA")</f>
        <v>0</v>
      </c>
    </row>
    <row r="387" spans="1:30" ht="16.5" customHeight="1" x14ac:dyDescent="0.45">
      <c r="A387" s="11" t="s">
        <v>354</v>
      </c>
      <c r="B387" s="2"/>
      <c r="C387" s="3"/>
      <c r="D387" s="4"/>
      <c r="E387" s="2"/>
      <c r="F387" s="3"/>
      <c r="G387" s="4"/>
      <c r="H387" s="2"/>
      <c r="I387" s="3"/>
      <c r="J387" s="4"/>
      <c r="K387" s="2"/>
      <c r="L387" s="3"/>
      <c r="M387" s="4"/>
      <c r="N387" s="2"/>
      <c r="O387" s="3"/>
      <c r="P387" s="4"/>
      <c r="Q387" s="2"/>
      <c r="R387" s="3"/>
      <c r="S387" s="4"/>
      <c r="T387" s="2"/>
      <c r="U387" s="3"/>
      <c r="V387" s="4"/>
      <c r="W387" s="2"/>
      <c r="X387" s="3"/>
      <c r="Y387" s="4"/>
      <c r="Z387" s="2"/>
      <c r="AA387" s="3"/>
      <c r="AB387" s="4"/>
      <c r="AC387" s="2"/>
      <c r="AD387" s="3"/>
    </row>
    <row r="388" spans="1:30" ht="16.5" customHeight="1" x14ac:dyDescent="0.45">
      <c r="A388" s="12" t="s">
        <v>354</v>
      </c>
      <c r="B388" s="7">
        <v>0</v>
      </c>
      <c r="C388" s="8">
        <f>IFERROR(B388/B444, "NA")</f>
        <v>0</v>
      </c>
      <c r="D388" s="9"/>
      <c r="E388" s="7">
        <v>9422.8700000000008</v>
      </c>
      <c r="F388" s="8">
        <f>IFERROR(E388/E444, "NA")</f>
        <v>2.0999995097036338E-2</v>
      </c>
      <c r="G388" s="9"/>
      <c r="H388" s="10">
        <f t="shared" ref="H388:H403" si="96">IFERROR(-(B388-E388), "NA")</f>
        <v>9422.8700000000008</v>
      </c>
      <c r="I388" s="8">
        <f>IFERROR(H388/H444, "NA")</f>
        <v>-0.69001178960317933</v>
      </c>
      <c r="J388" s="9"/>
      <c r="K388" s="7">
        <v>0</v>
      </c>
      <c r="L388" s="8">
        <f>IFERROR(K388/K444, "NA")</f>
        <v>0</v>
      </c>
      <c r="M388" s="9"/>
      <c r="N388" s="10">
        <f t="shared" ref="N388:N403" si="97">IFERROR(-(B388-K388), "NA")</f>
        <v>0</v>
      </c>
      <c r="O388" s="8">
        <f>IFERROR(N388/N444, "NA")</f>
        <v>0</v>
      </c>
      <c r="P388" s="9"/>
      <c r="Q388" s="7">
        <v>0</v>
      </c>
      <c r="R388" s="8">
        <f>IFERROR(Q388/Q444, "NA")</f>
        <v>0</v>
      </c>
      <c r="S388" s="9"/>
      <c r="T388" s="7">
        <v>9422.8700000000008</v>
      </c>
      <c r="U388" s="8">
        <f>IFERROR(T388/T444, "NA")</f>
        <v>2.0999995097036338E-2</v>
      </c>
      <c r="V388" s="9"/>
      <c r="W388" s="10">
        <f t="shared" ref="W388:W403" si="98">IFERROR(-(Q388-T388), "NA")</f>
        <v>9422.8700000000008</v>
      </c>
      <c r="X388" s="8">
        <f>IFERROR(W388/W444, "NA")</f>
        <v>-0.69001178960317933</v>
      </c>
      <c r="Y388" s="9"/>
      <c r="Z388" s="7">
        <v>0</v>
      </c>
      <c r="AA388" s="8">
        <f>IFERROR(Z388/Z444, "NA")</f>
        <v>0</v>
      </c>
      <c r="AB388" s="9"/>
      <c r="AC388" s="10">
        <f t="shared" ref="AC388:AC403" si="99">IFERROR(-(Q388-Z388), "NA")</f>
        <v>0</v>
      </c>
      <c r="AD388" s="8">
        <f>IFERROR(AC388/AC444, "NA")</f>
        <v>0</v>
      </c>
    </row>
    <row r="389" spans="1:30" ht="16.5" customHeight="1" x14ac:dyDescent="0.45">
      <c r="A389" s="12" t="s">
        <v>355</v>
      </c>
      <c r="B389" s="7">
        <v>6900.42</v>
      </c>
      <c r="C389" s="8">
        <f>IFERROR(B389/B444, "NA")</f>
        <v>1.5861134792821367E-2</v>
      </c>
      <c r="D389" s="9"/>
      <c r="E389" s="7">
        <v>0</v>
      </c>
      <c r="F389" s="8">
        <f>IFERROR(E389/E444, "NA")</f>
        <v>0</v>
      </c>
      <c r="G389" s="9"/>
      <c r="H389" s="10">
        <f t="shared" si="96"/>
        <v>-6900.42</v>
      </c>
      <c r="I389" s="8">
        <f>IFERROR(H389/H444, "NA")</f>
        <v>0.50529946324353092</v>
      </c>
      <c r="J389" s="9"/>
      <c r="K389" s="7">
        <v>3194.75</v>
      </c>
      <c r="L389" s="8">
        <f>IFERROR(K389/K444, "NA")</f>
        <v>7.3348873184751707E-3</v>
      </c>
      <c r="M389" s="9"/>
      <c r="N389" s="10">
        <f t="shared" si="97"/>
        <v>-3705.67</v>
      </c>
      <c r="O389" s="8">
        <f>IFERROR(N389/N444, "NA")</f>
        <v>7.3623070351456903</v>
      </c>
      <c r="P389" s="9"/>
      <c r="Q389" s="7">
        <v>6900.42</v>
      </c>
      <c r="R389" s="8">
        <f>IFERROR(Q389/Q444, "NA")</f>
        <v>1.5861134792821367E-2</v>
      </c>
      <c r="S389" s="9"/>
      <c r="T389" s="7">
        <v>0</v>
      </c>
      <c r="U389" s="8">
        <f>IFERROR(T389/T444, "NA")</f>
        <v>0</v>
      </c>
      <c r="V389" s="9"/>
      <c r="W389" s="10">
        <f t="shared" si="98"/>
        <v>-6900.42</v>
      </c>
      <c r="X389" s="8">
        <f>IFERROR(W389/W444, "NA")</f>
        <v>0.50529946324353092</v>
      </c>
      <c r="Y389" s="9"/>
      <c r="Z389" s="7">
        <v>3194.75</v>
      </c>
      <c r="AA389" s="8">
        <f>IFERROR(Z389/Z444, "NA")</f>
        <v>7.3348873184751707E-3</v>
      </c>
      <c r="AB389" s="9"/>
      <c r="AC389" s="10">
        <f t="shared" si="99"/>
        <v>-3705.67</v>
      </c>
      <c r="AD389" s="8">
        <f>IFERROR(AC389/AC444, "NA")</f>
        <v>7.3623070351456903</v>
      </c>
    </row>
    <row r="390" spans="1:30" ht="16.5" customHeight="1" x14ac:dyDescent="0.45">
      <c r="A390" s="12" t="s">
        <v>356</v>
      </c>
      <c r="B390" s="7">
        <v>3202.36</v>
      </c>
      <c r="C390" s="8">
        <f>IFERROR(B390/B444, "NA")</f>
        <v>7.360865514728007E-3</v>
      </c>
      <c r="D390" s="9"/>
      <c r="E390" s="7">
        <v>0</v>
      </c>
      <c r="F390" s="8">
        <f>IFERROR(E390/E444, "NA")</f>
        <v>0</v>
      </c>
      <c r="G390" s="9"/>
      <c r="H390" s="10">
        <f t="shared" si="96"/>
        <v>-3202.36</v>
      </c>
      <c r="I390" s="8">
        <f>IFERROR(H390/H444, "NA")</f>
        <v>0.23450033318443714</v>
      </c>
      <c r="J390" s="9"/>
      <c r="K390" s="7">
        <v>12806.2</v>
      </c>
      <c r="L390" s="8">
        <f>IFERROR(K390/K444, "NA")</f>
        <v>2.9401998271494402E-2</v>
      </c>
      <c r="M390" s="9"/>
      <c r="N390" s="10">
        <f t="shared" si="97"/>
        <v>9603.84</v>
      </c>
      <c r="O390" s="8">
        <f>IFERROR(N390/N444, "NA")</f>
        <v>-19.080603182801916</v>
      </c>
      <c r="P390" s="9"/>
      <c r="Q390" s="7">
        <v>3202.36</v>
      </c>
      <c r="R390" s="8">
        <f>IFERROR(Q390/Q444, "NA")</f>
        <v>7.360865514728007E-3</v>
      </c>
      <c r="S390" s="9"/>
      <c r="T390" s="7">
        <v>0</v>
      </c>
      <c r="U390" s="8">
        <f>IFERROR(T390/T444, "NA")</f>
        <v>0</v>
      </c>
      <c r="V390" s="9"/>
      <c r="W390" s="10">
        <f t="shared" si="98"/>
        <v>-3202.36</v>
      </c>
      <c r="X390" s="8">
        <f>IFERROR(W390/W444, "NA")</f>
        <v>0.23450033318443714</v>
      </c>
      <c r="Y390" s="9"/>
      <c r="Z390" s="7">
        <v>12806.2</v>
      </c>
      <c r="AA390" s="8">
        <f>IFERROR(Z390/Z444, "NA")</f>
        <v>2.9401998271494402E-2</v>
      </c>
      <c r="AB390" s="9"/>
      <c r="AC390" s="10">
        <f t="shared" si="99"/>
        <v>9603.84</v>
      </c>
      <c r="AD390" s="8">
        <f>IFERROR(AC390/AC444, "NA")</f>
        <v>-19.080603182801916</v>
      </c>
    </row>
    <row r="391" spans="1:30" ht="16.5" hidden="1" customHeight="1" x14ac:dyDescent="0.45">
      <c r="A391" s="12" t="s">
        <v>357</v>
      </c>
      <c r="B391" s="7">
        <v>0</v>
      </c>
      <c r="C391" s="8">
        <f>IFERROR(B391/B444, "NA")</f>
        <v>0</v>
      </c>
      <c r="D391" s="9"/>
      <c r="E391" s="7">
        <v>0</v>
      </c>
      <c r="F391" s="8">
        <f>IFERROR(E391/E444, "NA")</f>
        <v>0</v>
      </c>
      <c r="G391" s="9"/>
      <c r="H391" s="10">
        <f t="shared" si="96"/>
        <v>0</v>
      </c>
      <c r="I391" s="8">
        <f>IFERROR(H391/H444, "NA")</f>
        <v>0</v>
      </c>
      <c r="J391" s="9"/>
      <c r="K391" s="7">
        <v>0</v>
      </c>
      <c r="L391" s="8">
        <f>IFERROR(K391/K444, "NA")</f>
        <v>0</v>
      </c>
      <c r="M391" s="9"/>
      <c r="N391" s="10">
        <f t="shared" si="97"/>
        <v>0</v>
      </c>
      <c r="O391" s="8">
        <f>IFERROR(N391/N444, "NA")</f>
        <v>0</v>
      </c>
      <c r="P391" s="9"/>
      <c r="Q391" s="7">
        <v>0</v>
      </c>
      <c r="R391" s="8">
        <f>IFERROR(Q391/Q444, "NA")</f>
        <v>0</v>
      </c>
      <c r="S391" s="9"/>
      <c r="T391" s="7">
        <v>0</v>
      </c>
      <c r="U391" s="8">
        <f>IFERROR(T391/T444, "NA")</f>
        <v>0</v>
      </c>
      <c r="V391" s="9"/>
      <c r="W391" s="10">
        <f t="shared" si="98"/>
        <v>0</v>
      </c>
      <c r="X391" s="8">
        <f>IFERROR(W391/W444, "NA")</f>
        <v>0</v>
      </c>
      <c r="Y391" s="9"/>
      <c r="Z391" s="7">
        <v>0</v>
      </c>
      <c r="AA391" s="8">
        <f>IFERROR(Z391/Z444, "NA")</f>
        <v>0</v>
      </c>
      <c r="AB391" s="9"/>
      <c r="AC391" s="10">
        <f t="shared" si="99"/>
        <v>0</v>
      </c>
      <c r="AD391" s="8">
        <f>IFERROR(AC391/AC444, "NA")</f>
        <v>0</v>
      </c>
    </row>
    <row r="392" spans="1:30" ht="16.5" customHeight="1" x14ac:dyDescent="0.45">
      <c r="A392" s="12" t="s">
        <v>358</v>
      </c>
      <c r="B392" s="7">
        <v>4837.55</v>
      </c>
      <c r="C392" s="8">
        <f>IFERROR(B392/B444, "NA")</f>
        <v>1.1119472817163738E-2</v>
      </c>
      <c r="D392" s="9"/>
      <c r="E392" s="7">
        <v>0</v>
      </c>
      <c r="F392" s="8">
        <f>IFERROR(E392/E444, "NA")</f>
        <v>0</v>
      </c>
      <c r="G392" s="9"/>
      <c r="H392" s="10">
        <f t="shared" si="96"/>
        <v>-4837.55</v>
      </c>
      <c r="I392" s="8">
        <f>IFERROR(H392/H444, "NA")</f>
        <v>0.35424096191445492</v>
      </c>
      <c r="J392" s="9"/>
      <c r="K392" s="7">
        <v>4344.72</v>
      </c>
      <c r="L392" s="8">
        <f>IFERROR(K392/K444, "NA")</f>
        <v>9.9751253244621477E-3</v>
      </c>
      <c r="M392" s="9"/>
      <c r="N392" s="10">
        <f t="shared" si="97"/>
        <v>-492.82999999999993</v>
      </c>
      <c r="O392" s="8">
        <f>IFERROR(N392/N444, "NA")</f>
        <v>0.97913893469489988</v>
      </c>
      <c r="P392" s="9"/>
      <c r="Q392" s="7">
        <v>4837.55</v>
      </c>
      <c r="R392" s="8">
        <f>IFERROR(Q392/Q444, "NA")</f>
        <v>1.1119472817163738E-2</v>
      </c>
      <c r="S392" s="9"/>
      <c r="T392" s="7">
        <v>0</v>
      </c>
      <c r="U392" s="8">
        <f>IFERROR(T392/T444, "NA")</f>
        <v>0</v>
      </c>
      <c r="V392" s="9"/>
      <c r="W392" s="10">
        <f t="shared" si="98"/>
        <v>-4837.55</v>
      </c>
      <c r="X392" s="8">
        <f>IFERROR(W392/W444, "NA")</f>
        <v>0.35424096191445492</v>
      </c>
      <c r="Y392" s="9"/>
      <c r="Z392" s="7">
        <v>4344.72</v>
      </c>
      <c r="AA392" s="8">
        <f>IFERROR(Z392/Z444, "NA")</f>
        <v>9.9751253244621477E-3</v>
      </c>
      <c r="AB392" s="9"/>
      <c r="AC392" s="10">
        <f t="shared" si="99"/>
        <v>-492.82999999999993</v>
      </c>
      <c r="AD392" s="8">
        <f>IFERROR(AC392/AC444, "NA")</f>
        <v>0.97913893469489988</v>
      </c>
    </row>
    <row r="393" spans="1:30" ht="16.5" customHeight="1" x14ac:dyDescent="0.45">
      <c r="A393" s="13" t="s">
        <v>359</v>
      </c>
      <c r="B393" s="14">
        <f>IFERROR(B388+B389+B390+B391+B392, "NA")</f>
        <v>14940.330000000002</v>
      </c>
      <c r="C393" s="15">
        <f>IFERROR(B393/B444, "NA")</f>
        <v>3.4341473124713112E-2</v>
      </c>
      <c r="D393" s="2"/>
      <c r="E393" s="14">
        <f>IFERROR(E388+E389+E390+E391+E392, "NA")</f>
        <v>9422.8700000000008</v>
      </c>
      <c r="F393" s="15">
        <f>IFERROR(E393/E444, "NA")</f>
        <v>2.0999995097036338E-2</v>
      </c>
      <c r="G393" s="2"/>
      <c r="H393" s="14">
        <f t="shared" si="96"/>
        <v>-5517.4600000000009</v>
      </c>
      <c r="I393" s="15">
        <f>IFERROR(H393/H444, "NA")</f>
        <v>0.40402896873924377</v>
      </c>
      <c r="J393" s="2"/>
      <c r="K393" s="14">
        <f>IFERROR(K388+K389+K390+K391+K392, "NA")</f>
        <v>20345.670000000002</v>
      </c>
      <c r="L393" s="15">
        <f>IFERROR(K393/K444, "NA")</f>
        <v>4.6712010914431723E-2</v>
      </c>
      <c r="M393" s="2"/>
      <c r="N393" s="14">
        <f t="shared" si="97"/>
        <v>5405.34</v>
      </c>
      <c r="O393" s="15">
        <f>IFERROR(N393/N444, "NA")</f>
        <v>-10.739157212961327</v>
      </c>
      <c r="P393" s="2"/>
      <c r="Q393" s="14">
        <f>IFERROR(Q388+Q389+Q390+Q391+Q392, "NA")</f>
        <v>14940.330000000002</v>
      </c>
      <c r="R393" s="15">
        <f>IFERROR(Q393/Q444, "NA")</f>
        <v>3.4341473124713112E-2</v>
      </c>
      <c r="S393" s="2"/>
      <c r="T393" s="14">
        <f>IFERROR(T388+T389+T390+T391+T392, "NA")</f>
        <v>9422.8700000000008</v>
      </c>
      <c r="U393" s="15">
        <f>IFERROR(T393/T444, "NA")</f>
        <v>2.0999995097036338E-2</v>
      </c>
      <c r="V393" s="2"/>
      <c r="W393" s="14">
        <f t="shared" si="98"/>
        <v>-5517.4600000000009</v>
      </c>
      <c r="X393" s="15">
        <f>IFERROR(W393/W444, "NA")</f>
        <v>0.40402896873924377</v>
      </c>
      <c r="Y393" s="2"/>
      <c r="Z393" s="14">
        <f>IFERROR(Z388+Z389+Z390+Z391+Z392, "NA")</f>
        <v>20345.670000000002</v>
      </c>
      <c r="AA393" s="15">
        <f>IFERROR(Z393/Z444, "NA")</f>
        <v>4.6712010914431723E-2</v>
      </c>
      <c r="AB393" s="2"/>
      <c r="AC393" s="14">
        <f t="shared" si="99"/>
        <v>5405.34</v>
      </c>
      <c r="AD393" s="15">
        <f>IFERROR(AC393/AC444, "NA")</f>
        <v>-10.739157212961327</v>
      </c>
    </row>
    <row r="394" spans="1:30" ht="16.5" customHeight="1" x14ac:dyDescent="0.45">
      <c r="A394" s="6" t="s">
        <v>360</v>
      </c>
      <c r="B394" s="7">
        <v>0</v>
      </c>
      <c r="C394" s="8">
        <f>IFERROR(B394/B444, "NA")</f>
        <v>0</v>
      </c>
      <c r="D394" s="9"/>
      <c r="E394" s="7">
        <v>0</v>
      </c>
      <c r="F394" s="8">
        <f>IFERROR(E394/E444, "NA")</f>
        <v>0</v>
      </c>
      <c r="G394" s="9"/>
      <c r="H394" s="10">
        <f t="shared" si="96"/>
        <v>0</v>
      </c>
      <c r="I394" s="8">
        <f>IFERROR(H394/H444, "NA")</f>
        <v>0</v>
      </c>
      <c r="J394" s="9"/>
      <c r="K394" s="7">
        <v>3900.27</v>
      </c>
      <c r="L394" s="8">
        <f>IFERROR(K394/K444, "NA")</f>
        <v>8.9547041119427667E-3</v>
      </c>
      <c r="M394" s="9"/>
      <c r="N394" s="10">
        <f t="shared" si="97"/>
        <v>3900.27</v>
      </c>
      <c r="O394" s="8">
        <f>IFERROR(N394/N444, "NA")</f>
        <v>-7.748932112132942</v>
      </c>
      <c r="P394" s="9"/>
      <c r="Q394" s="7">
        <v>0</v>
      </c>
      <c r="R394" s="8">
        <f>IFERROR(Q394/Q444, "NA")</f>
        <v>0</v>
      </c>
      <c r="S394" s="9"/>
      <c r="T394" s="7">
        <v>0</v>
      </c>
      <c r="U394" s="8">
        <f>IFERROR(T394/T444, "NA")</f>
        <v>0</v>
      </c>
      <c r="V394" s="9"/>
      <c r="W394" s="10">
        <f t="shared" si="98"/>
        <v>0</v>
      </c>
      <c r="X394" s="8">
        <f>IFERROR(W394/W444, "NA")</f>
        <v>0</v>
      </c>
      <c r="Y394" s="9"/>
      <c r="Z394" s="7">
        <v>3900.27</v>
      </c>
      <c r="AA394" s="8">
        <f>IFERROR(Z394/Z444, "NA")</f>
        <v>8.9547041119427667E-3</v>
      </c>
      <c r="AB394" s="9"/>
      <c r="AC394" s="10">
        <f t="shared" si="99"/>
        <v>3900.27</v>
      </c>
      <c r="AD394" s="8">
        <f>IFERROR(AC394/AC444, "NA")</f>
        <v>-7.748932112132942</v>
      </c>
    </row>
    <row r="395" spans="1:30" ht="16.5" customHeight="1" x14ac:dyDescent="0.45">
      <c r="A395" s="6" t="s">
        <v>361</v>
      </c>
      <c r="B395" s="7">
        <v>36.380000000000003</v>
      </c>
      <c r="C395" s="8">
        <f>IFERROR(B395/B444, "NA")</f>
        <v>8.362216847131644E-5</v>
      </c>
      <c r="D395" s="9"/>
      <c r="E395" s="7">
        <v>0</v>
      </c>
      <c r="F395" s="8">
        <f>IFERROR(E395/E444, "NA")</f>
        <v>0</v>
      </c>
      <c r="G395" s="9"/>
      <c r="H395" s="10">
        <f t="shared" si="96"/>
        <v>-36.380000000000003</v>
      </c>
      <c r="I395" s="8">
        <f>IFERROR(H395/H444, "NA")</f>
        <v>2.6640109548113963E-3</v>
      </c>
      <c r="J395" s="9"/>
      <c r="K395" s="7">
        <v>0</v>
      </c>
      <c r="L395" s="8">
        <f>IFERROR(K395/K444, "NA")</f>
        <v>0</v>
      </c>
      <c r="M395" s="9"/>
      <c r="N395" s="10">
        <f t="shared" si="97"/>
        <v>-36.380000000000003</v>
      </c>
      <c r="O395" s="8">
        <f>IFERROR(N395/N444, "NA")</f>
        <v>7.2278624361748409E-2</v>
      </c>
      <c r="P395" s="9"/>
      <c r="Q395" s="7">
        <v>36.380000000000003</v>
      </c>
      <c r="R395" s="8">
        <f>IFERROR(Q395/Q444, "NA")</f>
        <v>8.362216847131644E-5</v>
      </c>
      <c r="S395" s="9"/>
      <c r="T395" s="7">
        <v>0</v>
      </c>
      <c r="U395" s="8">
        <f>IFERROR(T395/T444, "NA")</f>
        <v>0</v>
      </c>
      <c r="V395" s="9"/>
      <c r="W395" s="10">
        <f t="shared" si="98"/>
        <v>-36.380000000000003</v>
      </c>
      <c r="X395" s="8">
        <f>IFERROR(W395/W444, "NA")</f>
        <v>2.6640109548113963E-3</v>
      </c>
      <c r="Y395" s="9"/>
      <c r="Z395" s="7">
        <v>0</v>
      </c>
      <c r="AA395" s="8">
        <f>IFERROR(Z395/Z444, "NA")</f>
        <v>0</v>
      </c>
      <c r="AB395" s="9"/>
      <c r="AC395" s="10">
        <f t="shared" si="99"/>
        <v>-36.380000000000003</v>
      </c>
      <c r="AD395" s="8">
        <f>IFERROR(AC395/AC444, "NA")</f>
        <v>7.2278624361748409E-2</v>
      </c>
    </row>
    <row r="396" spans="1:30" ht="16.5" customHeight="1" x14ac:dyDescent="0.45">
      <c r="A396" s="19" t="s">
        <v>362</v>
      </c>
      <c r="B396" s="14">
        <f>IFERROR(B385+B386+B388+B389+B390+B391+B392+B394+B395, "NA")</f>
        <v>17199.010000000002</v>
      </c>
      <c r="C396" s="15">
        <f>IFERROR(B396/B444, "NA")</f>
        <v>3.9533219124789888E-2</v>
      </c>
      <c r="D396" s="2"/>
      <c r="E396" s="14">
        <f>IFERROR(E385+E386+E388+E389+E390+E391+E392+E394+E395, "NA")</f>
        <v>10172.870000000001</v>
      </c>
      <c r="F396" s="15">
        <f>IFERROR(E396/E444, "NA")</f>
        <v>2.2671459982233445E-2</v>
      </c>
      <c r="G396" s="2"/>
      <c r="H396" s="14">
        <f t="shared" si="96"/>
        <v>-7026.1400000000012</v>
      </c>
      <c r="I396" s="15">
        <f>IFERROR(H396/H444, "NA")</f>
        <v>0.51450560555356095</v>
      </c>
      <c r="J396" s="2"/>
      <c r="K396" s="14">
        <f>IFERROR(K385+K386+K388+K389+K390+K391+K392+K394+K395, "NA")</f>
        <v>26443.170000000002</v>
      </c>
      <c r="L396" s="15">
        <f>IFERROR(K396/K444, "NA")</f>
        <v>6.0711377194861291E-2</v>
      </c>
      <c r="M396" s="2"/>
      <c r="N396" s="14">
        <f t="shared" si="97"/>
        <v>9244.16</v>
      </c>
      <c r="O396" s="15">
        <f>IFERROR(N396/N444, "NA")</f>
        <v>-18.366002423856518</v>
      </c>
      <c r="P396" s="2"/>
      <c r="Q396" s="14">
        <f>IFERROR(Q385+Q386+Q388+Q389+Q390+Q391+Q392+Q394+Q395, "NA")</f>
        <v>17199.010000000002</v>
      </c>
      <c r="R396" s="15">
        <f>IFERROR(Q396/Q444, "NA")</f>
        <v>3.9533219124789888E-2</v>
      </c>
      <c r="S396" s="2"/>
      <c r="T396" s="14">
        <f>IFERROR(T385+T386+T388+T389+T390+T391+T392+T394+T395, "NA")</f>
        <v>10172.870000000001</v>
      </c>
      <c r="U396" s="15">
        <f>IFERROR(T396/T444, "NA")</f>
        <v>2.2671459982233445E-2</v>
      </c>
      <c r="V396" s="2"/>
      <c r="W396" s="14">
        <f t="shared" si="98"/>
        <v>-7026.1400000000012</v>
      </c>
      <c r="X396" s="15">
        <f>IFERROR(W396/W444, "NA")</f>
        <v>0.51450560555356095</v>
      </c>
      <c r="Y396" s="2"/>
      <c r="Z396" s="14">
        <f>IFERROR(Z385+Z386+Z388+Z389+Z390+Z391+Z392+Z394+Z395, "NA")</f>
        <v>26443.170000000002</v>
      </c>
      <c r="AA396" s="15">
        <f>IFERROR(Z396/Z444, "NA")</f>
        <v>6.0711377194861291E-2</v>
      </c>
      <c r="AB396" s="2"/>
      <c r="AC396" s="14">
        <f t="shared" si="99"/>
        <v>9244.16</v>
      </c>
      <c r="AD396" s="15">
        <f>IFERROR(AC396/AC444, "NA")</f>
        <v>-18.366002423856518</v>
      </c>
    </row>
    <row r="397" spans="1:30" ht="16.5" customHeight="1" x14ac:dyDescent="0.45">
      <c r="A397" s="20" t="s">
        <v>363</v>
      </c>
      <c r="B397" s="7">
        <v>11256.25</v>
      </c>
      <c r="C397" s="8">
        <f>IFERROR(B397/B444, "NA")</f>
        <v>2.5873337928951499E-2</v>
      </c>
      <c r="D397" s="9"/>
      <c r="E397" s="7">
        <v>7200</v>
      </c>
      <c r="F397" s="8">
        <f>IFERROR(E397/E444, "NA")</f>
        <v>1.6046062897892215E-2</v>
      </c>
      <c r="G397" s="9"/>
      <c r="H397" s="10">
        <f t="shared" si="96"/>
        <v>-4056.25</v>
      </c>
      <c r="I397" s="8">
        <f>IFERROR(H397/H444, "NA")</f>
        <v>0.29702843417959662</v>
      </c>
      <c r="J397" s="9"/>
      <c r="K397" s="7">
        <v>1771.43</v>
      </c>
      <c r="L397" s="8">
        <f>IFERROR(K397/K444, "NA")</f>
        <v>4.0670598458616399E-3</v>
      </c>
      <c r="M397" s="9"/>
      <c r="N397" s="10">
        <f t="shared" si="97"/>
        <v>-9484.82</v>
      </c>
      <c r="O397" s="8">
        <f>IFERROR(N397/N444, "NA")</f>
        <v>18.844138040648666</v>
      </c>
      <c r="P397" s="9"/>
      <c r="Q397" s="7">
        <v>11256.25</v>
      </c>
      <c r="R397" s="8">
        <f>IFERROR(Q397/Q444, "NA")</f>
        <v>2.5873337928951499E-2</v>
      </c>
      <c r="S397" s="9"/>
      <c r="T397" s="7">
        <v>7200</v>
      </c>
      <c r="U397" s="8">
        <f>IFERROR(T397/T444, "NA")</f>
        <v>1.6046062897892215E-2</v>
      </c>
      <c r="V397" s="9"/>
      <c r="W397" s="10">
        <f t="shared" si="98"/>
        <v>-4056.25</v>
      </c>
      <c r="X397" s="8">
        <f>IFERROR(W397/W444, "NA")</f>
        <v>0.29702843417959662</v>
      </c>
      <c r="Y397" s="9"/>
      <c r="Z397" s="7">
        <v>1771.43</v>
      </c>
      <c r="AA397" s="8">
        <f>IFERROR(Z397/Z444, "NA")</f>
        <v>4.0670598458616399E-3</v>
      </c>
      <c r="AB397" s="9"/>
      <c r="AC397" s="10">
        <f t="shared" si="99"/>
        <v>-9484.82</v>
      </c>
      <c r="AD397" s="8">
        <f>IFERROR(AC397/AC444, "NA")</f>
        <v>18.844138040648666</v>
      </c>
    </row>
    <row r="398" spans="1:30" ht="16.5" customHeight="1" x14ac:dyDescent="0.45">
      <c r="A398" s="20" t="s">
        <v>364</v>
      </c>
      <c r="B398" s="7">
        <v>390.65</v>
      </c>
      <c r="C398" s="8">
        <f>IFERROR(B398/B444, "NA")</f>
        <v>8.9793843082242334E-4</v>
      </c>
      <c r="D398" s="9"/>
      <c r="E398" s="7">
        <v>0</v>
      </c>
      <c r="F398" s="8">
        <f>IFERROR(E398/E444, "NA")</f>
        <v>0</v>
      </c>
      <c r="G398" s="9"/>
      <c r="H398" s="10">
        <f t="shared" si="96"/>
        <v>-390.65</v>
      </c>
      <c r="I398" s="8">
        <f>IFERROR(H398/H444, "NA")</f>
        <v>2.8606263867429132E-2</v>
      </c>
      <c r="J398" s="9"/>
      <c r="K398" s="7">
        <v>120.16</v>
      </c>
      <c r="L398" s="8">
        <f>IFERROR(K398/K444, "NA")</f>
        <v>2.758776305463578E-4</v>
      </c>
      <c r="M398" s="9"/>
      <c r="N398" s="10">
        <f t="shared" si="97"/>
        <v>-270.49</v>
      </c>
      <c r="O398" s="8">
        <f>IFERROR(N398/N444, "NA")</f>
        <v>0.53740090993978351</v>
      </c>
      <c r="P398" s="9"/>
      <c r="Q398" s="7">
        <v>390.65</v>
      </c>
      <c r="R398" s="8">
        <f>IFERROR(Q398/Q444, "NA")</f>
        <v>8.9793843082242334E-4</v>
      </c>
      <c r="S398" s="9"/>
      <c r="T398" s="7">
        <v>0</v>
      </c>
      <c r="U398" s="8">
        <f>IFERROR(T398/T444, "NA")</f>
        <v>0</v>
      </c>
      <c r="V398" s="9"/>
      <c r="W398" s="10">
        <f t="shared" si="98"/>
        <v>-390.65</v>
      </c>
      <c r="X398" s="8">
        <f>IFERROR(W398/W444, "NA")</f>
        <v>2.8606263867429132E-2</v>
      </c>
      <c r="Y398" s="9"/>
      <c r="Z398" s="7">
        <v>120.16</v>
      </c>
      <c r="AA398" s="8">
        <f>IFERROR(Z398/Z444, "NA")</f>
        <v>2.758776305463578E-4</v>
      </c>
      <c r="AB398" s="9"/>
      <c r="AC398" s="10">
        <f t="shared" si="99"/>
        <v>-270.49</v>
      </c>
      <c r="AD398" s="8">
        <f>IFERROR(AC398/AC444, "NA")</f>
        <v>0.53740090993978351</v>
      </c>
    </row>
    <row r="399" spans="1:30" ht="16.5" customHeight="1" x14ac:dyDescent="0.45">
      <c r="A399" s="20" t="s">
        <v>365</v>
      </c>
      <c r="B399" s="7">
        <v>815.84</v>
      </c>
      <c r="C399" s="8">
        <f>IFERROR(B399/B444, "NA")</f>
        <v>1.8752696516118417E-3</v>
      </c>
      <c r="D399" s="9"/>
      <c r="E399" s="7">
        <v>0</v>
      </c>
      <c r="F399" s="8">
        <f>IFERROR(E399/E444, "NA")</f>
        <v>0</v>
      </c>
      <c r="G399" s="9"/>
      <c r="H399" s="10">
        <f t="shared" si="96"/>
        <v>-815.84</v>
      </c>
      <c r="I399" s="8">
        <f>IFERROR(H399/H444, "NA")</f>
        <v>5.9741800367601142E-2</v>
      </c>
      <c r="J399" s="9"/>
      <c r="K399" s="7">
        <v>0</v>
      </c>
      <c r="L399" s="8">
        <f>IFERROR(K399/K444, "NA")</f>
        <v>0</v>
      </c>
      <c r="M399" s="9"/>
      <c r="N399" s="10">
        <f t="shared" si="97"/>
        <v>-815.84</v>
      </c>
      <c r="O399" s="8">
        <f>IFERROR(N399/N444, "NA")</f>
        <v>1.6208849065225073</v>
      </c>
      <c r="P399" s="9"/>
      <c r="Q399" s="7">
        <v>815.84</v>
      </c>
      <c r="R399" s="8">
        <f>IFERROR(Q399/Q444, "NA")</f>
        <v>1.8752696516118417E-3</v>
      </c>
      <c r="S399" s="9"/>
      <c r="T399" s="7">
        <v>0</v>
      </c>
      <c r="U399" s="8">
        <f>IFERROR(T399/T444, "NA")</f>
        <v>0</v>
      </c>
      <c r="V399" s="9"/>
      <c r="W399" s="10">
        <f t="shared" si="98"/>
        <v>-815.84</v>
      </c>
      <c r="X399" s="8">
        <f>IFERROR(W399/W444, "NA")</f>
        <v>5.9741800367601142E-2</v>
      </c>
      <c r="Y399" s="9"/>
      <c r="Z399" s="7">
        <v>0</v>
      </c>
      <c r="AA399" s="8">
        <f>IFERROR(Z399/Z444, "NA")</f>
        <v>0</v>
      </c>
      <c r="AB399" s="9"/>
      <c r="AC399" s="10">
        <f t="shared" si="99"/>
        <v>-815.84</v>
      </c>
      <c r="AD399" s="8">
        <f>IFERROR(AC399/AC444, "NA")</f>
        <v>1.6208849065225073</v>
      </c>
    </row>
    <row r="400" spans="1:30" ht="16.5" hidden="1" customHeight="1" x14ac:dyDescent="0.45">
      <c r="A400" s="20" t="s">
        <v>366</v>
      </c>
      <c r="B400" s="7">
        <v>0</v>
      </c>
      <c r="C400" s="8">
        <f>IFERROR(B400/B444, "NA")</f>
        <v>0</v>
      </c>
      <c r="D400" s="9"/>
      <c r="E400" s="7">
        <v>0</v>
      </c>
      <c r="F400" s="8">
        <f>IFERROR(E400/E444, "NA")</f>
        <v>0</v>
      </c>
      <c r="G400" s="9"/>
      <c r="H400" s="10">
        <f t="shared" si="96"/>
        <v>0</v>
      </c>
      <c r="I400" s="8">
        <f>IFERROR(H400/H444, "NA")</f>
        <v>0</v>
      </c>
      <c r="J400" s="9"/>
      <c r="K400" s="7">
        <v>0</v>
      </c>
      <c r="L400" s="8">
        <f>IFERROR(K400/K444, "NA")</f>
        <v>0</v>
      </c>
      <c r="M400" s="9"/>
      <c r="N400" s="10">
        <f t="shared" si="97"/>
        <v>0</v>
      </c>
      <c r="O400" s="8">
        <f>IFERROR(N400/N444, "NA")</f>
        <v>0</v>
      </c>
      <c r="P400" s="9"/>
      <c r="Q400" s="7">
        <v>0</v>
      </c>
      <c r="R400" s="8">
        <f>IFERROR(Q400/Q444, "NA")</f>
        <v>0</v>
      </c>
      <c r="S400" s="9"/>
      <c r="T400" s="7">
        <v>0</v>
      </c>
      <c r="U400" s="8">
        <f>IFERROR(T400/T444, "NA")</f>
        <v>0</v>
      </c>
      <c r="V400" s="9"/>
      <c r="W400" s="10">
        <f t="shared" si="98"/>
        <v>0</v>
      </c>
      <c r="X400" s="8">
        <f>IFERROR(W400/W444, "NA")</f>
        <v>0</v>
      </c>
      <c r="Y400" s="9"/>
      <c r="Z400" s="7">
        <v>0</v>
      </c>
      <c r="AA400" s="8">
        <f>IFERROR(Z400/Z444, "NA")</f>
        <v>0</v>
      </c>
      <c r="AB400" s="9"/>
      <c r="AC400" s="10">
        <f t="shared" si="99"/>
        <v>0</v>
      </c>
      <c r="AD400" s="8">
        <f>IFERROR(AC400/AC444, "NA")</f>
        <v>0</v>
      </c>
    </row>
    <row r="401" spans="1:30" ht="16.5" hidden="1" customHeight="1" x14ac:dyDescent="0.45">
      <c r="A401" s="20" t="s">
        <v>367</v>
      </c>
      <c r="B401" s="7">
        <v>0</v>
      </c>
      <c r="C401" s="8">
        <f>IFERROR(B401/B444, "NA")</f>
        <v>0</v>
      </c>
      <c r="D401" s="9"/>
      <c r="E401" s="7">
        <v>0</v>
      </c>
      <c r="F401" s="8">
        <f>IFERROR(E401/E444, "NA")</f>
        <v>0</v>
      </c>
      <c r="G401" s="9"/>
      <c r="H401" s="10">
        <f t="shared" si="96"/>
        <v>0</v>
      </c>
      <c r="I401" s="8">
        <f>IFERROR(H401/H444, "NA")</f>
        <v>0</v>
      </c>
      <c r="J401" s="9"/>
      <c r="K401" s="7">
        <v>0</v>
      </c>
      <c r="L401" s="8">
        <f>IFERROR(K401/K444, "NA")</f>
        <v>0</v>
      </c>
      <c r="M401" s="9"/>
      <c r="N401" s="10">
        <f t="shared" si="97"/>
        <v>0</v>
      </c>
      <c r="O401" s="8">
        <f>IFERROR(N401/N444, "NA")</f>
        <v>0</v>
      </c>
      <c r="P401" s="9"/>
      <c r="Q401" s="7">
        <v>0</v>
      </c>
      <c r="R401" s="8">
        <f>IFERROR(Q401/Q444, "NA")</f>
        <v>0</v>
      </c>
      <c r="S401" s="9"/>
      <c r="T401" s="7">
        <v>0</v>
      </c>
      <c r="U401" s="8">
        <f>IFERROR(T401/T444, "NA")</f>
        <v>0</v>
      </c>
      <c r="V401" s="9"/>
      <c r="W401" s="10">
        <f t="shared" si="98"/>
        <v>0</v>
      </c>
      <c r="X401" s="8">
        <f>IFERROR(W401/W444, "NA")</f>
        <v>0</v>
      </c>
      <c r="Y401" s="9"/>
      <c r="Z401" s="7">
        <v>0</v>
      </c>
      <c r="AA401" s="8">
        <f>IFERROR(Z401/Z444, "NA")</f>
        <v>0</v>
      </c>
      <c r="AB401" s="9"/>
      <c r="AC401" s="10">
        <f t="shared" si="99"/>
        <v>0</v>
      </c>
      <c r="AD401" s="8">
        <f>IFERROR(AC401/AC444, "NA")</f>
        <v>0</v>
      </c>
    </row>
    <row r="402" spans="1:30" ht="16.5" hidden="1" customHeight="1" x14ac:dyDescent="0.45">
      <c r="A402" s="20" t="s">
        <v>368</v>
      </c>
      <c r="B402" s="7">
        <v>0</v>
      </c>
      <c r="C402" s="8">
        <f>IFERROR(B402/B444, "NA")</f>
        <v>0</v>
      </c>
      <c r="D402" s="9"/>
      <c r="E402" s="7">
        <v>0</v>
      </c>
      <c r="F402" s="8">
        <f>IFERROR(E402/E444, "NA")</f>
        <v>0</v>
      </c>
      <c r="G402" s="9"/>
      <c r="H402" s="10">
        <f t="shared" si="96"/>
        <v>0</v>
      </c>
      <c r="I402" s="8">
        <f>IFERROR(H402/H444, "NA")</f>
        <v>0</v>
      </c>
      <c r="J402" s="9"/>
      <c r="K402" s="7">
        <v>0</v>
      </c>
      <c r="L402" s="8">
        <f>IFERROR(K402/K444, "NA")</f>
        <v>0</v>
      </c>
      <c r="M402" s="9"/>
      <c r="N402" s="10">
        <f t="shared" si="97"/>
        <v>0</v>
      </c>
      <c r="O402" s="8">
        <f>IFERROR(N402/N444, "NA")</f>
        <v>0</v>
      </c>
      <c r="P402" s="9"/>
      <c r="Q402" s="7">
        <v>0</v>
      </c>
      <c r="R402" s="8">
        <f>IFERROR(Q402/Q444, "NA")</f>
        <v>0</v>
      </c>
      <c r="S402" s="9"/>
      <c r="T402" s="7">
        <v>0</v>
      </c>
      <c r="U402" s="8">
        <f>IFERROR(T402/T444, "NA")</f>
        <v>0</v>
      </c>
      <c r="V402" s="9"/>
      <c r="W402" s="10">
        <f t="shared" si="98"/>
        <v>0</v>
      </c>
      <c r="X402" s="8">
        <f>IFERROR(W402/W444, "NA")</f>
        <v>0</v>
      </c>
      <c r="Y402" s="9"/>
      <c r="Z402" s="7">
        <v>0</v>
      </c>
      <c r="AA402" s="8">
        <f>IFERROR(Z402/Z444, "NA")</f>
        <v>0</v>
      </c>
      <c r="AB402" s="9"/>
      <c r="AC402" s="10">
        <f t="shared" si="99"/>
        <v>0</v>
      </c>
      <c r="AD402" s="8">
        <f>IFERROR(AC402/AC444, "NA")</f>
        <v>0</v>
      </c>
    </row>
    <row r="403" spans="1:30" ht="16.5" customHeight="1" x14ac:dyDescent="0.45">
      <c r="A403" s="21" t="s">
        <v>369</v>
      </c>
      <c r="B403" s="14">
        <f>IFERROR(B347+B349+B350+B351+B352+B353+B354+B355+B356+B357+B360+B361+B362+B363+B364+B365+B366+B367+B369+B370+B371+B372+B373+B374+B375+B376+B377+B378+B379+B380+B381+B382+B383+B385+B386+B388+B389+B390+B391+B392+B394+B395+B397+B398+B399+B400+B401+B402, "NA")</f>
        <v>105700.02999999998</v>
      </c>
      <c r="C403" s="15">
        <f>IFERROR(B403/B444, "NA")</f>
        <v>0.24295947542834523</v>
      </c>
      <c r="D403" s="2"/>
      <c r="E403" s="14">
        <f>IFERROR(E347+E349+E350+E351+E352+E353+E354+E355+E356+E357+E360+E361+E362+E363+E364+E365+E366+E367+E369+E370+E371+E372+E373+E374+E375+E376+E377+E378+E379+E380+E381+E382+E383+E385+E386+E388+E389+E390+E391+E392+E394+E395+E397+E398+E399+E400+E401+E402, "NA")</f>
        <v>94810.87</v>
      </c>
      <c r="F403" s="15">
        <f>IFERROR(E403/E444, "NA")</f>
        <v>0.21129738658665029</v>
      </c>
      <c r="G403" s="2"/>
      <c r="H403" s="14">
        <f t="shared" si="96"/>
        <v>-10889.159999999989</v>
      </c>
      <c r="I403" s="15">
        <f>IFERROR(H403/H444, "NA")</f>
        <v>0.7973843190954929</v>
      </c>
      <c r="J403" s="2"/>
      <c r="K403" s="14">
        <f>IFERROR(K347+K349+K350+K351+K352+K353+K354+K355+K356+K357+K360+K361+K362+K363+K364+K365+K366+K367+K369+K370+K371+K372+K373+K374+K375+K376+K377+K378+K379+K380+K381+K382+K383+K385+K386+K388+K389+K390+K391+K392+K394+K395+K397+K398+K399+K400+K401+K402, "NA")</f>
        <v>135226.84999999998</v>
      </c>
      <c r="L403" s="15">
        <f>IFERROR(K403/K444, "NA")</f>
        <v>0.3104698981711696</v>
      </c>
      <c r="M403" s="2"/>
      <c r="N403" s="14">
        <f t="shared" si="97"/>
        <v>29526.819999999992</v>
      </c>
      <c r="O403" s="15">
        <f>IFERROR(N403/N444, "NA")</f>
        <v>-58.662944787711915</v>
      </c>
      <c r="P403" s="2"/>
      <c r="Q403" s="14">
        <f>IFERROR(Q347+Q349+Q350+Q351+Q352+Q353+Q354+Q355+Q356+Q357+Q360+Q361+Q362+Q363+Q364+Q365+Q366+Q367+Q369+Q370+Q371+Q372+Q373+Q374+Q375+Q376+Q377+Q378+Q379+Q380+Q381+Q382+Q383+Q385+Q386+Q388+Q389+Q390+Q391+Q392+Q394+Q395+Q397+Q398+Q399+Q400+Q401+Q402, "NA")</f>
        <v>105700.02999999998</v>
      </c>
      <c r="R403" s="15">
        <f>IFERROR(Q403/Q444, "NA")</f>
        <v>0.24295947542834523</v>
      </c>
      <c r="S403" s="2"/>
      <c r="T403" s="14">
        <f>IFERROR(T347+T349+T350+T351+T352+T353+T354+T355+T356+T357+T360+T361+T362+T363+T364+T365+T366+T367+T369+T370+T371+T372+T373+T374+T375+T376+T377+T378+T379+T380+T381+T382+T383+T385+T386+T388+T389+T390+T391+T392+T394+T395+T397+T398+T399+T400+T401+T402, "NA")</f>
        <v>94810.87</v>
      </c>
      <c r="U403" s="15">
        <f>IFERROR(T403/T444, "NA")</f>
        <v>0.21129738658665029</v>
      </c>
      <c r="V403" s="2"/>
      <c r="W403" s="14">
        <f t="shared" si="98"/>
        <v>-10889.159999999989</v>
      </c>
      <c r="X403" s="15">
        <f>IFERROR(W403/W444, "NA")</f>
        <v>0.7973843190954929</v>
      </c>
      <c r="Y403" s="2"/>
      <c r="Z403" s="14">
        <f>IFERROR(Z347+Z349+Z350+Z351+Z352+Z353+Z354+Z355+Z356+Z357+Z360+Z361+Z362+Z363+Z364+Z365+Z366+Z367+Z369+Z370+Z371+Z372+Z373+Z374+Z375+Z376+Z377+Z378+Z379+Z380+Z381+Z382+Z383+Z385+Z386+Z388+Z389+Z390+Z391+Z392+Z394+Z395+Z397+Z398+Z399+Z400+Z401+Z402, "NA")</f>
        <v>135226.84999999998</v>
      </c>
      <c r="AA403" s="15">
        <f>IFERROR(Z403/Z444, "NA")</f>
        <v>0.3104698981711696</v>
      </c>
      <c r="AB403" s="2"/>
      <c r="AC403" s="14">
        <f t="shared" si="99"/>
        <v>29526.819999999992</v>
      </c>
      <c r="AD403" s="15">
        <f>IFERROR(AC403/AC444, "NA")</f>
        <v>-58.662944787711915</v>
      </c>
    </row>
    <row r="404" spans="1:30" ht="16.5" customHeight="1" x14ac:dyDescent="0.45">
      <c r="A404" s="22" t="s">
        <v>370</v>
      </c>
      <c r="B404" s="23">
        <f>IFERROR(B345-B403, "NA")</f>
        <v>-137297.87999999995</v>
      </c>
      <c r="C404" s="24">
        <f>IFERROR(B404/B444, "NA")</f>
        <v>-0.31558951215268227</v>
      </c>
      <c r="D404" s="25"/>
      <c r="E404" s="23">
        <f>IFERROR(E345-E403, "NA")</f>
        <v>-95602.260000000009</v>
      </c>
      <c r="F404" s="24">
        <f>IFERROR(E404/E444, "NA")</f>
        <v>-0.21306109404731183</v>
      </c>
      <c r="G404" s="25"/>
      <c r="H404" s="23">
        <f>IFERROR(B404-E404, "NA")</f>
        <v>-41695.619999999937</v>
      </c>
      <c r="I404" s="24">
        <f>IFERROR(H404/H444, "NA")</f>
        <v>3.0532597154385095</v>
      </c>
      <c r="J404" s="25"/>
      <c r="K404" s="23">
        <f>IFERROR(K345-K403, "NA")</f>
        <v>-160178.89000000001</v>
      </c>
      <c r="L404" s="24">
        <f>IFERROR(K404/K444, "NA")</f>
        <v>-0.36775776162404866</v>
      </c>
      <c r="M404" s="25"/>
      <c r="N404" s="23">
        <f>IFERROR(B404-K404, "NA")</f>
        <v>22881.010000000068</v>
      </c>
      <c r="O404" s="24">
        <f>IFERROR(N404/N444, "NA")</f>
        <v>-45.45926131961005</v>
      </c>
      <c r="P404" s="25"/>
      <c r="Q404" s="23">
        <f>IFERROR(Q345-Q403, "NA")</f>
        <v>-137297.87999999995</v>
      </c>
      <c r="R404" s="24">
        <f>IFERROR(Q404/Q444, "NA")</f>
        <v>-0.31558951215268227</v>
      </c>
      <c r="S404" s="25"/>
      <c r="T404" s="23">
        <f>IFERROR(T345-T403, "NA")</f>
        <v>-95602.260000000009</v>
      </c>
      <c r="U404" s="24">
        <f>IFERROR(T404/T444, "NA")</f>
        <v>-0.21306109404731183</v>
      </c>
      <c r="V404" s="25"/>
      <c r="W404" s="23">
        <f>IFERROR(Q404-T404, "NA")</f>
        <v>-41695.619999999937</v>
      </c>
      <c r="X404" s="24">
        <f>IFERROR(W404/W444, "NA")</f>
        <v>3.0532597154385095</v>
      </c>
      <c r="Y404" s="25"/>
      <c r="Z404" s="23">
        <f>IFERROR(Z345-Z403, "NA")</f>
        <v>-160178.89000000001</v>
      </c>
      <c r="AA404" s="24">
        <f>IFERROR(Z404/Z444, "NA")</f>
        <v>-0.36775776162404866</v>
      </c>
      <c r="AB404" s="25"/>
      <c r="AC404" s="23">
        <f>IFERROR(Q404-Z404, "NA")</f>
        <v>22881.010000000068</v>
      </c>
      <c r="AD404" s="24">
        <f>IFERROR(AC404/AC444, "NA")</f>
        <v>-45.45926131961005</v>
      </c>
    </row>
    <row r="405" spans="1:30" ht="16.5" customHeight="1" x14ac:dyDescent="0.45">
      <c r="A405" s="1" t="s">
        <v>371</v>
      </c>
      <c r="B405" s="2"/>
      <c r="C405" s="3"/>
      <c r="D405" s="4"/>
      <c r="E405" s="2"/>
      <c r="F405" s="3"/>
      <c r="G405" s="4"/>
      <c r="H405" s="2"/>
      <c r="I405" s="3"/>
      <c r="J405" s="4"/>
      <c r="K405" s="2"/>
      <c r="L405" s="3"/>
      <c r="M405" s="4"/>
      <c r="N405" s="2"/>
      <c r="O405" s="3"/>
      <c r="P405" s="4"/>
      <c r="Q405" s="2"/>
      <c r="R405" s="3"/>
      <c r="S405" s="4"/>
      <c r="T405" s="2"/>
      <c r="U405" s="3"/>
      <c r="V405" s="4"/>
      <c r="W405" s="2"/>
      <c r="X405" s="3"/>
      <c r="Y405" s="4"/>
      <c r="Z405" s="2"/>
      <c r="AA405" s="3"/>
      <c r="AB405" s="4"/>
      <c r="AC405" s="2"/>
      <c r="AD405" s="3"/>
    </row>
    <row r="406" spans="1:30" ht="16.5" customHeight="1" x14ac:dyDescent="0.45">
      <c r="A406" s="5" t="s">
        <v>372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45">
      <c r="A407" s="6" t="s">
        <v>372</v>
      </c>
      <c r="B407" s="7">
        <v>0</v>
      </c>
      <c r="C407" s="8">
        <f>IFERROR(B407/B444, "NA")</f>
        <v>0</v>
      </c>
      <c r="D407" s="9"/>
      <c r="E407" s="7">
        <v>14875.330000000002</v>
      </c>
      <c r="F407" s="8">
        <f>IFERROR(E407/E444, "NA")</f>
        <v>3.3151455667625424E-2</v>
      </c>
      <c r="G407" s="9"/>
      <c r="H407" s="10">
        <f t="shared" ref="H407:H429" si="100">IFERROR(-(B407-E407), "NA")</f>
        <v>14875.330000000002</v>
      </c>
      <c r="I407" s="8">
        <f>IFERROR(H407/H444, "NA")</f>
        <v>-1.0892809806606545</v>
      </c>
      <c r="J407" s="9"/>
      <c r="K407" s="7">
        <v>0</v>
      </c>
      <c r="L407" s="8">
        <f>IFERROR(K407/K444, "NA")</f>
        <v>0</v>
      </c>
      <c r="M407" s="9"/>
      <c r="N407" s="10">
        <f t="shared" ref="N407:N429" si="101">IFERROR(-(B407-K407), "NA")</f>
        <v>0</v>
      </c>
      <c r="O407" s="8">
        <f>IFERROR(N407/N444, "NA")</f>
        <v>0</v>
      </c>
      <c r="P407" s="9"/>
      <c r="Q407" s="7">
        <v>0</v>
      </c>
      <c r="R407" s="8">
        <f>IFERROR(Q407/Q444, "NA")</f>
        <v>0</v>
      </c>
      <c r="S407" s="9"/>
      <c r="T407" s="7">
        <v>14875.330000000002</v>
      </c>
      <c r="U407" s="8">
        <f>IFERROR(T407/T444, "NA")</f>
        <v>3.3151455667625424E-2</v>
      </c>
      <c r="V407" s="9"/>
      <c r="W407" s="10">
        <f t="shared" ref="W407:W429" si="102">IFERROR(-(Q407-T407), "NA")</f>
        <v>14875.330000000002</v>
      </c>
      <c r="X407" s="8">
        <f>IFERROR(W407/W444, "NA")</f>
        <v>-1.0892809806606545</v>
      </c>
      <c r="Y407" s="9"/>
      <c r="Z407" s="7">
        <v>0</v>
      </c>
      <c r="AA407" s="8">
        <f>IFERROR(Z407/Z444, "NA")</f>
        <v>0</v>
      </c>
      <c r="AB407" s="9"/>
      <c r="AC407" s="10">
        <f t="shared" ref="AC407:AC429" si="103">IFERROR(-(Q407-Z407), "NA")</f>
        <v>0</v>
      </c>
      <c r="AD407" s="8">
        <f>IFERROR(AC407/AC444, "NA")</f>
        <v>0</v>
      </c>
    </row>
    <row r="408" spans="1:30" ht="16.5" hidden="1" customHeight="1" x14ac:dyDescent="0.45">
      <c r="A408" s="6" t="s">
        <v>373</v>
      </c>
      <c r="B408" s="7">
        <v>0</v>
      </c>
      <c r="C408" s="8">
        <f>IFERROR(B408/B444, "NA")</f>
        <v>0</v>
      </c>
      <c r="D408" s="9"/>
      <c r="E408" s="7">
        <v>0</v>
      </c>
      <c r="F408" s="8">
        <f>IFERROR(E408/E444, "NA")</f>
        <v>0</v>
      </c>
      <c r="G408" s="9"/>
      <c r="H408" s="10">
        <f t="shared" si="100"/>
        <v>0</v>
      </c>
      <c r="I408" s="8">
        <f>IFERROR(H408/H444, "NA")</f>
        <v>0</v>
      </c>
      <c r="J408" s="9"/>
      <c r="K408" s="7">
        <v>0</v>
      </c>
      <c r="L408" s="8">
        <f>IFERROR(K408/K444, "NA")</f>
        <v>0</v>
      </c>
      <c r="M408" s="9"/>
      <c r="N408" s="10">
        <f t="shared" si="101"/>
        <v>0</v>
      </c>
      <c r="O408" s="8">
        <f>IFERROR(N408/N444, "NA")</f>
        <v>0</v>
      </c>
      <c r="P408" s="9"/>
      <c r="Q408" s="7">
        <v>0</v>
      </c>
      <c r="R408" s="8">
        <f>IFERROR(Q408/Q444, "NA")</f>
        <v>0</v>
      </c>
      <c r="S408" s="9"/>
      <c r="T408" s="7">
        <v>0</v>
      </c>
      <c r="U408" s="8">
        <f>IFERROR(T408/T444, "NA")</f>
        <v>0</v>
      </c>
      <c r="V408" s="9"/>
      <c r="W408" s="10">
        <f t="shared" si="102"/>
        <v>0</v>
      </c>
      <c r="X408" s="8">
        <f>IFERROR(W408/W444, "NA")</f>
        <v>0</v>
      </c>
      <c r="Y408" s="9"/>
      <c r="Z408" s="7">
        <v>0</v>
      </c>
      <c r="AA408" s="8">
        <f>IFERROR(Z408/Z444, "NA")</f>
        <v>0</v>
      </c>
      <c r="AB408" s="9"/>
      <c r="AC408" s="10">
        <f t="shared" si="103"/>
        <v>0</v>
      </c>
      <c r="AD408" s="8">
        <f>IFERROR(AC408/AC444, "NA")</f>
        <v>0</v>
      </c>
    </row>
    <row r="409" spans="1:30" ht="16.5" hidden="1" customHeight="1" x14ac:dyDescent="0.45">
      <c r="A409" s="6" t="s">
        <v>374</v>
      </c>
      <c r="B409" s="7">
        <v>0</v>
      </c>
      <c r="C409" s="8">
        <f>IFERROR(B409/B444, "NA")</f>
        <v>0</v>
      </c>
      <c r="D409" s="9"/>
      <c r="E409" s="7">
        <v>0</v>
      </c>
      <c r="F409" s="8">
        <f>IFERROR(E409/E444, "NA")</f>
        <v>0</v>
      </c>
      <c r="G409" s="9"/>
      <c r="H409" s="10">
        <f t="shared" si="100"/>
        <v>0</v>
      </c>
      <c r="I409" s="8">
        <f>IFERROR(H409/H444, "NA")</f>
        <v>0</v>
      </c>
      <c r="J409" s="9"/>
      <c r="K409" s="7">
        <v>0</v>
      </c>
      <c r="L409" s="8">
        <f>IFERROR(K409/K444, "NA")</f>
        <v>0</v>
      </c>
      <c r="M409" s="9"/>
      <c r="N409" s="10">
        <f t="shared" si="101"/>
        <v>0</v>
      </c>
      <c r="O409" s="8">
        <f>IFERROR(N409/N444, "NA")</f>
        <v>0</v>
      </c>
      <c r="P409" s="9"/>
      <c r="Q409" s="7">
        <v>0</v>
      </c>
      <c r="R409" s="8">
        <f>IFERROR(Q409/Q444, "NA")</f>
        <v>0</v>
      </c>
      <c r="S409" s="9"/>
      <c r="T409" s="7">
        <v>0</v>
      </c>
      <c r="U409" s="8">
        <f>IFERROR(T409/T444, "NA")</f>
        <v>0</v>
      </c>
      <c r="V409" s="9"/>
      <c r="W409" s="10">
        <f t="shared" si="102"/>
        <v>0</v>
      </c>
      <c r="X409" s="8">
        <f>IFERROR(W409/W444, "NA")</f>
        <v>0</v>
      </c>
      <c r="Y409" s="9"/>
      <c r="Z409" s="7">
        <v>0</v>
      </c>
      <c r="AA409" s="8">
        <f>IFERROR(Z409/Z444, "NA")</f>
        <v>0</v>
      </c>
      <c r="AB409" s="9"/>
      <c r="AC409" s="10">
        <f t="shared" si="103"/>
        <v>0</v>
      </c>
      <c r="AD409" s="8">
        <f>IFERROR(AC409/AC444, "NA")</f>
        <v>0</v>
      </c>
    </row>
    <row r="410" spans="1:30" ht="16.5" customHeight="1" x14ac:dyDescent="0.45">
      <c r="A410" s="6" t="s">
        <v>375</v>
      </c>
      <c r="B410" s="7">
        <v>31404.97</v>
      </c>
      <c r="C410" s="8">
        <f>IFERROR(B410/B444, "NA")</f>
        <v>7.2186687525471097E-2</v>
      </c>
      <c r="D410" s="9"/>
      <c r="E410" s="7">
        <v>0</v>
      </c>
      <c r="F410" s="8">
        <f>IFERROR(E410/E444, "NA")</f>
        <v>0</v>
      </c>
      <c r="G410" s="9"/>
      <c r="H410" s="10">
        <f t="shared" si="100"/>
        <v>-31404.97</v>
      </c>
      <c r="I410" s="8">
        <f>IFERROR(H410/H444, "NA")</f>
        <v>2.2997026969632559</v>
      </c>
      <c r="J410" s="9"/>
      <c r="K410" s="7">
        <v>27763.239999999998</v>
      </c>
      <c r="L410" s="8">
        <f>IFERROR(K410/K444, "NA")</f>
        <v>6.3742151027711899E-2</v>
      </c>
      <c r="M410" s="9"/>
      <c r="N410" s="10">
        <f t="shared" si="101"/>
        <v>-3641.7300000000032</v>
      </c>
      <c r="O410" s="8">
        <f>IFERROR(N410/N444, "NA")</f>
        <v>7.2352730812784563</v>
      </c>
      <c r="P410" s="9"/>
      <c r="Q410" s="7">
        <v>31404.97</v>
      </c>
      <c r="R410" s="8">
        <f>IFERROR(Q410/Q444, "NA")</f>
        <v>7.2186687525471097E-2</v>
      </c>
      <c r="S410" s="9"/>
      <c r="T410" s="7">
        <v>0</v>
      </c>
      <c r="U410" s="8">
        <f>IFERROR(T410/T444, "NA")</f>
        <v>0</v>
      </c>
      <c r="V410" s="9"/>
      <c r="W410" s="10">
        <f t="shared" si="102"/>
        <v>-31404.97</v>
      </c>
      <c r="X410" s="8">
        <f>IFERROR(W410/W444, "NA")</f>
        <v>2.2997026969632559</v>
      </c>
      <c r="Y410" s="9"/>
      <c r="Z410" s="7">
        <v>27763.239999999998</v>
      </c>
      <c r="AA410" s="8">
        <f>IFERROR(Z410/Z444, "NA")</f>
        <v>6.3742151027711899E-2</v>
      </c>
      <c r="AB410" s="9"/>
      <c r="AC410" s="10">
        <f t="shared" si="103"/>
        <v>-3641.7300000000032</v>
      </c>
      <c r="AD410" s="8">
        <f>IFERROR(AC410/AC444, "NA")</f>
        <v>7.2352730812784563</v>
      </c>
    </row>
    <row r="411" spans="1:30" ht="16.5" customHeight="1" x14ac:dyDescent="0.45">
      <c r="A411" s="6" t="s">
        <v>376</v>
      </c>
      <c r="B411" s="7">
        <v>268.37</v>
      </c>
      <c r="C411" s="8">
        <f>IFERROR(B411/B444, "NA")</f>
        <v>6.1686864630695957E-4</v>
      </c>
      <c r="D411" s="9"/>
      <c r="E411" s="7">
        <v>0</v>
      </c>
      <c r="F411" s="8">
        <f>IFERROR(E411/E444, "NA")</f>
        <v>0</v>
      </c>
      <c r="G411" s="9"/>
      <c r="H411" s="10">
        <f t="shared" si="100"/>
        <v>-268.37</v>
      </c>
      <c r="I411" s="8">
        <f>IFERROR(H411/H444, "NA")</f>
        <v>1.9652023637788191E-2</v>
      </c>
      <c r="J411" s="9"/>
      <c r="K411" s="7">
        <v>0</v>
      </c>
      <c r="L411" s="8">
        <f>IFERROR(K411/K444, "NA")</f>
        <v>0</v>
      </c>
      <c r="M411" s="9"/>
      <c r="N411" s="10">
        <f t="shared" si="101"/>
        <v>-268.37</v>
      </c>
      <c r="O411" s="8">
        <f>IFERROR(N411/N444, "NA")</f>
        <v>0.53318896151628414</v>
      </c>
      <c r="P411" s="9"/>
      <c r="Q411" s="7">
        <v>268.37</v>
      </c>
      <c r="R411" s="8">
        <f>IFERROR(Q411/Q444, "NA")</f>
        <v>6.1686864630695957E-4</v>
      </c>
      <c r="S411" s="9"/>
      <c r="T411" s="7">
        <v>0</v>
      </c>
      <c r="U411" s="8">
        <f>IFERROR(T411/T444, "NA")</f>
        <v>0</v>
      </c>
      <c r="V411" s="9"/>
      <c r="W411" s="10">
        <f t="shared" si="102"/>
        <v>-268.37</v>
      </c>
      <c r="X411" s="8">
        <f>IFERROR(W411/W444, "NA")</f>
        <v>1.9652023637788191E-2</v>
      </c>
      <c r="Y411" s="9"/>
      <c r="Z411" s="7">
        <v>0</v>
      </c>
      <c r="AA411" s="8">
        <f>IFERROR(Z411/Z444, "NA")</f>
        <v>0</v>
      </c>
      <c r="AB411" s="9"/>
      <c r="AC411" s="10">
        <f t="shared" si="103"/>
        <v>-268.37</v>
      </c>
      <c r="AD411" s="8">
        <f>IFERROR(AC411/AC444, "NA")</f>
        <v>0.53318896151628414</v>
      </c>
    </row>
    <row r="412" spans="1:30" ht="16.5" hidden="1" customHeight="1" x14ac:dyDescent="0.45">
      <c r="A412" s="6" t="s">
        <v>377</v>
      </c>
      <c r="B412" s="7">
        <v>0</v>
      </c>
      <c r="C412" s="8">
        <f>IFERROR(B412/B444, "NA")</f>
        <v>0</v>
      </c>
      <c r="D412" s="9"/>
      <c r="E412" s="7">
        <v>0</v>
      </c>
      <c r="F412" s="8">
        <f>IFERROR(E412/E444, "NA")</f>
        <v>0</v>
      </c>
      <c r="G412" s="9"/>
      <c r="H412" s="10">
        <f t="shared" si="100"/>
        <v>0</v>
      </c>
      <c r="I412" s="8">
        <f>IFERROR(H412/H444, "NA")</f>
        <v>0</v>
      </c>
      <c r="J412" s="9"/>
      <c r="K412" s="7">
        <v>0</v>
      </c>
      <c r="L412" s="8">
        <f>IFERROR(K412/K444, "NA")</f>
        <v>0</v>
      </c>
      <c r="M412" s="9"/>
      <c r="N412" s="10">
        <f t="shared" si="101"/>
        <v>0</v>
      </c>
      <c r="O412" s="8">
        <f>IFERROR(N412/N444, "NA")</f>
        <v>0</v>
      </c>
      <c r="P412" s="9"/>
      <c r="Q412" s="7">
        <v>0</v>
      </c>
      <c r="R412" s="8">
        <f>IFERROR(Q412/Q444, "NA")</f>
        <v>0</v>
      </c>
      <c r="S412" s="9"/>
      <c r="T412" s="7">
        <v>0</v>
      </c>
      <c r="U412" s="8">
        <f>IFERROR(T412/T444, "NA")</f>
        <v>0</v>
      </c>
      <c r="V412" s="9"/>
      <c r="W412" s="10">
        <f t="shared" si="102"/>
        <v>0</v>
      </c>
      <c r="X412" s="8">
        <f>IFERROR(W412/W444, "NA")</f>
        <v>0</v>
      </c>
      <c r="Y412" s="9"/>
      <c r="Z412" s="7">
        <v>0</v>
      </c>
      <c r="AA412" s="8">
        <f>IFERROR(Z412/Z444, "NA")</f>
        <v>0</v>
      </c>
      <c r="AB412" s="9"/>
      <c r="AC412" s="10">
        <f t="shared" si="103"/>
        <v>0</v>
      </c>
      <c r="AD412" s="8">
        <f>IFERROR(AC412/AC444, "NA")</f>
        <v>0</v>
      </c>
    </row>
    <row r="413" spans="1:30" ht="16.5" hidden="1" customHeight="1" x14ac:dyDescent="0.45">
      <c r="A413" s="6" t="s">
        <v>378</v>
      </c>
      <c r="B413" s="7">
        <v>0</v>
      </c>
      <c r="C413" s="8">
        <f>IFERROR(B413/B444, "NA")</f>
        <v>0</v>
      </c>
      <c r="D413" s="9"/>
      <c r="E413" s="7">
        <v>0</v>
      </c>
      <c r="F413" s="8">
        <f>IFERROR(E413/E444, "NA")</f>
        <v>0</v>
      </c>
      <c r="G413" s="9"/>
      <c r="H413" s="10">
        <f t="shared" si="100"/>
        <v>0</v>
      </c>
      <c r="I413" s="8">
        <f>IFERROR(H413/H444, "NA")</f>
        <v>0</v>
      </c>
      <c r="J413" s="9"/>
      <c r="K413" s="7">
        <v>0</v>
      </c>
      <c r="L413" s="8">
        <f>IFERROR(K413/K444, "NA")</f>
        <v>0</v>
      </c>
      <c r="M413" s="9"/>
      <c r="N413" s="10">
        <f t="shared" si="101"/>
        <v>0</v>
      </c>
      <c r="O413" s="8">
        <f>IFERROR(N413/N444, "NA")</f>
        <v>0</v>
      </c>
      <c r="P413" s="9"/>
      <c r="Q413" s="7">
        <v>0</v>
      </c>
      <c r="R413" s="8">
        <f>IFERROR(Q413/Q444, "NA")</f>
        <v>0</v>
      </c>
      <c r="S413" s="9"/>
      <c r="T413" s="7">
        <v>0</v>
      </c>
      <c r="U413" s="8">
        <f>IFERROR(T413/T444, "NA")</f>
        <v>0</v>
      </c>
      <c r="V413" s="9"/>
      <c r="W413" s="10">
        <f t="shared" si="102"/>
        <v>0</v>
      </c>
      <c r="X413" s="8">
        <f>IFERROR(W413/W444, "NA")</f>
        <v>0</v>
      </c>
      <c r="Y413" s="9"/>
      <c r="Z413" s="7">
        <v>0</v>
      </c>
      <c r="AA413" s="8">
        <f>IFERROR(Z413/Z444, "NA")</f>
        <v>0</v>
      </c>
      <c r="AB413" s="9"/>
      <c r="AC413" s="10">
        <f t="shared" si="103"/>
        <v>0</v>
      </c>
      <c r="AD413" s="8">
        <f>IFERROR(AC413/AC444, "NA")</f>
        <v>0</v>
      </c>
    </row>
    <row r="414" spans="1:30" ht="16.5" hidden="1" customHeight="1" x14ac:dyDescent="0.45">
      <c r="A414" s="6" t="s">
        <v>379</v>
      </c>
      <c r="B414" s="7">
        <v>0</v>
      </c>
      <c r="C414" s="8">
        <f>IFERROR(B414/B444, "NA")</f>
        <v>0</v>
      </c>
      <c r="D414" s="9"/>
      <c r="E414" s="7">
        <v>0</v>
      </c>
      <c r="F414" s="8">
        <f>IFERROR(E414/E444, "NA")</f>
        <v>0</v>
      </c>
      <c r="G414" s="9"/>
      <c r="H414" s="10">
        <f t="shared" si="100"/>
        <v>0</v>
      </c>
      <c r="I414" s="8">
        <f>IFERROR(H414/H444, "NA")</f>
        <v>0</v>
      </c>
      <c r="J414" s="9"/>
      <c r="K414" s="7">
        <v>0</v>
      </c>
      <c r="L414" s="8">
        <f>IFERROR(K414/K444, "NA")</f>
        <v>0</v>
      </c>
      <c r="M414" s="9"/>
      <c r="N414" s="10">
        <f t="shared" si="101"/>
        <v>0</v>
      </c>
      <c r="O414" s="8">
        <f>IFERROR(N414/N444, "NA")</f>
        <v>0</v>
      </c>
      <c r="P414" s="9"/>
      <c r="Q414" s="7">
        <v>0</v>
      </c>
      <c r="R414" s="8">
        <f>IFERROR(Q414/Q444, "NA")</f>
        <v>0</v>
      </c>
      <c r="S414" s="9"/>
      <c r="T414" s="7">
        <v>0</v>
      </c>
      <c r="U414" s="8">
        <f>IFERROR(T414/T444, "NA")</f>
        <v>0</v>
      </c>
      <c r="V414" s="9"/>
      <c r="W414" s="10">
        <f t="shared" si="102"/>
        <v>0</v>
      </c>
      <c r="X414" s="8">
        <f>IFERROR(W414/W444, "NA")</f>
        <v>0</v>
      </c>
      <c r="Y414" s="9"/>
      <c r="Z414" s="7">
        <v>0</v>
      </c>
      <c r="AA414" s="8">
        <f>IFERROR(Z414/Z444, "NA")</f>
        <v>0</v>
      </c>
      <c r="AB414" s="9"/>
      <c r="AC414" s="10">
        <f t="shared" si="103"/>
        <v>0</v>
      </c>
      <c r="AD414" s="8">
        <f>IFERROR(AC414/AC444, "NA")</f>
        <v>0</v>
      </c>
    </row>
    <row r="415" spans="1:30" ht="16.5" hidden="1" customHeight="1" x14ac:dyDescent="0.45">
      <c r="A415" s="6" t="s">
        <v>380</v>
      </c>
      <c r="B415" s="7">
        <v>0</v>
      </c>
      <c r="C415" s="8">
        <f>IFERROR(B415/B444, "NA")</f>
        <v>0</v>
      </c>
      <c r="D415" s="9"/>
      <c r="E415" s="7">
        <v>0</v>
      </c>
      <c r="F415" s="8">
        <f>IFERROR(E415/E444, "NA")</f>
        <v>0</v>
      </c>
      <c r="G415" s="9"/>
      <c r="H415" s="10">
        <f t="shared" si="100"/>
        <v>0</v>
      </c>
      <c r="I415" s="8">
        <f>IFERROR(H415/H444, "NA")</f>
        <v>0</v>
      </c>
      <c r="J415" s="9"/>
      <c r="K415" s="7">
        <v>0</v>
      </c>
      <c r="L415" s="8">
        <f>IFERROR(K415/K444, "NA")</f>
        <v>0</v>
      </c>
      <c r="M415" s="9"/>
      <c r="N415" s="10">
        <f t="shared" si="101"/>
        <v>0</v>
      </c>
      <c r="O415" s="8">
        <f>IFERROR(N415/N444, "NA")</f>
        <v>0</v>
      </c>
      <c r="P415" s="9"/>
      <c r="Q415" s="7">
        <v>0</v>
      </c>
      <c r="R415" s="8">
        <f>IFERROR(Q415/Q444, "NA")</f>
        <v>0</v>
      </c>
      <c r="S415" s="9"/>
      <c r="T415" s="7">
        <v>0</v>
      </c>
      <c r="U415" s="8">
        <f>IFERROR(T415/T444, "NA")</f>
        <v>0</v>
      </c>
      <c r="V415" s="9"/>
      <c r="W415" s="10">
        <f t="shared" si="102"/>
        <v>0</v>
      </c>
      <c r="X415" s="8">
        <f>IFERROR(W415/W444, "NA")</f>
        <v>0</v>
      </c>
      <c r="Y415" s="9"/>
      <c r="Z415" s="7">
        <v>0</v>
      </c>
      <c r="AA415" s="8">
        <f>IFERROR(Z415/Z444, "NA")</f>
        <v>0</v>
      </c>
      <c r="AB415" s="9"/>
      <c r="AC415" s="10">
        <f t="shared" si="103"/>
        <v>0</v>
      </c>
      <c r="AD415" s="8">
        <f>IFERROR(AC415/AC444, "NA")</f>
        <v>0</v>
      </c>
    </row>
    <row r="416" spans="1:30" ht="16.5" customHeight="1" x14ac:dyDescent="0.45">
      <c r="A416" s="6" t="s">
        <v>381</v>
      </c>
      <c r="B416" s="7">
        <v>-103.39</v>
      </c>
      <c r="C416" s="8">
        <f>IFERROR(B416/B444, "NA")</f>
        <v>-2.3764969758794408E-4</v>
      </c>
      <c r="D416" s="9"/>
      <c r="E416" s="7">
        <v>0</v>
      </c>
      <c r="F416" s="8">
        <f>IFERROR(E416/E444, "NA")</f>
        <v>0</v>
      </c>
      <c r="G416" s="9"/>
      <c r="H416" s="10">
        <f t="shared" si="100"/>
        <v>103.39</v>
      </c>
      <c r="I416" s="8">
        <f>IFERROR(H416/H444, "NA")</f>
        <v>-7.5709756079700456E-3</v>
      </c>
      <c r="J416" s="9"/>
      <c r="K416" s="7">
        <v>-109.72</v>
      </c>
      <c r="L416" s="8">
        <f>IFERROR(K416/K444, "NA")</f>
        <v>-2.5190823588171088E-4</v>
      </c>
      <c r="M416" s="9"/>
      <c r="N416" s="10">
        <f t="shared" si="101"/>
        <v>-6.3299999999999983</v>
      </c>
      <c r="O416" s="8">
        <f>IFERROR(N416/N444, "NA")</f>
        <v>1.2576242226769303E-2</v>
      </c>
      <c r="P416" s="9"/>
      <c r="Q416" s="7">
        <v>-103.39</v>
      </c>
      <c r="R416" s="8">
        <f>IFERROR(Q416/Q444, "NA")</f>
        <v>-2.3764969758794408E-4</v>
      </c>
      <c r="S416" s="9"/>
      <c r="T416" s="7">
        <v>0</v>
      </c>
      <c r="U416" s="8">
        <f>IFERROR(T416/T444, "NA")</f>
        <v>0</v>
      </c>
      <c r="V416" s="9"/>
      <c r="W416" s="10">
        <f t="shared" si="102"/>
        <v>103.39</v>
      </c>
      <c r="X416" s="8">
        <f>IFERROR(W416/W444, "NA")</f>
        <v>-7.5709756079700456E-3</v>
      </c>
      <c r="Y416" s="9"/>
      <c r="Z416" s="7">
        <v>-109.72</v>
      </c>
      <c r="AA416" s="8">
        <f>IFERROR(Z416/Z444, "NA")</f>
        <v>-2.5190823588171088E-4</v>
      </c>
      <c r="AB416" s="9"/>
      <c r="AC416" s="10">
        <f t="shared" si="103"/>
        <v>-6.3299999999999983</v>
      </c>
      <c r="AD416" s="8">
        <f>IFERROR(AC416/AC444, "NA")</f>
        <v>1.2576242226769303E-2</v>
      </c>
    </row>
    <row r="417" spans="1:30" ht="16.5" customHeight="1" x14ac:dyDescent="0.45">
      <c r="A417" s="6" t="s">
        <v>382</v>
      </c>
      <c r="B417" s="7">
        <v>24.630000000000003</v>
      </c>
      <c r="C417" s="8">
        <f>IFERROR(B417/B444, "NA")</f>
        <v>5.6613909000784056E-5</v>
      </c>
      <c r="D417" s="9"/>
      <c r="E417" s="7">
        <v>0</v>
      </c>
      <c r="F417" s="8">
        <f>IFERROR(E417/E444, "NA")</f>
        <v>0</v>
      </c>
      <c r="G417" s="9"/>
      <c r="H417" s="10">
        <f t="shared" si="100"/>
        <v>-24.630000000000003</v>
      </c>
      <c r="I417" s="8">
        <f>IFERROR(H417/H444, "NA")</f>
        <v>1.8035896046455387E-3</v>
      </c>
      <c r="J417" s="9"/>
      <c r="K417" s="7">
        <v>238.49</v>
      </c>
      <c r="L417" s="8">
        <f>IFERROR(K417/K444, "NA")</f>
        <v>5.4755372926931485E-4</v>
      </c>
      <c r="M417" s="9"/>
      <c r="N417" s="10">
        <f t="shared" si="101"/>
        <v>213.86</v>
      </c>
      <c r="O417" s="8">
        <f>IFERROR(N417/N444, "NA")</f>
        <v>-0.42489023106111912</v>
      </c>
      <c r="P417" s="9"/>
      <c r="Q417" s="7">
        <v>24.630000000000003</v>
      </c>
      <c r="R417" s="8">
        <f>IFERROR(Q417/Q444, "NA")</f>
        <v>5.6613909000784056E-5</v>
      </c>
      <c r="S417" s="9"/>
      <c r="T417" s="7">
        <v>0</v>
      </c>
      <c r="U417" s="8">
        <f>IFERROR(T417/T444, "NA")</f>
        <v>0</v>
      </c>
      <c r="V417" s="9"/>
      <c r="W417" s="10">
        <f t="shared" si="102"/>
        <v>-24.630000000000003</v>
      </c>
      <c r="X417" s="8">
        <f>IFERROR(W417/W444, "NA")</f>
        <v>1.8035896046455387E-3</v>
      </c>
      <c r="Y417" s="9"/>
      <c r="Z417" s="7">
        <v>238.49</v>
      </c>
      <c r="AA417" s="8">
        <f>IFERROR(Z417/Z444, "NA")</f>
        <v>5.4755372926931485E-4</v>
      </c>
      <c r="AB417" s="9"/>
      <c r="AC417" s="10">
        <f t="shared" si="103"/>
        <v>213.86</v>
      </c>
      <c r="AD417" s="8">
        <f>IFERROR(AC417/AC444, "NA")</f>
        <v>-0.42489023106111912</v>
      </c>
    </row>
    <row r="418" spans="1:30" ht="16.5" hidden="1" customHeight="1" x14ac:dyDescent="0.45">
      <c r="A418" s="6" t="s">
        <v>383</v>
      </c>
      <c r="B418" s="7">
        <v>0</v>
      </c>
      <c r="C418" s="8">
        <f>IFERROR(B418/B444, "NA")</f>
        <v>0</v>
      </c>
      <c r="D418" s="9"/>
      <c r="E418" s="7">
        <v>0</v>
      </c>
      <c r="F418" s="8">
        <f>IFERROR(E418/E444, "NA")</f>
        <v>0</v>
      </c>
      <c r="G418" s="9"/>
      <c r="H418" s="10">
        <f t="shared" si="100"/>
        <v>0</v>
      </c>
      <c r="I418" s="8">
        <f>IFERROR(H418/H444, "NA")</f>
        <v>0</v>
      </c>
      <c r="J418" s="9"/>
      <c r="K418" s="7">
        <v>0</v>
      </c>
      <c r="L418" s="8">
        <f>IFERROR(K418/K444, "NA")</f>
        <v>0</v>
      </c>
      <c r="M418" s="9"/>
      <c r="N418" s="10">
        <f t="shared" si="101"/>
        <v>0</v>
      </c>
      <c r="O418" s="8">
        <f>IFERROR(N418/N444, "NA")</f>
        <v>0</v>
      </c>
      <c r="P418" s="9"/>
      <c r="Q418" s="7">
        <v>0</v>
      </c>
      <c r="R418" s="8">
        <f>IFERROR(Q418/Q444, "NA")</f>
        <v>0</v>
      </c>
      <c r="S418" s="9"/>
      <c r="T418" s="7">
        <v>0</v>
      </c>
      <c r="U418" s="8">
        <f>IFERROR(T418/T444, "NA")</f>
        <v>0</v>
      </c>
      <c r="V418" s="9"/>
      <c r="W418" s="10">
        <f t="shared" si="102"/>
        <v>0</v>
      </c>
      <c r="X418" s="8">
        <f>IFERROR(W418/W444, "NA")</f>
        <v>0</v>
      </c>
      <c r="Y418" s="9"/>
      <c r="Z418" s="7">
        <v>0</v>
      </c>
      <c r="AA418" s="8">
        <f>IFERROR(Z418/Z444, "NA")</f>
        <v>0</v>
      </c>
      <c r="AB418" s="9"/>
      <c r="AC418" s="10">
        <f t="shared" si="103"/>
        <v>0</v>
      </c>
      <c r="AD418" s="8">
        <f>IFERROR(AC418/AC444, "NA")</f>
        <v>0</v>
      </c>
    </row>
    <row r="419" spans="1:30" ht="16.5" hidden="1" customHeight="1" x14ac:dyDescent="0.45">
      <c r="A419" s="6" t="s">
        <v>384</v>
      </c>
      <c r="B419" s="7">
        <v>0</v>
      </c>
      <c r="C419" s="8">
        <f>IFERROR(B419/B444, "NA")</f>
        <v>0</v>
      </c>
      <c r="D419" s="9"/>
      <c r="E419" s="7">
        <v>0</v>
      </c>
      <c r="F419" s="8">
        <f>IFERROR(E419/E444, "NA")</f>
        <v>0</v>
      </c>
      <c r="G419" s="9"/>
      <c r="H419" s="10">
        <f t="shared" si="100"/>
        <v>0</v>
      </c>
      <c r="I419" s="8">
        <f>IFERROR(H419/H444, "NA")</f>
        <v>0</v>
      </c>
      <c r="J419" s="9"/>
      <c r="K419" s="7">
        <v>0</v>
      </c>
      <c r="L419" s="8">
        <f>IFERROR(K419/K444, "NA")</f>
        <v>0</v>
      </c>
      <c r="M419" s="9"/>
      <c r="N419" s="10">
        <f t="shared" si="101"/>
        <v>0</v>
      </c>
      <c r="O419" s="8">
        <f>IFERROR(N419/N444, "NA")</f>
        <v>0</v>
      </c>
      <c r="P419" s="9"/>
      <c r="Q419" s="7">
        <v>0</v>
      </c>
      <c r="R419" s="8">
        <f>IFERROR(Q419/Q444, "NA")</f>
        <v>0</v>
      </c>
      <c r="S419" s="9"/>
      <c r="T419" s="7">
        <v>0</v>
      </c>
      <c r="U419" s="8">
        <f>IFERROR(T419/T444, "NA")</f>
        <v>0</v>
      </c>
      <c r="V419" s="9"/>
      <c r="W419" s="10">
        <f t="shared" si="102"/>
        <v>0</v>
      </c>
      <c r="X419" s="8">
        <f>IFERROR(W419/W444, "NA")</f>
        <v>0</v>
      </c>
      <c r="Y419" s="9"/>
      <c r="Z419" s="7">
        <v>0</v>
      </c>
      <c r="AA419" s="8">
        <f>IFERROR(Z419/Z444, "NA")</f>
        <v>0</v>
      </c>
      <c r="AB419" s="9"/>
      <c r="AC419" s="10">
        <f t="shared" si="103"/>
        <v>0</v>
      </c>
      <c r="AD419" s="8">
        <f>IFERROR(AC419/AC444, "NA")</f>
        <v>0</v>
      </c>
    </row>
    <row r="420" spans="1:30" ht="16.5" hidden="1" customHeight="1" x14ac:dyDescent="0.45">
      <c r="A420" s="6" t="s">
        <v>385</v>
      </c>
      <c r="B420" s="7">
        <v>0</v>
      </c>
      <c r="C420" s="8">
        <f>IFERROR(B420/B444, "NA")</f>
        <v>0</v>
      </c>
      <c r="D420" s="9"/>
      <c r="E420" s="7">
        <v>0</v>
      </c>
      <c r="F420" s="8">
        <f>IFERROR(E420/E444, "NA")</f>
        <v>0</v>
      </c>
      <c r="G420" s="9"/>
      <c r="H420" s="10">
        <f t="shared" si="100"/>
        <v>0</v>
      </c>
      <c r="I420" s="8">
        <f>IFERROR(H420/H444, "NA")</f>
        <v>0</v>
      </c>
      <c r="J420" s="9"/>
      <c r="K420" s="7">
        <v>0</v>
      </c>
      <c r="L420" s="8">
        <f>IFERROR(K420/K444, "NA")</f>
        <v>0</v>
      </c>
      <c r="M420" s="9"/>
      <c r="N420" s="10">
        <f t="shared" si="101"/>
        <v>0</v>
      </c>
      <c r="O420" s="8">
        <f>IFERROR(N420/N444, "NA")</f>
        <v>0</v>
      </c>
      <c r="P420" s="9"/>
      <c r="Q420" s="7">
        <v>0</v>
      </c>
      <c r="R420" s="8">
        <f>IFERROR(Q420/Q444, "NA")</f>
        <v>0</v>
      </c>
      <c r="S420" s="9"/>
      <c r="T420" s="7">
        <v>0</v>
      </c>
      <c r="U420" s="8">
        <f>IFERROR(T420/T444, "NA")</f>
        <v>0</v>
      </c>
      <c r="V420" s="9"/>
      <c r="W420" s="10">
        <f t="shared" si="102"/>
        <v>0</v>
      </c>
      <c r="X420" s="8">
        <f>IFERROR(W420/W444, "NA")</f>
        <v>0</v>
      </c>
      <c r="Y420" s="9"/>
      <c r="Z420" s="7">
        <v>0</v>
      </c>
      <c r="AA420" s="8">
        <f>IFERROR(Z420/Z444, "NA")</f>
        <v>0</v>
      </c>
      <c r="AB420" s="9"/>
      <c r="AC420" s="10">
        <f t="shared" si="103"/>
        <v>0</v>
      </c>
      <c r="AD420" s="8">
        <f>IFERROR(AC420/AC444, "NA")</f>
        <v>0</v>
      </c>
    </row>
    <row r="421" spans="1:30" ht="16.5" customHeight="1" x14ac:dyDescent="0.45">
      <c r="A421" s="6" t="s">
        <v>386</v>
      </c>
      <c r="B421" s="7">
        <v>0</v>
      </c>
      <c r="C421" s="8">
        <f>IFERROR(B421/B444, "NA")</f>
        <v>0</v>
      </c>
      <c r="D421" s="9"/>
      <c r="E421" s="7">
        <v>0</v>
      </c>
      <c r="F421" s="8">
        <f>IFERROR(E421/E444, "NA")</f>
        <v>0</v>
      </c>
      <c r="G421" s="9"/>
      <c r="H421" s="10">
        <f t="shared" si="100"/>
        <v>0</v>
      </c>
      <c r="I421" s="8">
        <f>IFERROR(H421/H444, "NA")</f>
        <v>0</v>
      </c>
      <c r="J421" s="9"/>
      <c r="K421" s="7">
        <v>-20</v>
      </c>
      <c r="L421" s="8">
        <f>IFERROR(K421/K444, "NA")</f>
        <v>-4.5918380583614811E-5</v>
      </c>
      <c r="M421" s="9"/>
      <c r="N421" s="10">
        <f t="shared" si="101"/>
        <v>-20</v>
      </c>
      <c r="O421" s="8">
        <f>IFERROR(N421/N444, "NA")</f>
        <v>3.9735362485842987E-2</v>
      </c>
      <c r="P421" s="9"/>
      <c r="Q421" s="7">
        <v>0</v>
      </c>
      <c r="R421" s="8">
        <f>IFERROR(Q421/Q444, "NA")</f>
        <v>0</v>
      </c>
      <c r="S421" s="9"/>
      <c r="T421" s="7">
        <v>0</v>
      </c>
      <c r="U421" s="8">
        <f>IFERROR(T421/T444, "NA")</f>
        <v>0</v>
      </c>
      <c r="V421" s="9"/>
      <c r="W421" s="10">
        <f t="shared" si="102"/>
        <v>0</v>
      </c>
      <c r="X421" s="8">
        <f>IFERROR(W421/W444, "NA")</f>
        <v>0</v>
      </c>
      <c r="Y421" s="9"/>
      <c r="Z421" s="7">
        <v>-20</v>
      </c>
      <c r="AA421" s="8">
        <f>IFERROR(Z421/Z444, "NA")</f>
        <v>-4.5918380583614811E-5</v>
      </c>
      <c r="AB421" s="9"/>
      <c r="AC421" s="10">
        <f t="shared" si="103"/>
        <v>-20</v>
      </c>
      <c r="AD421" s="8">
        <f>IFERROR(AC421/AC444, "NA")</f>
        <v>3.9735362485842987E-2</v>
      </c>
    </row>
    <row r="422" spans="1:30" ht="16.5" customHeight="1" x14ac:dyDescent="0.45">
      <c r="A422" s="6" t="s">
        <v>387</v>
      </c>
      <c r="B422" s="7">
        <v>-505.22</v>
      </c>
      <c r="C422" s="8">
        <f>IFERROR(B422/B444, "NA")</f>
        <v>-1.1612861999746697E-3</v>
      </c>
      <c r="D422" s="9"/>
      <c r="E422" s="7">
        <v>0</v>
      </c>
      <c r="F422" s="8">
        <f>IFERROR(E422/E444, "NA")</f>
        <v>0</v>
      </c>
      <c r="G422" s="9"/>
      <c r="H422" s="10">
        <f t="shared" si="100"/>
        <v>505.22</v>
      </c>
      <c r="I422" s="8">
        <f>IFERROR(H422/H444, "NA")</f>
        <v>-3.6995921236663377E-2</v>
      </c>
      <c r="J422" s="9"/>
      <c r="K422" s="7">
        <v>0</v>
      </c>
      <c r="L422" s="8">
        <f>IFERROR(K422/K444, "NA")</f>
        <v>0</v>
      </c>
      <c r="M422" s="9"/>
      <c r="N422" s="10">
        <f t="shared" si="101"/>
        <v>505.22</v>
      </c>
      <c r="O422" s="8">
        <f>IFERROR(N422/N444, "NA")</f>
        <v>-1.0037549917548798</v>
      </c>
      <c r="P422" s="9"/>
      <c r="Q422" s="7">
        <v>-505.22</v>
      </c>
      <c r="R422" s="8">
        <f>IFERROR(Q422/Q444, "NA")</f>
        <v>-1.1612861999746697E-3</v>
      </c>
      <c r="S422" s="9"/>
      <c r="T422" s="7">
        <v>0</v>
      </c>
      <c r="U422" s="8">
        <f>IFERROR(T422/T444, "NA")</f>
        <v>0</v>
      </c>
      <c r="V422" s="9"/>
      <c r="W422" s="10">
        <f t="shared" si="102"/>
        <v>505.22</v>
      </c>
      <c r="X422" s="8">
        <f>IFERROR(W422/W444, "NA")</f>
        <v>-3.6995921236663377E-2</v>
      </c>
      <c r="Y422" s="9"/>
      <c r="Z422" s="7">
        <v>0</v>
      </c>
      <c r="AA422" s="8">
        <f>IFERROR(Z422/Z444, "NA")</f>
        <v>0</v>
      </c>
      <c r="AB422" s="9"/>
      <c r="AC422" s="10">
        <f t="shared" si="103"/>
        <v>505.22</v>
      </c>
      <c r="AD422" s="8">
        <f>IFERROR(AC422/AC444, "NA")</f>
        <v>-1.0037549917548798</v>
      </c>
    </row>
    <row r="423" spans="1:30" ht="16.5" customHeight="1" x14ac:dyDescent="0.45">
      <c r="A423" s="6" t="s">
        <v>388</v>
      </c>
      <c r="B423" s="7">
        <v>-16101.01</v>
      </c>
      <c r="C423" s="8">
        <f>IFERROR(B423/B444, "NA")</f>
        <v>-3.700938347384141E-2</v>
      </c>
      <c r="D423" s="9"/>
      <c r="E423" s="7">
        <v>0</v>
      </c>
      <c r="F423" s="8">
        <f>IFERROR(E423/E444, "NA")</f>
        <v>0</v>
      </c>
      <c r="G423" s="9"/>
      <c r="H423" s="10">
        <f t="shared" si="100"/>
        <v>16101.01</v>
      </c>
      <c r="I423" s="8">
        <f>IFERROR(H423/H444, "NA")</f>
        <v>-1.1790342777220406</v>
      </c>
      <c r="J423" s="9"/>
      <c r="K423" s="7">
        <v>-0.99</v>
      </c>
      <c r="L423" s="8">
        <f>IFERROR(K423/K444, "NA")</f>
        <v>-2.272959838888933E-6</v>
      </c>
      <c r="M423" s="9"/>
      <c r="N423" s="10">
        <f t="shared" si="101"/>
        <v>16100.02</v>
      </c>
      <c r="O423" s="8">
        <f>IFERROR(N423/N444, "NA")</f>
        <v>-31.987006536466094</v>
      </c>
      <c r="P423" s="9"/>
      <c r="Q423" s="7">
        <v>-16101.01</v>
      </c>
      <c r="R423" s="8">
        <f>IFERROR(Q423/Q444, "NA")</f>
        <v>-3.700938347384141E-2</v>
      </c>
      <c r="S423" s="9"/>
      <c r="T423" s="7">
        <v>0</v>
      </c>
      <c r="U423" s="8">
        <f>IFERROR(T423/T444, "NA")</f>
        <v>0</v>
      </c>
      <c r="V423" s="9"/>
      <c r="W423" s="10">
        <f t="shared" si="102"/>
        <v>16101.01</v>
      </c>
      <c r="X423" s="8">
        <f>IFERROR(W423/W444, "NA")</f>
        <v>-1.1790342777220406</v>
      </c>
      <c r="Y423" s="9"/>
      <c r="Z423" s="7">
        <v>-0.99</v>
      </c>
      <c r="AA423" s="8">
        <f>IFERROR(Z423/Z444, "NA")</f>
        <v>-2.272959838888933E-6</v>
      </c>
      <c r="AB423" s="9"/>
      <c r="AC423" s="10">
        <f t="shared" si="103"/>
        <v>16100.02</v>
      </c>
      <c r="AD423" s="8">
        <f>IFERROR(AC423/AC444, "NA")</f>
        <v>-31.987006536466094</v>
      </c>
    </row>
    <row r="424" spans="1:30" ht="16.5" customHeight="1" x14ac:dyDescent="0.45">
      <c r="A424" s="6" t="s">
        <v>389</v>
      </c>
      <c r="B424" s="7">
        <v>67.08</v>
      </c>
      <c r="C424" s="8">
        <f>IFERROR(B424/B444, "NA")</f>
        <v>1.5418842938581381E-4</v>
      </c>
      <c r="D424" s="9"/>
      <c r="E424" s="7">
        <v>0</v>
      </c>
      <c r="F424" s="8">
        <f>IFERROR(E424/E444, "NA")</f>
        <v>0</v>
      </c>
      <c r="G424" s="9"/>
      <c r="H424" s="10">
        <f t="shared" si="100"/>
        <v>-67.08</v>
      </c>
      <c r="I424" s="8">
        <f>IFERROR(H424/H444, "NA")</f>
        <v>4.912090567585169E-3</v>
      </c>
      <c r="J424" s="9"/>
      <c r="K424" s="7">
        <v>47.92</v>
      </c>
      <c r="L424" s="8">
        <f>IFERROR(K424/K444, "NA")</f>
        <v>1.1002043987834109E-4</v>
      </c>
      <c r="M424" s="9"/>
      <c r="N424" s="10">
        <f t="shared" si="101"/>
        <v>-19.159999999999997</v>
      </c>
      <c r="O424" s="8">
        <f>IFERROR(N424/N444, "NA")</f>
        <v>3.8066477261437581E-2</v>
      </c>
      <c r="P424" s="9"/>
      <c r="Q424" s="7">
        <v>67.08</v>
      </c>
      <c r="R424" s="8">
        <f>IFERROR(Q424/Q444, "NA")</f>
        <v>1.5418842938581381E-4</v>
      </c>
      <c r="S424" s="9"/>
      <c r="T424" s="7">
        <v>0</v>
      </c>
      <c r="U424" s="8">
        <f>IFERROR(T424/T444, "NA")</f>
        <v>0</v>
      </c>
      <c r="V424" s="9"/>
      <c r="W424" s="10">
        <f t="shared" si="102"/>
        <v>-67.08</v>
      </c>
      <c r="X424" s="8">
        <f>IFERROR(W424/W444, "NA")</f>
        <v>4.912090567585169E-3</v>
      </c>
      <c r="Y424" s="9"/>
      <c r="Z424" s="7">
        <v>47.92</v>
      </c>
      <c r="AA424" s="8">
        <f>IFERROR(Z424/Z444, "NA")</f>
        <v>1.1002043987834109E-4</v>
      </c>
      <c r="AB424" s="9"/>
      <c r="AC424" s="10">
        <f t="shared" si="103"/>
        <v>-19.159999999999997</v>
      </c>
      <c r="AD424" s="8">
        <f>IFERROR(AC424/AC444, "NA")</f>
        <v>3.8066477261437581E-2</v>
      </c>
    </row>
    <row r="425" spans="1:30" ht="16.5" hidden="1" customHeight="1" x14ac:dyDescent="0.45">
      <c r="A425" s="6" t="s">
        <v>390</v>
      </c>
      <c r="B425" s="7">
        <v>0</v>
      </c>
      <c r="C425" s="8">
        <f>IFERROR(B425/B444, "NA")</f>
        <v>0</v>
      </c>
      <c r="D425" s="9"/>
      <c r="E425" s="7">
        <v>0</v>
      </c>
      <c r="F425" s="8">
        <f>IFERROR(E425/E444, "NA")</f>
        <v>0</v>
      </c>
      <c r="G425" s="9"/>
      <c r="H425" s="10">
        <f t="shared" si="100"/>
        <v>0</v>
      </c>
      <c r="I425" s="8">
        <f>IFERROR(H425/H444, "NA")</f>
        <v>0</v>
      </c>
      <c r="J425" s="9"/>
      <c r="K425" s="7">
        <v>0</v>
      </c>
      <c r="L425" s="8">
        <f>IFERROR(K425/K444, "NA")</f>
        <v>0</v>
      </c>
      <c r="M425" s="9"/>
      <c r="N425" s="10">
        <f t="shared" si="101"/>
        <v>0</v>
      </c>
      <c r="O425" s="8">
        <f>IFERROR(N425/N444, "NA")</f>
        <v>0</v>
      </c>
      <c r="P425" s="9"/>
      <c r="Q425" s="7">
        <v>0</v>
      </c>
      <c r="R425" s="8">
        <f>IFERROR(Q425/Q444, "NA")</f>
        <v>0</v>
      </c>
      <c r="S425" s="9"/>
      <c r="T425" s="7">
        <v>0</v>
      </c>
      <c r="U425" s="8">
        <f>IFERROR(T425/T444, "NA")</f>
        <v>0</v>
      </c>
      <c r="V425" s="9"/>
      <c r="W425" s="10">
        <f t="shared" si="102"/>
        <v>0</v>
      </c>
      <c r="X425" s="8">
        <f>IFERROR(W425/W444, "NA")</f>
        <v>0</v>
      </c>
      <c r="Y425" s="9"/>
      <c r="Z425" s="7">
        <v>0</v>
      </c>
      <c r="AA425" s="8">
        <f>IFERROR(Z425/Z444, "NA")</f>
        <v>0</v>
      </c>
      <c r="AB425" s="9"/>
      <c r="AC425" s="10">
        <f t="shared" si="103"/>
        <v>0</v>
      </c>
      <c r="AD425" s="8">
        <f>IFERROR(AC425/AC444, "NA")</f>
        <v>0</v>
      </c>
    </row>
    <row r="426" spans="1:30" ht="16.5" customHeight="1" x14ac:dyDescent="0.45">
      <c r="A426" s="6" t="s">
        <v>391</v>
      </c>
      <c r="B426" s="7">
        <v>-2432.9299999999998</v>
      </c>
      <c r="C426" s="8">
        <f>IFERROR(B426/B444, "NA")</f>
        <v>-5.5922727415865826E-3</v>
      </c>
      <c r="D426" s="9"/>
      <c r="E426" s="7">
        <v>0</v>
      </c>
      <c r="F426" s="8">
        <f>IFERROR(E426/E444, "NA")</f>
        <v>0</v>
      </c>
      <c r="G426" s="9"/>
      <c r="H426" s="10">
        <f t="shared" si="100"/>
        <v>2432.9299999999998</v>
      </c>
      <c r="I426" s="8">
        <f>IFERROR(H426/H444, "NA")</f>
        <v>-0.17815701408161874</v>
      </c>
      <c r="J426" s="9"/>
      <c r="K426" s="7">
        <v>-375.5</v>
      </c>
      <c r="L426" s="8">
        <f>IFERROR(K426/K444, "NA")</f>
        <v>-8.6211759545736812E-4</v>
      </c>
      <c r="M426" s="9"/>
      <c r="N426" s="10">
        <f t="shared" si="101"/>
        <v>2057.4299999999998</v>
      </c>
      <c r="O426" s="8">
        <f>IFERROR(N426/N444, "NA")</f>
        <v>-4.0876363419623969</v>
      </c>
      <c r="P426" s="9"/>
      <c r="Q426" s="7">
        <v>-2432.9299999999998</v>
      </c>
      <c r="R426" s="8">
        <f>IFERROR(Q426/Q444, "NA")</f>
        <v>-5.5922727415865826E-3</v>
      </c>
      <c r="S426" s="9"/>
      <c r="T426" s="7">
        <v>0</v>
      </c>
      <c r="U426" s="8">
        <f>IFERROR(T426/T444, "NA")</f>
        <v>0</v>
      </c>
      <c r="V426" s="9"/>
      <c r="W426" s="10">
        <f t="shared" si="102"/>
        <v>2432.9299999999998</v>
      </c>
      <c r="X426" s="8">
        <f>IFERROR(W426/W444, "NA")</f>
        <v>-0.17815701408161874</v>
      </c>
      <c r="Y426" s="9"/>
      <c r="Z426" s="7">
        <v>-375.5</v>
      </c>
      <c r="AA426" s="8">
        <f>IFERROR(Z426/Z444, "NA")</f>
        <v>-8.6211759545736812E-4</v>
      </c>
      <c r="AB426" s="9"/>
      <c r="AC426" s="10">
        <f t="shared" si="103"/>
        <v>2057.4299999999998</v>
      </c>
      <c r="AD426" s="8">
        <f>IFERROR(AC426/AC444, "NA")</f>
        <v>-4.0876363419623969</v>
      </c>
    </row>
    <row r="427" spans="1:30" ht="16.5" hidden="1" customHeight="1" x14ac:dyDescent="0.45">
      <c r="A427" s="6" t="s">
        <v>392</v>
      </c>
      <c r="B427" s="7">
        <v>0</v>
      </c>
      <c r="C427" s="8">
        <f>IFERROR(B427/B444, "NA")</f>
        <v>0</v>
      </c>
      <c r="D427" s="9"/>
      <c r="E427" s="7">
        <v>0</v>
      </c>
      <c r="F427" s="8">
        <f>IFERROR(E427/E444, "NA")</f>
        <v>0</v>
      </c>
      <c r="G427" s="9"/>
      <c r="H427" s="10">
        <f t="shared" si="100"/>
        <v>0</v>
      </c>
      <c r="I427" s="8">
        <f>IFERROR(H427/H444, "NA")</f>
        <v>0</v>
      </c>
      <c r="J427" s="9"/>
      <c r="K427" s="7">
        <v>0</v>
      </c>
      <c r="L427" s="8">
        <f>IFERROR(K427/K444, "NA")</f>
        <v>0</v>
      </c>
      <c r="M427" s="9"/>
      <c r="N427" s="10">
        <f t="shared" si="101"/>
        <v>0</v>
      </c>
      <c r="O427" s="8">
        <f>IFERROR(N427/N444, "NA")</f>
        <v>0</v>
      </c>
      <c r="P427" s="9"/>
      <c r="Q427" s="7">
        <v>0</v>
      </c>
      <c r="R427" s="8">
        <f>IFERROR(Q427/Q444, "NA")</f>
        <v>0</v>
      </c>
      <c r="S427" s="9"/>
      <c r="T427" s="7">
        <v>0</v>
      </c>
      <c r="U427" s="8">
        <f>IFERROR(T427/T444, "NA")</f>
        <v>0</v>
      </c>
      <c r="V427" s="9"/>
      <c r="W427" s="10">
        <f t="shared" si="102"/>
        <v>0</v>
      </c>
      <c r="X427" s="8">
        <f>IFERROR(W427/W444, "NA")</f>
        <v>0</v>
      </c>
      <c r="Y427" s="9"/>
      <c r="Z427" s="7">
        <v>0</v>
      </c>
      <c r="AA427" s="8">
        <f>IFERROR(Z427/Z444, "NA")</f>
        <v>0</v>
      </c>
      <c r="AB427" s="9"/>
      <c r="AC427" s="10">
        <f t="shared" si="103"/>
        <v>0</v>
      </c>
      <c r="AD427" s="8">
        <f>IFERROR(AC427/AC444, "NA")</f>
        <v>0</v>
      </c>
    </row>
    <row r="428" spans="1:30" ht="16.5" customHeight="1" x14ac:dyDescent="0.45">
      <c r="A428" s="19" t="s">
        <v>393</v>
      </c>
      <c r="B428" s="14">
        <f>IFERROR(B407+B408+B409+B410+B411+B412+B413+B414+B415+B416+B417+B418+B419+B420+B421+B422+B423+B424+B425+B426+B427, "NA")</f>
        <v>12622.5</v>
      </c>
      <c r="C428" s="15">
        <f>IFERROR(B428/B444, "NA")</f>
        <v>2.901376639717404E-2</v>
      </c>
      <c r="D428" s="2"/>
      <c r="E428" s="14">
        <f>IFERROR(E407+E408+E409+E410+E411+E412+E413+E414+E415+E416+E417+E418+E419+E420+E421+E422+E423+E424+E425+E426+E427, "NA")</f>
        <v>14875.330000000002</v>
      </c>
      <c r="F428" s="15">
        <f>IFERROR(E428/E444, "NA")</f>
        <v>3.3151455667625424E-2</v>
      </c>
      <c r="G428" s="2"/>
      <c r="H428" s="14">
        <f t="shared" si="100"/>
        <v>2252.8300000000017</v>
      </c>
      <c r="I428" s="15">
        <f>IFERROR(H428/H444, "NA")</f>
        <v>-0.16496876853567241</v>
      </c>
      <c r="J428" s="2"/>
      <c r="K428" s="14">
        <f>IFERROR(K407+K408+K409+K410+K411+K412+K413+K414+K415+K416+K417+K418+K419+K420+K421+K422+K423+K424+K425+K426+K427, "NA")</f>
        <v>27543.439999999995</v>
      </c>
      <c r="L428" s="15">
        <f>IFERROR(K428/K444, "NA")</f>
        <v>6.3237508025097963E-2</v>
      </c>
      <c r="M428" s="2"/>
      <c r="N428" s="14">
        <f t="shared" si="101"/>
        <v>14920.939999999995</v>
      </c>
      <c r="O428" s="15">
        <f>IFERROR(N428/N444, "NA")</f>
        <v>-29.644447976475696</v>
      </c>
      <c r="P428" s="2"/>
      <c r="Q428" s="14">
        <f>IFERROR(Q407+Q408+Q409+Q410+Q411+Q412+Q413+Q414+Q415+Q416+Q417+Q418+Q419+Q420+Q421+Q422+Q423+Q424+Q425+Q426+Q427, "NA")</f>
        <v>12622.5</v>
      </c>
      <c r="R428" s="15">
        <f>IFERROR(Q428/Q444, "NA")</f>
        <v>2.901376639717404E-2</v>
      </c>
      <c r="S428" s="2"/>
      <c r="T428" s="14">
        <f>IFERROR(T407+T408+T409+T410+T411+T412+T413+T414+T415+T416+T417+T418+T419+T420+T421+T422+T423+T424+T425+T426+T427, "NA")</f>
        <v>14875.330000000002</v>
      </c>
      <c r="U428" s="15">
        <f>IFERROR(T428/T444, "NA")</f>
        <v>3.3151455667625424E-2</v>
      </c>
      <c r="V428" s="2"/>
      <c r="W428" s="14">
        <f t="shared" si="102"/>
        <v>2252.8300000000017</v>
      </c>
      <c r="X428" s="15">
        <f>IFERROR(W428/W444, "NA")</f>
        <v>-0.16496876853567241</v>
      </c>
      <c r="Y428" s="2"/>
      <c r="Z428" s="14">
        <f>IFERROR(Z407+Z408+Z409+Z410+Z411+Z412+Z413+Z414+Z415+Z416+Z417+Z418+Z419+Z420+Z421+Z422+Z423+Z424+Z425+Z426+Z427, "NA")</f>
        <v>27543.439999999995</v>
      </c>
      <c r="AA428" s="15">
        <f>IFERROR(Z428/Z444, "NA")</f>
        <v>6.3237508025097963E-2</v>
      </c>
      <c r="AB428" s="2"/>
      <c r="AC428" s="14">
        <f t="shared" si="103"/>
        <v>14920.939999999995</v>
      </c>
      <c r="AD428" s="15">
        <f>IFERROR(AC428/AC444, "NA")</f>
        <v>-29.644447976475696</v>
      </c>
    </row>
    <row r="429" spans="1:30" ht="16.5" customHeight="1" x14ac:dyDescent="0.45">
      <c r="A429" s="21" t="s">
        <v>394</v>
      </c>
      <c r="B429" s="14">
        <f>IFERROR(B407+B408+B409+B410+B411+B412+B413+B414+B415+B416+B417+B418+B419+B420+B421+B422+B423+B424+B425+B426+B427, "NA")</f>
        <v>12622.5</v>
      </c>
      <c r="C429" s="15">
        <f>IFERROR(B429/B444, "NA")</f>
        <v>2.901376639717404E-2</v>
      </c>
      <c r="D429" s="2"/>
      <c r="E429" s="14">
        <f>IFERROR(E407+E408+E409+E410+E411+E412+E413+E414+E415+E416+E417+E418+E419+E420+E421+E422+E423+E424+E425+E426+E427, "NA")</f>
        <v>14875.330000000002</v>
      </c>
      <c r="F429" s="15">
        <f>IFERROR(E429/E444, "NA")</f>
        <v>3.3151455667625424E-2</v>
      </c>
      <c r="G429" s="2"/>
      <c r="H429" s="14">
        <f t="shared" si="100"/>
        <v>2252.8300000000017</v>
      </c>
      <c r="I429" s="15">
        <f>IFERROR(H429/H444, "NA")</f>
        <v>-0.16496876853567241</v>
      </c>
      <c r="J429" s="2"/>
      <c r="K429" s="14">
        <f>IFERROR(K407+K408+K409+K410+K411+K412+K413+K414+K415+K416+K417+K418+K419+K420+K421+K422+K423+K424+K425+K426+K427, "NA")</f>
        <v>27543.439999999995</v>
      </c>
      <c r="L429" s="15">
        <f>IFERROR(K429/K444, "NA")</f>
        <v>6.3237508025097963E-2</v>
      </c>
      <c r="M429" s="2"/>
      <c r="N429" s="14">
        <f t="shared" si="101"/>
        <v>14920.939999999995</v>
      </c>
      <c r="O429" s="15">
        <f>IFERROR(N429/N444, "NA")</f>
        <v>-29.644447976475696</v>
      </c>
      <c r="P429" s="2"/>
      <c r="Q429" s="14">
        <f>IFERROR(Q407+Q408+Q409+Q410+Q411+Q412+Q413+Q414+Q415+Q416+Q417+Q418+Q419+Q420+Q421+Q422+Q423+Q424+Q425+Q426+Q427, "NA")</f>
        <v>12622.5</v>
      </c>
      <c r="R429" s="15">
        <f>IFERROR(Q429/Q444, "NA")</f>
        <v>2.901376639717404E-2</v>
      </c>
      <c r="S429" s="2"/>
      <c r="T429" s="14">
        <f>IFERROR(T407+T408+T409+T410+T411+T412+T413+T414+T415+T416+T417+T418+T419+T420+T421+T422+T423+T424+T425+T426+T427, "NA")</f>
        <v>14875.330000000002</v>
      </c>
      <c r="U429" s="15">
        <f>IFERROR(T429/T444, "NA")</f>
        <v>3.3151455667625424E-2</v>
      </c>
      <c r="V429" s="2"/>
      <c r="W429" s="14">
        <f t="shared" si="102"/>
        <v>2252.8300000000017</v>
      </c>
      <c r="X429" s="15">
        <f>IFERROR(W429/W444, "NA")</f>
        <v>-0.16496876853567241</v>
      </c>
      <c r="Y429" s="2"/>
      <c r="Z429" s="14">
        <f>IFERROR(Z407+Z408+Z409+Z410+Z411+Z412+Z413+Z414+Z415+Z416+Z417+Z418+Z419+Z420+Z421+Z422+Z423+Z424+Z425+Z426+Z427, "NA")</f>
        <v>27543.439999999995</v>
      </c>
      <c r="AA429" s="15">
        <f>IFERROR(Z429/Z444, "NA")</f>
        <v>6.3237508025097963E-2</v>
      </c>
      <c r="AB429" s="2"/>
      <c r="AC429" s="14">
        <f t="shared" si="103"/>
        <v>14920.939999999995</v>
      </c>
      <c r="AD429" s="15">
        <f>IFERROR(AC429/AC444, "NA")</f>
        <v>-29.644447976475696</v>
      </c>
    </row>
    <row r="430" spans="1:30" ht="16.5" customHeight="1" x14ac:dyDescent="0.45">
      <c r="A430" s="1" t="s">
        <v>395</v>
      </c>
      <c r="B430" s="2"/>
      <c r="C430" s="3"/>
      <c r="D430" s="4"/>
      <c r="E430" s="2"/>
      <c r="F430" s="3"/>
      <c r="G430" s="4"/>
      <c r="H430" s="2"/>
      <c r="I430" s="3"/>
      <c r="J430" s="4"/>
      <c r="K430" s="2"/>
      <c r="L430" s="3"/>
      <c r="M430" s="4"/>
      <c r="N430" s="2"/>
      <c r="O430" s="3"/>
      <c r="P430" s="4"/>
      <c r="Q430" s="2"/>
      <c r="R430" s="3"/>
      <c r="S430" s="4"/>
      <c r="T430" s="2"/>
      <c r="U430" s="3"/>
      <c r="V430" s="4"/>
      <c r="W430" s="2"/>
      <c r="X430" s="3"/>
      <c r="Y430" s="4"/>
      <c r="Z430" s="2"/>
      <c r="AA430" s="3"/>
      <c r="AB430" s="4"/>
      <c r="AC430" s="2"/>
      <c r="AD430" s="3"/>
    </row>
    <row r="431" spans="1:30" ht="16.5" customHeight="1" x14ac:dyDescent="0.45">
      <c r="A431" s="5" t="s">
        <v>396</v>
      </c>
      <c r="B431" s="2"/>
      <c r="C431" s="3"/>
      <c r="D431" s="4"/>
      <c r="E431" s="2"/>
      <c r="F431" s="3"/>
      <c r="G431" s="4"/>
      <c r="H431" s="2"/>
      <c r="I431" s="3"/>
      <c r="J431" s="4"/>
      <c r="K431" s="2"/>
      <c r="L431" s="3"/>
      <c r="M431" s="4"/>
      <c r="N431" s="2"/>
      <c r="O431" s="3"/>
      <c r="P431" s="4"/>
      <c r="Q431" s="2"/>
      <c r="R431" s="3"/>
      <c r="S431" s="4"/>
      <c r="T431" s="2"/>
      <c r="U431" s="3"/>
      <c r="V431" s="4"/>
      <c r="W431" s="2"/>
      <c r="X431" s="3"/>
      <c r="Y431" s="4"/>
      <c r="Z431" s="2"/>
      <c r="AA431" s="3"/>
      <c r="AB431" s="4"/>
      <c r="AC431" s="2"/>
      <c r="AD431" s="3"/>
    </row>
    <row r="432" spans="1:30" ht="16.5" hidden="1" customHeight="1" x14ac:dyDescent="0.45">
      <c r="A432" s="6" t="s">
        <v>396</v>
      </c>
      <c r="B432" s="7">
        <v>0</v>
      </c>
      <c r="C432" s="8">
        <f>IFERROR(B432/B444, "NA")</f>
        <v>0</v>
      </c>
      <c r="D432" s="9"/>
      <c r="E432" s="7">
        <v>0</v>
      </c>
      <c r="F432" s="8">
        <f>IFERROR(E432/E444, "NA")</f>
        <v>0</v>
      </c>
      <c r="G432" s="9"/>
      <c r="H432" s="10">
        <f t="shared" ref="H432:H442" si="104">IFERROR(-(B432-E432), "NA")</f>
        <v>0</v>
      </c>
      <c r="I432" s="8">
        <f>IFERROR(H432/H444, "NA")</f>
        <v>0</v>
      </c>
      <c r="J432" s="9"/>
      <c r="K432" s="7">
        <v>0</v>
      </c>
      <c r="L432" s="8">
        <f>IFERROR(K432/K444, "NA")</f>
        <v>0</v>
      </c>
      <c r="M432" s="9"/>
      <c r="N432" s="10">
        <f t="shared" ref="N432:N442" si="105">IFERROR(-(B432-K432), "NA")</f>
        <v>0</v>
      </c>
      <c r="O432" s="8">
        <f>IFERROR(N432/N444, "NA")</f>
        <v>0</v>
      </c>
      <c r="P432" s="9"/>
      <c r="Q432" s="7">
        <v>0</v>
      </c>
      <c r="R432" s="8">
        <f>IFERROR(Q432/Q444, "NA")</f>
        <v>0</v>
      </c>
      <c r="S432" s="9"/>
      <c r="T432" s="7">
        <v>0</v>
      </c>
      <c r="U432" s="8">
        <f>IFERROR(T432/T444, "NA")</f>
        <v>0</v>
      </c>
      <c r="V432" s="9"/>
      <c r="W432" s="10">
        <f t="shared" ref="W432:W442" si="106">IFERROR(-(Q432-T432), "NA")</f>
        <v>0</v>
      </c>
      <c r="X432" s="8">
        <f>IFERROR(W432/W444, "NA")</f>
        <v>0</v>
      </c>
      <c r="Y432" s="9"/>
      <c r="Z432" s="7">
        <v>0</v>
      </c>
      <c r="AA432" s="8">
        <f>IFERROR(Z432/Z444, "NA")</f>
        <v>0</v>
      </c>
      <c r="AB432" s="9"/>
      <c r="AC432" s="10">
        <f t="shared" ref="AC432:AC442" si="107">IFERROR(-(Q432-Z432), "NA")</f>
        <v>0</v>
      </c>
      <c r="AD432" s="8">
        <f>IFERROR(AC432/AC444, "NA")</f>
        <v>0</v>
      </c>
    </row>
    <row r="433" spans="1:30" ht="16.5" hidden="1" customHeight="1" x14ac:dyDescent="0.45">
      <c r="A433" s="6" t="s">
        <v>397</v>
      </c>
      <c r="B433" s="7">
        <v>0</v>
      </c>
      <c r="C433" s="8">
        <f>IFERROR(B433/B444, "NA")</f>
        <v>0</v>
      </c>
      <c r="D433" s="9"/>
      <c r="E433" s="7">
        <v>0</v>
      </c>
      <c r="F433" s="8">
        <f>IFERROR(E433/E444, "NA")</f>
        <v>0</v>
      </c>
      <c r="G433" s="9"/>
      <c r="H433" s="10">
        <f t="shared" si="104"/>
        <v>0</v>
      </c>
      <c r="I433" s="8">
        <f>IFERROR(H433/H444, "NA")</f>
        <v>0</v>
      </c>
      <c r="J433" s="9"/>
      <c r="K433" s="7">
        <v>0</v>
      </c>
      <c r="L433" s="8">
        <f>IFERROR(K433/K444, "NA")</f>
        <v>0</v>
      </c>
      <c r="M433" s="9"/>
      <c r="N433" s="10">
        <f t="shared" si="105"/>
        <v>0</v>
      </c>
      <c r="O433" s="8">
        <f>IFERROR(N433/N444, "NA")</f>
        <v>0</v>
      </c>
      <c r="P433" s="9"/>
      <c r="Q433" s="7">
        <v>0</v>
      </c>
      <c r="R433" s="8">
        <f>IFERROR(Q433/Q444, "NA")</f>
        <v>0</v>
      </c>
      <c r="S433" s="9"/>
      <c r="T433" s="7">
        <v>0</v>
      </c>
      <c r="U433" s="8">
        <f>IFERROR(T433/T444, "NA")</f>
        <v>0</v>
      </c>
      <c r="V433" s="9"/>
      <c r="W433" s="10">
        <f t="shared" si="106"/>
        <v>0</v>
      </c>
      <c r="X433" s="8">
        <f>IFERROR(W433/W444, "NA")</f>
        <v>0</v>
      </c>
      <c r="Y433" s="9"/>
      <c r="Z433" s="7">
        <v>0</v>
      </c>
      <c r="AA433" s="8">
        <f>IFERROR(Z433/Z444, "NA")</f>
        <v>0</v>
      </c>
      <c r="AB433" s="9"/>
      <c r="AC433" s="10">
        <f t="shared" si="107"/>
        <v>0</v>
      </c>
      <c r="AD433" s="8">
        <f>IFERROR(AC433/AC444, "NA")</f>
        <v>0</v>
      </c>
    </row>
    <row r="434" spans="1:30" ht="16.5" hidden="1" customHeight="1" x14ac:dyDescent="0.45">
      <c r="A434" s="6" t="s">
        <v>398</v>
      </c>
      <c r="B434" s="7">
        <v>0</v>
      </c>
      <c r="C434" s="8">
        <f>IFERROR(B434/B444, "NA")</f>
        <v>0</v>
      </c>
      <c r="D434" s="9"/>
      <c r="E434" s="7">
        <v>0</v>
      </c>
      <c r="F434" s="8">
        <f>IFERROR(E434/E444, "NA")</f>
        <v>0</v>
      </c>
      <c r="G434" s="9"/>
      <c r="H434" s="10">
        <f t="shared" si="104"/>
        <v>0</v>
      </c>
      <c r="I434" s="8">
        <f>IFERROR(H434/H444, "NA")</f>
        <v>0</v>
      </c>
      <c r="J434" s="9"/>
      <c r="K434" s="7">
        <v>0</v>
      </c>
      <c r="L434" s="8">
        <f>IFERROR(K434/K444, "NA")</f>
        <v>0</v>
      </c>
      <c r="M434" s="9"/>
      <c r="N434" s="10">
        <f t="shared" si="105"/>
        <v>0</v>
      </c>
      <c r="O434" s="8">
        <f>IFERROR(N434/N444, "NA")</f>
        <v>0</v>
      </c>
      <c r="P434" s="9"/>
      <c r="Q434" s="7">
        <v>0</v>
      </c>
      <c r="R434" s="8">
        <f>IFERROR(Q434/Q444, "NA")</f>
        <v>0</v>
      </c>
      <c r="S434" s="9"/>
      <c r="T434" s="7">
        <v>0</v>
      </c>
      <c r="U434" s="8">
        <f>IFERROR(T434/T444, "NA")</f>
        <v>0</v>
      </c>
      <c r="V434" s="9"/>
      <c r="W434" s="10">
        <f t="shared" si="106"/>
        <v>0</v>
      </c>
      <c r="X434" s="8">
        <f>IFERROR(W434/W444, "NA")</f>
        <v>0</v>
      </c>
      <c r="Y434" s="9"/>
      <c r="Z434" s="7">
        <v>0</v>
      </c>
      <c r="AA434" s="8">
        <f>IFERROR(Z434/Z444, "NA")</f>
        <v>0</v>
      </c>
      <c r="AB434" s="9"/>
      <c r="AC434" s="10">
        <f t="shared" si="107"/>
        <v>0</v>
      </c>
      <c r="AD434" s="8">
        <f>IFERROR(AC434/AC444, "NA")</f>
        <v>0</v>
      </c>
    </row>
    <row r="435" spans="1:30" ht="16.5" hidden="1" customHeight="1" x14ac:dyDescent="0.45">
      <c r="A435" s="6" t="s">
        <v>399</v>
      </c>
      <c r="B435" s="7">
        <v>0</v>
      </c>
      <c r="C435" s="8">
        <f>IFERROR(B435/B444, "NA")</f>
        <v>0</v>
      </c>
      <c r="D435" s="9"/>
      <c r="E435" s="7">
        <v>0</v>
      </c>
      <c r="F435" s="8">
        <f>IFERROR(E435/E444, "NA")</f>
        <v>0</v>
      </c>
      <c r="G435" s="9"/>
      <c r="H435" s="10">
        <f t="shared" si="104"/>
        <v>0</v>
      </c>
      <c r="I435" s="8">
        <f>IFERROR(H435/H444, "NA")</f>
        <v>0</v>
      </c>
      <c r="J435" s="9"/>
      <c r="K435" s="7">
        <v>0</v>
      </c>
      <c r="L435" s="8">
        <f>IFERROR(K435/K444, "NA")</f>
        <v>0</v>
      </c>
      <c r="M435" s="9"/>
      <c r="N435" s="10">
        <f t="shared" si="105"/>
        <v>0</v>
      </c>
      <c r="O435" s="8">
        <f>IFERROR(N435/N444, "NA")</f>
        <v>0</v>
      </c>
      <c r="P435" s="9"/>
      <c r="Q435" s="7">
        <v>0</v>
      </c>
      <c r="R435" s="8">
        <f>IFERROR(Q435/Q444, "NA")</f>
        <v>0</v>
      </c>
      <c r="S435" s="9"/>
      <c r="T435" s="7">
        <v>0</v>
      </c>
      <c r="U435" s="8">
        <f>IFERROR(T435/T444, "NA")</f>
        <v>0</v>
      </c>
      <c r="V435" s="9"/>
      <c r="W435" s="10">
        <f t="shared" si="106"/>
        <v>0</v>
      </c>
      <c r="X435" s="8">
        <f>IFERROR(W435/W444, "NA")</f>
        <v>0</v>
      </c>
      <c r="Y435" s="9"/>
      <c r="Z435" s="7">
        <v>0</v>
      </c>
      <c r="AA435" s="8">
        <f>IFERROR(Z435/Z444, "NA")</f>
        <v>0</v>
      </c>
      <c r="AB435" s="9"/>
      <c r="AC435" s="10">
        <f t="shared" si="107"/>
        <v>0</v>
      </c>
      <c r="AD435" s="8">
        <f>IFERROR(AC435/AC444, "NA")</f>
        <v>0</v>
      </c>
    </row>
    <row r="436" spans="1:30" ht="16.5" hidden="1" customHeight="1" x14ac:dyDescent="0.45">
      <c r="A436" s="6" t="s">
        <v>400</v>
      </c>
      <c r="B436" s="7">
        <v>0</v>
      </c>
      <c r="C436" s="8">
        <f>IFERROR(B436/B444, "NA")</f>
        <v>0</v>
      </c>
      <c r="D436" s="9"/>
      <c r="E436" s="7">
        <v>0</v>
      </c>
      <c r="F436" s="8">
        <f>IFERROR(E436/E444, "NA")</f>
        <v>0</v>
      </c>
      <c r="G436" s="9"/>
      <c r="H436" s="10">
        <f t="shared" si="104"/>
        <v>0</v>
      </c>
      <c r="I436" s="8">
        <f>IFERROR(H436/H444, "NA")</f>
        <v>0</v>
      </c>
      <c r="J436" s="9"/>
      <c r="K436" s="7">
        <v>0</v>
      </c>
      <c r="L436" s="8">
        <f>IFERROR(K436/K444, "NA")</f>
        <v>0</v>
      </c>
      <c r="M436" s="9"/>
      <c r="N436" s="10">
        <f t="shared" si="105"/>
        <v>0</v>
      </c>
      <c r="O436" s="8">
        <f>IFERROR(N436/N444, "NA")</f>
        <v>0</v>
      </c>
      <c r="P436" s="9"/>
      <c r="Q436" s="7">
        <v>0</v>
      </c>
      <c r="R436" s="8">
        <f>IFERROR(Q436/Q444, "NA")</f>
        <v>0</v>
      </c>
      <c r="S436" s="9"/>
      <c r="T436" s="7">
        <v>0</v>
      </c>
      <c r="U436" s="8">
        <f>IFERROR(T436/T444, "NA")</f>
        <v>0</v>
      </c>
      <c r="V436" s="9"/>
      <c r="W436" s="10">
        <f t="shared" si="106"/>
        <v>0</v>
      </c>
      <c r="X436" s="8">
        <f>IFERROR(W436/W444, "NA")</f>
        <v>0</v>
      </c>
      <c r="Y436" s="9"/>
      <c r="Z436" s="7">
        <v>0</v>
      </c>
      <c r="AA436" s="8">
        <f>IFERROR(Z436/Z444, "NA")</f>
        <v>0</v>
      </c>
      <c r="AB436" s="9"/>
      <c r="AC436" s="10">
        <f t="shared" si="107"/>
        <v>0</v>
      </c>
      <c r="AD436" s="8">
        <f>IFERROR(AC436/AC444, "NA")</f>
        <v>0</v>
      </c>
    </row>
    <row r="437" spans="1:30" ht="16.5" hidden="1" customHeight="1" x14ac:dyDescent="0.45">
      <c r="A437" s="6" t="s">
        <v>401</v>
      </c>
      <c r="B437" s="7">
        <v>0</v>
      </c>
      <c r="C437" s="8">
        <f>IFERROR(B437/B444, "NA")</f>
        <v>0</v>
      </c>
      <c r="D437" s="9"/>
      <c r="E437" s="7">
        <v>0</v>
      </c>
      <c r="F437" s="8">
        <f>IFERROR(E437/E444, "NA")</f>
        <v>0</v>
      </c>
      <c r="G437" s="9"/>
      <c r="H437" s="10">
        <f t="shared" si="104"/>
        <v>0</v>
      </c>
      <c r="I437" s="8">
        <f>IFERROR(H437/H444, "NA")</f>
        <v>0</v>
      </c>
      <c r="J437" s="9"/>
      <c r="K437" s="7">
        <v>0</v>
      </c>
      <c r="L437" s="8">
        <f>IFERROR(K437/K444, "NA")</f>
        <v>0</v>
      </c>
      <c r="M437" s="9"/>
      <c r="N437" s="10">
        <f t="shared" si="105"/>
        <v>0</v>
      </c>
      <c r="O437" s="8">
        <f>IFERROR(N437/N444, "NA")</f>
        <v>0</v>
      </c>
      <c r="P437" s="9"/>
      <c r="Q437" s="7">
        <v>0</v>
      </c>
      <c r="R437" s="8">
        <f>IFERROR(Q437/Q444, "NA")</f>
        <v>0</v>
      </c>
      <c r="S437" s="9"/>
      <c r="T437" s="7">
        <v>0</v>
      </c>
      <c r="U437" s="8">
        <f>IFERROR(T437/T444, "NA")</f>
        <v>0</v>
      </c>
      <c r="V437" s="9"/>
      <c r="W437" s="10">
        <f t="shared" si="106"/>
        <v>0</v>
      </c>
      <c r="X437" s="8">
        <f>IFERROR(W437/W444, "NA")</f>
        <v>0</v>
      </c>
      <c r="Y437" s="9"/>
      <c r="Z437" s="7">
        <v>0</v>
      </c>
      <c r="AA437" s="8">
        <f>IFERROR(Z437/Z444, "NA")</f>
        <v>0</v>
      </c>
      <c r="AB437" s="9"/>
      <c r="AC437" s="10">
        <f t="shared" si="107"/>
        <v>0</v>
      </c>
      <c r="AD437" s="8">
        <f>IFERROR(AC437/AC444, "NA")</f>
        <v>0</v>
      </c>
    </row>
    <row r="438" spans="1:30" ht="30.75" hidden="1" customHeight="1" x14ac:dyDescent="0.45">
      <c r="A438" s="6" t="s">
        <v>402</v>
      </c>
      <c r="B438" s="7">
        <v>0</v>
      </c>
      <c r="C438" s="8">
        <f>IFERROR(B438/B444, "NA")</f>
        <v>0</v>
      </c>
      <c r="D438" s="9"/>
      <c r="E438" s="7">
        <v>0</v>
      </c>
      <c r="F438" s="8">
        <f>IFERROR(E438/E444, "NA")</f>
        <v>0</v>
      </c>
      <c r="G438" s="9"/>
      <c r="H438" s="10">
        <f t="shared" si="104"/>
        <v>0</v>
      </c>
      <c r="I438" s="8">
        <f>IFERROR(H438/H444, "NA")</f>
        <v>0</v>
      </c>
      <c r="J438" s="9"/>
      <c r="K438" s="7">
        <v>0</v>
      </c>
      <c r="L438" s="8">
        <f>IFERROR(K438/K444, "NA")</f>
        <v>0</v>
      </c>
      <c r="M438" s="9"/>
      <c r="N438" s="10">
        <f t="shared" si="105"/>
        <v>0</v>
      </c>
      <c r="O438" s="8">
        <f>IFERROR(N438/N444, "NA")</f>
        <v>0</v>
      </c>
      <c r="P438" s="9"/>
      <c r="Q438" s="7">
        <v>0</v>
      </c>
      <c r="R438" s="8">
        <f>IFERROR(Q438/Q444, "NA")</f>
        <v>0</v>
      </c>
      <c r="S438" s="9"/>
      <c r="T438" s="7">
        <v>0</v>
      </c>
      <c r="U438" s="8">
        <f>IFERROR(T438/T444, "NA")</f>
        <v>0</v>
      </c>
      <c r="V438" s="9"/>
      <c r="W438" s="10">
        <f t="shared" si="106"/>
        <v>0</v>
      </c>
      <c r="X438" s="8">
        <f>IFERROR(W438/W444, "NA")</f>
        <v>0</v>
      </c>
      <c r="Y438" s="9"/>
      <c r="Z438" s="7">
        <v>0</v>
      </c>
      <c r="AA438" s="8">
        <f>IFERROR(Z438/Z444, "NA")</f>
        <v>0</v>
      </c>
      <c r="AB438" s="9"/>
      <c r="AC438" s="10">
        <f t="shared" si="107"/>
        <v>0</v>
      </c>
      <c r="AD438" s="8">
        <f>IFERROR(AC438/AC444, "NA")</f>
        <v>0</v>
      </c>
    </row>
    <row r="439" spans="1:30" ht="16.5" hidden="1" customHeight="1" x14ac:dyDescent="0.45">
      <c r="A439" s="6" t="s">
        <v>403</v>
      </c>
      <c r="B439" s="7">
        <v>0</v>
      </c>
      <c r="C439" s="8">
        <f>IFERROR(B439/B444, "NA")</f>
        <v>0</v>
      </c>
      <c r="D439" s="9"/>
      <c r="E439" s="7">
        <v>0</v>
      </c>
      <c r="F439" s="8">
        <f>IFERROR(E439/E444, "NA")</f>
        <v>0</v>
      </c>
      <c r="G439" s="9"/>
      <c r="H439" s="10">
        <f t="shared" si="104"/>
        <v>0</v>
      </c>
      <c r="I439" s="8">
        <f>IFERROR(H439/H444, "NA")</f>
        <v>0</v>
      </c>
      <c r="J439" s="9"/>
      <c r="K439" s="7">
        <v>0</v>
      </c>
      <c r="L439" s="8">
        <f>IFERROR(K439/K444, "NA")</f>
        <v>0</v>
      </c>
      <c r="M439" s="9"/>
      <c r="N439" s="10">
        <f t="shared" si="105"/>
        <v>0</v>
      </c>
      <c r="O439" s="8">
        <f>IFERROR(N439/N444, "NA")</f>
        <v>0</v>
      </c>
      <c r="P439" s="9"/>
      <c r="Q439" s="7">
        <v>0</v>
      </c>
      <c r="R439" s="8">
        <f>IFERROR(Q439/Q444, "NA")</f>
        <v>0</v>
      </c>
      <c r="S439" s="9"/>
      <c r="T439" s="7">
        <v>0</v>
      </c>
      <c r="U439" s="8">
        <f>IFERROR(T439/T444, "NA")</f>
        <v>0</v>
      </c>
      <c r="V439" s="9"/>
      <c r="W439" s="10">
        <f t="shared" si="106"/>
        <v>0</v>
      </c>
      <c r="X439" s="8">
        <f>IFERROR(W439/W444, "NA")</f>
        <v>0</v>
      </c>
      <c r="Y439" s="9"/>
      <c r="Z439" s="7">
        <v>0</v>
      </c>
      <c r="AA439" s="8">
        <f>IFERROR(Z439/Z444, "NA")</f>
        <v>0</v>
      </c>
      <c r="AB439" s="9"/>
      <c r="AC439" s="10">
        <f t="shared" si="107"/>
        <v>0</v>
      </c>
      <c r="AD439" s="8">
        <f>IFERROR(AC439/AC444, "NA")</f>
        <v>0</v>
      </c>
    </row>
    <row r="440" spans="1:30" ht="30.75" hidden="1" customHeight="1" x14ac:dyDescent="0.45">
      <c r="A440" s="6" t="s">
        <v>404</v>
      </c>
      <c r="B440" s="7">
        <v>0</v>
      </c>
      <c r="C440" s="8">
        <f>IFERROR(B440/B444, "NA")</f>
        <v>0</v>
      </c>
      <c r="D440" s="9"/>
      <c r="E440" s="7">
        <v>0</v>
      </c>
      <c r="F440" s="8">
        <f>IFERROR(E440/E444, "NA")</f>
        <v>0</v>
      </c>
      <c r="G440" s="9"/>
      <c r="H440" s="10">
        <f t="shared" si="104"/>
        <v>0</v>
      </c>
      <c r="I440" s="8">
        <f>IFERROR(H440/H444, "NA")</f>
        <v>0</v>
      </c>
      <c r="J440" s="9"/>
      <c r="K440" s="7">
        <v>0</v>
      </c>
      <c r="L440" s="8">
        <f>IFERROR(K440/K444, "NA")</f>
        <v>0</v>
      </c>
      <c r="M440" s="9"/>
      <c r="N440" s="10">
        <f t="shared" si="105"/>
        <v>0</v>
      </c>
      <c r="O440" s="8">
        <f>IFERROR(N440/N444, "NA")</f>
        <v>0</v>
      </c>
      <c r="P440" s="9"/>
      <c r="Q440" s="7">
        <v>0</v>
      </c>
      <c r="R440" s="8">
        <f>IFERROR(Q440/Q444, "NA")</f>
        <v>0</v>
      </c>
      <c r="S440" s="9"/>
      <c r="T440" s="7">
        <v>0</v>
      </c>
      <c r="U440" s="8">
        <f>IFERROR(T440/T444, "NA")</f>
        <v>0</v>
      </c>
      <c r="V440" s="9"/>
      <c r="W440" s="10">
        <f t="shared" si="106"/>
        <v>0</v>
      </c>
      <c r="X440" s="8">
        <f>IFERROR(W440/W444, "NA")</f>
        <v>0</v>
      </c>
      <c r="Y440" s="9"/>
      <c r="Z440" s="7">
        <v>0</v>
      </c>
      <c r="AA440" s="8">
        <f>IFERROR(Z440/Z444, "NA")</f>
        <v>0</v>
      </c>
      <c r="AB440" s="9"/>
      <c r="AC440" s="10">
        <f t="shared" si="107"/>
        <v>0</v>
      </c>
      <c r="AD440" s="8">
        <f>IFERROR(AC440/AC444, "NA")</f>
        <v>0</v>
      </c>
    </row>
    <row r="441" spans="1:30" ht="16.5" customHeight="1" x14ac:dyDescent="0.45">
      <c r="A441" s="19" t="s">
        <v>405</v>
      </c>
      <c r="B441" s="14">
        <f>IFERROR(B432+B433+B434+B435+B436+B437+B438+B439+B440, "NA")</f>
        <v>0</v>
      </c>
      <c r="C441" s="15">
        <f>IFERROR(B441/B444, "NA")</f>
        <v>0</v>
      </c>
      <c r="D441" s="2"/>
      <c r="E441" s="14">
        <f>IFERROR(E432+E433+E434+E435+E436+E437+E438+E439+E440, "NA")</f>
        <v>0</v>
      </c>
      <c r="F441" s="15">
        <f>IFERROR(E441/E444, "NA")</f>
        <v>0</v>
      </c>
      <c r="G441" s="2"/>
      <c r="H441" s="14">
        <f t="shared" si="104"/>
        <v>0</v>
      </c>
      <c r="I441" s="15">
        <f>IFERROR(H441/H444, "NA")</f>
        <v>0</v>
      </c>
      <c r="J441" s="2"/>
      <c r="K441" s="14">
        <f>IFERROR(K432+K433+K434+K435+K436+K437+K438+K439+K440, "NA")</f>
        <v>0</v>
      </c>
      <c r="L441" s="15">
        <f>IFERROR(K441/K444, "NA")</f>
        <v>0</v>
      </c>
      <c r="M441" s="2"/>
      <c r="N441" s="14">
        <f t="shared" si="105"/>
        <v>0</v>
      </c>
      <c r="O441" s="15">
        <f>IFERROR(N441/N444, "NA")</f>
        <v>0</v>
      </c>
      <c r="P441" s="2"/>
      <c r="Q441" s="14">
        <f>IFERROR(Q432+Q433+Q434+Q435+Q436+Q437+Q438+Q439+Q440, "NA")</f>
        <v>0</v>
      </c>
      <c r="R441" s="15">
        <f>IFERROR(Q441/Q444, "NA")</f>
        <v>0</v>
      </c>
      <c r="S441" s="2"/>
      <c r="T441" s="14">
        <f>IFERROR(T432+T433+T434+T435+T436+T437+T438+T439+T440, "NA")</f>
        <v>0</v>
      </c>
      <c r="U441" s="15">
        <f>IFERROR(T441/T444, "NA")</f>
        <v>0</v>
      </c>
      <c r="V441" s="2"/>
      <c r="W441" s="14">
        <f t="shared" si="106"/>
        <v>0</v>
      </c>
      <c r="X441" s="15">
        <f>IFERROR(W441/W444, "NA")</f>
        <v>0</v>
      </c>
      <c r="Y441" s="2"/>
      <c r="Z441" s="14">
        <f>IFERROR(Z432+Z433+Z434+Z435+Z436+Z437+Z438+Z439+Z440, "NA")</f>
        <v>0</v>
      </c>
      <c r="AA441" s="15">
        <f>IFERROR(Z441/Z444, "NA")</f>
        <v>0</v>
      </c>
      <c r="AB441" s="2"/>
      <c r="AC441" s="14">
        <f t="shared" si="107"/>
        <v>0</v>
      </c>
      <c r="AD441" s="15">
        <f>IFERROR(AC441/AC444, "NA")</f>
        <v>0</v>
      </c>
    </row>
    <row r="442" spans="1:30" ht="16.5" customHeight="1" x14ac:dyDescent="0.45">
      <c r="A442" s="21" t="s">
        <v>406</v>
      </c>
      <c r="B442" s="14">
        <f>IFERROR(B432+B433+B434+B435+B436+B437+B438+B439+B440, "NA")</f>
        <v>0</v>
      </c>
      <c r="C442" s="15">
        <f>IFERROR(B442/B444, "NA")</f>
        <v>0</v>
      </c>
      <c r="D442" s="2"/>
      <c r="E442" s="14">
        <f>IFERROR(E432+E433+E434+E435+E436+E437+E438+E439+E440, "NA")</f>
        <v>0</v>
      </c>
      <c r="F442" s="15">
        <f>IFERROR(E442/E444, "NA")</f>
        <v>0</v>
      </c>
      <c r="G442" s="2"/>
      <c r="H442" s="14">
        <f t="shared" si="104"/>
        <v>0</v>
      </c>
      <c r="I442" s="15">
        <f>IFERROR(H442/H444, "NA")</f>
        <v>0</v>
      </c>
      <c r="J442" s="2"/>
      <c r="K442" s="14">
        <f>IFERROR(K432+K433+K434+K435+K436+K437+K438+K439+K440, "NA")</f>
        <v>0</v>
      </c>
      <c r="L442" s="15">
        <f>IFERROR(K442/K444, "NA")</f>
        <v>0</v>
      </c>
      <c r="M442" s="2"/>
      <c r="N442" s="14">
        <f t="shared" si="105"/>
        <v>0</v>
      </c>
      <c r="O442" s="15">
        <f>IFERROR(N442/N444, "NA")</f>
        <v>0</v>
      </c>
      <c r="P442" s="2"/>
      <c r="Q442" s="14">
        <f>IFERROR(Q432+Q433+Q434+Q435+Q436+Q437+Q438+Q439+Q440, "NA")</f>
        <v>0</v>
      </c>
      <c r="R442" s="15">
        <f>IFERROR(Q442/Q444, "NA")</f>
        <v>0</v>
      </c>
      <c r="S442" s="2"/>
      <c r="T442" s="14">
        <f>IFERROR(T432+T433+T434+T435+T436+T437+T438+T439+T440, "NA")</f>
        <v>0</v>
      </c>
      <c r="U442" s="15">
        <f>IFERROR(T442/T444, "NA")</f>
        <v>0</v>
      </c>
      <c r="V442" s="2"/>
      <c r="W442" s="14">
        <f t="shared" si="106"/>
        <v>0</v>
      </c>
      <c r="X442" s="15">
        <f>IFERROR(W442/W444, "NA")</f>
        <v>0</v>
      </c>
      <c r="Y442" s="2"/>
      <c r="Z442" s="14">
        <f>IFERROR(Z432+Z433+Z434+Z435+Z436+Z437+Z438+Z439+Z440, "NA")</f>
        <v>0</v>
      </c>
      <c r="AA442" s="15">
        <f>IFERROR(Z442/Z444, "NA")</f>
        <v>0</v>
      </c>
      <c r="AB442" s="2"/>
      <c r="AC442" s="14">
        <f t="shared" si="107"/>
        <v>0</v>
      </c>
      <c r="AD442" s="15">
        <f>IFERROR(AC442/AC444, "NA")</f>
        <v>0</v>
      </c>
    </row>
    <row r="443" spans="1:30" ht="16.5" customHeight="1" x14ac:dyDescent="0.45">
      <c r="A443" s="22" t="s">
        <v>407</v>
      </c>
      <c r="B443" s="23">
        <f>IFERROR(B404-B429-B442, "NA")</f>
        <v>-149920.37999999995</v>
      </c>
      <c r="C443" s="24">
        <f>IFERROR(B443/B444, "NA")</f>
        <v>-0.34460327854985634</v>
      </c>
      <c r="D443" s="25"/>
      <c r="E443" s="23">
        <f>IFERROR(E404-E429-E442, "NA")</f>
        <v>-110477.59000000001</v>
      </c>
      <c r="F443" s="24">
        <f>IFERROR(E443/E444, "NA")</f>
        <v>-0.24621254971493725</v>
      </c>
      <c r="G443" s="25"/>
      <c r="H443" s="23">
        <f>IFERROR(B443-E443, "NA")</f>
        <v>-39442.789999999935</v>
      </c>
      <c r="I443" s="24">
        <f>IFERROR(H443/H444, "NA")</f>
        <v>2.8882909469028371</v>
      </c>
      <c r="J443" s="25"/>
      <c r="K443" s="23">
        <f>IFERROR(K404-K429-K442, "NA")</f>
        <v>-187722.33000000002</v>
      </c>
      <c r="L443" s="24">
        <f>IFERROR(K443/K444, "NA")</f>
        <v>-0.43099526964914664</v>
      </c>
      <c r="M443" s="25"/>
      <c r="N443" s="23">
        <f>IFERROR(B443-K443, "NA")</f>
        <v>37801.95000000007</v>
      </c>
      <c r="O443" s="24">
        <f>IFERROR(N443/N444, "NA")</f>
        <v>-75.103709296085754</v>
      </c>
      <c r="P443" s="25"/>
      <c r="Q443" s="23">
        <f>IFERROR(Q404-Q429-Q442, "NA")</f>
        <v>-149920.37999999995</v>
      </c>
      <c r="R443" s="24">
        <f>IFERROR(Q443/Q444, "NA")</f>
        <v>-0.34460327854985634</v>
      </c>
      <c r="S443" s="25"/>
      <c r="T443" s="23">
        <f>IFERROR(T404-T429-T442, "NA")</f>
        <v>-110477.59000000001</v>
      </c>
      <c r="U443" s="24">
        <f>IFERROR(T443/T444, "NA")</f>
        <v>-0.24621254971493725</v>
      </c>
      <c r="V443" s="25"/>
      <c r="W443" s="23">
        <f>IFERROR(Q443-T443, "NA")</f>
        <v>-39442.789999999935</v>
      </c>
      <c r="X443" s="24">
        <f>IFERROR(W443/W444, "NA")</f>
        <v>2.8882909469028371</v>
      </c>
      <c r="Y443" s="25"/>
      <c r="Z443" s="23">
        <f>IFERROR(Z404-Z429-Z442, "NA")</f>
        <v>-187722.33000000002</v>
      </c>
      <c r="AA443" s="24">
        <f>IFERROR(Z443/Z444, "NA")</f>
        <v>-0.43099526964914664</v>
      </c>
      <c r="AB443" s="25"/>
      <c r="AC443" s="23">
        <f>IFERROR(Q443-Z443, "NA")</f>
        <v>37801.95000000007</v>
      </c>
      <c r="AD443" s="24">
        <f>IFERROR(AC443/AC444, "NA")</f>
        <v>-75.103709296085754</v>
      </c>
    </row>
    <row r="444" spans="1:30" ht="15.75" hidden="1" x14ac:dyDescent="0.45">
      <c r="A444" s="26" t="s">
        <v>117</v>
      </c>
      <c r="B444" s="7">
        <v>435052.1</v>
      </c>
      <c r="C444" s="27"/>
      <c r="D444" s="9"/>
      <c r="E444" s="7">
        <v>448708.2</v>
      </c>
      <c r="F444" s="27"/>
      <c r="G444" s="9"/>
      <c r="H444" s="10">
        <f>IFERROR(B444-E444, "NA")</f>
        <v>-13656.100000000035</v>
      </c>
      <c r="I444" s="27"/>
      <c r="J444" s="9"/>
      <c r="K444" s="7">
        <v>435555.43</v>
      </c>
      <c r="L444" s="27"/>
      <c r="M444" s="9"/>
      <c r="N444" s="10">
        <f>IFERROR(B444-K444, "NA")</f>
        <v>-503.3300000000163</v>
      </c>
      <c r="O444" s="27"/>
      <c r="P444" s="9"/>
      <c r="Q444" s="7">
        <v>435052.1</v>
      </c>
      <c r="R444" s="27"/>
      <c r="S444" s="9"/>
      <c r="T444" s="7">
        <v>448708.2</v>
      </c>
      <c r="U444" s="27"/>
      <c r="V444" s="9"/>
      <c r="W444" s="10">
        <f>IFERROR(Q444-T444, "NA")</f>
        <v>-13656.100000000035</v>
      </c>
      <c r="X444" s="27"/>
      <c r="Y444" s="9"/>
      <c r="Z444" s="7">
        <v>435555.43</v>
      </c>
      <c r="AA444" s="27"/>
      <c r="AB444" s="9"/>
      <c r="AC444" s="10">
        <f>IFERROR(Q444-Z444, "NA")</f>
        <v>-503.3300000000163</v>
      </c>
      <c r="AD444" s="27"/>
    </row>
    <row r="447" spans="1:30" ht="15.75" x14ac:dyDescent="0.5">
      <c r="A447" s="28" t="s">
        <v>408</v>
      </c>
    </row>
    <row r="448" spans="1:30" ht="15.75" x14ac:dyDescent="0.5">
      <c r="A448" s="28" t="s">
        <v>409</v>
      </c>
    </row>
    <row r="449" spans="1:1" ht="15.75" x14ac:dyDescent="0.5">
      <c r="A449" s="28" t="s">
        <v>410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4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44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25" x14ac:dyDescent="0.45"/>
  <cols>
    <col min="1" max="1" width="42.86328125" customWidth="1"/>
    <col min="2" max="2" width="17.1328125" customWidth="1"/>
    <col min="3" max="3" width="9.3984375" customWidth="1"/>
    <col min="4" max="4" width="1.3984375" customWidth="1"/>
    <col min="5" max="5" width="17.1328125" customWidth="1"/>
    <col min="6" max="6" width="9.3984375" customWidth="1"/>
    <col min="7" max="7" width="1.3984375" customWidth="1"/>
    <col min="8" max="8" width="17.1328125" customWidth="1"/>
    <col min="9" max="9" width="9.3984375" customWidth="1"/>
    <col min="10" max="10" width="1.3984375" customWidth="1"/>
    <col min="11" max="11" width="17.1328125" customWidth="1"/>
    <col min="12" max="12" width="9.3984375" customWidth="1"/>
    <col min="13" max="13" width="1.3984375" customWidth="1"/>
    <col min="14" max="14" width="17.1328125" customWidth="1"/>
    <col min="15" max="15" width="9.3984375" customWidth="1"/>
    <col min="16" max="16" width="1.3984375" customWidth="1"/>
    <col min="17" max="17" width="17.1328125" customWidth="1"/>
    <col min="18" max="18" width="9.3984375" customWidth="1"/>
    <col min="19" max="19" width="1.3984375" customWidth="1"/>
    <col min="20" max="20" width="17.1328125" customWidth="1"/>
    <col min="21" max="21" width="9.3984375" customWidth="1"/>
    <col min="22" max="22" width="1.3984375" customWidth="1"/>
    <col min="23" max="23" width="17.1328125" customWidth="1"/>
    <col min="24" max="24" width="9.3984375" customWidth="1"/>
    <col min="25" max="25" width="1.3984375" customWidth="1"/>
    <col min="26" max="26" width="17.1328125" customWidth="1"/>
    <col min="27" max="27" width="9.3984375" customWidth="1"/>
    <col min="28" max="28" width="1.3984375" customWidth="1"/>
    <col min="29" max="29" width="17.1328125" customWidth="1"/>
    <col min="30" max="30" width="9.3984375" customWidth="1"/>
  </cols>
  <sheetData>
    <row r="1" spans="1:30" ht="33.4" x14ac:dyDescent="0.45">
      <c r="A1" s="29" t="s">
        <v>0</v>
      </c>
      <c r="B1" s="29" t="s">
        <v>0</v>
      </c>
      <c r="C1" s="29" t="s">
        <v>0</v>
      </c>
      <c r="D1" s="29" t="s">
        <v>0</v>
      </c>
      <c r="E1" s="29" t="s">
        <v>0</v>
      </c>
      <c r="F1" s="29" t="s">
        <v>0</v>
      </c>
      <c r="G1" s="29" t="s">
        <v>0</v>
      </c>
      <c r="H1" s="29" t="s">
        <v>0</v>
      </c>
      <c r="I1" s="29" t="s">
        <v>0</v>
      </c>
      <c r="J1" s="29" t="s">
        <v>0</v>
      </c>
      <c r="K1" s="29" t="s">
        <v>0</v>
      </c>
      <c r="L1" s="29" t="s">
        <v>0</v>
      </c>
      <c r="M1" s="29" t="s">
        <v>0</v>
      </c>
      <c r="N1" s="29" t="s">
        <v>0</v>
      </c>
      <c r="O1" s="29" t="s">
        <v>0</v>
      </c>
      <c r="P1" s="29" t="s">
        <v>0</v>
      </c>
      <c r="Q1" s="29" t="s">
        <v>0</v>
      </c>
      <c r="R1" s="29" t="s">
        <v>0</v>
      </c>
      <c r="S1" s="29" t="s">
        <v>0</v>
      </c>
      <c r="T1" s="29" t="s">
        <v>0</v>
      </c>
      <c r="U1" s="29" t="s">
        <v>0</v>
      </c>
      <c r="V1" s="29" t="s">
        <v>0</v>
      </c>
      <c r="W1" s="29" t="s">
        <v>0</v>
      </c>
      <c r="X1" s="29" t="s">
        <v>0</v>
      </c>
      <c r="Y1" s="29" t="s">
        <v>0</v>
      </c>
      <c r="Z1" s="29" t="s">
        <v>0</v>
      </c>
      <c r="AA1" s="29" t="s">
        <v>0</v>
      </c>
      <c r="AB1" s="29" t="s">
        <v>0</v>
      </c>
      <c r="AC1" s="29" t="s">
        <v>0</v>
      </c>
      <c r="AD1" s="29" t="s">
        <v>0</v>
      </c>
    </row>
    <row r="2" spans="1:30" ht="23.25" x14ac:dyDescent="0.45">
      <c r="A2" s="30" t="s">
        <v>1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0" t="s">
        <v>1</v>
      </c>
      <c r="O2" s="30" t="s">
        <v>1</v>
      </c>
      <c r="P2" s="30" t="s">
        <v>1</v>
      </c>
      <c r="Q2" s="30" t="s">
        <v>1</v>
      </c>
      <c r="R2" s="30" t="s">
        <v>1</v>
      </c>
      <c r="S2" s="30" t="s">
        <v>1</v>
      </c>
      <c r="T2" s="30" t="s">
        <v>1</v>
      </c>
      <c r="U2" s="30" t="s">
        <v>1</v>
      </c>
      <c r="V2" s="30" t="s">
        <v>1</v>
      </c>
      <c r="W2" s="30" t="s">
        <v>1</v>
      </c>
      <c r="X2" s="30" t="s">
        <v>1</v>
      </c>
      <c r="Y2" s="30" t="s">
        <v>1</v>
      </c>
      <c r="Z2" s="30" t="s">
        <v>1</v>
      </c>
      <c r="AA2" s="30" t="s">
        <v>1</v>
      </c>
      <c r="AB2" s="30" t="s">
        <v>1</v>
      </c>
      <c r="AC2" s="30" t="s">
        <v>1</v>
      </c>
      <c r="AD2" s="30" t="s">
        <v>1</v>
      </c>
    </row>
    <row r="3" spans="1:30" ht="15.75" x14ac:dyDescent="0.45">
      <c r="A3" s="31" t="s">
        <v>411</v>
      </c>
      <c r="B3" s="31" t="s">
        <v>411</v>
      </c>
      <c r="C3" s="31" t="s">
        <v>411</v>
      </c>
      <c r="D3" s="31" t="s">
        <v>411</v>
      </c>
      <c r="E3" s="31" t="s">
        <v>411</v>
      </c>
      <c r="F3" s="31" t="s">
        <v>411</v>
      </c>
      <c r="G3" s="31" t="s">
        <v>411</v>
      </c>
      <c r="H3" s="31" t="s">
        <v>411</v>
      </c>
      <c r="I3" s="31" t="s">
        <v>411</v>
      </c>
      <c r="J3" s="31" t="s">
        <v>411</v>
      </c>
      <c r="K3" s="31" t="s">
        <v>411</v>
      </c>
      <c r="L3" s="31" t="s">
        <v>411</v>
      </c>
      <c r="M3" s="31" t="s">
        <v>411</v>
      </c>
      <c r="N3" s="31" t="s">
        <v>411</v>
      </c>
      <c r="O3" s="31" t="s">
        <v>411</v>
      </c>
      <c r="P3" s="31" t="s">
        <v>411</v>
      </c>
      <c r="Q3" s="31" t="s">
        <v>411</v>
      </c>
      <c r="R3" s="31" t="s">
        <v>411</v>
      </c>
      <c r="S3" s="31" t="s">
        <v>411</v>
      </c>
      <c r="T3" s="31" t="s">
        <v>411</v>
      </c>
      <c r="U3" s="31" t="s">
        <v>411</v>
      </c>
      <c r="V3" s="31" t="s">
        <v>411</v>
      </c>
      <c r="W3" s="31" t="s">
        <v>411</v>
      </c>
      <c r="X3" s="31" t="s">
        <v>411</v>
      </c>
      <c r="Y3" s="31" t="s">
        <v>411</v>
      </c>
      <c r="Z3" s="31" t="s">
        <v>411</v>
      </c>
      <c r="AA3" s="31" t="s">
        <v>411</v>
      </c>
      <c r="AB3" s="31" t="s">
        <v>411</v>
      </c>
      <c r="AC3" s="31" t="s">
        <v>411</v>
      </c>
      <c r="AD3" s="31" t="s">
        <v>411</v>
      </c>
    </row>
    <row r="5" spans="1:30" ht="16.5" customHeight="1" x14ac:dyDescent="0.45">
      <c r="A5" s="32" t="s">
        <v>3</v>
      </c>
      <c r="B5" s="33" t="s">
        <v>4</v>
      </c>
      <c r="C5" s="34" t="s">
        <v>3</v>
      </c>
      <c r="D5" s="32" t="s">
        <v>3</v>
      </c>
      <c r="E5" s="33" t="s">
        <v>5</v>
      </c>
      <c r="F5" s="34" t="s">
        <v>3</v>
      </c>
      <c r="G5" s="32" t="s">
        <v>3</v>
      </c>
      <c r="H5" s="33" t="s">
        <v>6</v>
      </c>
      <c r="I5" s="34" t="s">
        <v>3</v>
      </c>
      <c r="J5" s="32" t="s">
        <v>3</v>
      </c>
      <c r="K5" s="33" t="s">
        <v>7</v>
      </c>
      <c r="L5" s="34" t="s">
        <v>3</v>
      </c>
      <c r="M5" s="32" t="s">
        <v>3</v>
      </c>
      <c r="N5" s="33" t="s">
        <v>6</v>
      </c>
      <c r="O5" s="34" t="s">
        <v>3</v>
      </c>
      <c r="P5" s="32" t="s">
        <v>3</v>
      </c>
      <c r="Q5" s="33" t="s">
        <v>8</v>
      </c>
      <c r="R5" s="34" t="s">
        <v>3</v>
      </c>
      <c r="S5" s="32" t="s">
        <v>3</v>
      </c>
      <c r="T5" s="33" t="s">
        <v>9</v>
      </c>
      <c r="U5" s="34" t="s">
        <v>3</v>
      </c>
      <c r="V5" s="32" t="s">
        <v>3</v>
      </c>
      <c r="W5" s="33" t="s">
        <v>6</v>
      </c>
      <c r="X5" s="34" t="s">
        <v>3</v>
      </c>
      <c r="Y5" s="32" t="s">
        <v>3</v>
      </c>
      <c r="Z5" s="33" t="s">
        <v>10</v>
      </c>
      <c r="AA5" s="34" t="s">
        <v>3</v>
      </c>
      <c r="AB5" s="32" t="s">
        <v>3</v>
      </c>
      <c r="AC5" s="33" t="s">
        <v>6</v>
      </c>
      <c r="AD5" s="34" t="s">
        <v>3</v>
      </c>
    </row>
    <row r="6" spans="1:30" ht="16.5" customHeight="1" x14ac:dyDescent="0.45">
      <c r="A6" s="1" t="s">
        <v>11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45">
      <c r="A7" s="5" t="s">
        <v>11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45">
      <c r="A8" s="6" t="s">
        <v>11</v>
      </c>
      <c r="B8" s="7">
        <v>0</v>
      </c>
      <c r="C8" s="8" t="str">
        <f>IFERROR(B8/B444, "NA")</f>
        <v>NA</v>
      </c>
      <c r="D8" s="9"/>
      <c r="E8" s="7">
        <v>0</v>
      </c>
      <c r="F8" s="8" t="str">
        <f>IFERROR(E8/E444, "NA")</f>
        <v>NA</v>
      </c>
      <c r="G8" s="9"/>
      <c r="H8" s="10">
        <f>IFERROR(B8-E8, "NA")</f>
        <v>0</v>
      </c>
      <c r="I8" s="8" t="str">
        <f>IFERROR(H8/H444, "NA")</f>
        <v>NA</v>
      </c>
      <c r="J8" s="9"/>
      <c r="K8" s="7">
        <v>0</v>
      </c>
      <c r="L8" s="8" t="str">
        <f>IFERROR(K8/K444, "NA")</f>
        <v>NA</v>
      </c>
      <c r="M8" s="9"/>
      <c r="N8" s="10">
        <f>IFERROR(B8-K8, "NA")</f>
        <v>0</v>
      </c>
      <c r="O8" s="8" t="str">
        <f>IFERROR(N8/N444, "NA")</f>
        <v>NA</v>
      </c>
      <c r="P8" s="9"/>
      <c r="Q8" s="7">
        <v>0</v>
      </c>
      <c r="R8" s="8" t="str">
        <f>IFERROR(Q8/Q444, "NA")</f>
        <v>NA</v>
      </c>
      <c r="S8" s="9"/>
      <c r="T8" s="7">
        <v>0</v>
      </c>
      <c r="U8" s="8" t="str">
        <f>IFERROR(T8/T444, "NA")</f>
        <v>NA</v>
      </c>
      <c r="V8" s="9"/>
      <c r="W8" s="10">
        <f>IFERROR(Q8-T8, "NA")</f>
        <v>0</v>
      </c>
      <c r="X8" s="8" t="str">
        <f>IFERROR(W8/W444, "NA")</f>
        <v>NA</v>
      </c>
      <c r="Y8" s="9"/>
      <c r="Z8" s="7">
        <v>0</v>
      </c>
      <c r="AA8" s="8" t="str">
        <f>IFERROR(Z8/Z444, "NA")</f>
        <v>NA</v>
      </c>
      <c r="AB8" s="9"/>
      <c r="AC8" s="10">
        <f>IFERROR(Q8-Z8, "NA")</f>
        <v>0</v>
      </c>
      <c r="AD8" s="8" t="str">
        <f>IFERROR(AC8/AC444, "NA")</f>
        <v>NA</v>
      </c>
    </row>
    <row r="9" spans="1:30" ht="16.5" customHeight="1" x14ac:dyDescent="0.45">
      <c r="A9" s="11" t="s">
        <v>12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hidden="1" customHeight="1" x14ac:dyDescent="0.45">
      <c r="A10" s="12" t="s">
        <v>12</v>
      </c>
      <c r="B10" s="7">
        <v>0</v>
      </c>
      <c r="C10" s="8" t="str">
        <f>IFERROR(B10/B444, "NA")</f>
        <v>NA</v>
      </c>
      <c r="D10" s="9"/>
      <c r="E10" s="7">
        <v>0</v>
      </c>
      <c r="F10" s="8" t="str">
        <f>IFERROR(E10/E444, "NA")</f>
        <v>NA</v>
      </c>
      <c r="G10" s="9"/>
      <c r="H10" s="10">
        <f t="shared" ref="H10:H19" si="0">IFERROR(B10-E10, "NA")</f>
        <v>0</v>
      </c>
      <c r="I10" s="8" t="str">
        <f>IFERROR(H10/H444, "NA")</f>
        <v>NA</v>
      </c>
      <c r="J10" s="9"/>
      <c r="K10" s="7">
        <v>0</v>
      </c>
      <c r="L10" s="8" t="str">
        <f>IFERROR(K10/K444, "NA")</f>
        <v>NA</v>
      </c>
      <c r="M10" s="9"/>
      <c r="N10" s="10">
        <f t="shared" ref="N10:N19" si="1">IFERROR(B10-K10, "NA")</f>
        <v>0</v>
      </c>
      <c r="O10" s="8" t="str">
        <f>IFERROR(N10/N444, "NA")</f>
        <v>NA</v>
      </c>
      <c r="P10" s="9"/>
      <c r="Q10" s="7">
        <v>0</v>
      </c>
      <c r="R10" s="8" t="str">
        <f>IFERROR(Q10/Q444, "NA")</f>
        <v>NA</v>
      </c>
      <c r="S10" s="9"/>
      <c r="T10" s="7">
        <v>0</v>
      </c>
      <c r="U10" s="8" t="str">
        <f>IFERROR(T10/T444, "NA")</f>
        <v>NA</v>
      </c>
      <c r="V10" s="9"/>
      <c r="W10" s="10">
        <f t="shared" ref="W10:W19" si="2">IFERROR(Q10-T10, "NA")</f>
        <v>0</v>
      </c>
      <c r="X10" s="8" t="str">
        <f>IFERROR(W10/W444, "NA")</f>
        <v>NA</v>
      </c>
      <c r="Y10" s="9"/>
      <c r="Z10" s="7">
        <v>0</v>
      </c>
      <c r="AA10" s="8" t="str">
        <f>IFERROR(Z10/Z444, "NA")</f>
        <v>NA</v>
      </c>
      <c r="AB10" s="9"/>
      <c r="AC10" s="10">
        <f t="shared" ref="AC10:AC19" si="3">IFERROR(Q10-Z10, "NA")</f>
        <v>0</v>
      </c>
      <c r="AD10" s="8" t="str">
        <f>IFERROR(AC10/AC444, "NA")</f>
        <v>NA</v>
      </c>
    </row>
    <row r="11" spans="1:30" ht="16.5" hidden="1" customHeight="1" x14ac:dyDescent="0.45">
      <c r="A11" s="12" t="s">
        <v>13</v>
      </c>
      <c r="B11" s="7">
        <v>0</v>
      </c>
      <c r="C11" s="8" t="str">
        <f>IFERROR(B11/B444, "NA")</f>
        <v>NA</v>
      </c>
      <c r="D11" s="9"/>
      <c r="E11" s="7">
        <v>0</v>
      </c>
      <c r="F11" s="8" t="str">
        <f>IFERROR(E11/E444, "NA")</f>
        <v>NA</v>
      </c>
      <c r="G11" s="9"/>
      <c r="H11" s="10">
        <f t="shared" si="0"/>
        <v>0</v>
      </c>
      <c r="I11" s="8" t="str">
        <f>IFERROR(H11/H444, "NA")</f>
        <v>NA</v>
      </c>
      <c r="J11" s="9"/>
      <c r="K11" s="7">
        <v>0</v>
      </c>
      <c r="L11" s="8" t="str">
        <f>IFERROR(K11/K444, "NA")</f>
        <v>NA</v>
      </c>
      <c r="M11" s="9"/>
      <c r="N11" s="10">
        <f t="shared" si="1"/>
        <v>0</v>
      </c>
      <c r="O11" s="8" t="str">
        <f>IFERROR(N11/N444, "NA")</f>
        <v>NA</v>
      </c>
      <c r="P11" s="9"/>
      <c r="Q11" s="7">
        <v>0</v>
      </c>
      <c r="R11" s="8" t="str">
        <f>IFERROR(Q11/Q444, "NA")</f>
        <v>NA</v>
      </c>
      <c r="S11" s="9"/>
      <c r="T11" s="7">
        <v>0</v>
      </c>
      <c r="U11" s="8" t="str">
        <f>IFERROR(T11/T444, "NA")</f>
        <v>NA</v>
      </c>
      <c r="V11" s="9"/>
      <c r="W11" s="10">
        <f t="shared" si="2"/>
        <v>0</v>
      </c>
      <c r="X11" s="8" t="str">
        <f>IFERROR(W11/W444, "NA")</f>
        <v>NA</v>
      </c>
      <c r="Y11" s="9"/>
      <c r="Z11" s="7">
        <v>0</v>
      </c>
      <c r="AA11" s="8" t="str">
        <f>IFERROR(Z11/Z444, "NA")</f>
        <v>NA</v>
      </c>
      <c r="AB11" s="9"/>
      <c r="AC11" s="10">
        <f t="shared" si="3"/>
        <v>0</v>
      </c>
      <c r="AD11" s="8" t="str">
        <f>IFERROR(AC11/AC444, "NA")</f>
        <v>NA</v>
      </c>
    </row>
    <row r="12" spans="1:30" ht="16.5" hidden="1" customHeight="1" x14ac:dyDescent="0.45">
      <c r="A12" s="12" t="s">
        <v>14</v>
      </c>
      <c r="B12" s="7">
        <v>0</v>
      </c>
      <c r="C12" s="8" t="str">
        <f>IFERROR(B12/B444, "NA")</f>
        <v>NA</v>
      </c>
      <c r="D12" s="9"/>
      <c r="E12" s="7">
        <v>0</v>
      </c>
      <c r="F12" s="8" t="str">
        <f>IFERROR(E12/E444, "NA")</f>
        <v>NA</v>
      </c>
      <c r="G12" s="9"/>
      <c r="H12" s="10">
        <f t="shared" si="0"/>
        <v>0</v>
      </c>
      <c r="I12" s="8" t="str">
        <f>IFERROR(H12/H444, "NA")</f>
        <v>NA</v>
      </c>
      <c r="J12" s="9"/>
      <c r="K12" s="7">
        <v>0</v>
      </c>
      <c r="L12" s="8" t="str">
        <f>IFERROR(K12/K444, "NA")</f>
        <v>NA</v>
      </c>
      <c r="M12" s="9"/>
      <c r="N12" s="10">
        <f t="shared" si="1"/>
        <v>0</v>
      </c>
      <c r="O12" s="8" t="str">
        <f>IFERROR(N12/N444, "NA")</f>
        <v>NA</v>
      </c>
      <c r="P12" s="9"/>
      <c r="Q12" s="7">
        <v>0</v>
      </c>
      <c r="R12" s="8" t="str">
        <f>IFERROR(Q12/Q444, "NA")</f>
        <v>NA</v>
      </c>
      <c r="S12" s="9"/>
      <c r="T12" s="7">
        <v>0</v>
      </c>
      <c r="U12" s="8" t="str">
        <f>IFERROR(T12/T444, "NA")</f>
        <v>NA</v>
      </c>
      <c r="V12" s="9"/>
      <c r="W12" s="10">
        <f t="shared" si="2"/>
        <v>0</v>
      </c>
      <c r="X12" s="8" t="str">
        <f>IFERROR(W12/W444, "NA")</f>
        <v>NA</v>
      </c>
      <c r="Y12" s="9"/>
      <c r="Z12" s="7">
        <v>0</v>
      </c>
      <c r="AA12" s="8" t="str">
        <f>IFERROR(Z12/Z444, "NA")</f>
        <v>NA</v>
      </c>
      <c r="AB12" s="9"/>
      <c r="AC12" s="10">
        <f t="shared" si="3"/>
        <v>0</v>
      </c>
      <c r="AD12" s="8" t="str">
        <f>IFERROR(AC12/AC444, "NA")</f>
        <v>NA</v>
      </c>
    </row>
    <row r="13" spans="1:30" ht="16.5" hidden="1" customHeight="1" x14ac:dyDescent="0.45">
      <c r="A13" s="12" t="s">
        <v>15</v>
      </c>
      <c r="B13" s="7">
        <v>0</v>
      </c>
      <c r="C13" s="8" t="str">
        <f>IFERROR(B13/B444, "NA")</f>
        <v>NA</v>
      </c>
      <c r="D13" s="9"/>
      <c r="E13" s="7">
        <v>0</v>
      </c>
      <c r="F13" s="8" t="str">
        <f>IFERROR(E13/E444, "NA")</f>
        <v>NA</v>
      </c>
      <c r="G13" s="9"/>
      <c r="H13" s="10">
        <f t="shared" si="0"/>
        <v>0</v>
      </c>
      <c r="I13" s="8" t="str">
        <f>IFERROR(H13/H444, "NA")</f>
        <v>NA</v>
      </c>
      <c r="J13" s="9"/>
      <c r="K13" s="7">
        <v>0</v>
      </c>
      <c r="L13" s="8" t="str">
        <f>IFERROR(K13/K444, "NA")</f>
        <v>NA</v>
      </c>
      <c r="M13" s="9"/>
      <c r="N13" s="10">
        <f t="shared" si="1"/>
        <v>0</v>
      </c>
      <c r="O13" s="8" t="str">
        <f>IFERROR(N13/N444, "NA")</f>
        <v>NA</v>
      </c>
      <c r="P13" s="9"/>
      <c r="Q13" s="7">
        <v>0</v>
      </c>
      <c r="R13" s="8" t="str">
        <f>IFERROR(Q13/Q444, "NA")</f>
        <v>NA</v>
      </c>
      <c r="S13" s="9"/>
      <c r="T13" s="7">
        <v>0</v>
      </c>
      <c r="U13" s="8" t="str">
        <f>IFERROR(T13/T444, "NA")</f>
        <v>NA</v>
      </c>
      <c r="V13" s="9"/>
      <c r="W13" s="10">
        <f t="shared" si="2"/>
        <v>0</v>
      </c>
      <c r="X13" s="8" t="str">
        <f>IFERROR(W13/W444, "NA")</f>
        <v>NA</v>
      </c>
      <c r="Y13" s="9"/>
      <c r="Z13" s="7">
        <v>0</v>
      </c>
      <c r="AA13" s="8" t="str">
        <f>IFERROR(Z13/Z444, "NA")</f>
        <v>NA</v>
      </c>
      <c r="AB13" s="9"/>
      <c r="AC13" s="10">
        <f t="shared" si="3"/>
        <v>0</v>
      </c>
      <c r="AD13" s="8" t="str">
        <f>IFERROR(AC13/AC444, "NA")</f>
        <v>NA</v>
      </c>
    </row>
    <row r="14" spans="1:30" ht="16.5" hidden="1" customHeight="1" x14ac:dyDescent="0.45">
      <c r="A14" s="12" t="s">
        <v>16</v>
      </c>
      <c r="B14" s="7">
        <v>0</v>
      </c>
      <c r="C14" s="8" t="str">
        <f>IFERROR(B14/B444, "NA")</f>
        <v>NA</v>
      </c>
      <c r="D14" s="9"/>
      <c r="E14" s="7">
        <v>0</v>
      </c>
      <c r="F14" s="8" t="str">
        <f>IFERROR(E14/E444, "NA")</f>
        <v>NA</v>
      </c>
      <c r="G14" s="9"/>
      <c r="H14" s="10">
        <f t="shared" si="0"/>
        <v>0</v>
      </c>
      <c r="I14" s="8" t="str">
        <f>IFERROR(H14/H444, "NA")</f>
        <v>NA</v>
      </c>
      <c r="J14" s="9"/>
      <c r="K14" s="7">
        <v>0</v>
      </c>
      <c r="L14" s="8" t="str">
        <f>IFERROR(K14/K444, "NA")</f>
        <v>NA</v>
      </c>
      <c r="M14" s="9"/>
      <c r="N14" s="10">
        <f t="shared" si="1"/>
        <v>0</v>
      </c>
      <c r="O14" s="8" t="str">
        <f>IFERROR(N14/N444, "NA")</f>
        <v>NA</v>
      </c>
      <c r="P14" s="9"/>
      <c r="Q14" s="7">
        <v>0</v>
      </c>
      <c r="R14" s="8" t="str">
        <f>IFERROR(Q14/Q444, "NA")</f>
        <v>NA</v>
      </c>
      <c r="S14" s="9"/>
      <c r="T14" s="7">
        <v>0</v>
      </c>
      <c r="U14" s="8" t="str">
        <f>IFERROR(T14/T444, "NA")</f>
        <v>NA</v>
      </c>
      <c r="V14" s="9"/>
      <c r="W14" s="10">
        <f t="shared" si="2"/>
        <v>0</v>
      </c>
      <c r="X14" s="8" t="str">
        <f>IFERROR(W14/W444, "NA")</f>
        <v>NA</v>
      </c>
      <c r="Y14" s="9"/>
      <c r="Z14" s="7">
        <v>0</v>
      </c>
      <c r="AA14" s="8" t="str">
        <f>IFERROR(Z14/Z444, "NA")</f>
        <v>NA</v>
      </c>
      <c r="AB14" s="9"/>
      <c r="AC14" s="10">
        <f t="shared" si="3"/>
        <v>0</v>
      </c>
      <c r="AD14" s="8" t="str">
        <f>IFERROR(AC14/AC444, "NA")</f>
        <v>NA</v>
      </c>
    </row>
    <row r="15" spans="1:30" ht="16.5" hidden="1" customHeight="1" x14ac:dyDescent="0.45">
      <c r="A15" s="12" t="s">
        <v>17</v>
      </c>
      <c r="B15" s="7">
        <v>0</v>
      </c>
      <c r="C15" s="8" t="str">
        <f>IFERROR(B15/B444, "NA")</f>
        <v>NA</v>
      </c>
      <c r="D15" s="9"/>
      <c r="E15" s="7">
        <v>0</v>
      </c>
      <c r="F15" s="8" t="str">
        <f>IFERROR(E15/E444, "NA")</f>
        <v>NA</v>
      </c>
      <c r="G15" s="9"/>
      <c r="H15" s="10">
        <f t="shared" si="0"/>
        <v>0</v>
      </c>
      <c r="I15" s="8" t="str">
        <f>IFERROR(H15/H444, "NA")</f>
        <v>NA</v>
      </c>
      <c r="J15" s="9"/>
      <c r="K15" s="7">
        <v>0</v>
      </c>
      <c r="L15" s="8" t="str">
        <f>IFERROR(K15/K444, "NA")</f>
        <v>NA</v>
      </c>
      <c r="M15" s="9"/>
      <c r="N15" s="10">
        <f t="shared" si="1"/>
        <v>0</v>
      </c>
      <c r="O15" s="8" t="str">
        <f>IFERROR(N15/N444, "NA")</f>
        <v>NA</v>
      </c>
      <c r="P15" s="9"/>
      <c r="Q15" s="7">
        <v>0</v>
      </c>
      <c r="R15" s="8" t="str">
        <f>IFERROR(Q15/Q444, "NA")</f>
        <v>NA</v>
      </c>
      <c r="S15" s="9"/>
      <c r="T15" s="7">
        <v>0</v>
      </c>
      <c r="U15" s="8" t="str">
        <f>IFERROR(T15/T444, "NA")</f>
        <v>NA</v>
      </c>
      <c r="V15" s="9"/>
      <c r="W15" s="10">
        <f t="shared" si="2"/>
        <v>0</v>
      </c>
      <c r="X15" s="8" t="str">
        <f>IFERROR(W15/W444, "NA")</f>
        <v>NA</v>
      </c>
      <c r="Y15" s="9"/>
      <c r="Z15" s="7">
        <v>0</v>
      </c>
      <c r="AA15" s="8" t="str">
        <f>IFERROR(Z15/Z444, "NA")</f>
        <v>NA</v>
      </c>
      <c r="AB15" s="9"/>
      <c r="AC15" s="10">
        <f t="shared" si="3"/>
        <v>0</v>
      </c>
      <c r="AD15" s="8" t="str">
        <f>IFERROR(AC15/AC444, "NA")</f>
        <v>NA</v>
      </c>
    </row>
    <row r="16" spans="1:30" ht="16.5" hidden="1" customHeight="1" x14ac:dyDescent="0.45">
      <c r="A16" s="12" t="s">
        <v>18</v>
      </c>
      <c r="B16" s="7">
        <v>0</v>
      </c>
      <c r="C16" s="8" t="str">
        <f>IFERROR(B16/B444, "NA")</f>
        <v>NA</v>
      </c>
      <c r="D16" s="9"/>
      <c r="E16" s="7">
        <v>0</v>
      </c>
      <c r="F16" s="8" t="str">
        <f>IFERROR(E16/E444, "NA")</f>
        <v>NA</v>
      </c>
      <c r="G16" s="9"/>
      <c r="H16" s="10">
        <f t="shared" si="0"/>
        <v>0</v>
      </c>
      <c r="I16" s="8" t="str">
        <f>IFERROR(H16/H444, "NA")</f>
        <v>NA</v>
      </c>
      <c r="J16" s="9"/>
      <c r="K16" s="7">
        <v>0</v>
      </c>
      <c r="L16" s="8" t="str">
        <f>IFERROR(K16/K444, "NA")</f>
        <v>NA</v>
      </c>
      <c r="M16" s="9"/>
      <c r="N16" s="10">
        <f t="shared" si="1"/>
        <v>0</v>
      </c>
      <c r="O16" s="8" t="str">
        <f>IFERROR(N16/N444, "NA")</f>
        <v>NA</v>
      </c>
      <c r="P16" s="9"/>
      <c r="Q16" s="7">
        <v>0</v>
      </c>
      <c r="R16" s="8" t="str">
        <f>IFERROR(Q16/Q444, "NA")</f>
        <v>NA</v>
      </c>
      <c r="S16" s="9"/>
      <c r="T16" s="7">
        <v>0</v>
      </c>
      <c r="U16" s="8" t="str">
        <f>IFERROR(T16/T444, "NA")</f>
        <v>NA</v>
      </c>
      <c r="V16" s="9"/>
      <c r="W16" s="10">
        <f t="shared" si="2"/>
        <v>0</v>
      </c>
      <c r="X16" s="8" t="str">
        <f>IFERROR(W16/W444, "NA")</f>
        <v>NA</v>
      </c>
      <c r="Y16" s="9"/>
      <c r="Z16" s="7">
        <v>0</v>
      </c>
      <c r="AA16" s="8" t="str">
        <f>IFERROR(Z16/Z444, "NA")</f>
        <v>NA</v>
      </c>
      <c r="AB16" s="9"/>
      <c r="AC16" s="10">
        <f t="shared" si="3"/>
        <v>0</v>
      </c>
      <c r="AD16" s="8" t="str">
        <f>IFERROR(AC16/AC444, "NA")</f>
        <v>NA</v>
      </c>
    </row>
    <row r="17" spans="1:30" ht="16.5" hidden="1" customHeight="1" x14ac:dyDescent="0.45">
      <c r="A17" s="12" t="s">
        <v>19</v>
      </c>
      <c r="B17" s="7">
        <v>0</v>
      </c>
      <c r="C17" s="8" t="str">
        <f>IFERROR(B17/B444, "NA")</f>
        <v>NA</v>
      </c>
      <c r="D17" s="9"/>
      <c r="E17" s="7">
        <v>0</v>
      </c>
      <c r="F17" s="8" t="str">
        <f>IFERROR(E17/E444, "NA")</f>
        <v>NA</v>
      </c>
      <c r="G17" s="9"/>
      <c r="H17" s="10">
        <f t="shared" si="0"/>
        <v>0</v>
      </c>
      <c r="I17" s="8" t="str">
        <f>IFERROR(H17/H444, "NA")</f>
        <v>NA</v>
      </c>
      <c r="J17" s="9"/>
      <c r="K17" s="7">
        <v>0</v>
      </c>
      <c r="L17" s="8" t="str">
        <f>IFERROR(K17/K444, "NA")</f>
        <v>NA</v>
      </c>
      <c r="M17" s="9"/>
      <c r="N17" s="10">
        <f t="shared" si="1"/>
        <v>0</v>
      </c>
      <c r="O17" s="8" t="str">
        <f>IFERROR(N17/N444, "NA")</f>
        <v>NA</v>
      </c>
      <c r="P17" s="9"/>
      <c r="Q17" s="7">
        <v>0</v>
      </c>
      <c r="R17" s="8" t="str">
        <f>IFERROR(Q17/Q444, "NA")</f>
        <v>NA</v>
      </c>
      <c r="S17" s="9"/>
      <c r="T17" s="7">
        <v>0</v>
      </c>
      <c r="U17" s="8" t="str">
        <f>IFERROR(T17/T444, "NA")</f>
        <v>NA</v>
      </c>
      <c r="V17" s="9"/>
      <c r="W17" s="10">
        <f t="shared" si="2"/>
        <v>0</v>
      </c>
      <c r="X17" s="8" t="str">
        <f>IFERROR(W17/W444, "NA")</f>
        <v>NA</v>
      </c>
      <c r="Y17" s="9"/>
      <c r="Z17" s="7">
        <v>0</v>
      </c>
      <c r="AA17" s="8" t="str">
        <f>IFERROR(Z17/Z444, "NA")</f>
        <v>NA</v>
      </c>
      <c r="AB17" s="9"/>
      <c r="AC17" s="10">
        <f t="shared" si="3"/>
        <v>0</v>
      </c>
      <c r="AD17" s="8" t="str">
        <f>IFERROR(AC17/AC444, "NA")</f>
        <v>NA</v>
      </c>
    </row>
    <row r="18" spans="1:30" ht="16.5" customHeight="1" x14ac:dyDescent="0.45">
      <c r="A18" s="13" t="s">
        <v>20</v>
      </c>
      <c r="B18" s="14">
        <f>IFERROR(B10+B11+B12+B13+B14+B15+B16+B17, "NA")</f>
        <v>0</v>
      </c>
      <c r="C18" s="15" t="str">
        <f>IFERROR(B18/B444, "NA")</f>
        <v>NA</v>
      </c>
      <c r="D18" s="2"/>
      <c r="E18" s="14">
        <f>IFERROR(E10+E11+E12+E13+E14+E15+E16+E17, "NA")</f>
        <v>0</v>
      </c>
      <c r="F18" s="15" t="str">
        <f>IFERROR(E18/E444, "NA")</f>
        <v>NA</v>
      </c>
      <c r="G18" s="2"/>
      <c r="H18" s="14">
        <f t="shared" si="0"/>
        <v>0</v>
      </c>
      <c r="I18" s="15" t="str">
        <f>IFERROR(H18/H444, "NA")</f>
        <v>NA</v>
      </c>
      <c r="J18" s="2"/>
      <c r="K18" s="14">
        <f>IFERROR(K10+K11+K12+K13+K14+K15+K16+K17, "NA")</f>
        <v>0</v>
      </c>
      <c r="L18" s="15" t="str">
        <f>IFERROR(K18/K444, "NA")</f>
        <v>NA</v>
      </c>
      <c r="M18" s="2"/>
      <c r="N18" s="14">
        <f t="shared" si="1"/>
        <v>0</v>
      </c>
      <c r="O18" s="15" t="str">
        <f>IFERROR(N18/N444, "NA")</f>
        <v>NA</v>
      </c>
      <c r="P18" s="2"/>
      <c r="Q18" s="14">
        <f>IFERROR(Q10+Q11+Q12+Q13+Q14+Q15+Q16+Q17, "NA")</f>
        <v>0</v>
      </c>
      <c r="R18" s="15" t="str">
        <f>IFERROR(Q18/Q444, "NA")</f>
        <v>NA</v>
      </c>
      <c r="S18" s="2"/>
      <c r="T18" s="14">
        <f>IFERROR(T10+T11+T12+T13+T14+T15+T16+T17, "NA")</f>
        <v>0</v>
      </c>
      <c r="U18" s="15" t="str">
        <f>IFERROR(T18/T444, "NA")</f>
        <v>NA</v>
      </c>
      <c r="V18" s="2"/>
      <c r="W18" s="14">
        <f t="shared" si="2"/>
        <v>0</v>
      </c>
      <c r="X18" s="15" t="str">
        <f>IFERROR(W18/W444, "NA")</f>
        <v>NA</v>
      </c>
      <c r="Y18" s="2"/>
      <c r="Z18" s="14">
        <f>IFERROR(Z10+Z11+Z12+Z13+Z14+Z15+Z16+Z17, "NA")</f>
        <v>0</v>
      </c>
      <c r="AA18" s="15" t="str">
        <f>IFERROR(Z18/Z444, "NA")</f>
        <v>NA</v>
      </c>
      <c r="AB18" s="2"/>
      <c r="AC18" s="14">
        <f t="shared" si="3"/>
        <v>0</v>
      </c>
      <c r="AD18" s="15" t="str">
        <f>IFERROR(AC18/AC444, "NA")</f>
        <v>NA</v>
      </c>
    </row>
    <row r="19" spans="1:30" ht="16.5" hidden="1" customHeight="1" x14ac:dyDescent="0.45">
      <c r="A19" s="6" t="s">
        <v>21</v>
      </c>
      <c r="B19" s="7">
        <v>0</v>
      </c>
      <c r="C19" s="8" t="str">
        <f>IFERROR(B19/B444, "NA")</f>
        <v>NA</v>
      </c>
      <c r="D19" s="9"/>
      <c r="E19" s="7">
        <v>0</v>
      </c>
      <c r="F19" s="8" t="str">
        <f>IFERROR(E19/E444, "NA")</f>
        <v>NA</v>
      </c>
      <c r="G19" s="9"/>
      <c r="H19" s="10">
        <f t="shared" si="0"/>
        <v>0</v>
      </c>
      <c r="I19" s="8" t="str">
        <f>IFERROR(H19/H444, "NA")</f>
        <v>NA</v>
      </c>
      <c r="J19" s="9"/>
      <c r="K19" s="7">
        <v>0</v>
      </c>
      <c r="L19" s="8" t="str">
        <f>IFERROR(K19/K444, "NA")</f>
        <v>NA</v>
      </c>
      <c r="M19" s="9"/>
      <c r="N19" s="10">
        <f t="shared" si="1"/>
        <v>0</v>
      </c>
      <c r="O19" s="8" t="str">
        <f>IFERROR(N19/N444, "NA")</f>
        <v>NA</v>
      </c>
      <c r="P19" s="9"/>
      <c r="Q19" s="7">
        <v>0</v>
      </c>
      <c r="R19" s="8" t="str">
        <f>IFERROR(Q19/Q444, "NA")</f>
        <v>NA</v>
      </c>
      <c r="S19" s="9"/>
      <c r="T19" s="7">
        <v>0</v>
      </c>
      <c r="U19" s="8" t="str">
        <f>IFERROR(T19/T444, "NA")</f>
        <v>NA</v>
      </c>
      <c r="V19" s="9"/>
      <c r="W19" s="10">
        <f t="shared" si="2"/>
        <v>0</v>
      </c>
      <c r="X19" s="8" t="str">
        <f>IFERROR(W19/W444, "NA")</f>
        <v>NA</v>
      </c>
      <c r="Y19" s="9"/>
      <c r="Z19" s="7">
        <v>0</v>
      </c>
      <c r="AA19" s="8" t="str">
        <f>IFERROR(Z19/Z444, "NA")</f>
        <v>NA</v>
      </c>
      <c r="AB19" s="9"/>
      <c r="AC19" s="10">
        <f t="shared" si="3"/>
        <v>0</v>
      </c>
      <c r="AD19" s="8" t="str">
        <f>IFERROR(AC19/AC444, "NA")</f>
        <v>NA</v>
      </c>
    </row>
    <row r="20" spans="1:30" ht="16.5" customHeight="1" x14ac:dyDescent="0.45">
      <c r="A20" s="11" t="s">
        <v>22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hidden="1" customHeight="1" x14ac:dyDescent="0.45">
      <c r="A21" s="12" t="s">
        <v>22</v>
      </c>
      <c r="B21" s="7">
        <v>0</v>
      </c>
      <c r="C21" s="8" t="str">
        <f>IFERROR(B21/B444, "NA")</f>
        <v>NA</v>
      </c>
      <c r="D21" s="9"/>
      <c r="E21" s="7">
        <v>0</v>
      </c>
      <c r="F21" s="8" t="str">
        <f>IFERROR(E21/E444, "NA")</f>
        <v>NA</v>
      </c>
      <c r="G21" s="9"/>
      <c r="H21" s="10">
        <f t="shared" ref="H21:H29" si="4">IFERROR(B21-E21, "NA")</f>
        <v>0</v>
      </c>
      <c r="I21" s="8" t="str">
        <f>IFERROR(H21/H444, "NA")</f>
        <v>NA</v>
      </c>
      <c r="J21" s="9"/>
      <c r="K21" s="7">
        <v>0</v>
      </c>
      <c r="L21" s="8" t="str">
        <f>IFERROR(K21/K444, "NA")</f>
        <v>NA</v>
      </c>
      <c r="M21" s="9"/>
      <c r="N21" s="10">
        <f t="shared" ref="N21:N29" si="5">IFERROR(B21-K21, "NA")</f>
        <v>0</v>
      </c>
      <c r="O21" s="8" t="str">
        <f>IFERROR(N21/N444, "NA")</f>
        <v>NA</v>
      </c>
      <c r="P21" s="9"/>
      <c r="Q21" s="7">
        <v>0</v>
      </c>
      <c r="R21" s="8" t="str">
        <f>IFERROR(Q21/Q444, "NA")</f>
        <v>NA</v>
      </c>
      <c r="S21" s="9"/>
      <c r="T21" s="7">
        <v>0</v>
      </c>
      <c r="U21" s="8" t="str">
        <f>IFERROR(T21/T444, "NA")</f>
        <v>NA</v>
      </c>
      <c r="V21" s="9"/>
      <c r="W21" s="10">
        <f t="shared" ref="W21:W29" si="6">IFERROR(Q21-T21, "NA")</f>
        <v>0</v>
      </c>
      <c r="X21" s="8" t="str">
        <f>IFERROR(W21/W444, "NA")</f>
        <v>NA</v>
      </c>
      <c r="Y21" s="9"/>
      <c r="Z21" s="7">
        <v>0</v>
      </c>
      <c r="AA21" s="8" t="str">
        <f>IFERROR(Z21/Z444, "NA")</f>
        <v>NA</v>
      </c>
      <c r="AB21" s="9"/>
      <c r="AC21" s="10">
        <f t="shared" ref="AC21:AC29" si="7">IFERROR(Q21-Z21, "NA")</f>
        <v>0</v>
      </c>
      <c r="AD21" s="8" t="str">
        <f>IFERROR(AC21/AC444, "NA")</f>
        <v>NA</v>
      </c>
    </row>
    <row r="22" spans="1:30" ht="16.5" hidden="1" customHeight="1" x14ac:dyDescent="0.45">
      <c r="A22" s="12" t="s">
        <v>23</v>
      </c>
      <c r="B22" s="7">
        <v>0</v>
      </c>
      <c r="C22" s="8" t="str">
        <f>IFERROR(B22/B444, "NA")</f>
        <v>NA</v>
      </c>
      <c r="D22" s="9"/>
      <c r="E22" s="7">
        <v>0</v>
      </c>
      <c r="F22" s="8" t="str">
        <f>IFERROR(E22/E444, "NA")</f>
        <v>NA</v>
      </c>
      <c r="G22" s="9"/>
      <c r="H22" s="10">
        <f t="shared" si="4"/>
        <v>0</v>
      </c>
      <c r="I22" s="8" t="str">
        <f>IFERROR(H22/H444, "NA")</f>
        <v>NA</v>
      </c>
      <c r="J22" s="9"/>
      <c r="K22" s="7">
        <v>0</v>
      </c>
      <c r="L22" s="8" t="str">
        <f>IFERROR(K22/K444, "NA")</f>
        <v>NA</v>
      </c>
      <c r="M22" s="9"/>
      <c r="N22" s="10">
        <f t="shared" si="5"/>
        <v>0</v>
      </c>
      <c r="O22" s="8" t="str">
        <f>IFERROR(N22/N444, "NA")</f>
        <v>NA</v>
      </c>
      <c r="P22" s="9"/>
      <c r="Q22" s="7">
        <v>0</v>
      </c>
      <c r="R22" s="8" t="str">
        <f>IFERROR(Q22/Q444, "NA")</f>
        <v>NA</v>
      </c>
      <c r="S22" s="9"/>
      <c r="T22" s="7">
        <v>0</v>
      </c>
      <c r="U22" s="8" t="str">
        <f>IFERROR(T22/T444, "NA")</f>
        <v>NA</v>
      </c>
      <c r="V22" s="9"/>
      <c r="W22" s="10">
        <f t="shared" si="6"/>
        <v>0</v>
      </c>
      <c r="X22" s="8" t="str">
        <f>IFERROR(W22/W444, "NA")</f>
        <v>NA</v>
      </c>
      <c r="Y22" s="9"/>
      <c r="Z22" s="7">
        <v>0</v>
      </c>
      <c r="AA22" s="8" t="str">
        <f>IFERROR(Z22/Z444, "NA")</f>
        <v>NA</v>
      </c>
      <c r="AB22" s="9"/>
      <c r="AC22" s="10">
        <f t="shared" si="7"/>
        <v>0</v>
      </c>
      <c r="AD22" s="8" t="str">
        <f>IFERROR(AC22/AC444, "NA")</f>
        <v>NA</v>
      </c>
    </row>
    <row r="23" spans="1:30" ht="16.5" hidden="1" customHeight="1" x14ac:dyDescent="0.45">
      <c r="A23" s="12" t="s">
        <v>24</v>
      </c>
      <c r="B23" s="7">
        <v>0</v>
      </c>
      <c r="C23" s="8" t="str">
        <f>IFERROR(B23/B444, "NA")</f>
        <v>NA</v>
      </c>
      <c r="D23" s="9"/>
      <c r="E23" s="7">
        <v>0</v>
      </c>
      <c r="F23" s="8" t="str">
        <f>IFERROR(E23/E444, "NA")</f>
        <v>NA</v>
      </c>
      <c r="G23" s="9"/>
      <c r="H23" s="10">
        <f t="shared" si="4"/>
        <v>0</v>
      </c>
      <c r="I23" s="8" t="str">
        <f>IFERROR(H23/H444, "NA")</f>
        <v>NA</v>
      </c>
      <c r="J23" s="9"/>
      <c r="K23" s="7">
        <v>0</v>
      </c>
      <c r="L23" s="8" t="str">
        <f>IFERROR(K23/K444, "NA")</f>
        <v>NA</v>
      </c>
      <c r="M23" s="9"/>
      <c r="N23" s="10">
        <f t="shared" si="5"/>
        <v>0</v>
      </c>
      <c r="O23" s="8" t="str">
        <f>IFERROR(N23/N444, "NA")</f>
        <v>NA</v>
      </c>
      <c r="P23" s="9"/>
      <c r="Q23" s="7">
        <v>0</v>
      </c>
      <c r="R23" s="8" t="str">
        <f>IFERROR(Q23/Q444, "NA")</f>
        <v>NA</v>
      </c>
      <c r="S23" s="9"/>
      <c r="T23" s="7">
        <v>0</v>
      </c>
      <c r="U23" s="8" t="str">
        <f>IFERROR(T23/T444, "NA")</f>
        <v>NA</v>
      </c>
      <c r="V23" s="9"/>
      <c r="W23" s="10">
        <f t="shared" si="6"/>
        <v>0</v>
      </c>
      <c r="X23" s="8" t="str">
        <f>IFERROR(W23/W444, "NA")</f>
        <v>NA</v>
      </c>
      <c r="Y23" s="9"/>
      <c r="Z23" s="7">
        <v>0</v>
      </c>
      <c r="AA23" s="8" t="str">
        <f>IFERROR(Z23/Z444, "NA")</f>
        <v>NA</v>
      </c>
      <c r="AB23" s="9"/>
      <c r="AC23" s="10">
        <f t="shared" si="7"/>
        <v>0</v>
      </c>
      <c r="AD23" s="8" t="str">
        <f>IFERROR(AC23/AC444, "NA")</f>
        <v>NA</v>
      </c>
    </row>
    <row r="24" spans="1:30" ht="16.5" hidden="1" customHeight="1" x14ac:dyDescent="0.45">
      <c r="A24" s="12" t="s">
        <v>25</v>
      </c>
      <c r="B24" s="7">
        <v>0</v>
      </c>
      <c r="C24" s="8" t="str">
        <f>IFERROR(B24/B444, "NA")</f>
        <v>NA</v>
      </c>
      <c r="D24" s="9"/>
      <c r="E24" s="7">
        <v>0</v>
      </c>
      <c r="F24" s="8" t="str">
        <f>IFERROR(E24/E444, "NA")</f>
        <v>NA</v>
      </c>
      <c r="G24" s="9"/>
      <c r="H24" s="10">
        <f t="shared" si="4"/>
        <v>0</v>
      </c>
      <c r="I24" s="8" t="str">
        <f>IFERROR(H24/H444, "NA")</f>
        <v>NA</v>
      </c>
      <c r="J24" s="9"/>
      <c r="K24" s="7">
        <v>0</v>
      </c>
      <c r="L24" s="8" t="str">
        <f>IFERROR(K24/K444, "NA")</f>
        <v>NA</v>
      </c>
      <c r="M24" s="9"/>
      <c r="N24" s="10">
        <f t="shared" si="5"/>
        <v>0</v>
      </c>
      <c r="O24" s="8" t="str">
        <f>IFERROR(N24/N444, "NA")</f>
        <v>NA</v>
      </c>
      <c r="P24" s="9"/>
      <c r="Q24" s="7">
        <v>0</v>
      </c>
      <c r="R24" s="8" t="str">
        <f>IFERROR(Q24/Q444, "NA")</f>
        <v>NA</v>
      </c>
      <c r="S24" s="9"/>
      <c r="T24" s="7">
        <v>0</v>
      </c>
      <c r="U24" s="8" t="str">
        <f>IFERROR(T24/T444, "NA")</f>
        <v>NA</v>
      </c>
      <c r="V24" s="9"/>
      <c r="W24" s="10">
        <f t="shared" si="6"/>
        <v>0</v>
      </c>
      <c r="X24" s="8" t="str">
        <f>IFERROR(W24/W444, "NA")</f>
        <v>NA</v>
      </c>
      <c r="Y24" s="9"/>
      <c r="Z24" s="7">
        <v>0</v>
      </c>
      <c r="AA24" s="8" t="str">
        <f>IFERROR(Z24/Z444, "NA")</f>
        <v>NA</v>
      </c>
      <c r="AB24" s="9"/>
      <c r="AC24" s="10">
        <f t="shared" si="7"/>
        <v>0</v>
      </c>
      <c r="AD24" s="8" t="str">
        <f>IFERROR(AC24/AC444, "NA")</f>
        <v>NA</v>
      </c>
    </row>
    <row r="25" spans="1:30" ht="16.5" hidden="1" customHeight="1" x14ac:dyDescent="0.45">
      <c r="A25" s="12" t="s">
        <v>26</v>
      </c>
      <c r="B25" s="7">
        <v>0</v>
      </c>
      <c r="C25" s="8" t="str">
        <f>IFERROR(B25/B444, "NA")</f>
        <v>NA</v>
      </c>
      <c r="D25" s="9"/>
      <c r="E25" s="7">
        <v>0</v>
      </c>
      <c r="F25" s="8" t="str">
        <f>IFERROR(E25/E444, "NA")</f>
        <v>NA</v>
      </c>
      <c r="G25" s="9"/>
      <c r="H25" s="10">
        <f t="shared" si="4"/>
        <v>0</v>
      </c>
      <c r="I25" s="8" t="str">
        <f>IFERROR(H25/H444, "NA")</f>
        <v>NA</v>
      </c>
      <c r="J25" s="9"/>
      <c r="K25" s="7">
        <v>0</v>
      </c>
      <c r="L25" s="8" t="str">
        <f>IFERROR(K25/K444, "NA")</f>
        <v>NA</v>
      </c>
      <c r="M25" s="9"/>
      <c r="N25" s="10">
        <f t="shared" si="5"/>
        <v>0</v>
      </c>
      <c r="O25" s="8" t="str">
        <f>IFERROR(N25/N444, "NA")</f>
        <v>NA</v>
      </c>
      <c r="P25" s="9"/>
      <c r="Q25" s="7">
        <v>0</v>
      </c>
      <c r="R25" s="8" t="str">
        <f>IFERROR(Q25/Q444, "NA")</f>
        <v>NA</v>
      </c>
      <c r="S25" s="9"/>
      <c r="T25" s="7">
        <v>0</v>
      </c>
      <c r="U25" s="8" t="str">
        <f>IFERROR(T25/T444, "NA")</f>
        <v>NA</v>
      </c>
      <c r="V25" s="9"/>
      <c r="W25" s="10">
        <f t="shared" si="6"/>
        <v>0</v>
      </c>
      <c r="X25" s="8" t="str">
        <f>IFERROR(W25/W444, "NA")</f>
        <v>NA</v>
      </c>
      <c r="Y25" s="9"/>
      <c r="Z25" s="7">
        <v>0</v>
      </c>
      <c r="AA25" s="8" t="str">
        <f>IFERROR(Z25/Z444, "NA")</f>
        <v>NA</v>
      </c>
      <c r="AB25" s="9"/>
      <c r="AC25" s="10">
        <f t="shared" si="7"/>
        <v>0</v>
      </c>
      <c r="AD25" s="8" t="str">
        <f>IFERROR(AC25/AC444, "NA")</f>
        <v>NA</v>
      </c>
    </row>
    <row r="26" spans="1:30" ht="16.5" hidden="1" customHeight="1" x14ac:dyDescent="0.45">
      <c r="A26" s="12" t="s">
        <v>27</v>
      </c>
      <c r="B26" s="7">
        <v>0</v>
      </c>
      <c r="C26" s="8" t="str">
        <f>IFERROR(B26/B444, "NA")</f>
        <v>NA</v>
      </c>
      <c r="D26" s="9"/>
      <c r="E26" s="7">
        <v>0</v>
      </c>
      <c r="F26" s="8" t="str">
        <f>IFERROR(E26/E444, "NA")</f>
        <v>NA</v>
      </c>
      <c r="G26" s="9"/>
      <c r="H26" s="10">
        <f t="shared" si="4"/>
        <v>0</v>
      </c>
      <c r="I26" s="8" t="str">
        <f>IFERROR(H26/H444, "NA")</f>
        <v>NA</v>
      </c>
      <c r="J26" s="9"/>
      <c r="K26" s="7">
        <v>0</v>
      </c>
      <c r="L26" s="8" t="str">
        <f>IFERROR(K26/K444, "NA")</f>
        <v>NA</v>
      </c>
      <c r="M26" s="9"/>
      <c r="N26" s="10">
        <f t="shared" si="5"/>
        <v>0</v>
      </c>
      <c r="O26" s="8" t="str">
        <f>IFERROR(N26/N444, "NA")</f>
        <v>NA</v>
      </c>
      <c r="P26" s="9"/>
      <c r="Q26" s="7">
        <v>0</v>
      </c>
      <c r="R26" s="8" t="str">
        <f>IFERROR(Q26/Q444, "NA")</f>
        <v>NA</v>
      </c>
      <c r="S26" s="9"/>
      <c r="T26" s="7">
        <v>0</v>
      </c>
      <c r="U26" s="8" t="str">
        <f>IFERROR(T26/T444, "NA")</f>
        <v>NA</v>
      </c>
      <c r="V26" s="9"/>
      <c r="W26" s="10">
        <f t="shared" si="6"/>
        <v>0</v>
      </c>
      <c r="X26" s="8" t="str">
        <f>IFERROR(W26/W444, "NA")</f>
        <v>NA</v>
      </c>
      <c r="Y26" s="9"/>
      <c r="Z26" s="7">
        <v>0</v>
      </c>
      <c r="AA26" s="8" t="str">
        <f>IFERROR(Z26/Z444, "NA")</f>
        <v>NA</v>
      </c>
      <c r="AB26" s="9"/>
      <c r="AC26" s="10">
        <f t="shared" si="7"/>
        <v>0</v>
      </c>
      <c r="AD26" s="8" t="str">
        <f>IFERROR(AC26/AC444, "NA")</f>
        <v>NA</v>
      </c>
    </row>
    <row r="27" spans="1:30" ht="16.5" hidden="1" customHeight="1" x14ac:dyDescent="0.45">
      <c r="A27" s="12" t="s">
        <v>28</v>
      </c>
      <c r="B27" s="7">
        <v>0</v>
      </c>
      <c r="C27" s="8" t="str">
        <f>IFERROR(B27/B444, "NA")</f>
        <v>NA</v>
      </c>
      <c r="D27" s="9"/>
      <c r="E27" s="7">
        <v>0</v>
      </c>
      <c r="F27" s="8" t="str">
        <f>IFERROR(E27/E444, "NA")</f>
        <v>NA</v>
      </c>
      <c r="G27" s="9"/>
      <c r="H27" s="10">
        <f t="shared" si="4"/>
        <v>0</v>
      </c>
      <c r="I27" s="8" t="str">
        <f>IFERROR(H27/H444, "NA")</f>
        <v>NA</v>
      </c>
      <c r="J27" s="9"/>
      <c r="K27" s="7">
        <v>0</v>
      </c>
      <c r="L27" s="8" t="str">
        <f>IFERROR(K27/K444, "NA")</f>
        <v>NA</v>
      </c>
      <c r="M27" s="9"/>
      <c r="N27" s="10">
        <f t="shared" si="5"/>
        <v>0</v>
      </c>
      <c r="O27" s="8" t="str">
        <f>IFERROR(N27/N444, "NA")</f>
        <v>NA</v>
      </c>
      <c r="P27" s="9"/>
      <c r="Q27" s="7">
        <v>0</v>
      </c>
      <c r="R27" s="8" t="str">
        <f>IFERROR(Q27/Q444, "NA")</f>
        <v>NA</v>
      </c>
      <c r="S27" s="9"/>
      <c r="T27" s="7">
        <v>0</v>
      </c>
      <c r="U27" s="8" t="str">
        <f>IFERROR(T27/T444, "NA")</f>
        <v>NA</v>
      </c>
      <c r="V27" s="9"/>
      <c r="W27" s="10">
        <f t="shared" si="6"/>
        <v>0</v>
      </c>
      <c r="X27" s="8" t="str">
        <f>IFERROR(W27/W444, "NA")</f>
        <v>NA</v>
      </c>
      <c r="Y27" s="9"/>
      <c r="Z27" s="7">
        <v>0</v>
      </c>
      <c r="AA27" s="8" t="str">
        <f>IFERROR(Z27/Z444, "NA")</f>
        <v>NA</v>
      </c>
      <c r="AB27" s="9"/>
      <c r="AC27" s="10">
        <f t="shared" si="7"/>
        <v>0</v>
      </c>
      <c r="AD27" s="8" t="str">
        <f>IFERROR(AC27/AC444, "NA")</f>
        <v>NA</v>
      </c>
    </row>
    <row r="28" spans="1:30" ht="16.5" hidden="1" customHeight="1" x14ac:dyDescent="0.45">
      <c r="A28" s="12" t="s">
        <v>29</v>
      </c>
      <c r="B28" s="7">
        <v>0</v>
      </c>
      <c r="C28" s="8" t="str">
        <f>IFERROR(B28/B444, "NA")</f>
        <v>NA</v>
      </c>
      <c r="D28" s="9"/>
      <c r="E28" s="7">
        <v>0</v>
      </c>
      <c r="F28" s="8" t="str">
        <f>IFERROR(E28/E444, "NA")</f>
        <v>NA</v>
      </c>
      <c r="G28" s="9"/>
      <c r="H28" s="10">
        <f t="shared" si="4"/>
        <v>0</v>
      </c>
      <c r="I28" s="8" t="str">
        <f>IFERROR(H28/H444, "NA")</f>
        <v>NA</v>
      </c>
      <c r="J28" s="9"/>
      <c r="K28" s="7">
        <v>0</v>
      </c>
      <c r="L28" s="8" t="str">
        <f>IFERROR(K28/K444, "NA")</f>
        <v>NA</v>
      </c>
      <c r="M28" s="9"/>
      <c r="N28" s="10">
        <f t="shared" si="5"/>
        <v>0</v>
      </c>
      <c r="O28" s="8" t="str">
        <f>IFERROR(N28/N444, "NA")</f>
        <v>NA</v>
      </c>
      <c r="P28" s="9"/>
      <c r="Q28" s="7">
        <v>0</v>
      </c>
      <c r="R28" s="8" t="str">
        <f>IFERROR(Q28/Q444, "NA")</f>
        <v>NA</v>
      </c>
      <c r="S28" s="9"/>
      <c r="T28" s="7">
        <v>0</v>
      </c>
      <c r="U28" s="8" t="str">
        <f>IFERROR(T28/T444, "NA")</f>
        <v>NA</v>
      </c>
      <c r="V28" s="9"/>
      <c r="W28" s="10">
        <f t="shared" si="6"/>
        <v>0</v>
      </c>
      <c r="X28" s="8" t="str">
        <f>IFERROR(W28/W444, "NA")</f>
        <v>NA</v>
      </c>
      <c r="Y28" s="9"/>
      <c r="Z28" s="7">
        <v>0</v>
      </c>
      <c r="AA28" s="8" t="str">
        <f>IFERROR(Z28/Z444, "NA")</f>
        <v>NA</v>
      </c>
      <c r="AB28" s="9"/>
      <c r="AC28" s="10">
        <f t="shared" si="7"/>
        <v>0</v>
      </c>
      <c r="AD28" s="8" t="str">
        <f>IFERROR(AC28/AC444, "NA")</f>
        <v>NA</v>
      </c>
    </row>
    <row r="29" spans="1:30" ht="16.5" customHeight="1" x14ac:dyDescent="0.45">
      <c r="A29" s="13" t="s">
        <v>30</v>
      </c>
      <c r="B29" s="14">
        <f>IFERROR(B21+B22+B23+B24+B25+B26+B27+B28, "NA")</f>
        <v>0</v>
      </c>
      <c r="C29" s="15" t="str">
        <f>IFERROR(B29/B444, "NA")</f>
        <v>NA</v>
      </c>
      <c r="D29" s="2"/>
      <c r="E29" s="14">
        <f>IFERROR(E21+E22+E23+E24+E25+E26+E27+E28, "NA")</f>
        <v>0</v>
      </c>
      <c r="F29" s="15" t="str">
        <f>IFERROR(E29/E444, "NA")</f>
        <v>NA</v>
      </c>
      <c r="G29" s="2"/>
      <c r="H29" s="14">
        <f t="shared" si="4"/>
        <v>0</v>
      </c>
      <c r="I29" s="15" t="str">
        <f>IFERROR(H29/H444, "NA")</f>
        <v>NA</v>
      </c>
      <c r="J29" s="2"/>
      <c r="K29" s="14">
        <f>IFERROR(K21+K22+K23+K24+K25+K26+K27+K28, "NA")</f>
        <v>0</v>
      </c>
      <c r="L29" s="15" t="str">
        <f>IFERROR(K29/K444, "NA")</f>
        <v>NA</v>
      </c>
      <c r="M29" s="2"/>
      <c r="N29" s="14">
        <f t="shared" si="5"/>
        <v>0</v>
      </c>
      <c r="O29" s="15" t="str">
        <f>IFERROR(N29/N444, "NA")</f>
        <v>NA</v>
      </c>
      <c r="P29" s="2"/>
      <c r="Q29" s="14">
        <f>IFERROR(Q21+Q22+Q23+Q24+Q25+Q26+Q27+Q28, "NA")</f>
        <v>0</v>
      </c>
      <c r="R29" s="15" t="str">
        <f>IFERROR(Q29/Q444, "NA")</f>
        <v>NA</v>
      </c>
      <c r="S29" s="2"/>
      <c r="T29" s="14">
        <f>IFERROR(T21+T22+T23+T24+T25+T26+T27+T28, "NA")</f>
        <v>0</v>
      </c>
      <c r="U29" s="15" t="str">
        <f>IFERROR(T29/T444, "NA")</f>
        <v>NA</v>
      </c>
      <c r="V29" s="2"/>
      <c r="W29" s="14">
        <f t="shared" si="6"/>
        <v>0</v>
      </c>
      <c r="X29" s="15" t="str">
        <f>IFERROR(W29/W444, "NA")</f>
        <v>NA</v>
      </c>
      <c r="Y29" s="2"/>
      <c r="Z29" s="14">
        <f>IFERROR(Z21+Z22+Z23+Z24+Z25+Z26+Z27+Z28, "NA")</f>
        <v>0</v>
      </c>
      <c r="AA29" s="15" t="str">
        <f>IFERROR(Z29/Z444, "NA")</f>
        <v>NA</v>
      </c>
      <c r="AB29" s="2"/>
      <c r="AC29" s="14">
        <f t="shared" si="7"/>
        <v>0</v>
      </c>
      <c r="AD29" s="15" t="str">
        <f>IFERROR(AC29/AC444, "NA")</f>
        <v>NA</v>
      </c>
    </row>
    <row r="30" spans="1:30" ht="16.5" customHeight="1" x14ac:dyDescent="0.45">
      <c r="A30" s="11" t="s">
        <v>31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hidden="1" customHeight="1" x14ac:dyDescent="0.45">
      <c r="A31" s="12" t="s">
        <v>31</v>
      </c>
      <c r="B31" s="7">
        <v>0</v>
      </c>
      <c r="C31" s="8" t="str">
        <f>IFERROR(B31/B444, "NA")</f>
        <v>NA</v>
      </c>
      <c r="D31" s="9"/>
      <c r="E31" s="7">
        <v>0</v>
      </c>
      <c r="F31" s="8" t="str">
        <f>IFERROR(E31/E444, "NA")</f>
        <v>NA</v>
      </c>
      <c r="G31" s="9"/>
      <c r="H31" s="10">
        <f t="shared" ref="H31:H40" si="8">IFERROR(B31-E31, "NA")</f>
        <v>0</v>
      </c>
      <c r="I31" s="8" t="str">
        <f>IFERROR(H31/H444, "NA")</f>
        <v>NA</v>
      </c>
      <c r="J31" s="9"/>
      <c r="K31" s="7">
        <v>0</v>
      </c>
      <c r="L31" s="8" t="str">
        <f>IFERROR(K31/K444, "NA")</f>
        <v>NA</v>
      </c>
      <c r="M31" s="9"/>
      <c r="N31" s="10">
        <f t="shared" ref="N31:N40" si="9">IFERROR(B31-K31, "NA")</f>
        <v>0</v>
      </c>
      <c r="O31" s="8" t="str">
        <f>IFERROR(N31/N444, "NA")</f>
        <v>NA</v>
      </c>
      <c r="P31" s="9"/>
      <c r="Q31" s="7">
        <v>0</v>
      </c>
      <c r="R31" s="8" t="str">
        <f>IFERROR(Q31/Q444, "NA")</f>
        <v>NA</v>
      </c>
      <c r="S31" s="9"/>
      <c r="T31" s="7">
        <v>0</v>
      </c>
      <c r="U31" s="8" t="str">
        <f>IFERROR(T31/T444, "NA")</f>
        <v>NA</v>
      </c>
      <c r="V31" s="9"/>
      <c r="W31" s="10">
        <f t="shared" ref="W31:W40" si="10">IFERROR(Q31-T31, "NA")</f>
        <v>0</v>
      </c>
      <c r="X31" s="8" t="str">
        <f>IFERROR(W31/W444, "NA")</f>
        <v>NA</v>
      </c>
      <c r="Y31" s="9"/>
      <c r="Z31" s="7">
        <v>0</v>
      </c>
      <c r="AA31" s="8" t="str">
        <f>IFERROR(Z31/Z444, "NA")</f>
        <v>NA</v>
      </c>
      <c r="AB31" s="9"/>
      <c r="AC31" s="10">
        <f t="shared" ref="AC31:AC40" si="11">IFERROR(Q31-Z31, "NA")</f>
        <v>0</v>
      </c>
      <c r="AD31" s="8" t="str">
        <f>IFERROR(AC31/AC444, "NA")</f>
        <v>NA</v>
      </c>
    </row>
    <row r="32" spans="1:30" ht="16.5" hidden="1" customHeight="1" x14ac:dyDescent="0.45">
      <c r="A32" s="12" t="s">
        <v>32</v>
      </c>
      <c r="B32" s="7">
        <v>0</v>
      </c>
      <c r="C32" s="8" t="str">
        <f>IFERROR(B32/B444, "NA")</f>
        <v>NA</v>
      </c>
      <c r="D32" s="9"/>
      <c r="E32" s="7">
        <v>0</v>
      </c>
      <c r="F32" s="8" t="str">
        <f>IFERROR(E32/E444, "NA")</f>
        <v>NA</v>
      </c>
      <c r="G32" s="9"/>
      <c r="H32" s="10">
        <f t="shared" si="8"/>
        <v>0</v>
      </c>
      <c r="I32" s="8" t="str">
        <f>IFERROR(H32/H444, "NA")</f>
        <v>NA</v>
      </c>
      <c r="J32" s="9"/>
      <c r="K32" s="7">
        <v>0</v>
      </c>
      <c r="L32" s="8" t="str">
        <f>IFERROR(K32/K444, "NA")</f>
        <v>NA</v>
      </c>
      <c r="M32" s="9"/>
      <c r="N32" s="10">
        <f t="shared" si="9"/>
        <v>0</v>
      </c>
      <c r="O32" s="8" t="str">
        <f>IFERROR(N32/N444, "NA")</f>
        <v>NA</v>
      </c>
      <c r="P32" s="9"/>
      <c r="Q32" s="7">
        <v>0</v>
      </c>
      <c r="R32" s="8" t="str">
        <f>IFERROR(Q32/Q444, "NA")</f>
        <v>NA</v>
      </c>
      <c r="S32" s="9"/>
      <c r="T32" s="7">
        <v>0</v>
      </c>
      <c r="U32" s="8" t="str">
        <f>IFERROR(T32/T444, "NA")</f>
        <v>NA</v>
      </c>
      <c r="V32" s="9"/>
      <c r="W32" s="10">
        <f t="shared" si="10"/>
        <v>0</v>
      </c>
      <c r="X32" s="8" t="str">
        <f>IFERROR(W32/W444, "NA")</f>
        <v>NA</v>
      </c>
      <c r="Y32" s="9"/>
      <c r="Z32" s="7">
        <v>0</v>
      </c>
      <c r="AA32" s="8" t="str">
        <f>IFERROR(Z32/Z444, "NA")</f>
        <v>NA</v>
      </c>
      <c r="AB32" s="9"/>
      <c r="AC32" s="10">
        <f t="shared" si="11"/>
        <v>0</v>
      </c>
      <c r="AD32" s="8" t="str">
        <f>IFERROR(AC32/AC444, "NA")</f>
        <v>NA</v>
      </c>
    </row>
    <row r="33" spans="1:30" ht="16.5" hidden="1" customHeight="1" x14ac:dyDescent="0.45">
      <c r="A33" s="12" t="s">
        <v>33</v>
      </c>
      <c r="B33" s="7">
        <v>0</v>
      </c>
      <c r="C33" s="8" t="str">
        <f>IFERROR(B33/B444, "NA")</f>
        <v>NA</v>
      </c>
      <c r="D33" s="9"/>
      <c r="E33" s="7">
        <v>0</v>
      </c>
      <c r="F33" s="8" t="str">
        <f>IFERROR(E33/E444, "NA")</f>
        <v>NA</v>
      </c>
      <c r="G33" s="9"/>
      <c r="H33" s="10">
        <f t="shared" si="8"/>
        <v>0</v>
      </c>
      <c r="I33" s="8" t="str">
        <f>IFERROR(H33/H444, "NA")</f>
        <v>NA</v>
      </c>
      <c r="J33" s="9"/>
      <c r="K33" s="7">
        <v>0</v>
      </c>
      <c r="L33" s="8" t="str">
        <f>IFERROR(K33/K444, "NA")</f>
        <v>NA</v>
      </c>
      <c r="M33" s="9"/>
      <c r="N33" s="10">
        <f t="shared" si="9"/>
        <v>0</v>
      </c>
      <c r="O33" s="8" t="str">
        <f>IFERROR(N33/N444, "NA")</f>
        <v>NA</v>
      </c>
      <c r="P33" s="9"/>
      <c r="Q33" s="7">
        <v>0</v>
      </c>
      <c r="R33" s="8" t="str">
        <f>IFERROR(Q33/Q444, "NA")</f>
        <v>NA</v>
      </c>
      <c r="S33" s="9"/>
      <c r="T33" s="7">
        <v>0</v>
      </c>
      <c r="U33" s="8" t="str">
        <f>IFERROR(T33/T444, "NA")</f>
        <v>NA</v>
      </c>
      <c r="V33" s="9"/>
      <c r="W33" s="10">
        <f t="shared" si="10"/>
        <v>0</v>
      </c>
      <c r="X33" s="8" t="str">
        <f>IFERROR(W33/W444, "NA")</f>
        <v>NA</v>
      </c>
      <c r="Y33" s="9"/>
      <c r="Z33" s="7">
        <v>0</v>
      </c>
      <c r="AA33" s="8" t="str">
        <f>IFERROR(Z33/Z444, "NA")</f>
        <v>NA</v>
      </c>
      <c r="AB33" s="9"/>
      <c r="AC33" s="10">
        <f t="shared" si="11"/>
        <v>0</v>
      </c>
      <c r="AD33" s="8" t="str">
        <f>IFERROR(AC33/AC444, "NA")</f>
        <v>NA</v>
      </c>
    </row>
    <row r="34" spans="1:30" ht="16.5" hidden="1" customHeight="1" x14ac:dyDescent="0.45">
      <c r="A34" s="12" t="s">
        <v>34</v>
      </c>
      <c r="B34" s="7">
        <v>0</v>
      </c>
      <c r="C34" s="8" t="str">
        <f>IFERROR(B34/B444, "NA")</f>
        <v>NA</v>
      </c>
      <c r="D34" s="9"/>
      <c r="E34" s="7">
        <v>0</v>
      </c>
      <c r="F34" s="8" t="str">
        <f>IFERROR(E34/E444, "NA")</f>
        <v>NA</v>
      </c>
      <c r="G34" s="9"/>
      <c r="H34" s="10">
        <f t="shared" si="8"/>
        <v>0</v>
      </c>
      <c r="I34" s="8" t="str">
        <f>IFERROR(H34/H444, "NA")</f>
        <v>NA</v>
      </c>
      <c r="J34" s="9"/>
      <c r="K34" s="7">
        <v>0</v>
      </c>
      <c r="L34" s="8" t="str">
        <f>IFERROR(K34/K444, "NA")</f>
        <v>NA</v>
      </c>
      <c r="M34" s="9"/>
      <c r="N34" s="10">
        <f t="shared" si="9"/>
        <v>0</v>
      </c>
      <c r="O34" s="8" t="str">
        <f>IFERROR(N34/N444, "NA")</f>
        <v>NA</v>
      </c>
      <c r="P34" s="9"/>
      <c r="Q34" s="7">
        <v>0</v>
      </c>
      <c r="R34" s="8" t="str">
        <f>IFERROR(Q34/Q444, "NA")</f>
        <v>NA</v>
      </c>
      <c r="S34" s="9"/>
      <c r="T34" s="7">
        <v>0</v>
      </c>
      <c r="U34" s="8" t="str">
        <f>IFERROR(T34/T444, "NA")</f>
        <v>NA</v>
      </c>
      <c r="V34" s="9"/>
      <c r="W34" s="10">
        <f t="shared" si="10"/>
        <v>0</v>
      </c>
      <c r="X34" s="8" t="str">
        <f>IFERROR(W34/W444, "NA")</f>
        <v>NA</v>
      </c>
      <c r="Y34" s="9"/>
      <c r="Z34" s="7">
        <v>0</v>
      </c>
      <c r="AA34" s="8" t="str">
        <f>IFERROR(Z34/Z444, "NA")</f>
        <v>NA</v>
      </c>
      <c r="AB34" s="9"/>
      <c r="AC34" s="10">
        <f t="shared" si="11"/>
        <v>0</v>
      </c>
      <c r="AD34" s="8" t="str">
        <f>IFERROR(AC34/AC444, "NA")</f>
        <v>NA</v>
      </c>
    </row>
    <row r="35" spans="1:30" ht="16.5" hidden="1" customHeight="1" x14ac:dyDescent="0.45">
      <c r="A35" s="12" t="s">
        <v>35</v>
      </c>
      <c r="B35" s="7">
        <v>0</v>
      </c>
      <c r="C35" s="8" t="str">
        <f>IFERROR(B35/B444, "NA")</f>
        <v>NA</v>
      </c>
      <c r="D35" s="9"/>
      <c r="E35" s="7">
        <v>0</v>
      </c>
      <c r="F35" s="8" t="str">
        <f>IFERROR(E35/E444, "NA")</f>
        <v>NA</v>
      </c>
      <c r="G35" s="9"/>
      <c r="H35" s="10">
        <f t="shared" si="8"/>
        <v>0</v>
      </c>
      <c r="I35" s="8" t="str">
        <f>IFERROR(H35/H444, "NA")</f>
        <v>NA</v>
      </c>
      <c r="J35" s="9"/>
      <c r="K35" s="7">
        <v>0</v>
      </c>
      <c r="L35" s="8" t="str">
        <f>IFERROR(K35/K444, "NA")</f>
        <v>NA</v>
      </c>
      <c r="M35" s="9"/>
      <c r="N35" s="10">
        <f t="shared" si="9"/>
        <v>0</v>
      </c>
      <c r="O35" s="8" t="str">
        <f>IFERROR(N35/N444, "NA")</f>
        <v>NA</v>
      </c>
      <c r="P35" s="9"/>
      <c r="Q35" s="7">
        <v>0</v>
      </c>
      <c r="R35" s="8" t="str">
        <f>IFERROR(Q35/Q444, "NA")</f>
        <v>NA</v>
      </c>
      <c r="S35" s="9"/>
      <c r="T35" s="7">
        <v>0</v>
      </c>
      <c r="U35" s="8" t="str">
        <f>IFERROR(T35/T444, "NA")</f>
        <v>NA</v>
      </c>
      <c r="V35" s="9"/>
      <c r="W35" s="10">
        <f t="shared" si="10"/>
        <v>0</v>
      </c>
      <c r="X35" s="8" t="str">
        <f>IFERROR(W35/W444, "NA")</f>
        <v>NA</v>
      </c>
      <c r="Y35" s="9"/>
      <c r="Z35" s="7">
        <v>0</v>
      </c>
      <c r="AA35" s="8" t="str">
        <f>IFERROR(Z35/Z444, "NA")</f>
        <v>NA</v>
      </c>
      <c r="AB35" s="9"/>
      <c r="AC35" s="10">
        <f t="shared" si="11"/>
        <v>0</v>
      </c>
      <c r="AD35" s="8" t="str">
        <f>IFERROR(AC35/AC444, "NA")</f>
        <v>NA</v>
      </c>
    </row>
    <row r="36" spans="1:30" ht="16.5" hidden="1" customHeight="1" x14ac:dyDescent="0.45">
      <c r="A36" s="12" t="s">
        <v>36</v>
      </c>
      <c r="B36" s="7">
        <v>0</v>
      </c>
      <c r="C36" s="8" t="str">
        <f>IFERROR(B36/B444, "NA")</f>
        <v>NA</v>
      </c>
      <c r="D36" s="9"/>
      <c r="E36" s="7">
        <v>0</v>
      </c>
      <c r="F36" s="8" t="str">
        <f>IFERROR(E36/E444, "NA")</f>
        <v>NA</v>
      </c>
      <c r="G36" s="9"/>
      <c r="H36" s="10">
        <f t="shared" si="8"/>
        <v>0</v>
      </c>
      <c r="I36" s="8" t="str">
        <f>IFERROR(H36/H444, "NA")</f>
        <v>NA</v>
      </c>
      <c r="J36" s="9"/>
      <c r="K36" s="7">
        <v>0</v>
      </c>
      <c r="L36" s="8" t="str">
        <f>IFERROR(K36/K444, "NA")</f>
        <v>NA</v>
      </c>
      <c r="M36" s="9"/>
      <c r="N36" s="10">
        <f t="shared" si="9"/>
        <v>0</v>
      </c>
      <c r="O36" s="8" t="str">
        <f>IFERROR(N36/N444, "NA")</f>
        <v>NA</v>
      </c>
      <c r="P36" s="9"/>
      <c r="Q36" s="7">
        <v>0</v>
      </c>
      <c r="R36" s="8" t="str">
        <f>IFERROR(Q36/Q444, "NA")</f>
        <v>NA</v>
      </c>
      <c r="S36" s="9"/>
      <c r="T36" s="7">
        <v>0</v>
      </c>
      <c r="U36" s="8" t="str">
        <f>IFERROR(T36/T444, "NA")</f>
        <v>NA</v>
      </c>
      <c r="V36" s="9"/>
      <c r="W36" s="10">
        <f t="shared" si="10"/>
        <v>0</v>
      </c>
      <c r="X36" s="8" t="str">
        <f>IFERROR(W36/W444, "NA")</f>
        <v>NA</v>
      </c>
      <c r="Y36" s="9"/>
      <c r="Z36" s="7">
        <v>0</v>
      </c>
      <c r="AA36" s="8" t="str">
        <f>IFERROR(Z36/Z444, "NA")</f>
        <v>NA</v>
      </c>
      <c r="AB36" s="9"/>
      <c r="AC36" s="10">
        <f t="shared" si="11"/>
        <v>0</v>
      </c>
      <c r="AD36" s="8" t="str">
        <f>IFERROR(AC36/AC444, "NA")</f>
        <v>NA</v>
      </c>
    </row>
    <row r="37" spans="1:30" ht="16.5" hidden="1" customHeight="1" x14ac:dyDescent="0.45">
      <c r="A37" s="12" t="s">
        <v>37</v>
      </c>
      <c r="B37" s="7">
        <v>0</v>
      </c>
      <c r="C37" s="8" t="str">
        <f>IFERROR(B37/B444, "NA")</f>
        <v>NA</v>
      </c>
      <c r="D37" s="9"/>
      <c r="E37" s="7">
        <v>0</v>
      </c>
      <c r="F37" s="8" t="str">
        <f>IFERROR(E37/E444, "NA")</f>
        <v>NA</v>
      </c>
      <c r="G37" s="9"/>
      <c r="H37" s="10">
        <f t="shared" si="8"/>
        <v>0</v>
      </c>
      <c r="I37" s="8" t="str">
        <f>IFERROR(H37/H444, "NA")</f>
        <v>NA</v>
      </c>
      <c r="J37" s="9"/>
      <c r="K37" s="7">
        <v>0</v>
      </c>
      <c r="L37" s="8" t="str">
        <f>IFERROR(K37/K444, "NA")</f>
        <v>NA</v>
      </c>
      <c r="M37" s="9"/>
      <c r="N37" s="10">
        <f t="shared" si="9"/>
        <v>0</v>
      </c>
      <c r="O37" s="8" t="str">
        <f>IFERROR(N37/N444, "NA")</f>
        <v>NA</v>
      </c>
      <c r="P37" s="9"/>
      <c r="Q37" s="7">
        <v>0</v>
      </c>
      <c r="R37" s="8" t="str">
        <f>IFERROR(Q37/Q444, "NA")</f>
        <v>NA</v>
      </c>
      <c r="S37" s="9"/>
      <c r="T37" s="7">
        <v>0</v>
      </c>
      <c r="U37" s="8" t="str">
        <f>IFERROR(T37/T444, "NA")</f>
        <v>NA</v>
      </c>
      <c r="V37" s="9"/>
      <c r="W37" s="10">
        <f t="shared" si="10"/>
        <v>0</v>
      </c>
      <c r="X37" s="8" t="str">
        <f>IFERROR(W37/W444, "NA")</f>
        <v>NA</v>
      </c>
      <c r="Y37" s="9"/>
      <c r="Z37" s="7">
        <v>0</v>
      </c>
      <c r="AA37" s="8" t="str">
        <f>IFERROR(Z37/Z444, "NA")</f>
        <v>NA</v>
      </c>
      <c r="AB37" s="9"/>
      <c r="AC37" s="10">
        <f t="shared" si="11"/>
        <v>0</v>
      </c>
      <c r="AD37" s="8" t="str">
        <f>IFERROR(AC37/AC444, "NA")</f>
        <v>NA</v>
      </c>
    </row>
    <row r="38" spans="1:30" ht="16.5" hidden="1" customHeight="1" x14ac:dyDescent="0.45">
      <c r="A38" s="12" t="s">
        <v>38</v>
      </c>
      <c r="B38" s="7">
        <v>0</v>
      </c>
      <c r="C38" s="8" t="str">
        <f>IFERROR(B38/B444, "NA")</f>
        <v>NA</v>
      </c>
      <c r="D38" s="9"/>
      <c r="E38" s="7">
        <v>0</v>
      </c>
      <c r="F38" s="8" t="str">
        <f>IFERROR(E38/E444, "NA")</f>
        <v>NA</v>
      </c>
      <c r="G38" s="9"/>
      <c r="H38" s="10">
        <f t="shared" si="8"/>
        <v>0</v>
      </c>
      <c r="I38" s="8" t="str">
        <f>IFERROR(H38/H444, "NA")</f>
        <v>NA</v>
      </c>
      <c r="J38" s="9"/>
      <c r="K38" s="7">
        <v>0</v>
      </c>
      <c r="L38" s="8" t="str">
        <f>IFERROR(K38/K444, "NA")</f>
        <v>NA</v>
      </c>
      <c r="M38" s="9"/>
      <c r="N38" s="10">
        <f t="shared" si="9"/>
        <v>0</v>
      </c>
      <c r="O38" s="8" t="str">
        <f>IFERROR(N38/N444, "NA")</f>
        <v>NA</v>
      </c>
      <c r="P38" s="9"/>
      <c r="Q38" s="7">
        <v>0</v>
      </c>
      <c r="R38" s="8" t="str">
        <f>IFERROR(Q38/Q444, "NA")</f>
        <v>NA</v>
      </c>
      <c r="S38" s="9"/>
      <c r="T38" s="7">
        <v>0</v>
      </c>
      <c r="U38" s="8" t="str">
        <f>IFERROR(T38/T444, "NA")</f>
        <v>NA</v>
      </c>
      <c r="V38" s="9"/>
      <c r="W38" s="10">
        <f t="shared" si="10"/>
        <v>0</v>
      </c>
      <c r="X38" s="8" t="str">
        <f>IFERROR(W38/W444, "NA")</f>
        <v>NA</v>
      </c>
      <c r="Y38" s="9"/>
      <c r="Z38" s="7">
        <v>0</v>
      </c>
      <c r="AA38" s="8" t="str">
        <f>IFERROR(Z38/Z444, "NA")</f>
        <v>NA</v>
      </c>
      <c r="AB38" s="9"/>
      <c r="AC38" s="10">
        <f t="shared" si="11"/>
        <v>0</v>
      </c>
      <c r="AD38" s="8" t="str">
        <f>IFERROR(AC38/AC444, "NA")</f>
        <v>NA</v>
      </c>
    </row>
    <row r="39" spans="1:30" ht="16.5" hidden="1" customHeight="1" x14ac:dyDescent="0.45">
      <c r="A39" s="12" t="s">
        <v>39</v>
      </c>
      <c r="B39" s="7">
        <v>0</v>
      </c>
      <c r="C39" s="8" t="str">
        <f>IFERROR(B39/B444, "NA")</f>
        <v>NA</v>
      </c>
      <c r="D39" s="9"/>
      <c r="E39" s="7">
        <v>0</v>
      </c>
      <c r="F39" s="8" t="str">
        <f>IFERROR(E39/E444, "NA")</f>
        <v>NA</v>
      </c>
      <c r="G39" s="9"/>
      <c r="H39" s="10">
        <f t="shared" si="8"/>
        <v>0</v>
      </c>
      <c r="I39" s="8" t="str">
        <f>IFERROR(H39/H444, "NA")</f>
        <v>NA</v>
      </c>
      <c r="J39" s="9"/>
      <c r="K39" s="7">
        <v>0</v>
      </c>
      <c r="L39" s="8" t="str">
        <f>IFERROR(K39/K444, "NA")</f>
        <v>NA</v>
      </c>
      <c r="M39" s="9"/>
      <c r="N39" s="10">
        <f t="shared" si="9"/>
        <v>0</v>
      </c>
      <c r="O39" s="8" t="str">
        <f>IFERROR(N39/N444, "NA")</f>
        <v>NA</v>
      </c>
      <c r="P39" s="9"/>
      <c r="Q39" s="7">
        <v>0</v>
      </c>
      <c r="R39" s="8" t="str">
        <f>IFERROR(Q39/Q444, "NA")</f>
        <v>NA</v>
      </c>
      <c r="S39" s="9"/>
      <c r="T39" s="7">
        <v>0</v>
      </c>
      <c r="U39" s="8" t="str">
        <f>IFERROR(T39/T444, "NA")</f>
        <v>NA</v>
      </c>
      <c r="V39" s="9"/>
      <c r="W39" s="10">
        <f t="shared" si="10"/>
        <v>0</v>
      </c>
      <c r="X39" s="8" t="str">
        <f>IFERROR(W39/W444, "NA")</f>
        <v>NA</v>
      </c>
      <c r="Y39" s="9"/>
      <c r="Z39" s="7">
        <v>0</v>
      </c>
      <c r="AA39" s="8" t="str">
        <f>IFERROR(Z39/Z444, "NA")</f>
        <v>NA</v>
      </c>
      <c r="AB39" s="9"/>
      <c r="AC39" s="10">
        <f t="shared" si="11"/>
        <v>0</v>
      </c>
      <c r="AD39" s="8" t="str">
        <f>IFERROR(AC39/AC444, "NA")</f>
        <v>NA</v>
      </c>
    </row>
    <row r="40" spans="1:30" ht="16.5" customHeight="1" x14ac:dyDescent="0.45">
      <c r="A40" s="13" t="s">
        <v>40</v>
      </c>
      <c r="B40" s="14">
        <f>IFERROR(B31+B32+B33+B34+B35+B36+B37+B38+B39, "NA")</f>
        <v>0</v>
      </c>
      <c r="C40" s="15" t="str">
        <f>IFERROR(B40/B444, "NA")</f>
        <v>NA</v>
      </c>
      <c r="D40" s="2"/>
      <c r="E40" s="14">
        <f>IFERROR(E31+E32+E33+E34+E35+E36+E37+E38+E39, "NA")</f>
        <v>0</v>
      </c>
      <c r="F40" s="15" t="str">
        <f>IFERROR(E40/E444, "NA")</f>
        <v>NA</v>
      </c>
      <c r="G40" s="2"/>
      <c r="H40" s="14">
        <f t="shared" si="8"/>
        <v>0</v>
      </c>
      <c r="I40" s="15" t="str">
        <f>IFERROR(H40/H444, "NA")</f>
        <v>NA</v>
      </c>
      <c r="J40" s="2"/>
      <c r="K40" s="14">
        <f>IFERROR(K31+K32+K33+K34+K35+K36+K37+K38+K39, "NA")</f>
        <v>0</v>
      </c>
      <c r="L40" s="15" t="str">
        <f>IFERROR(K40/K444, "NA")</f>
        <v>NA</v>
      </c>
      <c r="M40" s="2"/>
      <c r="N40" s="14">
        <f t="shared" si="9"/>
        <v>0</v>
      </c>
      <c r="O40" s="15" t="str">
        <f>IFERROR(N40/N444, "NA")</f>
        <v>NA</v>
      </c>
      <c r="P40" s="2"/>
      <c r="Q40" s="14">
        <f>IFERROR(Q31+Q32+Q33+Q34+Q35+Q36+Q37+Q38+Q39, "NA")</f>
        <v>0</v>
      </c>
      <c r="R40" s="15" t="str">
        <f>IFERROR(Q40/Q444, "NA")</f>
        <v>NA</v>
      </c>
      <c r="S40" s="2"/>
      <c r="T40" s="14">
        <f>IFERROR(T31+T32+T33+T34+T35+T36+T37+T38+T39, "NA")</f>
        <v>0</v>
      </c>
      <c r="U40" s="15" t="str">
        <f>IFERROR(T40/T444, "NA")</f>
        <v>NA</v>
      </c>
      <c r="V40" s="2"/>
      <c r="W40" s="14">
        <f t="shared" si="10"/>
        <v>0</v>
      </c>
      <c r="X40" s="15" t="str">
        <f>IFERROR(W40/W444, "NA")</f>
        <v>NA</v>
      </c>
      <c r="Y40" s="2"/>
      <c r="Z40" s="14">
        <f>IFERROR(Z31+Z32+Z33+Z34+Z35+Z36+Z37+Z38+Z39, "NA")</f>
        <v>0</v>
      </c>
      <c r="AA40" s="15" t="str">
        <f>IFERROR(Z40/Z444, "NA")</f>
        <v>NA</v>
      </c>
      <c r="AB40" s="2"/>
      <c r="AC40" s="14">
        <f t="shared" si="11"/>
        <v>0</v>
      </c>
      <c r="AD40" s="15" t="str">
        <f>IFERROR(AC40/AC444, "NA")</f>
        <v>NA</v>
      </c>
    </row>
    <row r="41" spans="1:30" ht="16.5" customHeight="1" x14ac:dyDescent="0.45">
      <c r="A41" s="11" t="s">
        <v>41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hidden="1" customHeight="1" x14ac:dyDescent="0.45">
      <c r="A42" s="12" t="s">
        <v>41</v>
      </c>
      <c r="B42" s="7">
        <v>0</v>
      </c>
      <c r="C42" s="8" t="str">
        <f>IFERROR(B42/B444, "NA")</f>
        <v>NA</v>
      </c>
      <c r="D42" s="9"/>
      <c r="E42" s="7">
        <v>0</v>
      </c>
      <c r="F42" s="8" t="str">
        <f>IFERROR(E42/E444, "NA")</f>
        <v>NA</v>
      </c>
      <c r="G42" s="9"/>
      <c r="H42" s="10">
        <f>IFERROR(B42-E42, "NA")</f>
        <v>0</v>
      </c>
      <c r="I42" s="8" t="str">
        <f>IFERROR(H42/H444, "NA")</f>
        <v>NA</v>
      </c>
      <c r="J42" s="9"/>
      <c r="K42" s="7">
        <v>0</v>
      </c>
      <c r="L42" s="8" t="str">
        <f>IFERROR(K42/K444, "NA")</f>
        <v>NA</v>
      </c>
      <c r="M42" s="9"/>
      <c r="N42" s="10">
        <f>IFERROR(B42-K42, "NA")</f>
        <v>0</v>
      </c>
      <c r="O42" s="8" t="str">
        <f>IFERROR(N42/N444, "NA")</f>
        <v>NA</v>
      </c>
      <c r="P42" s="9"/>
      <c r="Q42" s="7">
        <v>0</v>
      </c>
      <c r="R42" s="8" t="str">
        <f>IFERROR(Q42/Q444, "NA")</f>
        <v>NA</v>
      </c>
      <c r="S42" s="9"/>
      <c r="T42" s="7">
        <v>0</v>
      </c>
      <c r="U42" s="8" t="str">
        <f>IFERROR(T42/T444, "NA")</f>
        <v>NA</v>
      </c>
      <c r="V42" s="9"/>
      <c r="W42" s="10">
        <f>IFERROR(Q42-T42, "NA")</f>
        <v>0</v>
      </c>
      <c r="X42" s="8" t="str">
        <f>IFERROR(W42/W444, "NA")</f>
        <v>NA</v>
      </c>
      <c r="Y42" s="9"/>
      <c r="Z42" s="7">
        <v>0</v>
      </c>
      <c r="AA42" s="8" t="str">
        <f>IFERROR(Z42/Z444, "NA")</f>
        <v>NA</v>
      </c>
      <c r="AB42" s="9"/>
      <c r="AC42" s="10">
        <f>IFERROR(Q42-Z42, "NA")</f>
        <v>0</v>
      </c>
      <c r="AD42" s="8" t="str">
        <f>IFERROR(AC42/AC444, "NA")</f>
        <v>NA</v>
      </c>
    </row>
    <row r="43" spans="1:30" ht="16.5" hidden="1" customHeight="1" x14ac:dyDescent="0.45">
      <c r="A43" s="12" t="s">
        <v>42</v>
      </c>
      <c r="B43" s="7">
        <v>0</v>
      </c>
      <c r="C43" s="8" t="str">
        <f>IFERROR(B43/B444, "NA")</f>
        <v>NA</v>
      </c>
      <c r="D43" s="9"/>
      <c r="E43" s="7">
        <v>0</v>
      </c>
      <c r="F43" s="8" t="str">
        <f>IFERROR(E43/E444, "NA")</f>
        <v>NA</v>
      </c>
      <c r="G43" s="9"/>
      <c r="H43" s="10">
        <f>IFERROR(B43-E43, "NA")</f>
        <v>0</v>
      </c>
      <c r="I43" s="8" t="str">
        <f>IFERROR(H43/H444, "NA")</f>
        <v>NA</v>
      </c>
      <c r="J43" s="9"/>
      <c r="K43" s="7">
        <v>0</v>
      </c>
      <c r="L43" s="8" t="str">
        <f>IFERROR(K43/K444, "NA")</f>
        <v>NA</v>
      </c>
      <c r="M43" s="9"/>
      <c r="N43" s="10">
        <f>IFERROR(B43-K43, "NA")</f>
        <v>0</v>
      </c>
      <c r="O43" s="8" t="str">
        <f>IFERROR(N43/N444, "NA")</f>
        <v>NA</v>
      </c>
      <c r="P43" s="9"/>
      <c r="Q43" s="7">
        <v>0</v>
      </c>
      <c r="R43" s="8" t="str">
        <f>IFERROR(Q43/Q444, "NA")</f>
        <v>NA</v>
      </c>
      <c r="S43" s="9"/>
      <c r="T43" s="7">
        <v>0</v>
      </c>
      <c r="U43" s="8" t="str">
        <f>IFERROR(T43/T444, "NA")</f>
        <v>NA</v>
      </c>
      <c r="V43" s="9"/>
      <c r="W43" s="10">
        <f>IFERROR(Q43-T43, "NA")</f>
        <v>0</v>
      </c>
      <c r="X43" s="8" t="str">
        <f>IFERROR(W43/W444, "NA")</f>
        <v>NA</v>
      </c>
      <c r="Y43" s="9"/>
      <c r="Z43" s="7">
        <v>0</v>
      </c>
      <c r="AA43" s="8" t="str">
        <f>IFERROR(Z43/Z444, "NA")</f>
        <v>NA</v>
      </c>
      <c r="AB43" s="9"/>
      <c r="AC43" s="10">
        <f>IFERROR(Q43-Z43, "NA")</f>
        <v>0</v>
      </c>
      <c r="AD43" s="8" t="str">
        <f>IFERROR(AC43/AC444, "NA")</f>
        <v>NA</v>
      </c>
    </row>
    <row r="44" spans="1:30" ht="16.5" hidden="1" customHeight="1" x14ac:dyDescent="0.45">
      <c r="A44" s="12" t="s">
        <v>43</v>
      </c>
      <c r="B44" s="7">
        <v>0</v>
      </c>
      <c r="C44" s="8" t="str">
        <f>IFERROR(B44/B444, "NA")</f>
        <v>NA</v>
      </c>
      <c r="D44" s="9"/>
      <c r="E44" s="7">
        <v>0</v>
      </c>
      <c r="F44" s="8" t="str">
        <f>IFERROR(E44/E444, "NA")</f>
        <v>NA</v>
      </c>
      <c r="G44" s="9"/>
      <c r="H44" s="10">
        <f>IFERROR(B44-E44, "NA")</f>
        <v>0</v>
      </c>
      <c r="I44" s="8" t="str">
        <f>IFERROR(H44/H444, "NA")</f>
        <v>NA</v>
      </c>
      <c r="J44" s="9"/>
      <c r="K44" s="7">
        <v>0</v>
      </c>
      <c r="L44" s="8" t="str">
        <f>IFERROR(K44/K444, "NA")</f>
        <v>NA</v>
      </c>
      <c r="M44" s="9"/>
      <c r="N44" s="10">
        <f>IFERROR(B44-K44, "NA")</f>
        <v>0</v>
      </c>
      <c r="O44" s="8" t="str">
        <f>IFERROR(N44/N444, "NA")</f>
        <v>NA</v>
      </c>
      <c r="P44" s="9"/>
      <c r="Q44" s="7">
        <v>0</v>
      </c>
      <c r="R44" s="8" t="str">
        <f>IFERROR(Q44/Q444, "NA")</f>
        <v>NA</v>
      </c>
      <c r="S44" s="9"/>
      <c r="T44" s="7">
        <v>0</v>
      </c>
      <c r="U44" s="8" t="str">
        <f>IFERROR(T44/T444, "NA")</f>
        <v>NA</v>
      </c>
      <c r="V44" s="9"/>
      <c r="W44" s="10">
        <f>IFERROR(Q44-T44, "NA")</f>
        <v>0</v>
      </c>
      <c r="X44" s="8" t="str">
        <f>IFERROR(W44/W444, "NA")</f>
        <v>NA</v>
      </c>
      <c r="Y44" s="9"/>
      <c r="Z44" s="7">
        <v>0</v>
      </c>
      <c r="AA44" s="8" t="str">
        <f>IFERROR(Z44/Z444, "NA")</f>
        <v>NA</v>
      </c>
      <c r="AB44" s="9"/>
      <c r="AC44" s="10">
        <f>IFERROR(Q44-Z44, "NA")</f>
        <v>0</v>
      </c>
      <c r="AD44" s="8" t="str">
        <f>IFERROR(AC44/AC444, "NA")</f>
        <v>NA</v>
      </c>
    </row>
    <row r="45" spans="1:30" ht="16.5" customHeight="1" x14ac:dyDescent="0.45">
      <c r="A45" s="16" t="s">
        <v>44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45">
      <c r="A46" s="17" t="s">
        <v>44</v>
      </c>
      <c r="B46" s="7">
        <v>0</v>
      </c>
      <c r="C46" s="8" t="str">
        <f>IFERROR(B46/B444, "NA")</f>
        <v>NA</v>
      </c>
      <c r="D46" s="9"/>
      <c r="E46" s="7">
        <v>0</v>
      </c>
      <c r="F46" s="8" t="str">
        <f>IFERROR(E46/E444, "NA")</f>
        <v>NA</v>
      </c>
      <c r="G46" s="9"/>
      <c r="H46" s="10">
        <f t="shared" ref="H46:H62" si="12">IFERROR(B46-E46, "NA")</f>
        <v>0</v>
      </c>
      <c r="I46" s="8" t="str">
        <f>IFERROR(H46/H444, "NA")</f>
        <v>NA</v>
      </c>
      <c r="J46" s="9"/>
      <c r="K46" s="7">
        <v>0</v>
      </c>
      <c r="L46" s="8" t="str">
        <f>IFERROR(K46/K444, "NA")</f>
        <v>NA</v>
      </c>
      <c r="M46" s="9"/>
      <c r="N46" s="10">
        <f t="shared" ref="N46:N62" si="13">IFERROR(B46-K46, "NA")</f>
        <v>0</v>
      </c>
      <c r="O46" s="8" t="str">
        <f>IFERROR(N46/N444, "NA")</f>
        <v>NA</v>
      </c>
      <c r="P46" s="9"/>
      <c r="Q46" s="7">
        <v>0</v>
      </c>
      <c r="R46" s="8" t="str">
        <f>IFERROR(Q46/Q444, "NA")</f>
        <v>NA</v>
      </c>
      <c r="S46" s="9"/>
      <c r="T46" s="7">
        <v>0</v>
      </c>
      <c r="U46" s="8" t="str">
        <f>IFERROR(T46/T444, "NA")</f>
        <v>NA</v>
      </c>
      <c r="V46" s="9"/>
      <c r="W46" s="10">
        <f t="shared" ref="W46:W62" si="14">IFERROR(Q46-T46, "NA")</f>
        <v>0</v>
      </c>
      <c r="X46" s="8" t="str">
        <f>IFERROR(W46/W444, "NA")</f>
        <v>NA</v>
      </c>
      <c r="Y46" s="9"/>
      <c r="Z46" s="7">
        <v>0</v>
      </c>
      <c r="AA46" s="8" t="str">
        <f>IFERROR(Z46/Z444, "NA")</f>
        <v>NA</v>
      </c>
      <c r="AB46" s="9"/>
      <c r="AC46" s="10">
        <f t="shared" ref="AC46:AC62" si="15">IFERROR(Q46-Z46, "NA")</f>
        <v>0</v>
      </c>
      <c r="AD46" s="8" t="str">
        <f>IFERROR(AC46/AC444, "NA")</f>
        <v>NA</v>
      </c>
    </row>
    <row r="47" spans="1:30" ht="16.5" hidden="1" customHeight="1" x14ac:dyDescent="0.45">
      <c r="A47" s="17" t="s">
        <v>45</v>
      </c>
      <c r="B47" s="7">
        <v>0</v>
      </c>
      <c r="C47" s="8" t="str">
        <f>IFERROR(B47/B444, "NA")</f>
        <v>NA</v>
      </c>
      <c r="D47" s="9"/>
      <c r="E47" s="7">
        <v>0</v>
      </c>
      <c r="F47" s="8" t="str">
        <f>IFERROR(E47/E444, "NA")</f>
        <v>NA</v>
      </c>
      <c r="G47" s="9"/>
      <c r="H47" s="10">
        <f t="shared" si="12"/>
        <v>0</v>
      </c>
      <c r="I47" s="8" t="str">
        <f>IFERROR(H47/H444, "NA")</f>
        <v>NA</v>
      </c>
      <c r="J47" s="9"/>
      <c r="K47" s="7">
        <v>0</v>
      </c>
      <c r="L47" s="8" t="str">
        <f>IFERROR(K47/K444, "NA")</f>
        <v>NA</v>
      </c>
      <c r="M47" s="9"/>
      <c r="N47" s="10">
        <f t="shared" si="13"/>
        <v>0</v>
      </c>
      <c r="O47" s="8" t="str">
        <f>IFERROR(N47/N444, "NA")</f>
        <v>NA</v>
      </c>
      <c r="P47" s="9"/>
      <c r="Q47" s="7">
        <v>0</v>
      </c>
      <c r="R47" s="8" t="str">
        <f>IFERROR(Q47/Q444, "NA")</f>
        <v>NA</v>
      </c>
      <c r="S47" s="9"/>
      <c r="T47" s="7">
        <v>0</v>
      </c>
      <c r="U47" s="8" t="str">
        <f>IFERROR(T47/T444, "NA")</f>
        <v>NA</v>
      </c>
      <c r="V47" s="9"/>
      <c r="W47" s="10">
        <f t="shared" si="14"/>
        <v>0</v>
      </c>
      <c r="X47" s="8" t="str">
        <f>IFERROR(W47/W444, "NA")</f>
        <v>NA</v>
      </c>
      <c r="Y47" s="9"/>
      <c r="Z47" s="7">
        <v>0</v>
      </c>
      <c r="AA47" s="8" t="str">
        <f>IFERROR(Z47/Z444, "NA")</f>
        <v>NA</v>
      </c>
      <c r="AB47" s="9"/>
      <c r="AC47" s="10">
        <f t="shared" si="15"/>
        <v>0</v>
      </c>
      <c r="AD47" s="8" t="str">
        <f>IFERROR(AC47/AC444, "NA")</f>
        <v>NA</v>
      </c>
    </row>
    <row r="48" spans="1:30" ht="16.5" hidden="1" customHeight="1" x14ac:dyDescent="0.45">
      <c r="A48" s="17" t="s">
        <v>46</v>
      </c>
      <c r="B48" s="7">
        <v>0</v>
      </c>
      <c r="C48" s="8" t="str">
        <f>IFERROR(B48/B444, "NA")</f>
        <v>NA</v>
      </c>
      <c r="D48" s="9"/>
      <c r="E48" s="7">
        <v>0</v>
      </c>
      <c r="F48" s="8" t="str">
        <f>IFERROR(E48/E444, "NA")</f>
        <v>NA</v>
      </c>
      <c r="G48" s="9"/>
      <c r="H48" s="10">
        <f t="shared" si="12"/>
        <v>0</v>
      </c>
      <c r="I48" s="8" t="str">
        <f>IFERROR(H48/H444, "NA")</f>
        <v>NA</v>
      </c>
      <c r="J48" s="9"/>
      <c r="K48" s="7">
        <v>0</v>
      </c>
      <c r="L48" s="8" t="str">
        <f>IFERROR(K48/K444, "NA")</f>
        <v>NA</v>
      </c>
      <c r="M48" s="9"/>
      <c r="N48" s="10">
        <f t="shared" si="13"/>
        <v>0</v>
      </c>
      <c r="O48" s="8" t="str">
        <f>IFERROR(N48/N444, "NA")</f>
        <v>NA</v>
      </c>
      <c r="P48" s="9"/>
      <c r="Q48" s="7">
        <v>0</v>
      </c>
      <c r="R48" s="8" t="str">
        <f>IFERROR(Q48/Q444, "NA")</f>
        <v>NA</v>
      </c>
      <c r="S48" s="9"/>
      <c r="T48" s="7">
        <v>0</v>
      </c>
      <c r="U48" s="8" t="str">
        <f>IFERROR(T48/T444, "NA")</f>
        <v>NA</v>
      </c>
      <c r="V48" s="9"/>
      <c r="W48" s="10">
        <f t="shared" si="14"/>
        <v>0</v>
      </c>
      <c r="X48" s="8" t="str">
        <f>IFERROR(W48/W444, "NA")</f>
        <v>NA</v>
      </c>
      <c r="Y48" s="9"/>
      <c r="Z48" s="7">
        <v>0</v>
      </c>
      <c r="AA48" s="8" t="str">
        <f>IFERROR(Z48/Z444, "NA")</f>
        <v>NA</v>
      </c>
      <c r="AB48" s="9"/>
      <c r="AC48" s="10">
        <f t="shared" si="15"/>
        <v>0</v>
      </c>
      <c r="AD48" s="8" t="str">
        <f>IFERROR(AC48/AC444, "NA")</f>
        <v>NA</v>
      </c>
    </row>
    <row r="49" spans="1:30" ht="16.5" hidden="1" customHeight="1" x14ac:dyDescent="0.45">
      <c r="A49" s="17" t="s">
        <v>47</v>
      </c>
      <c r="B49" s="7">
        <v>0</v>
      </c>
      <c r="C49" s="8" t="str">
        <f>IFERROR(B49/B444, "NA")</f>
        <v>NA</v>
      </c>
      <c r="D49" s="9"/>
      <c r="E49" s="7">
        <v>0</v>
      </c>
      <c r="F49" s="8" t="str">
        <f>IFERROR(E49/E444, "NA")</f>
        <v>NA</v>
      </c>
      <c r="G49" s="9"/>
      <c r="H49" s="10">
        <f t="shared" si="12"/>
        <v>0</v>
      </c>
      <c r="I49" s="8" t="str">
        <f>IFERROR(H49/H444, "NA")</f>
        <v>NA</v>
      </c>
      <c r="J49" s="9"/>
      <c r="K49" s="7">
        <v>0</v>
      </c>
      <c r="L49" s="8" t="str">
        <f>IFERROR(K49/K444, "NA")</f>
        <v>NA</v>
      </c>
      <c r="M49" s="9"/>
      <c r="N49" s="10">
        <f t="shared" si="13"/>
        <v>0</v>
      </c>
      <c r="O49" s="8" t="str">
        <f>IFERROR(N49/N444, "NA")</f>
        <v>NA</v>
      </c>
      <c r="P49" s="9"/>
      <c r="Q49" s="7">
        <v>0</v>
      </c>
      <c r="R49" s="8" t="str">
        <f>IFERROR(Q49/Q444, "NA")</f>
        <v>NA</v>
      </c>
      <c r="S49" s="9"/>
      <c r="T49" s="7">
        <v>0</v>
      </c>
      <c r="U49" s="8" t="str">
        <f>IFERROR(T49/T444, "NA")</f>
        <v>NA</v>
      </c>
      <c r="V49" s="9"/>
      <c r="W49" s="10">
        <f t="shared" si="14"/>
        <v>0</v>
      </c>
      <c r="X49" s="8" t="str">
        <f>IFERROR(W49/W444, "NA")</f>
        <v>NA</v>
      </c>
      <c r="Y49" s="9"/>
      <c r="Z49" s="7">
        <v>0</v>
      </c>
      <c r="AA49" s="8" t="str">
        <f>IFERROR(Z49/Z444, "NA")</f>
        <v>NA</v>
      </c>
      <c r="AB49" s="9"/>
      <c r="AC49" s="10">
        <f t="shared" si="15"/>
        <v>0</v>
      </c>
      <c r="AD49" s="8" t="str">
        <f>IFERROR(AC49/AC444, "NA")</f>
        <v>NA</v>
      </c>
    </row>
    <row r="50" spans="1:30" ht="16.5" hidden="1" customHeight="1" x14ac:dyDescent="0.45">
      <c r="A50" s="17" t="s">
        <v>48</v>
      </c>
      <c r="B50" s="7">
        <v>0</v>
      </c>
      <c r="C50" s="8" t="str">
        <f>IFERROR(B50/B444, "NA")</f>
        <v>NA</v>
      </c>
      <c r="D50" s="9"/>
      <c r="E50" s="7">
        <v>0</v>
      </c>
      <c r="F50" s="8" t="str">
        <f>IFERROR(E50/E444, "NA")</f>
        <v>NA</v>
      </c>
      <c r="G50" s="9"/>
      <c r="H50" s="10">
        <f t="shared" si="12"/>
        <v>0</v>
      </c>
      <c r="I50" s="8" t="str">
        <f>IFERROR(H50/H444, "NA")</f>
        <v>NA</v>
      </c>
      <c r="J50" s="9"/>
      <c r="K50" s="7">
        <v>0</v>
      </c>
      <c r="L50" s="8" t="str">
        <f>IFERROR(K50/K444, "NA")</f>
        <v>NA</v>
      </c>
      <c r="M50" s="9"/>
      <c r="N50" s="10">
        <f t="shared" si="13"/>
        <v>0</v>
      </c>
      <c r="O50" s="8" t="str">
        <f>IFERROR(N50/N444, "NA")</f>
        <v>NA</v>
      </c>
      <c r="P50" s="9"/>
      <c r="Q50" s="7">
        <v>0</v>
      </c>
      <c r="R50" s="8" t="str">
        <f>IFERROR(Q50/Q444, "NA")</f>
        <v>NA</v>
      </c>
      <c r="S50" s="9"/>
      <c r="T50" s="7">
        <v>0</v>
      </c>
      <c r="U50" s="8" t="str">
        <f>IFERROR(T50/T444, "NA")</f>
        <v>NA</v>
      </c>
      <c r="V50" s="9"/>
      <c r="W50" s="10">
        <f t="shared" si="14"/>
        <v>0</v>
      </c>
      <c r="X50" s="8" t="str">
        <f>IFERROR(W50/W444, "NA")</f>
        <v>NA</v>
      </c>
      <c r="Y50" s="9"/>
      <c r="Z50" s="7">
        <v>0</v>
      </c>
      <c r="AA50" s="8" t="str">
        <f>IFERROR(Z50/Z444, "NA")</f>
        <v>NA</v>
      </c>
      <c r="AB50" s="9"/>
      <c r="AC50" s="10">
        <f t="shared" si="15"/>
        <v>0</v>
      </c>
      <c r="AD50" s="8" t="str">
        <f>IFERROR(AC50/AC444, "NA")</f>
        <v>NA</v>
      </c>
    </row>
    <row r="51" spans="1:30" ht="16.5" hidden="1" customHeight="1" x14ac:dyDescent="0.45">
      <c r="A51" s="17" t="s">
        <v>49</v>
      </c>
      <c r="B51" s="7">
        <v>0</v>
      </c>
      <c r="C51" s="8" t="str">
        <f>IFERROR(B51/B444, "NA")</f>
        <v>NA</v>
      </c>
      <c r="D51" s="9"/>
      <c r="E51" s="7">
        <v>0</v>
      </c>
      <c r="F51" s="8" t="str">
        <f>IFERROR(E51/E444, "NA")</f>
        <v>NA</v>
      </c>
      <c r="G51" s="9"/>
      <c r="H51" s="10">
        <f t="shared" si="12"/>
        <v>0</v>
      </c>
      <c r="I51" s="8" t="str">
        <f>IFERROR(H51/H444, "NA")</f>
        <v>NA</v>
      </c>
      <c r="J51" s="9"/>
      <c r="K51" s="7">
        <v>0</v>
      </c>
      <c r="L51" s="8" t="str">
        <f>IFERROR(K51/K444, "NA")</f>
        <v>NA</v>
      </c>
      <c r="M51" s="9"/>
      <c r="N51" s="10">
        <f t="shared" si="13"/>
        <v>0</v>
      </c>
      <c r="O51" s="8" t="str">
        <f>IFERROR(N51/N444, "NA")</f>
        <v>NA</v>
      </c>
      <c r="P51" s="9"/>
      <c r="Q51" s="7">
        <v>0</v>
      </c>
      <c r="R51" s="8" t="str">
        <f>IFERROR(Q51/Q444, "NA")</f>
        <v>NA</v>
      </c>
      <c r="S51" s="9"/>
      <c r="T51" s="7">
        <v>0</v>
      </c>
      <c r="U51" s="8" t="str">
        <f>IFERROR(T51/T444, "NA")</f>
        <v>NA</v>
      </c>
      <c r="V51" s="9"/>
      <c r="W51" s="10">
        <f t="shared" si="14"/>
        <v>0</v>
      </c>
      <c r="X51" s="8" t="str">
        <f>IFERROR(W51/W444, "NA")</f>
        <v>NA</v>
      </c>
      <c r="Y51" s="9"/>
      <c r="Z51" s="7">
        <v>0</v>
      </c>
      <c r="AA51" s="8" t="str">
        <f>IFERROR(Z51/Z444, "NA")</f>
        <v>NA</v>
      </c>
      <c r="AB51" s="9"/>
      <c r="AC51" s="10">
        <f t="shared" si="15"/>
        <v>0</v>
      </c>
      <c r="AD51" s="8" t="str">
        <f>IFERROR(AC51/AC444, "NA")</f>
        <v>NA</v>
      </c>
    </row>
    <row r="52" spans="1:30" ht="16.5" hidden="1" customHeight="1" x14ac:dyDescent="0.45">
      <c r="A52" s="17" t="s">
        <v>50</v>
      </c>
      <c r="B52" s="7">
        <v>0</v>
      </c>
      <c r="C52" s="8" t="str">
        <f>IFERROR(B52/B444, "NA")</f>
        <v>NA</v>
      </c>
      <c r="D52" s="9"/>
      <c r="E52" s="7">
        <v>0</v>
      </c>
      <c r="F52" s="8" t="str">
        <f>IFERROR(E52/E444, "NA")</f>
        <v>NA</v>
      </c>
      <c r="G52" s="9"/>
      <c r="H52" s="10">
        <f t="shared" si="12"/>
        <v>0</v>
      </c>
      <c r="I52" s="8" t="str">
        <f>IFERROR(H52/H444, "NA")</f>
        <v>NA</v>
      </c>
      <c r="J52" s="9"/>
      <c r="K52" s="7">
        <v>0</v>
      </c>
      <c r="L52" s="8" t="str">
        <f>IFERROR(K52/K444, "NA")</f>
        <v>NA</v>
      </c>
      <c r="M52" s="9"/>
      <c r="N52" s="10">
        <f t="shared" si="13"/>
        <v>0</v>
      </c>
      <c r="O52" s="8" t="str">
        <f>IFERROR(N52/N444, "NA")</f>
        <v>NA</v>
      </c>
      <c r="P52" s="9"/>
      <c r="Q52" s="7">
        <v>0</v>
      </c>
      <c r="R52" s="8" t="str">
        <f>IFERROR(Q52/Q444, "NA")</f>
        <v>NA</v>
      </c>
      <c r="S52" s="9"/>
      <c r="T52" s="7">
        <v>0</v>
      </c>
      <c r="U52" s="8" t="str">
        <f>IFERROR(T52/T444, "NA")</f>
        <v>NA</v>
      </c>
      <c r="V52" s="9"/>
      <c r="W52" s="10">
        <f t="shared" si="14"/>
        <v>0</v>
      </c>
      <c r="X52" s="8" t="str">
        <f>IFERROR(W52/W444, "NA")</f>
        <v>NA</v>
      </c>
      <c r="Y52" s="9"/>
      <c r="Z52" s="7">
        <v>0</v>
      </c>
      <c r="AA52" s="8" t="str">
        <f>IFERROR(Z52/Z444, "NA")</f>
        <v>NA</v>
      </c>
      <c r="AB52" s="9"/>
      <c r="AC52" s="10">
        <f t="shared" si="15"/>
        <v>0</v>
      </c>
      <c r="AD52" s="8" t="str">
        <f>IFERROR(AC52/AC444, "NA")</f>
        <v>NA</v>
      </c>
    </row>
    <row r="53" spans="1:30" ht="16.5" hidden="1" customHeight="1" x14ac:dyDescent="0.45">
      <c r="A53" s="17" t="s">
        <v>51</v>
      </c>
      <c r="B53" s="7">
        <v>0</v>
      </c>
      <c r="C53" s="8" t="str">
        <f>IFERROR(B53/B444, "NA")</f>
        <v>NA</v>
      </c>
      <c r="D53" s="9"/>
      <c r="E53" s="7">
        <v>0</v>
      </c>
      <c r="F53" s="8" t="str">
        <f>IFERROR(E53/E444, "NA")</f>
        <v>NA</v>
      </c>
      <c r="G53" s="9"/>
      <c r="H53" s="10">
        <f t="shared" si="12"/>
        <v>0</v>
      </c>
      <c r="I53" s="8" t="str">
        <f>IFERROR(H53/H444, "NA")</f>
        <v>NA</v>
      </c>
      <c r="J53" s="9"/>
      <c r="K53" s="7">
        <v>0</v>
      </c>
      <c r="L53" s="8" t="str">
        <f>IFERROR(K53/K444, "NA")</f>
        <v>NA</v>
      </c>
      <c r="M53" s="9"/>
      <c r="N53" s="10">
        <f t="shared" si="13"/>
        <v>0</v>
      </c>
      <c r="O53" s="8" t="str">
        <f>IFERROR(N53/N444, "NA")</f>
        <v>NA</v>
      </c>
      <c r="P53" s="9"/>
      <c r="Q53" s="7">
        <v>0</v>
      </c>
      <c r="R53" s="8" t="str">
        <f>IFERROR(Q53/Q444, "NA")</f>
        <v>NA</v>
      </c>
      <c r="S53" s="9"/>
      <c r="T53" s="7">
        <v>0</v>
      </c>
      <c r="U53" s="8" t="str">
        <f>IFERROR(T53/T444, "NA")</f>
        <v>NA</v>
      </c>
      <c r="V53" s="9"/>
      <c r="W53" s="10">
        <f t="shared" si="14"/>
        <v>0</v>
      </c>
      <c r="X53" s="8" t="str">
        <f>IFERROR(W53/W444, "NA")</f>
        <v>NA</v>
      </c>
      <c r="Y53" s="9"/>
      <c r="Z53" s="7">
        <v>0</v>
      </c>
      <c r="AA53" s="8" t="str">
        <f>IFERROR(Z53/Z444, "NA")</f>
        <v>NA</v>
      </c>
      <c r="AB53" s="9"/>
      <c r="AC53" s="10">
        <f t="shared" si="15"/>
        <v>0</v>
      </c>
      <c r="AD53" s="8" t="str">
        <f>IFERROR(AC53/AC444, "NA")</f>
        <v>NA</v>
      </c>
    </row>
    <row r="54" spans="1:30" ht="16.5" hidden="1" customHeight="1" x14ac:dyDescent="0.45">
      <c r="A54" s="17" t="s">
        <v>52</v>
      </c>
      <c r="B54" s="7">
        <v>0</v>
      </c>
      <c r="C54" s="8" t="str">
        <f>IFERROR(B54/B444, "NA")</f>
        <v>NA</v>
      </c>
      <c r="D54" s="9"/>
      <c r="E54" s="7">
        <v>0</v>
      </c>
      <c r="F54" s="8" t="str">
        <f>IFERROR(E54/E444, "NA")</f>
        <v>NA</v>
      </c>
      <c r="G54" s="9"/>
      <c r="H54" s="10">
        <f t="shared" si="12"/>
        <v>0</v>
      </c>
      <c r="I54" s="8" t="str">
        <f>IFERROR(H54/H444, "NA")</f>
        <v>NA</v>
      </c>
      <c r="J54" s="9"/>
      <c r="K54" s="7">
        <v>0</v>
      </c>
      <c r="L54" s="8" t="str">
        <f>IFERROR(K54/K444, "NA")</f>
        <v>NA</v>
      </c>
      <c r="M54" s="9"/>
      <c r="N54" s="10">
        <f t="shared" si="13"/>
        <v>0</v>
      </c>
      <c r="O54" s="8" t="str">
        <f>IFERROR(N54/N444, "NA")</f>
        <v>NA</v>
      </c>
      <c r="P54" s="9"/>
      <c r="Q54" s="7">
        <v>0</v>
      </c>
      <c r="R54" s="8" t="str">
        <f>IFERROR(Q54/Q444, "NA")</f>
        <v>NA</v>
      </c>
      <c r="S54" s="9"/>
      <c r="T54" s="7">
        <v>0</v>
      </c>
      <c r="U54" s="8" t="str">
        <f>IFERROR(T54/T444, "NA")</f>
        <v>NA</v>
      </c>
      <c r="V54" s="9"/>
      <c r="W54" s="10">
        <f t="shared" si="14"/>
        <v>0</v>
      </c>
      <c r="X54" s="8" t="str">
        <f>IFERROR(W54/W444, "NA")</f>
        <v>NA</v>
      </c>
      <c r="Y54" s="9"/>
      <c r="Z54" s="7">
        <v>0</v>
      </c>
      <c r="AA54" s="8" t="str">
        <f>IFERROR(Z54/Z444, "NA")</f>
        <v>NA</v>
      </c>
      <c r="AB54" s="9"/>
      <c r="AC54" s="10">
        <f t="shared" si="15"/>
        <v>0</v>
      </c>
      <c r="AD54" s="8" t="str">
        <f>IFERROR(AC54/AC444, "NA")</f>
        <v>NA</v>
      </c>
    </row>
    <row r="55" spans="1:30" ht="16.5" hidden="1" customHeight="1" x14ac:dyDescent="0.45">
      <c r="A55" s="17" t="s">
        <v>53</v>
      </c>
      <c r="B55" s="7">
        <v>0</v>
      </c>
      <c r="C55" s="8" t="str">
        <f>IFERROR(B55/B444, "NA")</f>
        <v>NA</v>
      </c>
      <c r="D55" s="9"/>
      <c r="E55" s="7">
        <v>0</v>
      </c>
      <c r="F55" s="8" t="str">
        <f>IFERROR(E55/E444, "NA")</f>
        <v>NA</v>
      </c>
      <c r="G55" s="9"/>
      <c r="H55" s="10">
        <f t="shared" si="12"/>
        <v>0</v>
      </c>
      <c r="I55" s="8" t="str">
        <f>IFERROR(H55/H444, "NA")</f>
        <v>NA</v>
      </c>
      <c r="J55" s="9"/>
      <c r="K55" s="7">
        <v>0</v>
      </c>
      <c r="L55" s="8" t="str">
        <f>IFERROR(K55/K444, "NA")</f>
        <v>NA</v>
      </c>
      <c r="M55" s="9"/>
      <c r="N55" s="10">
        <f t="shared" si="13"/>
        <v>0</v>
      </c>
      <c r="O55" s="8" t="str">
        <f>IFERROR(N55/N444, "NA")</f>
        <v>NA</v>
      </c>
      <c r="P55" s="9"/>
      <c r="Q55" s="7">
        <v>0</v>
      </c>
      <c r="R55" s="8" t="str">
        <f>IFERROR(Q55/Q444, "NA")</f>
        <v>NA</v>
      </c>
      <c r="S55" s="9"/>
      <c r="T55" s="7">
        <v>0</v>
      </c>
      <c r="U55" s="8" t="str">
        <f>IFERROR(T55/T444, "NA")</f>
        <v>NA</v>
      </c>
      <c r="V55" s="9"/>
      <c r="W55" s="10">
        <f t="shared" si="14"/>
        <v>0</v>
      </c>
      <c r="X55" s="8" t="str">
        <f>IFERROR(W55/W444, "NA")</f>
        <v>NA</v>
      </c>
      <c r="Y55" s="9"/>
      <c r="Z55" s="7">
        <v>0</v>
      </c>
      <c r="AA55" s="8" t="str">
        <f>IFERROR(Z55/Z444, "NA")</f>
        <v>NA</v>
      </c>
      <c r="AB55" s="9"/>
      <c r="AC55" s="10">
        <f t="shared" si="15"/>
        <v>0</v>
      </c>
      <c r="AD55" s="8" t="str">
        <f>IFERROR(AC55/AC444, "NA")</f>
        <v>NA</v>
      </c>
    </row>
    <row r="56" spans="1:30" ht="16.5" hidden="1" customHeight="1" x14ac:dyDescent="0.45">
      <c r="A56" s="17" t="s">
        <v>54</v>
      </c>
      <c r="B56" s="7">
        <v>0</v>
      </c>
      <c r="C56" s="8" t="str">
        <f>IFERROR(B56/B444, "NA")</f>
        <v>NA</v>
      </c>
      <c r="D56" s="9"/>
      <c r="E56" s="7">
        <v>0</v>
      </c>
      <c r="F56" s="8" t="str">
        <f>IFERROR(E56/E444, "NA")</f>
        <v>NA</v>
      </c>
      <c r="G56" s="9"/>
      <c r="H56" s="10">
        <f t="shared" si="12"/>
        <v>0</v>
      </c>
      <c r="I56" s="8" t="str">
        <f>IFERROR(H56/H444, "NA")</f>
        <v>NA</v>
      </c>
      <c r="J56" s="9"/>
      <c r="K56" s="7">
        <v>0</v>
      </c>
      <c r="L56" s="8" t="str">
        <f>IFERROR(K56/K444, "NA")</f>
        <v>NA</v>
      </c>
      <c r="M56" s="9"/>
      <c r="N56" s="10">
        <f t="shared" si="13"/>
        <v>0</v>
      </c>
      <c r="O56" s="8" t="str">
        <f>IFERROR(N56/N444, "NA")</f>
        <v>NA</v>
      </c>
      <c r="P56" s="9"/>
      <c r="Q56" s="7">
        <v>0</v>
      </c>
      <c r="R56" s="8" t="str">
        <f>IFERROR(Q56/Q444, "NA")</f>
        <v>NA</v>
      </c>
      <c r="S56" s="9"/>
      <c r="T56" s="7">
        <v>0</v>
      </c>
      <c r="U56" s="8" t="str">
        <f>IFERROR(T56/T444, "NA")</f>
        <v>NA</v>
      </c>
      <c r="V56" s="9"/>
      <c r="W56" s="10">
        <f t="shared" si="14"/>
        <v>0</v>
      </c>
      <c r="X56" s="8" t="str">
        <f>IFERROR(W56/W444, "NA")</f>
        <v>NA</v>
      </c>
      <c r="Y56" s="9"/>
      <c r="Z56" s="7">
        <v>0</v>
      </c>
      <c r="AA56" s="8" t="str">
        <f>IFERROR(Z56/Z444, "NA")</f>
        <v>NA</v>
      </c>
      <c r="AB56" s="9"/>
      <c r="AC56" s="10">
        <f t="shared" si="15"/>
        <v>0</v>
      </c>
      <c r="AD56" s="8" t="str">
        <f>IFERROR(AC56/AC444, "NA")</f>
        <v>NA</v>
      </c>
    </row>
    <row r="57" spans="1:30" ht="16.5" hidden="1" customHeight="1" x14ac:dyDescent="0.45">
      <c r="A57" s="17" t="s">
        <v>55</v>
      </c>
      <c r="B57" s="7">
        <v>0</v>
      </c>
      <c r="C57" s="8" t="str">
        <f>IFERROR(B57/B444, "NA")</f>
        <v>NA</v>
      </c>
      <c r="D57" s="9"/>
      <c r="E57" s="7">
        <v>0</v>
      </c>
      <c r="F57" s="8" t="str">
        <f>IFERROR(E57/E444, "NA")</f>
        <v>NA</v>
      </c>
      <c r="G57" s="9"/>
      <c r="H57" s="10">
        <f t="shared" si="12"/>
        <v>0</v>
      </c>
      <c r="I57" s="8" t="str">
        <f>IFERROR(H57/H444, "NA")</f>
        <v>NA</v>
      </c>
      <c r="J57" s="9"/>
      <c r="K57" s="7">
        <v>0</v>
      </c>
      <c r="L57" s="8" t="str">
        <f>IFERROR(K57/K444, "NA")</f>
        <v>NA</v>
      </c>
      <c r="M57" s="9"/>
      <c r="N57" s="10">
        <f t="shared" si="13"/>
        <v>0</v>
      </c>
      <c r="O57" s="8" t="str">
        <f>IFERROR(N57/N444, "NA")</f>
        <v>NA</v>
      </c>
      <c r="P57" s="9"/>
      <c r="Q57" s="7">
        <v>0</v>
      </c>
      <c r="R57" s="8" t="str">
        <f>IFERROR(Q57/Q444, "NA")</f>
        <v>NA</v>
      </c>
      <c r="S57" s="9"/>
      <c r="T57" s="7">
        <v>0</v>
      </c>
      <c r="U57" s="8" t="str">
        <f>IFERROR(T57/T444, "NA")</f>
        <v>NA</v>
      </c>
      <c r="V57" s="9"/>
      <c r="W57" s="10">
        <f t="shared" si="14"/>
        <v>0</v>
      </c>
      <c r="X57" s="8" t="str">
        <f>IFERROR(W57/W444, "NA")</f>
        <v>NA</v>
      </c>
      <c r="Y57" s="9"/>
      <c r="Z57" s="7">
        <v>0</v>
      </c>
      <c r="AA57" s="8" t="str">
        <f>IFERROR(Z57/Z444, "NA")</f>
        <v>NA</v>
      </c>
      <c r="AB57" s="9"/>
      <c r="AC57" s="10">
        <f t="shared" si="15"/>
        <v>0</v>
      </c>
      <c r="AD57" s="8" t="str">
        <f>IFERROR(AC57/AC444, "NA")</f>
        <v>NA</v>
      </c>
    </row>
    <row r="58" spans="1:30" ht="16.5" hidden="1" customHeight="1" x14ac:dyDescent="0.45">
      <c r="A58" s="17" t="s">
        <v>56</v>
      </c>
      <c r="B58" s="7">
        <v>0</v>
      </c>
      <c r="C58" s="8" t="str">
        <f>IFERROR(B58/B444, "NA")</f>
        <v>NA</v>
      </c>
      <c r="D58" s="9"/>
      <c r="E58" s="7">
        <v>0</v>
      </c>
      <c r="F58" s="8" t="str">
        <f>IFERROR(E58/E444, "NA")</f>
        <v>NA</v>
      </c>
      <c r="G58" s="9"/>
      <c r="H58" s="10">
        <f t="shared" si="12"/>
        <v>0</v>
      </c>
      <c r="I58" s="8" t="str">
        <f>IFERROR(H58/H444, "NA")</f>
        <v>NA</v>
      </c>
      <c r="J58" s="9"/>
      <c r="K58" s="7">
        <v>0</v>
      </c>
      <c r="L58" s="8" t="str">
        <f>IFERROR(K58/K444, "NA")</f>
        <v>NA</v>
      </c>
      <c r="M58" s="9"/>
      <c r="N58" s="10">
        <f t="shared" si="13"/>
        <v>0</v>
      </c>
      <c r="O58" s="8" t="str">
        <f>IFERROR(N58/N444, "NA")</f>
        <v>NA</v>
      </c>
      <c r="P58" s="9"/>
      <c r="Q58" s="7">
        <v>0</v>
      </c>
      <c r="R58" s="8" t="str">
        <f>IFERROR(Q58/Q444, "NA")</f>
        <v>NA</v>
      </c>
      <c r="S58" s="9"/>
      <c r="T58" s="7">
        <v>0</v>
      </c>
      <c r="U58" s="8" t="str">
        <f>IFERROR(T58/T444, "NA")</f>
        <v>NA</v>
      </c>
      <c r="V58" s="9"/>
      <c r="W58" s="10">
        <f t="shared" si="14"/>
        <v>0</v>
      </c>
      <c r="X58" s="8" t="str">
        <f>IFERROR(W58/W444, "NA")</f>
        <v>NA</v>
      </c>
      <c r="Y58" s="9"/>
      <c r="Z58" s="7">
        <v>0</v>
      </c>
      <c r="AA58" s="8" t="str">
        <f>IFERROR(Z58/Z444, "NA")</f>
        <v>NA</v>
      </c>
      <c r="AB58" s="9"/>
      <c r="AC58" s="10">
        <f t="shared" si="15"/>
        <v>0</v>
      </c>
      <c r="AD58" s="8" t="str">
        <f>IFERROR(AC58/AC444, "NA")</f>
        <v>NA</v>
      </c>
    </row>
    <row r="59" spans="1:30" ht="16.5" hidden="1" customHeight="1" x14ac:dyDescent="0.45">
      <c r="A59" s="17" t="s">
        <v>57</v>
      </c>
      <c r="B59" s="7">
        <v>0</v>
      </c>
      <c r="C59" s="8" t="str">
        <f>IFERROR(B59/B444, "NA")</f>
        <v>NA</v>
      </c>
      <c r="D59" s="9"/>
      <c r="E59" s="7">
        <v>0</v>
      </c>
      <c r="F59" s="8" t="str">
        <f>IFERROR(E59/E444, "NA")</f>
        <v>NA</v>
      </c>
      <c r="G59" s="9"/>
      <c r="H59" s="10">
        <f t="shared" si="12"/>
        <v>0</v>
      </c>
      <c r="I59" s="8" t="str">
        <f>IFERROR(H59/H444, "NA")</f>
        <v>NA</v>
      </c>
      <c r="J59" s="9"/>
      <c r="K59" s="7">
        <v>0</v>
      </c>
      <c r="L59" s="8" t="str">
        <f>IFERROR(K59/K444, "NA")</f>
        <v>NA</v>
      </c>
      <c r="M59" s="9"/>
      <c r="N59" s="10">
        <f t="shared" si="13"/>
        <v>0</v>
      </c>
      <c r="O59" s="8" t="str">
        <f>IFERROR(N59/N444, "NA")</f>
        <v>NA</v>
      </c>
      <c r="P59" s="9"/>
      <c r="Q59" s="7">
        <v>0</v>
      </c>
      <c r="R59" s="8" t="str">
        <f>IFERROR(Q59/Q444, "NA")</f>
        <v>NA</v>
      </c>
      <c r="S59" s="9"/>
      <c r="T59" s="7">
        <v>0</v>
      </c>
      <c r="U59" s="8" t="str">
        <f>IFERROR(T59/T444, "NA")</f>
        <v>NA</v>
      </c>
      <c r="V59" s="9"/>
      <c r="W59" s="10">
        <f t="shared" si="14"/>
        <v>0</v>
      </c>
      <c r="X59" s="8" t="str">
        <f>IFERROR(W59/W444, "NA")</f>
        <v>NA</v>
      </c>
      <c r="Y59" s="9"/>
      <c r="Z59" s="7">
        <v>0</v>
      </c>
      <c r="AA59" s="8" t="str">
        <f>IFERROR(Z59/Z444, "NA")</f>
        <v>NA</v>
      </c>
      <c r="AB59" s="9"/>
      <c r="AC59" s="10">
        <f t="shared" si="15"/>
        <v>0</v>
      </c>
      <c r="AD59" s="8" t="str">
        <f>IFERROR(AC59/AC444, "NA")</f>
        <v>NA</v>
      </c>
    </row>
    <row r="60" spans="1:30" ht="16.5" hidden="1" customHeight="1" x14ac:dyDescent="0.45">
      <c r="A60" s="17" t="s">
        <v>58</v>
      </c>
      <c r="B60" s="7">
        <v>0</v>
      </c>
      <c r="C60" s="8" t="str">
        <f>IFERROR(B60/B444, "NA")</f>
        <v>NA</v>
      </c>
      <c r="D60" s="9"/>
      <c r="E60" s="7">
        <v>0</v>
      </c>
      <c r="F60" s="8" t="str">
        <f>IFERROR(E60/E444, "NA")</f>
        <v>NA</v>
      </c>
      <c r="G60" s="9"/>
      <c r="H60" s="10">
        <f t="shared" si="12"/>
        <v>0</v>
      </c>
      <c r="I60" s="8" t="str">
        <f>IFERROR(H60/H444, "NA")</f>
        <v>NA</v>
      </c>
      <c r="J60" s="9"/>
      <c r="K60" s="7">
        <v>0</v>
      </c>
      <c r="L60" s="8" t="str">
        <f>IFERROR(K60/K444, "NA")</f>
        <v>NA</v>
      </c>
      <c r="M60" s="9"/>
      <c r="N60" s="10">
        <f t="shared" si="13"/>
        <v>0</v>
      </c>
      <c r="O60" s="8" t="str">
        <f>IFERROR(N60/N444, "NA")</f>
        <v>NA</v>
      </c>
      <c r="P60" s="9"/>
      <c r="Q60" s="7">
        <v>0</v>
      </c>
      <c r="R60" s="8" t="str">
        <f>IFERROR(Q60/Q444, "NA")</f>
        <v>NA</v>
      </c>
      <c r="S60" s="9"/>
      <c r="T60" s="7">
        <v>0</v>
      </c>
      <c r="U60" s="8" t="str">
        <f>IFERROR(T60/T444, "NA")</f>
        <v>NA</v>
      </c>
      <c r="V60" s="9"/>
      <c r="W60" s="10">
        <f t="shared" si="14"/>
        <v>0</v>
      </c>
      <c r="X60" s="8" t="str">
        <f>IFERROR(W60/W444, "NA")</f>
        <v>NA</v>
      </c>
      <c r="Y60" s="9"/>
      <c r="Z60" s="7">
        <v>0</v>
      </c>
      <c r="AA60" s="8" t="str">
        <f>IFERROR(Z60/Z444, "NA")</f>
        <v>NA</v>
      </c>
      <c r="AB60" s="9"/>
      <c r="AC60" s="10">
        <f t="shared" si="15"/>
        <v>0</v>
      </c>
      <c r="AD60" s="8" t="str">
        <f>IFERROR(AC60/AC444, "NA")</f>
        <v>NA</v>
      </c>
    </row>
    <row r="61" spans="1:30" ht="16.5" customHeight="1" x14ac:dyDescent="0.45">
      <c r="A61" s="18" t="s">
        <v>59</v>
      </c>
      <c r="B61" s="14">
        <f>IFERROR(B46+B47+B48+B49+B50+B51+B52+B53+B54+B55+B56+B57+B58+B59+B60, "NA")</f>
        <v>0</v>
      </c>
      <c r="C61" s="15" t="str">
        <f>IFERROR(B61/B444, "NA")</f>
        <v>NA</v>
      </c>
      <c r="D61" s="2"/>
      <c r="E61" s="14">
        <f>IFERROR(E46+E47+E48+E49+E50+E51+E52+E53+E54+E55+E56+E57+E58+E59+E60, "NA")</f>
        <v>0</v>
      </c>
      <c r="F61" s="15" t="str">
        <f>IFERROR(E61/E444, "NA")</f>
        <v>NA</v>
      </c>
      <c r="G61" s="2"/>
      <c r="H61" s="14">
        <f t="shared" si="12"/>
        <v>0</v>
      </c>
      <c r="I61" s="15" t="str">
        <f>IFERROR(H61/H444, "NA")</f>
        <v>NA</v>
      </c>
      <c r="J61" s="2"/>
      <c r="K61" s="14">
        <f>IFERROR(K46+K47+K48+K49+K50+K51+K52+K53+K54+K55+K56+K57+K58+K59+K60, "NA")</f>
        <v>0</v>
      </c>
      <c r="L61" s="15" t="str">
        <f>IFERROR(K61/K444, "NA")</f>
        <v>NA</v>
      </c>
      <c r="M61" s="2"/>
      <c r="N61" s="14">
        <f t="shared" si="13"/>
        <v>0</v>
      </c>
      <c r="O61" s="15" t="str">
        <f>IFERROR(N61/N444, "NA")</f>
        <v>NA</v>
      </c>
      <c r="P61" s="2"/>
      <c r="Q61" s="14">
        <f>IFERROR(Q46+Q47+Q48+Q49+Q50+Q51+Q52+Q53+Q54+Q55+Q56+Q57+Q58+Q59+Q60, "NA")</f>
        <v>0</v>
      </c>
      <c r="R61" s="15" t="str">
        <f>IFERROR(Q61/Q444, "NA")</f>
        <v>NA</v>
      </c>
      <c r="S61" s="2"/>
      <c r="T61" s="14">
        <f>IFERROR(T46+T47+T48+T49+T50+T51+T52+T53+T54+T55+T56+T57+T58+T59+T60, "NA")</f>
        <v>0</v>
      </c>
      <c r="U61" s="15" t="str">
        <f>IFERROR(T61/T444, "NA")</f>
        <v>NA</v>
      </c>
      <c r="V61" s="2"/>
      <c r="W61" s="14">
        <f t="shared" si="14"/>
        <v>0</v>
      </c>
      <c r="X61" s="15" t="str">
        <f>IFERROR(W61/W444, "NA")</f>
        <v>NA</v>
      </c>
      <c r="Y61" s="2"/>
      <c r="Z61" s="14">
        <f>IFERROR(Z46+Z47+Z48+Z49+Z50+Z51+Z52+Z53+Z54+Z55+Z56+Z57+Z58+Z59+Z60, "NA")</f>
        <v>0</v>
      </c>
      <c r="AA61" s="15" t="str">
        <f>IFERROR(Z61/Z444, "NA")</f>
        <v>NA</v>
      </c>
      <c r="AB61" s="2"/>
      <c r="AC61" s="14">
        <f t="shared" si="15"/>
        <v>0</v>
      </c>
      <c r="AD61" s="15" t="str">
        <f>IFERROR(AC61/AC444, "NA")</f>
        <v>NA</v>
      </c>
    </row>
    <row r="62" spans="1:30" ht="16.5" customHeight="1" x14ac:dyDescent="0.45">
      <c r="A62" s="13" t="s">
        <v>60</v>
      </c>
      <c r="B62" s="14">
        <f>IFERROR(B42+B43+B44+B46+B47+B48+B49+B50+B51+B52+B53+B54+B55+B56+B57+B58+B59+B60, "NA")</f>
        <v>0</v>
      </c>
      <c r="C62" s="15" t="str">
        <f>IFERROR(B62/B444, "NA")</f>
        <v>NA</v>
      </c>
      <c r="D62" s="2"/>
      <c r="E62" s="14">
        <f>IFERROR(E42+E43+E44+E46+E47+E48+E49+E50+E51+E52+E53+E54+E55+E56+E57+E58+E59+E60, "NA")</f>
        <v>0</v>
      </c>
      <c r="F62" s="15" t="str">
        <f>IFERROR(E62/E444, "NA")</f>
        <v>NA</v>
      </c>
      <c r="G62" s="2"/>
      <c r="H62" s="14">
        <f t="shared" si="12"/>
        <v>0</v>
      </c>
      <c r="I62" s="15" t="str">
        <f>IFERROR(H62/H444, "NA")</f>
        <v>NA</v>
      </c>
      <c r="J62" s="2"/>
      <c r="K62" s="14">
        <f>IFERROR(K42+K43+K44+K46+K47+K48+K49+K50+K51+K52+K53+K54+K55+K56+K57+K58+K59+K60, "NA")</f>
        <v>0</v>
      </c>
      <c r="L62" s="15" t="str">
        <f>IFERROR(K62/K444, "NA")</f>
        <v>NA</v>
      </c>
      <c r="M62" s="2"/>
      <c r="N62" s="14">
        <f t="shared" si="13"/>
        <v>0</v>
      </c>
      <c r="O62" s="15" t="str">
        <f>IFERROR(N62/N444, "NA")</f>
        <v>NA</v>
      </c>
      <c r="P62" s="2"/>
      <c r="Q62" s="14">
        <f>IFERROR(Q42+Q43+Q44+Q46+Q47+Q48+Q49+Q50+Q51+Q52+Q53+Q54+Q55+Q56+Q57+Q58+Q59+Q60, "NA")</f>
        <v>0</v>
      </c>
      <c r="R62" s="15" t="str">
        <f>IFERROR(Q62/Q444, "NA")</f>
        <v>NA</v>
      </c>
      <c r="S62" s="2"/>
      <c r="T62" s="14">
        <f>IFERROR(T42+T43+T44+T46+T47+T48+T49+T50+T51+T52+T53+T54+T55+T56+T57+T58+T59+T60, "NA")</f>
        <v>0</v>
      </c>
      <c r="U62" s="15" t="str">
        <f>IFERROR(T62/T444, "NA")</f>
        <v>NA</v>
      </c>
      <c r="V62" s="2"/>
      <c r="W62" s="14">
        <f t="shared" si="14"/>
        <v>0</v>
      </c>
      <c r="X62" s="15" t="str">
        <f>IFERROR(W62/W444, "NA")</f>
        <v>NA</v>
      </c>
      <c r="Y62" s="2"/>
      <c r="Z62" s="14">
        <f>IFERROR(Z42+Z43+Z44+Z46+Z47+Z48+Z49+Z50+Z51+Z52+Z53+Z54+Z55+Z56+Z57+Z58+Z59+Z60, "NA")</f>
        <v>0</v>
      </c>
      <c r="AA62" s="15" t="str">
        <f>IFERROR(Z62/Z444, "NA")</f>
        <v>NA</v>
      </c>
      <c r="AB62" s="2"/>
      <c r="AC62" s="14">
        <f t="shared" si="15"/>
        <v>0</v>
      </c>
      <c r="AD62" s="15" t="str">
        <f>IFERROR(AC62/AC444, "NA")</f>
        <v>NA</v>
      </c>
    </row>
    <row r="63" spans="1:30" ht="16.5" customHeight="1" x14ac:dyDescent="0.45">
      <c r="A63" s="11" t="s">
        <v>61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hidden="1" customHeight="1" x14ac:dyDescent="0.45">
      <c r="A64" s="12" t="s">
        <v>61</v>
      </c>
      <c r="B64" s="7">
        <v>0</v>
      </c>
      <c r="C64" s="8" t="str">
        <f>IFERROR(B64/B444, "NA")</f>
        <v>NA</v>
      </c>
      <c r="D64" s="9"/>
      <c r="E64" s="7">
        <v>0</v>
      </c>
      <c r="F64" s="8" t="str">
        <f>IFERROR(E64/E444, "NA")</f>
        <v>NA</v>
      </c>
      <c r="G64" s="9"/>
      <c r="H64" s="10">
        <f t="shared" ref="H64:H73" si="16">IFERROR(B64-E64, "NA")</f>
        <v>0</v>
      </c>
      <c r="I64" s="8" t="str">
        <f>IFERROR(H64/H444, "NA")</f>
        <v>NA</v>
      </c>
      <c r="J64" s="9"/>
      <c r="K64" s="7">
        <v>0</v>
      </c>
      <c r="L64" s="8" t="str">
        <f>IFERROR(K64/K444, "NA")</f>
        <v>NA</v>
      </c>
      <c r="M64" s="9"/>
      <c r="N64" s="10">
        <f t="shared" ref="N64:N73" si="17">IFERROR(B64-K64, "NA")</f>
        <v>0</v>
      </c>
      <c r="O64" s="8" t="str">
        <f>IFERROR(N64/N444, "NA")</f>
        <v>NA</v>
      </c>
      <c r="P64" s="9"/>
      <c r="Q64" s="7">
        <v>0</v>
      </c>
      <c r="R64" s="8" t="str">
        <f>IFERROR(Q64/Q444, "NA")</f>
        <v>NA</v>
      </c>
      <c r="S64" s="9"/>
      <c r="T64" s="7">
        <v>0</v>
      </c>
      <c r="U64" s="8" t="str">
        <f>IFERROR(T64/T444, "NA")</f>
        <v>NA</v>
      </c>
      <c r="V64" s="9"/>
      <c r="W64" s="10">
        <f t="shared" ref="W64:W73" si="18">IFERROR(Q64-T64, "NA")</f>
        <v>0</v>
      </c>
      <c r="X64" s="8" t="str">
        <f>IFERROR(W64/W444, "NA")</f>
        <v>NA</v>
      </c>
      <c r="Y64" s="9"/>
      <c r="Z64" s="7">
        <v>0</v>
      </c>
      <c r="AA64" s="8" t="str">
        <f>IFERROR(Z64/Z444, "NA")</f>
        <v>NA</v>
      </c>
      <c r="AB64" s="9"/>
      <c r="AC64" s="10">
        <f t="shared" ref="AC64:AC73" si="19">IFERROR(Q64-Z64, "NA")</f>
        <v>0</v>
      </c>
      <c r="AD64" s="8" t="str">
        <f>IFERROR(AC64/AC444, "NA")</f>
        <v>NA</v>
      </c>
    </row>
    <row r="65" spans="1:30" ht="16.5" hidden="1" customHeight="1" x14ac:dyDescent="0.45">
      <c r="A65" s="12" t="s">
        <v>62</v>
      </c>
      <c r="B65" s="7">
        <v>0</v>
      </c>
      <c r="C65" s="8" t="str">
        <f>IFERROR(B65/B444, "NA")</f>
        <v>NA</v>
      </c>
      <c r="D65" s="9"/>
      <c r="E65" s="7">
        <v>0</v>
      </c>
      <c r="F65" s="8" t="str">
        <f>IFERROR(E65/E444, "NA")</f>
        <v>NA</v>
      </c>
      <c r="G65" s="9"/>
      <c r="H65" s="10">
        <f t="shared" si="16"/>
        <v>0</v>
      </c>
      <c r="I65" s="8" t="str">
        <f>IFERROR(H65/H444, "NA")</f>
        <v>NA</v>
      </c>
      <c r="J65" s="9"/>
      <c r="K65" s="7">
        <v>0</v>
      </c>
      <c r="L65" s="8" t="str">
        <f>IFERROR(K65/K444, "NA")</f>
        <v>NA</v>
      </c>
      <c r="M65" s="9"/>
      <c r="N65" s="10">
        <f t="shared" si="17"/>
        <v>0</v>
      </c>
      <c r="O65" s="8" t="str">
        <f>IFERROR(N65/N444, "NA")</f>
        <v>NA</v>
      </c>
      <c r="P65" s="9"/>
      <c r="Q65" s="7">
        <v>0</v>
      </c>
      <c r="R65" s="8" t="str">
        <f>IFERROR(Q65/Q444, "NA")</f>
        <v>NA</v>
      </c>
      <c r="S65" s="9"/>
      <c r="T65" s="7">
        <v>0</v>
      </c>
      <c r="U65" s="8" t="str">
        <f>IFERROR(T65/T444, "NA")</f>
        <v>NA</v>
      </c>
      <c r="V65" s="9"/>
      <c r="W65" s="10">
        <f t="shared" si="18"/>
        <v>0</v>
      </c>
      <c r="X65" s="8" t="str">
        <f>IFERROR(W65/W444, "NA")</f>
        <v>NA</v>
      </c>
      <c r="Y65" s="9"/>
      <c r="Z65" s="7">
        <v>0</v>
      </c>
      <c r="AA65" s="8" t="str">
        <f>IFERROR(Z65/Z444, "NA")</f>
        <v>NA</v>
      </c>
      <c r="AB65" s="9"/>
      <c r="AC65" s="10">
        <f t="shared" si="19"/>
        <v>0</v>
      </c>
      <c r="AD65" s="8" t="str">
        <f>IFERROR(AC65/AC444, "NA")</f>
        <v>NA</v>
      </c>
    </row>
    <row r="66" spans="1:30" ht="16.5" hidden="1" customHeight="1" x14ac:dyDescent="0.45">
      <c r="A66" s="12" t="s">
        <v>63</v>
      </c>
      <c r="B66" s="7">
        <v>0</v>
      </c>
      <c r="C66" s="8" t="str">
        <f>IFERROR(B66/B444, "NA")</f>
        <v>NA</v>
      </c>
      <c r="D66" s="9"/>
      <c r="E66" s="7">
        <v>0</v>
      </c>
      <c r="F66" s="8" t="str">
        <f>IFERROR(E66/E444, "NA")</f>
        <v>NA</v>
      </c>
      <c r="G66" s="9"/>
      <c r="H66" s="10">
        <f t="shared" si="16"/>
        <v>0</v>
      </c>
      <c r="I66" s="8" t="str">
        <f>IFERROR(H66/H444, "NA")</f>
        <v>NA</v>
      </c>
      <c r="J66" s="9"/>
      <c r="K66" s="7">
        <v>0</v>
      </c>
      <c r="L66" s="8" t="str">
        <f>IFERROR(K66/K444, "NA")</f>
        <v>NA</v>
      </c>
      <c r="M66" s="9"/>
      <c r="N66" s="10">
        <f t="shared" si="17"/>
        <v>0</v>
      </c>
      <c r="O66" s="8" t="str">
        <f>IFERROR(N66/N444, "NA")</f>
        <v>NA</v>
      </c>
      <c r="P66" s="9"/>
      <c r="Q66" s="7">
        <v>0</v>
      </c>
      <c r="R66" s="8" t="str">
        <f>IFERROR(Q66/Q444, "NA")</f>
        <v>NA</v>
      </c>
      <c r="S66" s="9"/>
      <c r="T66" s="7">
        <v>0</v>
      </c>
      <c r="U66" s="8" t="str">
        <f>IFERROR(T66/T444, "NA")</f>
        <v>NA</v>
      </c>
      <c r="V66" s="9"/>
      <c r="W66" s="10">
        <f t="shared" si="18"/>
        <v>0</v>
      </c>
      <c r="X66" s="8" t="str">
        <f>IFERROR(W66/W444, "NA")</f>
        <v>NA</v>
      </c>
      <c r="Y66" s="9"/>
      <c r="Z66" s="7">
        <v>0</v>
      </c>
      <c r="AA66" s="8" t="str">
        <f>IFERROR(Z66/Z444, "NA")</f>
        <v>NA</v>
      </c>
      <c r="AB66" s="9"/>
      <c r="AC66" s="10">
        <f t="shared" si="19"/>
        <v>0</v>
      </c>
      <c r="AD66" s="8" t="str">
        <f>IFERROR(AC66/AC444, "NA")</f>
        <v>NA</v>
      </c>
    </row>
    <row r="67" spans="1:30" ht="16.5" hidden="1" customHeight="1" x14ac:dyDescent="0.45">
      <c r="A67" s="12" t="s">
        <v>64</v>
      </c>
      <c r="B67" s="7">
        <v>0</v>
      </c>
      <c r="C67" s="8" t="str">
        <f>IFERROR(B67/B444, "NA")</f>
        <v>NA</v>
      </c>
      <c r="D67" s="9"/>
      <c r="E67" s="7">
        <v>0</v>
      </c>
      <c r="F67" s="8" t="str">
        <f>IFERROR(E67/E444, "NA")</f>
        <v>NA</v>
      </c>
      <c r="G67" s="9"/>
      <c r="H67" s="10">
        <f t="shared" si="16"/>
        <v>0</v>
      </c>
      <c r="I67" s="8" t="str">
        <f>IFERROR(H67/H444, "NA")</f>
        <v>NA</v>
      </c>
      <c r="J67" s="9"/>
      <c r="K67" s="7">
        <v>0</v>
      </c>
      <c r="L67" s="8" t="str">
        <f>IFERROR(K67/K444, "NA")</f>
        <v>NA</v>
      </c>
      <c r="M67" s="9"/>
      <c r="N67" s="10">
        <f t="shared" si="17"/>
        <v>0</v>
      </c>
      <c r="O67" s="8" t="str">
        <f>IFERROR(N67/N444, "NA")</f>
        <v>NA</v>
      </c>
      <c r="P67" s="9"/>
      <c r="Q67" s="7">
        <v>0</v>
      </c>
      <c r="R67" s="8" t="str">
        <f>IFERROR(Q67/Q444, "NA")</f>
        <v>NA</v>
      </c>
      <c r="S67" s="9"/>
      <c r="T67" s="7">
        <v>0</v>
      </c>
      <c r="U67" s="8" t="str">
        <f>IFERROR(T67/T444, "NA")</f>
        <v>NA</v>
      </c>
      <c r="V67" s="9"/>
      <c r="W67" s="10">
        <f t="shared" si="18"/>
        <v>0</v>
      </c>
      <c r="X67" s="8" t="str">
        <f>IFERROR(W67/W444, "NA")</f>
        <v>NA</v>
      </c>
      <c r="Y67" s="9"/>
      <c r="Z67" s="7">
        <v>0</v>
      </c>
      <c r="AA67" s="8" t="str">
        <f>IFERROR(Z67/Z444, "NA")</f>
        <v>NA</v>
      </c>
      <c r="AB67" s="9"/>
      <c r="AC67" s="10">
        <f t="shared" si="19"/>
        <v>0</v>
      </c>
      <c r="AD67" s="8" t="str">
        <f>IFERROR(AC67/AC444, "NA")</f>
        <v>NA</v>
      </c>
    </row>
    <row r="68" spans="1:30" ht="16.5" hidden="1" customHeight="1" x14ac:dyDescent="0.45">
      <c r="A68" s="12" t="s">
        <v>65</v>
      </c>
      <c r="B68" s="7">
        <v>0</v>
      </c>
      <c r="C68" s="8" t="str">
        <f>IFERROR(B68/B444, "NA")</f>
        <v>NA</v>
      </c>
      <c r="D68" s="9"/>
      <c r="E68" s="7">
        <v>0</v>
      </c>
      <c r="F68" s="8" t="str">
        <f>IFERROR(E68/E444, "NA")</f>
        <v>NA</v>
      </c>
      <c r="G68" s="9"/>
      <c r="H68" s="10">
        <f t="shared" si="16"/>
        <v>0</v>
      </c>
      <c r="I68" s="8" t="str">
        <f>IFERROR(H68/H444, "NA")</f>
        <v>NA</v>
      </c>
      <c r="J68" s="9"/>
      <c r="K68" s="7">
        <v>0</v>
      </c>
      <c r="L68" s="8" t="str">
        <f>IFERROR(K68/K444, "NA")</f>
        <v>NA</v>
      </c>
      <c r="M68" s="9"/>
      <c r="N68" s="10">
        <f t="shared" si="17"/>
        <v>0</v>
      </c>
      <c r="O68" s="8" t="str">
        <f>IFERROR(N68/N444, "NA")</f>
        <v>NA</v>
      </c>
      <c r="P68" s="9"/>
      <c r="Q68" s="7">
        <v>0</v>
      </c>
      <c r="R68" s="8" t="str">
        <f>IFERROR(Q68/Q444, "NA")</f>
        <v>NA</v>
      </c>
      <c r="S68" s="9"/>
      <c r="T68" s="7">
        <v>0</v>
      </c>
      <c r="U68" s="8" t="str">
        <f>IFERROR(T68/T444, "NA")</f>
        <v>NA</v>
      </c>
      <c r="V68" s="9"/>
      <c r="W68" s="10">
        <f t="shared" si="18"/>
        <v>0</v>
      </c>
      <c r="X68" s="8" t="str">
        <f>IFERROR(W68/W444, "NA")</f>
        <v>NA</v>
      </c>
      <c r="Y68" s="9"/>
      <c r="Z68" s="7">
        <v>0</v>
      </c>
      <c r="AA68" s="8" t="str">
        <f>IFERROR(Z68/Z444, "NA")</f>
        <v>NA</v>
      </c>
      <c r="AB68" s="9"/>
      <c r="AC68" s="10">
        <f t="shared" si="19"/>
        <v>0</v>
      </c>
      <c r="AD68" s="8" t="str">
        <f>IFERROR(AC68/AC444, "NA")</f>
        <v>NA</v>
      </c>
    </row>
    <row r="69" spans="1:30" ht="16.5" hidden="1" customHeight="1" x14ac:dyDescent="0.45">
      <c r="A69" s="12" t="s">
        <v>66</v>
      </c>
      <c r="B69" s="7">
        <v>0</v>
      </c>
      <c r="C69" s="8" t="str">
        <f>IFERROR(B69/B444, "NA")</f>
        <v>NA</v>
      </c>
      <c r="D69" s="9"/>
      <c r="E69" s="7">
        <v>0</v>
      </c>
      <c r="F69" s="8" t="str">
        <f>IFERROR(E69/E444, "NA")</f>
        <v>NA</v>
      </c>
      <c r="G69" s="9"/>
      <c r="H69" s="10">
        <f t="shared" si="16"/>
        <v>0</v>
      </c>
      <c r="I69" s="8" t="str">
        <f>IFERROR(H69/H444, "NA")</f>
        <v>NA</v>
      </c>
      <c r="J69" s="9"/>
      <c r="K69" s="7">
        <v>0</v>
      </c>
      <c r="L69" s="8" t="str">
        <f>IFERROR(K69/K444, "NA")</f>
        <v>NA</v>
      </c>
      <c r="M69" s="9"/>
      <c r="N69" s="10">
        <f t="shared" si="17"/>
        <v>0</v>
      </c>
      <c r="O69" s="8" t="str">
        <f>IFERROR(N69/N444, "NA")</f>
        <v>NA</v>
      </c>
      <c r="P69" s="9"/>
      <c r="Q69" s="7">
        <v>0</v>
      </c>
      <c r="R69" s="8" t="str">
        <f>IFERROR(Q69/Q444, "NA")</f>
        <v>NA</v>
      </c>
      <c r="S69" s="9"/>
      <c r="T69" s="7">
        <v>0</v>
      </c>
      <c r="U69" s="8" t="str">
        <f>IFERROR(T69/T444, "NA")</f>
        <v>NA</v>
      </c>
      <c r="V69" s="9"/>
      <c r="W69" s="10">
        <f t="shared" si="18"/>
        <v>0</v>
      </c>
      <c r="X69" s="8" t="str">
        <f>IFERROR(W69/W444, "NA")</f>
        <v>NA</v>
      </c>
      <c r="Y69" s="9"/>
      <c r="Z69" s="7">
        <v>0</v>
      </c>
      <c r="AA69" s="8" t="str">
        <f>IFERROR(Z69/Z444, "NA")</f>
        <v>NA</v>
      </c>
      <c r="AB69" s="9"/>
      <c r="AC69" s="10">
        <f t="shared" si="19"/>
        <v>0</v>
      </c>
      <c r="AD69" s="8" t="str">
        <f>IFERROR(AC69/AC444, "NA")</f>
        <v>NA</v>
      </c>
    </row>
    <row r="70" spans="1:30" ht="16.5" hidden="1" customHeight="1" x14ac:dyDescent="0.45">
      <c r="A70" s="12" t="s">
        <v>67</v>
      </c>
      <c r="B70" s="7">
        <v>0</v>
      </c>
      <c r="C70" s="8" t="str">
        <f>IFERROR(B70/B444, "NA")</f>
        <v>NA</v>
      </c>
      <c r="D70" s="9"/>
      <c r="E70" s="7">
        <v>0</v>
      </c>
      <c r="F70" s="8" t="str">
        <f>IFERROR(E70/E444, "NA")</f>
        <v>NA</v>
      </c>
      <c r="G70" s="9"/>
      <c r="H70" s="10">
        <f t="shared" si="16"/>
        <v>0</v>
      </c>
      <c r="I70" s="8" t="str">
        <f>IFERROR(H70/H444, "NA")</f>
        <v>NA</v>
      </c>
      <c r="J70" s="9"/>
      <c r="K70" s="7">
        <v>0</v>
      </c>
      <c r="L70" s="8" t="str">
        <f>IFERROR(K70/K444, "NA")</f>
        <v>NA</v>
      </c>
      <c r="M70" s="9"/>
      <c r="N70" s="10">
        <f t="shared" si="17"/>
        <v>0</v>
      </c>
      <c r="O70" s="8" t="str">
        <f>IFERROR(N70/N444, "NA")</f>
        <v>NA</v>
      </c>
      <c r="P70" s="9"/>
      <c r="Q70" s="7">
        <v>0</v>
      </c>
      <c r="R70" s="8" t="str">
        <f>IFERROR(Q70/Q444, "NA")</f>
        <v>NA</v>
      </c>
      <c r="S70" s="9"/>
      <c r="T70" s="7">
        <v>0</v>
      </c>
      <c r="U70" s="8" t="str">
        <f>IFERROR(T70/T444, "NA")</f>
        <v>NA</v>
      </c>
      <c r="V70" s="9"/>
      <c r="W70" s="10">
        <f t="shared" si="18"/>
        <v>0</v>
      </c>
      <c r="X70" s="8" t="str">
        <f>IFERROR(W70/W444, "NA")</f>
        <v>NA</v>
      </c>
      <c r="Y70" s="9"/>
      <c r="Z70" s="7">
        <v>0</v>
      </c>
      <c r="AA70" s="8" t="str">
        <f>IFERROR(Z70/Z444, "NA")</f>
        <v>NA</v>
      </c>
      <c r="AB70" s="9"/>
      <c r="AC70" s="10">
        <f t="shared" si="19"/>
        <v>0</v>
      </c>
      <c r="AD70" s="8" t="str">
        <f>IFERROR(AC70/AC444, "NA")</f>
        <v>NA</v>
      </c>
    </row>
    <row r="71" spans="1:30" ht="16.5" hidden="1" customHeight="1" x14ac:dyDescent="0.45">
      <c r="A71" s="12" t="s">
        <v>68</v>
      </c>
      <c r="B71" s="7">
        <v>0</v>
      </c>
      <c r="C71" s="8" t="str">
        <f>IFERROR(B71/B444, "NA")</f>
        <v>NA</v>
      </c>
      <c r="D71" s="9"/>
      <c r="E71" s="7">
        <v>0</v>
      </c>
      <c r="F71" s="8" t="str">
        <f>IFERROR(E71/E444, "NA")</f>
        <v>NA</v>
      </c>
      <c r="G71" s="9"/>
      <c r="H71" s="10">
        <f t="shared" si="16"/>
        <v>0</v>
      </c>
      <c r="I71" s="8" t="str">
        <f>IFERROR(H71/H444, "NA")</f>
        <v>NA</v>
      </c>
      <c r="J71" s="9"/>
      <c r="K71" s="7">
        <v>0</v>
      </c>
      <c r="L71" s="8" t="str">
        <f>IFERROR(K71/K444, "NA")</f>
        <v>NA</v>
      </c>
      <c r="M71" s="9"/>
      <c r="N71" s="10">
        <f t="shared" si="17"/>
        <v>0</v>
      </c>
      <c r="O71" s="8" t="str">
        <f>IFERROR(N71/N444, "NA")</f>
        <v>NA</v>
      </c>
      <c r="P71" s="9"/>
      <c r="Q71" s="7">
        <v>0</v>
      </c>
      <c r="R71" s="8" t="str">
        <f>IFERROR(Q71/Q444, "NA")</f>
        <v>NA</v>
      </c>
      <c r="S71" s="9"/>
      <c r="T71" s="7">
        <v>0</v>
      </c>
      <c r="U71" s="8" t="str">
        <f>IFERROR(T71/T444, "NA")</f>
        <v>NA</v>
      </c>
      <c r="V71" s="9"/>
      <c r="W71" s="10">
        <f t="shared" si="18"/>
        <v>0</v>
      </c>
      <c r="X71" s="8" t="str">
        <f>IFERROR(W71/W444, "NA")</f>
        <v>NA</v>
      </c>
      <c r="Y71" s="9"/>
      <c r="Z71" s="7">
        <v>0</v>
      </c>
      <c r="AA71" s="8" t="str">
        <f>IFERROR(Z71/Z444, "NA")</f>
        <v>NA</v>
      </c>
      <c r="AB71" s="9"/>
      <c r="AC71" s="10">
        <f t="shared" si="19"/>
        <v>0</v>
      </c>
      <c r="AD71" s="8" t="str">
        <f>IFERROR(AC71/AC444, "NA")</f>
        <v>NA</v>
      </c>
    </row>
    <row r="72" spans="1:30" ht="16.5" hidden="1" customHeight="1" x14ac:dyDescent="0.45">
      <c r="A72" s="12" t="s">
        <v>69</v>
      </c>
      <c r="B72" s="7">
        <v>0</v>
      </c>
      <c r="C72" s="8" t="str">
        <f>IFERROR(B72/B444, "NA")</f>
        <v>NA</v>
      </c>
      <c r="D72" s="9"/>
      <c r="E72" s="7">
        <v>0</v>
      </c>
      <c r="F72" s="8" t="str">
        <f>IFERROR(E72/E444, "NA")</f>
        <v>NA</v>
      </c>
      <c r="G72" s="9"/>
      <c r="H72" s="10">
        <f t="shared" si="16"/>
        <v>0</v>
      </c>
      <c r="I72" s="8" t="str">
        <f>IFERROR(H72/H444, "NA")</f>
        <v>NA</v>
      </c>
      <c r="J72" s="9"/>
      <c r="K72" s="7">
        <v>0</v>
      </c>
      <c r="L72" s="8" t="str">
        <f>IFERROR(K72/K444, "NA")</f>
        <v>NA</v>
      </c>
      <c r="M72" s="9"/>
      <c r="N72" s="10">
        <f t="shared" si="17"/>
        <v>0</v>
      </c>
      <c r="O72" s="8" t="str">
        <f>IFERROR(N72/N444, "NA")</f>
        <v>NA</v>
      </c>
      <c r="P72" s="9"/>
      <c r="Q72" s="7">
        <v>0</v>
      </c>
      <c r="R72" s="8" t="str">
        <f>IFERROR(Q72/Q444, "NA")</f>
        <v>NA</v>
      </c>
      <c r="S72" s="9"/>
      <c r="T72" s="7">
        <v>0</v>
      </c>
      <c r="U72" s="8" t="str">
        <f>IFERROR(T72/T444, "NA")</f>
        <v>NA</v>
      </c>
      <c r="V72" s="9"/>
      <c r="W72" s="10">
        <f t="shared" si="18"/>
        <v>0</v>
      </c>
      <c r="X72" s="8" t="str">
        <f>IFERROR(W72/W444, "NA")</f>
        <v>NA</v>
      </c>
      <c r="Y72" s="9"/>
      <c r="Z72" s="7">
        <v>0</v>
      </c>
      <c r="AA72" s="8" t="str">
        <f>IFERROR(Z72/Z444, "NA")</f>
        <v>NA</v>
      </c>
      <c r="AB72" s="9"/>
      <c r="AC72" s="10">
        <f t="shared" si="19"/>
        <v>0</v>
      </c>
      <c r="AD72" s="8" t="str">
        <f>IFERROR(AC72/AC444, "NA")</f>
        <v>NA</v>
      </c>
    </row>
    <row r="73" spans="1:30" ht="16.5" customHeight="1" x14ac:dyDescent="0.45">
      <c r="A73" s="13" t="s">
        <v>70</v>
      </c>
      <c r="B73" s="14">
        <f>IFERROR(B64+B65+B66+B67+B68+B69+B70+B71+B72, "NA")</f>
        <v>0</v>
      </c>
      <c r="C73" s="15" t="str">
        <f>IFERROR(B73/B444, "NA")</f>
        <v>NA</v>
      </c>
      <c r="D73" s="2"/>
      <c r="E73" s="14">
        <f>IFERROR(E64+E65+E66+E67+E68+E69+E70+E71+E72, "NA")</f>
        <v>0</v>
      </c>
      <c r="F73" s="15" t="str">
        <f>IFERROR(E73/E444, "NA")</f>
        <v>NA</v>
      </c>
      <c r="G73" s="2"/>
      <c r="H73" s="14">
        <f t="shared" si="16"/>
        <v>0</v>
      </c>
      <c r="I73" s="15" t="str">
        <f>IFERROR(H73/H444, "NA")</f>
        <v>NA</v>
      </c>
      <c r="J73" s="2"/>
      <c r="K73" s="14">
        <f>IFERROR(K64+K65+K66+K67+K68+K69+K70+K71+K72, "NA")</f>
        <v>0</v>
      </c>
      <c r="L73" s="15" t="str">
        <f>IFERROR(K73/K444, "NA")</f>
        <v>NA</v>
      </c>
      <c r="M73" s="2"/>
      <c r="N73" s="14">
        <f t="shared" si="17"/>
        <v>0</v>
      </c>
      <c r="O73" s="15" t="str">
        <f>IFERROR(N73/N444, "NA")</f>
        <v>NA</v>
      </c>
      <c r="P73" s="2"/>
      <c r="Q73" s="14">
        <f>IFERROR(Q64+Q65+Q66+Q67+Q68+Q69+Q70+Q71+Q72, "NA")</f>
        <v>0</v>
      </c>
      <c r="R73" s="15" t="str">
        <f>IFERROR(Q73/Q444, "NA")</f>
        <v>NA</v>
      </c>
      <c r="S73" s="2"/>
      <c r="T73" s="14">
        <f>IFERROR(T64+T65+T66+T67+T68+T69+T70+T71+T72, "NA")</f>
        <v>0</v>
      </c>
      <c r="U73" s="15" t="str">
        <f>IFERROR(T73/T444, "NA")</f>
        <v>NA</v>
      </c>
      <c r="V73" s="2"/>
      <c r="W73" s="14">
        <f t="shared" si="18"/>
        <v>0</v>
      </c>
      <c r="X73" s="15" t="str">
        <f>IFERROR(W73/W444, "NA")</f>
        <v>NA</v>
      </c>
      <c r="Y73" s="2"/>
      <c r="Z73" s="14">
        <f>IFERROR(Z64+Z65+Z66+Z67+Z68+Z69+Z70+Z71+Z72, "NA")</f>
        <v>0</v>
      </c>
      <c r="AA73" s="15" t="str">
        <f>IFERROR(Z73/Z444, "NA")</f>
        <v>NA</v>
      </c>
      <c r="AB73" s="2"/>
      <c r="AC73" s="14">
        <f t="shared" si="19"/>
        <v>0</v>
      </c>
      <c r="AD73" s="15" t="str">
        <f>IFERROR(AC73/AC444, "NA")</f>
        <v>NA</v>
      </c>
    </row>
    <row r="74" spans="1:30" ht="16.5" customHeight="1" x14ac:dyDescent="0.45">
      <c r="A74" s="11" t="s">
        <v>71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hidden="1" customHeight="1" x14ac:dyDescent="0.45">
      <c r="A75" s="12" t="s">
        <v>71</v>
      </c>
      <c r="B75" s="7">
        <v>0</v>
      </c>
      <c r="C75" s="8" t="str">
        <f>IFERROR(B75/B444, "NA")</f>
        <v>NA</v>
      </c>
      <c r="D75" s="9"/>
      <c r="E75" s="7">
        <v>0</v>
      </c>
      <c r="F75" s="8" t="str">
        <f>IFERROR(E75/E444, "NA")</f>
        <v>NA</v>
      </c>
      <c r="G75" s="9"/>
      <c r="H75" s="10">
        <f t="shared" ref="H75:H92" si="20">IFERROR(B75-E75, "NA")</f>
        <v>0</v>
      </c>
      <c r="I75" s="8" t="str">
        <f>IFERROR(H75/H444, "NA")</f>
        <v>NA</v>
      </c>
      <c r="J75" s="9"/>
      <c r="K75" s="7">
        <v>0</v>
      </c>
      <c r="L75" s="8" t="str">
        <f>IFERROR(K75/K444, "NA")</f>
        <v>NA</v>
      </c>
      <c r="M75" s="9"/>
      <c r="N75" s="10">
        <f t="shared" ref="N75:N92" si="21">IFERROR(B75-K75, "NA")</f>
        <v>0</v>
      </c>
      <c r="O75" s="8" t="str">
        <f>IFERROR(N75/N444, "NA")</f>
        <v>NA</v>
      </c>
      <c r="P75" s="9"/>
      <c r="Q75" s="7">
        <v>0</v>
      </c>
      <c r="R75" s="8" t="str">
        <f>IFERROR(Q75/Q444, "NA")</f>
        <v>NA</v>
      </c>
      <c r="S75" s="9"/>
      <c r="T75" s="7">
        <v>0</v>
      </c>
      <c r="U75" s="8" t="str">
        <f>IFERROR(T75/T444, "NA")</f>
        <v>NA</v>
      </c>
      <c r="V75" s="9"/>
      <c r="W75" s="10">
        <f t="shared" ref="W75:W92" si="22">IFERROR(Q75-T75, "NA")</f>
        <v>0</v>
      </c>
      <c r="X75" s="8" t="str">
        <f>IFERROR(W75/W444, "NA")</f>
        <v>NA</v>
      </c>
      <c r="Y75" s="9"/>
      <c r="Z75" s="7">
        <v>0</v>
      </c>
      <c r="AA75" s="8" t="str">
        <f>IFERROR(Z75/Z444, "NA")</f>
        <v>NA</v>
      </c>
      <c r="AB75" s="9"/>
      <c r="AC75" s="10">
        <f t="shared" ref="AC75:AC92" si="23">IFERROR(Q75-Z75, "NA")</f>
        <v>0</v>
      </c>
      <c r="AD75" s="8" t="str">
        <f>IFERROR(AC75/AC444, "NA")</f>
        <v>NA</v>
      </c>
    </row>
    <row r="76" spans="1:30" ht="16.5" hidden="1" customHeight="1" x14ac:dyDescent="0.45">
      <c r="A76" s="12" t="s">
        <v>72</v>
      </c>
      <c r="B76" s="7">
        <v>0</v>
      </c>
      <c r="C76" s="8" t="str">
        <f>IFERROR(B76/B444, "NA")</f>
        <v>NA</v>
      </c>
      <c r="D76" s="9"/>
      <c r="E76" s="7">
        <v>0</v>
      </c>
      <c r="F76" s="8" t="str">
        <f>IFERROR(E76/E444, "NA")</f>
        <v>NA</v>
      </c>
      <c r="G76" s="9"/>
      <c r="H76" s="10">
        <f t="shared" si="20"/>
        <v>0</v>
      </c>
      <c r="I76" s="8" t="str">
        <f>IFERROR(H76/H444, "NA")</f>
        <v>NA</v>
      </c>
      <c r="J76" s="9"/>
      <c r="K76" s="7">
        <v>0</v>
      </c>
      <c r="L76" s="8" t="str">
        <f>IFERROR(K76/K444, "NA")</f>
        <v>NA</v>
      </c>
      <c r="M76" s="9"/>
      <c r="N76" s="10">
        <f t="shared" si="21"/>
        <v>0</v>
      </c>
      <c r="O76" s="8" t="str">
        <f>IFERROR(N76/N444, "NA")</f>
        <v>NA</v>
      </c>
      <c r="P76" s="9"/>
      <c r="Q76" s="7">
        <v>0</v>
      </c>
      <c r="R76" s="8" t="str">
        <f>IFERROR(Q76/Q444, "NA")</f>
        <v>NA</v>
      </c>
      <c r="S76" s="9"/>
      <c r="T76" s="7">
        <v>0</v>
      </c>
      <c r="U76" s="8" t="str">
        <f>IFERROR(T76/T444, "NA")</f>
        <v>NA</v>
      </c>
      <c r="V76" s="9"/>
      <c r="W76" s="10">
        <f t="shared" si="22"/>
        <v>0</v>
      </c>
      <c r="X76" s="8" t="str">
        <f>IFERROR(W76/W444, "NA")</f>
        <v>NA</v>
      </c>
      <c r="Y76" s="9"/>
      <c r="Z76" s="7">
        <v>0</v>
      </c>
      <c r="AA76" s="8" t="str">
        <f>IFERROR(Z76/Z444, "NA")</f>
        <v>NA</v>
      </c>
      <c r="AB76" s="9"/>
      <c r="AC76" s="10">
        <f t="shared" si="23"/>
        <v>0</v>
      </c>
      <c r="AD76" s="8" t="str">
        <f>IFERROR(AC76/AC444, "NA")</f>
        <v>NA</v>
      </c>
    </row>
    <row r="77" spans="1:30" ht="16.5" hidden="1" customHeight="1" x14ac:dyDescent="0.45">
      <c r="A77" s="12" t="s">
        <v>73</v>
      </c>
      <c r="B77" s="7">
        <v>0</v>
      </c>
      <c r="C77" s="8" t="str">
        <f>IFERROR(B77/B444, "NA")</f>
        <v>NA</v>
      </c>
      <c r="D77" s="9"/>
      <c r="E77" s="7">
        <v>0</v>
      </c>
      <c r="F77" s="8" t="str">
        <f>IFERROR(E77/E444, "NA")</f>
        <v>NA</v>
      </c>
      <c r="G77" s="9"/>
      <c r="H77" s="10">
        <f t="shared" si="20"/>
        <v>0</v>
      </c>
      <c r="I77" s="8" t="str">
        <f>IFERROR(H77/H444, "NA")</f>
        <v>NA</v>
      </c>
      <c r="J77" s="9"/>
      <c r="K77" s="7">
        <v>0</v>
      </c>
      <c r="L77" s="8" t="str">
        <f>IFERROR(K77/K444, "NA")</f>
        <v>NA</v>
      </c>
      <c r="M77" s="9"/>
      <c r="N77" s="10">
        <f t="shared" si="21"/>
        <v>0</v>
      </c>
      <c r="O77" s="8" t="str">
        <f>IFERROR(N77/N444, "NA")</f>
        <v>NA</v>
      </c>
      <c r="P77" s="9"/>
      <c r="Q77" s="7">
        <v>0</v>
      </c>
      <c r="R77" s="8" t="str">
        <f>IFERROR(Q77/Q444, "NA")</f>
        <v>NA</v>
      </c>
      <c r="S77" s="9"/>
      <c r="T77" s="7">
        <v>0</v>
      </c>
      <c r="U77" s="8" t="str">
        <f>IFERROR(T77/T444, "NA")</f>
        <v>NA</v>
      </c>
      <c r="V77" s="9"/>
      <c r="W77" s="10">
        <f t="shared" si="22"/>
        <v>0</v>
      </c>
      <c r="X77" s="8" t="str">
        <f>IFERROR(W77/W444, "NA")</f>
        <v>NA</v>
      </c>
      <c r="Y77" s="9"/>
      <c r="Z77" s="7">
        <v>0</v>
      </c>
      <c r="AA77" s="8" t="str">
        <f>IFERROR(Z77/Z444, "NA")</f>
        <v>NA</v>
      </c>
      <c r="AB77" s="9"/>
      <c r="AC77" s="10">
        <f t="shared" si="23"/>
        <v>0</v>
      </c>
      <c r="AD77" s="8" t="str">
        <f>IFERROR(AC77/AC444, "NA")</f>
        <v>NA</v>
      </c>
    </row>
    <row r="78" spans="1:30" ht="16.5" hidden="1" customHeight="1" x14ac:dyDescent="0.45">
      <c r="A78" s="12" t="s">
        <v>74</v>
      </c>
      <c r="B78" s="7">
        <v>0</v>
      </c>
      <c r="C78" s="8" t="str">
        <f>IFERROR(B78/B444, "NA")</f>
        <v>NA</v>
      </c>
      <c r="D78" s="9"/>
      <c r="E78" s="7">
        <v>0</v>
      </c>
      <c r="F78" s="8" t="str">
        <f>IFERROR(E78/E444, "NA")</f>
        <v>NA</v>
      </c>
      <c r="G78" s="9"/>
      <c r="H78" s="10">
        <f t="shared" si="20"/>
        <v>0</v>
      </c>
      <c r="I78" s="8" t="str">
        <f>IFERROR(H78/H444, "NA")</f>
        <v>NA</v>
      </c>
      <c r="J78" s="9"/>
      <c r="K78" s="7">
        <v>0</v>
      </c>
      <c r="L78" s="8" t="str">
        <f>IFERROR(K78/K444, "NA")</f>
        <v>NA</v>
      </c>
      <c r="M78" s="9"/>
      <c r="N78" s="10">
        <f t="shared" si="21"/>
        <v>0</v>
      </c>
      <c r="O78" s="8" t="str">
        <f>IFERROR(N78/N444, "NA")</f>
        <v>NA</v>
      </c>
      <c r="P78" s="9"/>
      <c r="Q78" s="7">
        <v>0</v>
      </c>
      <c r="R78" s="8" t="str">
        <f>IFERROR(Q78/Q444, "NA")</f>
        <v>NA</v>
      </c>
      <c r="S78" s="9"/>
      <c r="T78" s="7">
        <v>0</v>
      </c>
      <c r="U78" s="8" t="str">
        <f>IFERROR(T78/T444, "NA")</f>
        <v>NA</v>
      </c>
      <c r="V78" s="9"/>
      <c r="W78" s="10">
        <f t="shared" si="22"/>
        <v>0</v>
      </c>
      <c r="X78" s="8" t="str">
        <f>IFERROR(W78/W444, "NA")</f>
        <v>NA</v>
      </c>
      <c r="Y78" s="9"/>
      <c r="Z78" s="7">
        <v>0</v>
      </c>
      <c r="AA78" s="8" t="str">
        <f>IFERROR(Z78/Z444, "NA")</f>
        <v>NA</v>
      </c>
      <c r="AB78" s="9"/>
      <c r="AC78" s="10">
        <f t="shared" si="23"/>
        <v>0</v>
      </c>
      <c r="AD78" s="8" t="str">
        <f>IFERROR(AC78/AC444, "NA")</f>
        <v>NA</v>
      </c>
    </row>
    <row r="79" spans="1:30" ht="16.5" hidden="1" customHeight="1" x14ac:dyDescent="0.45">
      <c r="A79" s="12" t="s">
        <v>75</v>
      </c>
      <c r="B79" s="7">
        <v>0</v>
      </c>
      <c r="C79" s="8" t="str">
        <f>IFERROR(B79/B444, "NA")</f>
        <v>NA</v>
      </c>
      <c r="D79" s="9"/>
      <c r="E79" s="7">
        <v>0</v>
      </c>
      <c r="F79" s="8" t="str">
        <f>IFERROR(E79/E444, "NA")</f>
        <v>NA</v>
      </c>
      <c r="G79" s="9"/>
      <c r="H79" s="10">
        <f t="shared" si="20"/>
        <v>0</v>
      </c>
      <c r="I79" s="8" t="str">
        <f>IFERROR(H79/H444, "NA")</f>
        <v>NA</v>
      </c>
      <c r="J79" s="9"/>
      <c r="K79" s="7">
        <v>0</v>
      </c>
      <c r="L79" s="8" t="str">
        <f>IFERROR(K79/K444, "NA")</f>
        <v>NA</v>
      </c>
      <c r="M79" s="9"/>
      <c r="N79" s="10">
        <f t="shared" si="21"/>
        <v>0</v>
      </c>
      <c r="O79" s="8" t="str">
        <f>IFERROR(N79/N444, "NA")</f>
        <v>NA</v>
      </c>
      <c r="P79" s="9"/>
      <c r="Q79" s="7">
        <v>0</v>
      </c>
      <c r="R79" s="8" t="str">
        <f>IFERROR(Q79/Q444, "NA")</f>
        <v>NA</v>
      </c>
      <c r="S79" s="9"/>
      <c r="T79" s="7">
        <v>0</v>
      </c>
      <c r="U79" s="8" t="str">
        <f>IFERROR(T79/T444, "NA")</f>
        <v>NA</v>
      </c>
      <c r="V79" s="9"/>
      <c r="W79" s="10">
        <f t="shared" si="22"/>
        <v>0</v>
      </c>
      <c r="X79" s="8" t="str">
        <f>IFERROR(W79/W444, "NA")</f>
        <v>NA</v>
      </c>
      <c r="Y79" s="9"/>
      <c r="Z79" s="7">
        <v>0</v>
      </c>
      <c r="AA79" s="8" t="str">
        <f>IFERROR(Z79/Z444, "NA")</f>
        <v>NA</v>
      </c>
      <c r="AB79" s="9"/>
      <c r="AC79" s="10">
        <f t="shared" si="23"/>
        <v>0</v>
      </c>
      <c r="AD79" s="8" t="str">
        <f>IFERROR(AC79/AC444, "NA")</f>
        <v>NA</v>
      </c>
    </row>
    <row r="80" spans="1:30" ht="16.5" hidden="1" customHeight="1" x14ac:dyDescent="0.45">
      <c r="A80" s="12" t="s">
        <v>76</v>
      </c>
      <c r="B80" s="7">
        <v>0</v>
      </c>
      <c r="C80" s="8" t="str">
        <f>IFERROR(B80/B444, "NA")</f>
        <v>NA</v>
      </c>
      <c r="D80" s="9"/>
      <c r="E80" s="7">
        <v>0</v>
      </c>
      <c r="F80" s="8" t="str">
        <f>IFERROR(E80/E444, "NA")</f>
        <v>NA</v>
      </c>
      <c r="G80" s="9"/>
      <c r="H80" s="10">
        <f t="shared" si="20"/>
        <v>0</v>
      </c>
      <c r="I80" s="8" t="str">
        <f>IFERROR(H80/H444, "NA")</f>
        <v>NA</v>
      </c>
      <c r="J80" s="9"/>
      <c r="K80" s="7">
        <v>0</v>
      </c>
      <c r="L80" s="8" t="str">
        <f>IFERROR(K80/K444, "NA")</f>
        <v>NA</v>
      </c>
      <c r="M80" s="9"/>
      <c r="N80" s="10">
        <f t="shared" si="21"/>
        <v>0</v>
      </c>
      <c r="O80" s="8" t="str">
        <f>IFERROR(N80/N444, "NA")</f>
        <v>NA</v>
      </c>
      <c r="P80" s="9"/>
      <c r="Q80" s="7">
        <v>0</v>
      </c>
      <c r="R80" s="8" t="str">
        <f>IFERROR(Q80/Q444, "NA")</f>
        <v>NA</v>
      </c>
      <c r="S80" s="9"/>
      <c r="T80" s="7">
        <v>0</v>
      </c>
      <c r="U80" s="8" t="str">
        <f>IFERROR(T80/T444, "NA")</f>
        <v>NA</v>
      </c>
      <c r="V80" s="9"/>
      <c r="W80" s="10">
        <f t="shared" si="22"/>
        <v>0</v>
      </c>
      <c r="X80" s="8" t="str">
        <f>IFERROR(W80/W444, "NA")</f>
        <v>NA</v>
      </c>
      <c r="Y80" s="9"/>
      <c r="Z80" s="7">
        <v>0</v>
      </c>
      <c r="AA80" s="8" t="str">
        <f>IFERROR(Z80/Z444, "NA")</f>
        <v>NA</v>
      </c>
      <c r="AB80" s="9"/>
      <c r="AC80" s="10">
        <f t="shared" si="23"/>
        <v>0</v>
      </c>
      <c r="AD80" s="8" t="str">
        <f>IFERROR(AC80/AC444, "NA")</f>
        <v>NA</v>
      </c>
    </row>
    <row r="81" spans="1:30" ht="16.5" hidden="1" customHeight="1" x14ac:dyDescent="0.45">
      <c r="A81" s="12" t="s">
        <v>77</v>
      </c>
      <c r="B81" s="7">
        <v>0</v>
      </c>
      <c r="C81" s="8" t="str">
        <f>IFERROR(B81/B444, "NA")</f>
        <v>NA</v>
      </c>
      <c r="D81" s="9"/>
      <c r="E81" s="7">
        <v>0</v>
      </c>
      <c r="F81" s="8" t="str">
        <f>IFERROR(E81/E444, "NA")</f>
        <v>NA</v>
      </c>
      <c r="G81" s="9"/>
      <c r="H81" s="10">
        <f t="shared" si="20"/>
        <v>0</v>
      </c>
      <c r="I81" s="8" t="str">
        <f>IFERROR(H81/H444, "NA")</f>
        <v>NA</v>
      </c>
      <c r="J81" s="9"/>
      <c r="K81" s="7">
        <v>0</v>
      </c>
      <c r="L81" s="8" t="str">
        <f>IFERROR(K81/K444, "NA")</f>
        <v>NA</v>
      </c>
      <c r="M81" s="9"/>
      <c r="N81" s="10">
        <f t="shared" si="21"/>
        <v>0</v>
      </c>
      <c r="O81" s="8" t="str">
        <f>IFERROR(N81/N444, "NA")</f>
        <v>NA</v>
      </c>
      <c r="P81" s="9"/>
      <c r="Q81" s="7">
        <v>0</v>
      </c>
      <c r="R81" s="8" t="str">
        <f>IFERROR(Q81/Q444, "NA")</f>
        <v>NA</v>
      </c>
      <c r="S81" s="9"/>
      <c r="T81" s="7">
        <v>0</v>
      </c>
      <c r="U81" s="8" t="str">
        <f>IFERROR(T81/T444, "NA")</f>
        <v>NA</v>
      </c>
      <c r="V81" s="9"/>
      <c r="W81" s="10">
        <f t="shared" si="22"/>
        <v>0</v>
      </c>
      <c r="X81" s="8" t="str">
        <f>IFERROR(W81/W444, "NA")</f>
        <v>NA</v>
      </c>
      <c r="Y81" s="9"/>
      <c r="Z81" s="7">
        <v>0</v>
      </c>
      <c r="AA81" s="8" t="str">
        <f>IFERROR(Z81/Z444, "NA")</f>
        <v>NA</v>
      </c>
      <c r="AB81" s="9"/>
      <c r="AC81" s="10">
        <f t="shared" si="23"/>
        <v>0</v>
      </c>
      <c r="AD81" s="8" t="str">
        <f>IFERROR(AC81/AC444, "NA")</f>
        <v>NA</v>
      </c>
    </row>
    <row r="82" spans="1:30" ht="16.5" hidden="1" customHeight="1" x14ac:dyDescent="0.45">
      <c r="A82" s="12" t="s">
        <v>78</v>
      </c>
      <c r="B82" s="7">
        <v>0</v>
      </c>
      <c r="C82" s="8" t="str">
        <f>IFERROR(B82/B444, "NA")</f>
        <v>NA</v>
      </c>
      <c r="D82" s="9"/>
      <c r="E82" s="7">
        <v>0</v>
      </c>
      <c r="F82" s="8" t="str">
        <f>IFERROR(E82/E444, "NA")</f>
        <v>NA</v>
      </c>
      <c r="G82" s="9"/>
      <c r="H82" s="10">
        <f t="shared" si="20"/>
        <v>0</v>
      </c>
      <c r="I82" s="8" t="str">
        <f>IFERROR(H82/H444, "NA")</f>
        <v>NA</v>
      </c>
      <c r="J82" s="9"/>
      <c r="K82" s="7">
        <v>0</v>
      </c>
      <c r="L82" s="8" t="str">
        <f>IFERROR(K82/K444, "NA")</f>
        <v>NA</v>
      </c>
      <c r="M82" s="9"/>
      <c r="N82" s="10">
        <f t="shared" si="21"/>
        <v>0</v>
      </c>
      <c r="O82" s="8" t="str">
        <f>IFERROR(N82/N444, "NA")</f>
        <v>NA</v>
      </c>
      <c r="P82" s="9"/>
      <c r="Q82" s="7">
        <v>0</v>
      </c>
      <c r="R82" s="8" t="str">
        <f>IFERROR(Q82/Q444, "NA")</f>
        <v>NA</v>
      </c>
      <c r="S82" s="9"/>
      <c r="T82" s="7">
        <v>0</v>
      </c>
      <c r="U82" s="8" t="str">
        <f>IFERROR(T82/T444, "NA")</f>
        <v>NA</v>
      </c>
      <c r="V82" s="9"/>
      <c r="W82" s="10">
        <f t="shared" si="22"/>
        <v>0</v>
      </c>
      <c r="X82" s="8" t="str">
        <f>IFERROR(W82/W444, "NA")</f>
        <v>NA</v>
      </c>
      <c r="Y82" s="9"/>
      <c r="Z82" s="7">
        <v>0</v>
      </c>
      <c r="AA82" s="8" t="str">
        <f>IFERROR(Z82/Z444, "NA")</f>
        <v>NA</v>
      </c>
      <c r="AB82" s="9"/>
      <c r="AC82" s="10">
        <f t="shared" si="23"/>
        <v>0</v>
      </c>
      <c r="AD82" s="8" t="str">
        <f>IFERROR(AC82/AC444, "NA")</f>
        <v>NA</v>
      </c>
    </row>
    <row r="83" spans="1:30" ht="16.5" hidden="1" customHeight="1" x14ac:dyDescent="0.45">
      <c r="A83" s="12" t="s">
        <v>79</v>
      </c>
      <c r="B83" s="7">
        <v>0</v>
      </c>
      <c r="C83" s="8" t="str">
        <f>IFERROR(B83/B444, "NA")</f>
        <v>NA</v>
      </c>
      <c r="D83" s="9"/>
      <c r="E83" s="7">
        <v>0</v>
      </c>
      <c r="F83" s="8" t="str">
        <f>IFERROR(E83/E444, "NA")</f>
        <v>NA</v>
      </c>
      <c r="G83" s="9"/>
      <c r="H83" s="10">
        <f t="shared" si="20"/>
        <v>0</v>
      </c>
      <c r="I83" s="8" t="str">
        <f>IFERROR(H83/H444, "NA")</f>
        <v>NA</v>
      </c>
      <c r="J83" s="9"/>
      <c r="K83" s="7">
        <v>0</v>
      </c>
      <c r="L83" s="8" t="str">
        <f>IFERROR(K83/K444, "NA")</f>
        <v>NA</v>
      </c>
      <c r="M83" s="9"/>
      <c r="N83" s="10">
        <f t="shared" si="21"/>
        <v>0</v>
      </c>
      <c r="O83" s="8" t="str">
        <f>IFERROR(N83/N444, "NA")</f>
        <v>NA</v>
      </c>
      <c r="P83" s="9"/>
      <c r="Q83" s="7">
        <v>0</v>
      </c>
      <c r="R83" s="8" t="str">
        <f>IFERROR(Q83/Q444, "NA")</f>
        <v>NA</v>
      </c>
      <c r="S83" s="9"/>
      <c r="T83" s="7">
        <v>0</v>
      </c>
      <c r="U83" s="8" t="str">
        <f>IFERROR(T83/T444, "NA")</f>
        <v>NA</v>
      </c>
      <c r="V83" s="9"/>
      <c r="W83" s="10">
        <f t="shared" si="22"/>
        <v>0</v>
      </c>
      <c r="X83" s="8" t="str">
        <f>IFERROR(W83/W444, "NA")</f>
        <v>NA</v>
      </c>
      <c r="Y83" s="9"/>
      <c r="Z83" s="7">
        <v>0</v>
      </c>
      <c r="AA83" s="8" t="str">
        <f>IFERROR(Z83/Z444, "NA")</f>
        <v>NA</v>
      </c>
      <c r="AB83" s="9"/>
      <c r="AC83" s="10">
        <f t="shared" si="23"/>
        <v>0</v>
      </c>
      <c r="AD83" s="8" t="str">
        <f>IFERROR(AC83/AC444, "NA")</f>
        <v>NA</v>
      </c>
    </row>
    <row r="84" spans="1:30" ht="16.5" hidden="1" customHeight="1" x14ac:dyDescent="0.45">
      <c r="A84" s="12" t="s">
        <v>80</v>
      </c>
      <c r="B84" s="7">
        <v>0</v>
      </c>
      <c r="C84" s="8" t="str">
        <f>IFERROR(B84/B444, "NA")</f>
        <v>NA</v>
      </c>
      <c r="D84" s="9"/>
      <c r="E84" s="7">
        <v>0</v>
      </c>
      <c r="F84" s="8" t="str">
        <f>IFERROR(E84/E444, "NA")</f>
        <v>NA</v>
      </c>
      <c r="G84" s="9"/>
      <c r="H84" s="10">
        <f t="shared" si="20"/>
        <v>0</v>
      </c>
      <c r="I84" s="8" t="str">
        <f>IFERROR(H84/H444, "NA")</f>
        <v>NA</v>
      </c>
      <c r="J84" s="9"/>
      <c r="K84" s="7">
        <v>0</v>
      </c>
      <c r="L84" s="8" t="str">
        <f>IFERROR(K84/K444, "NA")</f>
        <v>NA</v>
      </c>
      <c r="M84" s="9"/>
      <c r="N84" s="10">
        <f t="shared" si="21"/>
        <v>0</v>
      </c>
      <c r="O84" s="8" t="str">
        <f>IFERROR(N84/N444, "NA")</f>
        <v>NA</v>
      </c>
      <c r="P84" s="9"/>
      <c r="Q84" s="7">
        <v>0</v>
      </c>
      <c r="R84" s="8" t="str">
        <f>IFERROR(Q84/Q444, "NA")</f>
        <v>NA</v>
      </c>
      <c r="S84" s="9"/>
      <c r="T84" s="7">
        <v>0</v>
      </c>
      <c r="U84" s="8" t="str">
        <f>IFERROR(T84/T444, "NA")</f>
        <v>NA</v>
      </c>
      <c r="V84" s="9"/>
      <c r="W84" s="10">
        <f t="shared" si="22"/>
        <v>0</v>
      </c>
      <c r="X84" s="8" t="str">
        <f>IFERROR(W84/W444, "NA")</f>
        <v>NA</v>
      </c>
      <c r="Y84" s="9"/>
      <c r="Z84" s="7">
        <v>0</v>
      </c>
      <c r="AA84" s="8" t="str">
        <f>IFERROR(Z84/Z444, "NA")</f>
        <v>NA</v>
      </c>
      <c r="AB84" s="9"/>
      <c r="AC84" s="10">
        <f t="shared" si="23"/>
        <v>0</v>
      </c>
      <c r="AD84" s="8" t="str">
        <f>IFERROR(AC84/AC444, "NA")</f>
        <v>NA</v>
      </c>
    </row>
    <row r="85" spans="1:30" ht="16.5" hidden="1" customHeight="1" x14ac:dyDescent="0.45">
      <c r="A85" s="12" t="s">
        <v>81</v>
      </c>
      <c r="B85" s="7">
        <v>0</v>
      </c>
      <c r="C85" s="8" t="str">
        <f>IFERROR(B85/B444, "NA")</f>
        <v>NA</v>
      </c>
      <c r="D85" s="9"/>
      <c r="E85" s="7">
        <v>0</v>
      </c>
      <c r="F85" s="8" t="str">
        <f>IFERROR(E85/E444, "NA")</f>
        <v>NA</v>
      </c>
      <c r="G85" s="9"/>
      <c r="H85" s="10">
        <f t="shared" si="20"/>
        <v>0</v>
      </c>
      <c r="I85" s="8" t="str">
        <f>IFERROR(H85/H444, "NA")</f>
        <v>NA</v>
      </c>
      <c r="J85" s="9"/>
      <c r="K85" s="7">
        <v>0</v>
      </c>
      <c r="L85" s="8" t="str">
        <f>IFERROR(K85/K444, "NA")</f>
        <v>NA</v>
      </c>
      <c r="M85" s="9"/>
      <c r="N85" s="10">
        <f t="shared" si="21"/>
        <v>0</v>
      </c>
      <c r="O85" s="8" t="str">
        <f>IFERROR(N85/N444, "NA")</f>
        <v>NA</v>
      </c>
      <c r="P85" s="9"/>
      <c r="Q85" s="7">
        <v>0</v>
      </c>
      <c r="R85" s="8" t="str">
        <f>IFERROR(Q85/Q444, "NA")</f>
        <v>NA</v>
      </c>
      <c r="S85" s="9"/>
      <c r="T85" s="7">
        <v>0</v>
      </c>
      <c r="U85" s="8" t="str">
        <f>IFERROR(T85/T444, "NA")</f>
        <v>NA</v>
      </c>
      <c r="V85" s="9"/>
      <c r="W85" s="10">
        <f t="shared" si="22"/>
        <v>0</v>
      </c>
      <c r="X85" s="8" t="str">
        <f>IFERROR(W85/W444, "NA")</f>
        <v>NA</v>
      </c>
      <c r="Y85" s="9"/>
      <c r="Z85" s="7">
        <v>0</v>
      </c>
      <c r="AA85" s="8" t="str">
        <f>IFERROR(Z85/Z444, "NA")</f>
        <v>NA</v>
      </c>
      <c r="AB85" s="9"/>
      <c r="AC85" s="10">
        <f t="shared" si="23"/>
        <v>0</v>
      </c>
      <c r="AD85" s="8" t="str">
        <f>IFERROR(AC85/AC444, "NA")</f>
        <v>NA</v>
      </c>
    </row>
    <row r="86" spans="1:30" ht="16.5" hidden="1" customHeight="1" x14ac:dyDescent="0.45">
      <c r="A86" s="12" t="s">
        <v>82</v>
      </c>
      <c r="B86" s="7">
        <v>0</v>
      </c>
      <c r="C86" s="8" t="str">
        <f>IFERROR(B86/B444, "NA")</f>
        <v>NA</v>
      </c>
      <c r="D86" s="9"/>
      <c r="E86" s="7">
        <v>0</v>
      </c>
      <c r="F86" s="8" t="str">
        <f>IFERROR(E86/E444, "NA")</f>
        <v>NA</v>
      </c>
      <c r="G86" s="9"/>
      <c r="H86" s="10">
        <f t="shared" si="20"/>
        <v>0</v>
      </c>
      <c r="I86" s="8" t="str">
        <f>IFERROR(H86/H444, "NA")</f>
        <v>NA</v>
      </c>
      <c r="J86" s="9"/>
      <c r="K86" s="7">
        <v>0</v>
      </c>
      <c r="L86" s="8" t="str">
        <f>IFERROR(K86/K444, "NA")</f>
        <v>NA</v>
      </c>
      <c r="M86" s="9"/>
      <c r="N86" s="10">
        <f t="shared" si="21"/>
        <v>0</v>
      </c>
      <c r="O86" s="8" t="str">
        <f>IFERROR(N86/N444, "NA")</f>
        <v>NA</v>
      </c>
      <c r="P86" s="9"/>
      <c r="Q86" s="7">
        <v>0</v>
      </c>
      <c r="R86" s="8" t="str">
        <f>IFERROR(Q86/Q444, "NA")</f>
        <v>NA</v>
      </c>
      <c r="S86" s="9"/>
      <c r="T86" s="7">
        <v>0</v>
      </c>
      <c r="U86" s="8" t="str">
        <f>IFERROR(T86/T444, "NA")</f>
        <v>NA</v>
      </c>
      <c r="V86" s="9"/>
      <c r="W86" s="10">
        <f t="shared" si="22"/>
        <v>0</v>
      </c>
      <c r="X86" s="8" t="str">
        <f>IFERROR(W86/W444, "NA")</f>
        <v>NA</v>
      </c>
      <c r="Y86" s="9"/>
      <c r="Z86" s="7">
        <v>0</v>
      </c>
      <c r="AA86" s="8" t="str">
        <f>IFERROR(Z86/Z444, "NA")</f>
        <v>NA</v>
      </c>
      <c r="AB86" s="9"/>
      <c r="AC86" s="10">
        <f t="shared" si="23"/>
        <v>0</v>
      </c>
      <c r="AD86" s="8" t="str">
        <f>IFERROR(AC86/AC444, "NA")</f>
        <v>NA</v>
      </c>
    </row>
    <row r="87" spans="1:30" ht="16.5" hidden="1" customHeight="1" x14ac:dyDescent="0.45">
      <c r="A87" s="12" t="s">
        <v>83</v>
      </c>
      <c r="B87" s="7">
        <v>0</v>
      </c>
      <c r="C87" s="8" t="str">
        <f>IFERROR(B87/B444, "NA")</f>
        <v>NA</v>
      </c>
      <c r="D87" s="9"/>
      <c r="E87" s="7">
        <v>0</v>
      </c>
      <c r="F87" s="8" t="str">
        <f>IFERROR(E87/E444, "NA")</f>
        <v>NA</v>
      </c>
      <c r="G87" s="9"/>
      <c r="H87" s="10">
        <f t="shared" si="20"/>
        <v>0</v>
      </c>
      <c r="I87" s="8" t="str">
        <f>IFERROR(H87/H444, "NA")</f>
        <v>NA</v>
      </c>
      <c r="J87" s="9"/>
      <c r="K87" s="7">
        <v>0</v>
      </c>
      <c r="L87" s="8" t="str">
        <f>IFERROR(K87/K444, "NA")</f>
        <v>NA</v>
      </c>
      <c r="M87" s="9"/>
      <c r="N87" s="10">
        <f t="shared" si="21"/>
        <v>0</v>
      </c>
      <c r="O87" s="8" t="str">
        <f>IFERROR(N87/N444, "NA")</f>
        <v>NA</v>
      </c>
      <c r="P87" s="9"/>
      <c r="Q87" s="7">
        <v>0</v>
      </c>
      <c r="R87" s="8" t="str">
        <f>IFERROR(Q87/Q444, "NA")</f>
        <v>NA</v>
      </c>
      <c r="S87" s="9"/>
      <c r="T87" s="7">
        <v>0</v>
      </c>
      <c r="U87" s="8" t="str">
        <f>IFERROR(T87/T444, "NA")</f>
        <v>NA</v>
      </c>
      <c r="V87" s="9"/>
      <c r="W87" s="10">
        <f t="shared" si="22"/>
        <v>0</v>
      </c>
      <c r="X87" s="8" t="str">
        <f>IFERROR(W87/W444, "NA")</f>
        <v>NA</v>
      </c>
      <c r="Y87" s="9"/>
      <c r="Z87" s="7">
        <v>0</v>
      </c>
      <c r="AA87" s="8" t="str">
        <f>IFERROR(Z87/Z444, "NA")</f>
        <v>NA</v>
      </c>
      <c r="AB87" s="9"/>
      <c r="AC87" s="10">
        <f t="shared" si="23"/>
        <v>0</v>
      </c>
      <c r="AD87" s="8" t="str">
        <f>IFERROR(AC87/AC444, "NA")</f>
        <v>NA</v>
      </c>
    </row>
    <row r="88" spans="1:30" ht="16.5" customHeight="1" x14ac:dyDescent="0.45">
      <c r="A88" s="13" t="s">
        <v>84</v>
      </c>
      <c r="B88" s="14">
        <f>IFERROR(B75+B76+B77+B78+B79+B80+B81+B82+B83+B84+B85+B86+B87, "NA")</f>
        <v>0</v>
      </c>
      <c r="C88" s="15" t="str">
        <f>IFERROR(B88/B444, "NA")</f>
        <v>NA</v>
      </c>
      <c r="D88" s="2"/>
      <c r="E88" s="14">
        <f>IFERROR(E75+E76+E77+E78+E79+E80+E81+E82+E83+E84+E85+E86+E87, "NA")</f>
        <v>0</v>
      </c>
      <c r="F88" s="15" t="str">
        <f>IFERROR(E88/E444, "NA")</f>
        <v>NA</v>
      </c>
      <c r="G88" s="2"/>
      <c r="H88" s="14">
        <f t="shared" si="20"/>
        <v>0</v>
      </c>
      <c r="I88" s="15" t="str">
        <f>IFERROR(H88/H444, "NA")</f>
        <v>NA</v>
      </c>
      <c r="J88" s="2"/>
      <c r="K88" s="14">
        <f>IFERROR(K75+K76+K77+K78+K79+K80+K81+K82+K83+K84+K85+K86+K87, "NA")</f>
        <v>0</v>
      </c>
      <c r="L88" s="15" t="str">
        <f>IFERROR(K88/K444, "NA")</f>
        <v>NA</v>
      </c>
      <c r="M88" s="2"/>
      <c r="N88" s="14">
        <f t="shared" si="21"/>
        <v>0</v>
      </c>
      <c r="O88" s="15" t="str">
        <f>IFERROR(N88/N444, "NA")</f>
        <v>NA</v>
      </c>
      <c r="P88" s="2"/>
      <c r="Q88" s="14">
        <f>IFERROR(Q75+Q76+Q77+Q78+Q79+Q80+Q81+Q82+Q83+Q84+Q85+Q86+Q87, "NA")</f>
        <v>0</v>
      </c>
      <c r="R88" s="15" t="str">
        <f>IFERROR(Q88/Q444, "NA")</f>
        <v>NA</v>
      </c>
      <c r="S88" s="2"/>
      <c r="T88" s="14">
        <f>IFERROR(T75+T76+T77+T78+T79+T80+T81+T82+T83+T84+T85+T86+T87, "NA")</f>
        <v>0</v>
      </c>
      <c r="U88" s="15" t="str">
        <f>IFERROR(T88/T444, "NA")</f>
        <v>NA</v>
      </c>
      <c r="V88" s="2"/>
      <c r="W88" s="14">
        <f t="shared" si="22"/>
        <v>0</v>
      </c>
      <c r="X88" s="15" t="str">
        <f>IFERROR(W88/W444, "NA")</f>
        <v>NA</v>
      </c>
      <c r="Y88" s="2"/>
      <c r="Z88" s="14">
        <f>IFERROR(Z75+Z76+Z77+Z78+Z79+Z80+Z81+Z82+Z83+Z84+Z85+Z86+Z87, "NA")</f>
        <v>0</v>
      </c>
      <c r="AA88" s="15" t="str">
        <f>IFERROR(Z88/Z444, "NA")</f>
        <v>NA</v>
      </c>
      <c r="AB88" s="2"/>
      <c r="AC88" s="14">
        <f t="shared" si="23"/>
        <v>0</v>
      </c>
      <c r="AD88" s="15" t="str">
        <f>IFERROR(AC88/AC444, "NA")</f>
        <v>NA</v>
      </c>
    </row>
    <row r="89" spans="1:30" ht="16.5" hidden="1" customHeight="1" x14ac:dyDescent="0.45">
      <c r="A89" s="6" t="s">
        <v>85</v>
      </c>
      <c r="B89" s="7">
        <v>0</v>
      </c>
      <c r="C89" s="8" t="str">
        <f>IFERROR(B89/B444, "NA")</f>
        <v>NA</v>
      </c>
      <c r="D89" s="9"/>
      <c r="E89" s="7">
        <v>0</v>
      </c>
      <c r="F89" s="8" t="str">
        <f>IFERROR(E89/E444, "NA")</f>
        <v>NA</v>
      </c>
      <c r="G89" s="9"/>
      <c r="H89" s="10">
        <f t="shared" si="20"/>
        <v>0</v>
      </c>
      <c r="I89" s="8" t="str">
        <f>IFERROR(H89/H444, "NA")</f>
        <v>NA</v>
      </c>
      <c r="J89" s="9"/>
      <c r="K89" s="7">
        <v>0</v>
      </c>
      <c r="L89" s="8" t="str">
        <f>IFERROR(K89/K444, "NA")</f>
        <v>NA</v>
      </c>
      <c r="M89" s="9"/>
      <c r="N89" s="10">
        <f t="shared" si="21"/>
        <v>0</v>
      </c>
      <c r="O89" s="8" t="str">
        <f>IFERROR(N89/N444, "NA")</f>
        <v>NA</v>
      </c>
      <c r="P89" s="9"/>
      <c r="Q89" s="7">
        <v>0</v>
      </c>
      <c r="R89" s="8" t="str">
        <f>IFERROR(Q89/Q444, "NA")</f>
        <v>NA</v>
      </c>
      <c r="S89" s="9"/>
      <c r="T89" s="7">
        <v>0</v>
      </c>
      <c r="U89" s="8" t="str">
        <f>IFERROR(T89/T444, "NA")</f>
        <v>NA</v>
      </c>
      <c r="V89" s="9"/>
      <c r="W89" s="10">
        <f t="shared" si="22"/>
        <v>0</v>
      </c>
      <c r="X89" s="8" t="str">
        <f>IFERROR(W89/W444, "NA")</f>
        <v>NA</v>
      </c>
      <c r="Y89" s="9"/>
      <c r="Z89" s="7">
        <v>0</v>
      </c>
      <c r="AA89" s="8" t="str">
        <f>IFERROR(Z89/Z444, "NA")</f>
        <v>NA</v>
      </c>
      <c r="AB89" s="9"/>
      <c r="AC89" s="10">
        <f t="shared" si="23"/>
        <v>0</v>
      </c>
      <c r="AD89" s="8" t="str">
        <f>IFERROR(AC89/AC444, "NA")</f>
        <v>NA</v>
      </c>
    </row>
    <row r="90" spans="1:30" ht="16.5" hidden="1" customHeight="1" x14ac:dyDescent="0.45">
      <c r="A90" s="6" t="s">
        <v>86</v>
      </c>
      <c r="B90" s="7">
        <v>0</v>
      </c>
      <c r="C90" s="8" t="str">
        <f>IFERROR(B90/B444, "NA")</f>
        <v>NA</v>
      </c>
      <c r="D90" s="9"/>
      <c r="E90" s="7">
        <v>0</v>
      </c>
      <c r="F90" s="8" t="str">
        <f>IFERROR(E90/E444, "NA")</f>
        <v>NA</v>
      </c>
      <c r="G90" s="9"/>
      <c r="H90" s="10">
        <f t="shared" si="20"/>
        <v>0</v>
      </c>
      <c r="I90" s="8" t="str">
        <f>IFERROR(H90/H444, "NA")</f>
        <v>NA</v>
      </c>
      <c r="J90" s="9"/>
      <c r="K90" s="7">
        <v>0</v>
      </c>
      <c r="L90" s="8" t="str">
        <f>IFERROR(K90/K444, "NA")</f>
        <v>NA</v>
      </c>
      <c r="M90" s="9"/>
      <c r="N90" s="10">
        <f t="shared" si="21"/>
        <v>0</v>
      </c>
      <c r="O90" s="8" t="str">
        <f>IFERROR(N90/N444, "NA")</f>
        <v>NA</v>
      </c>
      <c r="P90" s="9"/>
      <c r="Q90" s="7">
        <v>0</v>
      </c>
      <c r="R90" s="8" t="str">
        <f>IFERROR(Q90/Q444, "NA")</f>
        <v>NA</v>
      </c>
      <c r="S90" s="9"/>
      <c r="T90" s="7">
        <v>0</v>
      </c>
      <c r="U90" s="8" t="str">
        <f>IFERROR(T90/T444, "NA")</f>
        <v>NA</v>
      </c>
      <c r="V90" s="9"/>
      <c r="W90" s="10">
        <f t="shared" si="22"/>
        <v>0</v>
      </c>
      <c r="X90" s="8" t="str">
        <f>IFERROR(W90/W444, "NA")</f>
        <v>NA</v>
      </c>
      <c r="Y90" s="9"/>
      <c r="Z90" s="7">
        <v>0</v>
      </c>
      <c r="AA90" s="8" t="str">
        <f>IFERROR(Z90/Z444, "NA")</f>
        <v>NA</v>
      </c>
      <c r="AB90" s="9"/>
      <c r="AC90" s="10">
        <f t="shared" si="23"/>
        <v>0</v>
      </c>
      <c r="AD90" s="8" t="str">
        <f>IFERROR(AC90/AC444, "NA")</f>
        <v>NA</v>
      </c>
    </row>
    <row r="91" spans="1:30" ht="16.5" hidden="1" customHeight="1" x14ac:dyDescent="0.45">
      <c r="A91" s="6" t="s">
        <v>87</v>
      </c>
      <c r="B91" s="7">
        <v>0</v>
      </c>
      <c r="C91" s="8" t="str">
        <f>IFERROR(B91/B444, "NA")</f>
        <v>NA</v>
      </c>
      <c r="D91" s="9"/>
      <c r="E91" s="7">
        <v>0</v>
      </c>
      <c r="F91" s="8" t="str">
        <f>IFERROR(E91/E444, "NA")</f>
        <v>NA</v>
      </c>
      <c r="G91" s="9"/>
      <c r="H91" s="10">
        <f t="shared" si="20"/>
        <v>0</v>
      </c>
      <c r="I91" s="8" t="str">
        <f>IFERROR(H91/H444, "NA")</f>
        <v>NA</v>
      </c>
      <c r="J91" s="9"/>
      <c r="K91" s="7">
        <v>0</v>
      </c>
      <c r="L91" s="8" t="str">
        <f>IFERROR(K91/K444, "NA")</f>
        <v>NA</v>
      </c>
      <c r="M91" s="9"/>
      <c r="N91" s="10">
        <f t="shared" si="21"/>
        <v>0</v>
      </c>
      <c r="O91" s="8" t="str">
        <f>IFERROR(N91/N444, "NA")</f>
        <v>NA</v>
      </c>
      <c r="P91" s="9"/>
      <c r="Q91" s="7">
        <v>0</v>
      </c>
      <c r="R91" s="8" t="str">
        <f>IFERROR(Q91/Q444, "NA")</f>
        <v>NA</v>
      </c>
      <c r="S91" s="9"/>
      <c r="T91" s="7">
        <v>0</v>
      </c>
      <c r="U91" s="8" t="str">
        <f>IFERROR(T91/T444, "NA")</f>
        <v>NA</v>
      </c>
      <c r="V91" s="9"/>
      <c r="W91" s="10">
        <f t="shared" si="22"/>
        <v>0</v>
      </c>
      <c r="X91" s="8" t="str">
        <f>IFERROR(W91/W444, "NA")</f>
        <v>NA</v>
      </c>
      <c r="Y91" s="9"/>
      <c r="Z91" s="7">
        <v>0</v>
      </c>
      <c r="AA91" s="8" t="str">
        <f>IFERROR(Z91/Z444, "NA")</f>
        <v>NA</v>
      </c>
      <c r="AB91" s="9"/>
      <c r="AC91" s="10">
        <f t="shared" si="23"/>
        <v>0</v>
      </c>
      <c r="AD91" s="8" t="str">
        <f>IFERROR(AC91/AC444, "NA")</f>
        <v>NA</v>
      </c>
    </row>
    <row r="92" spans="1:30" ht="16.5" hidden="1" customHeight="1" x14ac:dyDescent="0.45">
      <c r="A92" s="6" t="s">
        <v>88</v>
      </c>
      <c r="B92" s="7">
        <v>0</v>
      </c>
      <c r="C92" s="8" t="str">
        <f>IFERROR(B92/B444, "NA")</f>
        <v>NA</v>
      </c>
      <c r="D92" s="9"/>
      <c r="E92" s="7">
        <v>0</v>
      </c>
      <c r="F92" s="8" t="str">
        <f>IFERROR(E92/E444, "NA")</f>
        <v>NA</v>
      </c>
      <c r="G92" s="9"/>
      <c r="H92" s="10">
        <f t="shared" si="20"/>
        <v>0</v>
      </c>
      <c r="I92" s="8" t="str">
        <f>IFERROR(H92/H444, "NA")</f>
        <v>NA</v>
      </c>
      <c r="J92" s="9"/>
      <c r="K92" s="7">
        <v>0</v>
      </c>
      <c r="L92" s="8" t="str">
        <f>IFERROR(K92/K444, "NA")</f>
        <v>NA</v>
      </c>
      <c r="M92" s="9"/>
      <c r="N92" s="10">
        <f t="shared" si="21"/>
        <v>0</v>
      </c>
      <c r="O92" s="8" t="str">
        <f>IFERROR(N92/N444, "NA")</f>
        <v>NA</v>
      </c>
      <c r="P92" s="9"/>
      <c r="Q92" s="7">
        <v>0</v>
      </c>
      <c r="R92" s="8" t="str">
        <f>IFERROR(Q92/Q444, "NA")</f>
        <v>NA</v>
      </c>
      <c r="S92" s="9"/>
      <c r="T92" s="7">
        <v>0</v>
      </c>
      <c r="U92" s="8" t="str">
        <f>IFERROR(T92/T444, "NA")</f>
        <v>NA</v>
      </c>
      <c r="V92" s="9"/>
      <c r="W92" s="10">
        <f t="shared" si="22"/>
        <v>0</v>
      </c>
      <c r="X92" s="8" t="str">
        <f>IFERROR(W92/W444, "NA")</f>
        <v>NA</v>
      </c>
      <c r="Y92" s="9"/>
      <c r="Z92" s="7">
        <v>0</v>
      </c>
      <c r="AA92" s="8" t="str">
        <f>IFERROR(Z92/Z444, "NA")</f>
        <v>NA</v>
      </c>
      <c r="AB92" s="9"/>
      <c r="AC92" s="10">
        <f t="shared" si="23"/>
        <v>0</v>
      </c>
      <c r="AD92" s="8" t="str">
        <f>IFERROR(AC92/AC444, "NA")</f>
        <v>NA</v>
      </c>
    </row>
    <row r="93" spans="1:30" ht="16.5" customHeight="1" x14ac:dyDescent="0.45">
      <c r="A93" s="11" t="s">
        <v>89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hidden="1" customHeight="1" x14ac:dyDescent="0.45">
      <c r="A94" s="12" t="s">
        <v>89</v>
      </c>
      <c r="B94" s="7">
        <v>0</v>
      </c>
      <c r="C94" s="8" t="str">
        <f>IFERROR(B94/B444, "NA")</f>
        <v>NA</v>
      </c>
      <c r="D94" s="9"/>
      <c r="E94" s="7">
        <v>0</v>
      </c>
      <c r="F94" s="8" t="str">
        <f>IFERROR(E94/E444, "NA")</f>
        <v>NA</v>
      </c>
      <c r="G94" s="9"/>
      <c r="H94" s="10">
        <f t="shared" ref="H94:H124" si="24">IFERROR(B94-E94, "NA")</f>
        <v>0</v>
      </c>
      <c r="I94" s="8" t="str">
        <f>IFERROR(H94/H444, "NA")</f>
        <v>NA</v>
      </c>
      <c r="J94" s="9"/>
      <c r="K94" s="7">
        <v>0</v>
      </c>
      <c r="L94" s="8" t="str">
        <f>IFERROR(K94/K444, "NA")</f>
        <v>NA</v>
      </c>
      <c r="M94" s="9"/>
      <c r="N94" s="10">
        <f t="shared" ref="N94:N124" si="25">IFERROR(B94-K94, "NA")</f>
        <v>0</v>
      </c>
      <c r="O94" s="8" t="str">
        <f>IFERROR(N94/N444, "NA")</f>
        <v>NA</v>
      </c>
      <c r="P94" s="9"/>
      <c r="Q94" s="7">
        <v>0</v>
      </c>
      <c r="R94" s="8" t="str">
        <f>IFERROR(Q94/Q444, "NA")</f>
        <v>NA</v>
      </c>
      <c r="S94" s="9"/>
      <c r="T94" s="7">
        <v>0</v>
      </c>
      <c r="U94" s="8" t="str">
        <f>IFERROR(T94/T444, "NA")</f>
        <v>NA</v>
      </c>
      <c r="V94" s="9"/>
      <c r="W94" s="10">
        <f t="shared" ref="W94:W124" si="26">IFERROR(Q94-T94, "NA")</f>
        <v>0</v>
      </c>
      <c r="X94" s="8" t="str">
        <f>IFERROR(W94/W444, "NA")</f>
        <v>NA</v>
      </c>
      <c r="Y94" s="9"/>
      <c r="Z94" s="7">
        <v>0</v>
      </c>
      <c r="AA94" s="8" t="str">
        <f>IFERROR(Z94/Z444, "NA")</f>
        <v>NA</v>
      </c>
      <c r="AB94" s="9"/>
      <c r="AC94" s="10">
        <f t="shared" ref="AC94:AC124" si="27">IFERROR(Q94-Z94, "NA")</f>
        <v>0</v>
      </c>
      <c r="AD94" s="8" t="str">
        <f>IFERROR(AC94/AC444, "NA")</f>
        <v>NA</v>
      </c>
    </row>
    <row r="95" spans="1:30" ht="16.5" hidden="1" customHeight="1" x14ac:dyDescent="0.45">
      <c r="A95" s="12" t="s">
        <v>90</v>
      </c>
      <c r="B95" s="7">
        <v>0</v>
      </c>
      <c r="C95" s="8" t="str">
        <f>IFERROR(B95/B444, "NA")</f>
        <v>NA</v>
      </c>
      <c r="D95" s="9"/>
      <c r="E95" s="7">
        <v>0</v>
      </c>
      <c r="F95" s="8" t="str">
        <f>IFERROR(E95/E444, "NA")</f>
        <v>NA</v>
      </c>
      <c r="G95" s="9"/>
      <c r="H95" s="10">
        <f t="shared" si="24"/>
        <v>0</v>
      </c>
      <c r="I95" s="8" t="str">
        <f>IFERROR(H95/H444, "NA")</f>
        <v>NA</v>
      </c>
      <c r="J95" s="9"/>
      <c r="K95" s="7">
        <v>0</v>
      </c>
      <c r="L95" s="8" t="str">
        <f>IFERROR(K95/K444, "NA")</f>
        <v>NA</v>
      </c>
      <c r="M95" s="9"/>
      <c r="N95" s="10">
        <f t="shared" si="25"/>
        <v>0</v>
      </c>
      <c r="O95" s="8" t="str">
        <f>IFERROR(N95/N444, "NA")</f>
        <v>NA</v>
      </c>
      <c r="P95" s="9"/>
      <c r="Q95" s="7">
        <v>0</v>
      </c>
      <c r="R95" s="8" t="str">
        <f>IFERROR(Q95/Q444, "NA")</f>
        <v>NA</v>
      </c>
      <c r="S95" s="9"/>
      <c r="T95" s="7">
        <v>0</v>
      </c>
      <c r="U95" s="8" t="str">
        <f>IFERROR(T95/T444, "NA")</f>
        <v>NA</v>
      </c>
      <c r="V95" s="9"/>
      <c r="W95" s="10">
        <f t="shared" si="26"/>
        <v>0</v>
      </c>
      <c r="X95" s="8" t="str">
        <f>IFERROR(W95/W444, "NA")</f>
        <v>NA</v>
      </c>
      <c r="Y95" s="9"/>
      <c r="Z95" s="7">
        <v>0</v>
      </c>
      <c r="AA95" s="8" t="str">
        <f>IFERROR(Z95/Z444, "NA")</f>
        <v>NA</v>
      </c>
      <c r="AB95" s="9"/>
      <c r="AC95" s="10">
        <f t="shared" si="27"/>
        <v>0</v>
      </c>
      <c r="AD95" s="8" t="str">
        <f>IFERROR(AC95/AC444, "NA")</f>
        <v>NA</v>
      </c>
    </row>
    <row r="96" spans="1:30" ht="16.5" hidden="1" customHeight="1" x14ac:dyDescent="0.45">
      <c r="A96" s="12" t="s">
        <v>91</v>
      </c>
      <c r="B96" s="7">
        <v>0</v>
      </c>
      <c r="C96" s="8" t="str">
        <f>IFERROR(B96/B444, "NA")</f>
        <v>NA</v>
      </c>
      <c r="D96" s="9"/>
      <c r="E96" s="7">
        <v>0</v>
      </c>
      <c r="F96" s="8" t="str">
        <f>IFERROR(E96/E444, "NA")</f>
        <v>NA</v>
      </c>
      <c r="G96" s="9"/>
      <c r="H96" s="10">
        <f t="shared" si="24"/>
        <v>0</v>
      </c>
      <c r="I96" s="8" t="str">
        <f>IFERROR(H96/H444, "NA")</f>
        <v>NA</v>
      </c>
      <c r="J96" s="9"/>
      <c r="K96" s="7">
        <v>0</v>
      </c>
      <c r="L96" s="8" t="str">
        <f>IFERROR(K96/K444, "NA")</f>
        <v>NA</v>
      </c>
      <c r="M96" s="9"/>
      <c r="N96" s="10">
        <f t="shared" si="25"/>
        <v>0</v>
      </c>
      <c r="O96" s="8" t="str">
        <f>IFERROR(N96/N444, "NA")</f>
        <v>NA</v>
      </c>
      <c r="P96" s="9"/>
      <c r="Q96" s="7">
        <v>0</v>
      </c>
      <c r="R96" s="8" t="str">
        <f>IFERROR(Q96/Q444, "NA")</f>
        <v>NA</v>
      </c>
      <c r="S96" s="9"/>
      <c r="T96" s="7">
        <v>0</v>
      </c>
      <c r="U96" s="8" t="str">
        <f>IFERROR(T96/T444, "NA")</f>
        <v>NA</v>
      </c>
      <c r="V96" s="9"/>
      <c r="W96" s="10">
        <f t="shared" si="26"/>
        <v>0</v>
      </c>
      <c r="X96" s="8" t="str">
        <f>IFERROR(W96/W444, "NA")</f>
        <v>NA</v>
      </c>
      <c r="Y96" s="9"/>
      <c r="Z96" s="7">
        <v>0</v>
      </c>
      <c r="AA96" s="8" t="str">
        <f>IFERROR(Z96/Z444, "NA")</f>
        <v>NA</v>
      </c>
      <c r="AB96" s="9"/>
      <c r="AC96" s="10">
        <f t="shared" si="27"/>
        <v>0</v>
      </c>
      <c r="AD96" s="8" t="str">
        <f>IFERROR(AC96/AC444, "NA")</f>
        <v>NA</v>
      </c>
    </row>
    <row r="97" spans="1:30" ht="16.5" hidden="1" customHeight="1" x14ac:dyDescent="0.45">
      <c r="A97" s="12" t="s">
        <v>92</v>
      </c>
      <c r="B97" s="7">
        <v>0</v>
      </c>
      <c r="C97" s="8" t="str">
        <f>IFERROR(B97/B444, "NA")</f>
        <v>NA</v>
      </c>
      <c r="D97" s="9"/>
      <c r="E97" s="7">
        <v>0</v>
      </c>
      <c r="F97" s="8" t="str">
        <f>IFERROR(E97/E444, "NA")</f>
        <v>NA</v>
      </c>
      <c r="G97" s="9"/>
      <c r="H97" s="10">
        <f t="shared" si="24"/>
        <v>0</v>
      </c>
      <c r="I97" s="8" t="str">
        <f>IFERROR(H97/H444, "NA")</f>
        <v>NA</v>
      </c>
      <c r="J97" s="9"/>
      <c r="K97" s="7">
        <v>0</v>
      </c>
      <c r="L97" s="8" t="str">
        <f>IFERROR(K97/K444, "NA")</f>
        <v>NA</v>
      </c>
      <c r="M97" s="9"/>
      <c r="N97" s="10">
        <f t="shared" si="25"/>
        <v>0</v>
      </c>
      <c r="O97" s="8" t="str">
        <f>IFERROR(N97/N444, "NA")</f>
        <v>NA</v>
      </c>
      <c r="P97" s="9"/>
      <c r="Q97" s="7">
        <v>0</v>
      </c>
      <c r="R97" s="8" t="str">
        <f>IFERROR(Q97/Q444, "NA")</f>
        <v>NA</v>
      </c>
      <c r="S97" s="9"/>
      <c r="T97" s="7">
        <v>0</v>
      </c>
      <c r="U97" s="8" t="str">
        <f>IFERROR(T97/T444, "NA")</f>
        <v>NA</v>
      </c>
      <c r="V97" s="9"/>
      <c r="W97" s="10">
        <f t="shared" si="26"/>
        <v>0</v>
      </c>
      <c r="X97" s="8" t="str">
        <f>IFERROR(W97/W444, "NA")</f>
        <v>NA</v>
      </c>
      <c r="Y97" s="9"/>
      <c r="Z97" s="7">
        <v>0</v>
      </c>
      <c r="AA97" s="8" t="str">
        <f>IFERROR(Z97/Z444, "NA")</f>
        <v>NA</v>
      </c>
      <c r="AB97" s="9"/>
      <c r="AC97" s="10">
        <f t="shared" si="27"/>
        <v>0</v>
      </c>
      <c r="AD97" s="8" t="str">
        <f>IFERROR(AC97/AC444, "NA")</f>
        <v>NA</v>
      </c>
    </row>
    <row r="98" spans="1:30" ht="16.5" hidden="1" customHeight="1" x14ac:dyDescent="0.45">
      <c r="A98" s="12" t="s">
        <v>93</v>
      </c>
      <c r="B98" s="7">
        <v>0</v>
      </c>
      <c r="C98" s="8" t="str">
        <f>IFERROR(B98/B444, "NA")</f>
        <v>NA</v>
      </c>
      <c r="D98" s="9"/>
      <c r="E98" s="7">
        <v>0</v>
      </c>
      <c r="F98" s="8" t="str">
        <f>IFERROR(E98/E444, "NA")</f>
        <v>NA</v>
      </c>
      <c r="G98" s="9"/>
      <c r="H98" s="10">
        <f t="shared" si="24"/>
        <v>0</v>
      </c>
      <c r="I98" s="8" t="str">
        <f>IFERROR(H98/H444, "NA")</f>
        <v>NA</v>
      </c>
      <c r="J98" s="9"/>
      <c r="K98" s="7">
        <v>0</v>
      </c>
      <c r="L98" s="8" t="str">
        <f>IFERROR(K98/K444, "NA")</f>
        <v>NA</v>
      </c>
      <c r="M98" s="9"/>
      <c r="N98" s="10">
        <f t="shared" si="25"/>
        <v>0</v>
      </c>
      <c r="O98" s="8" t="str">
        <f>IFERROR(N98/N444, "NA")</f>
        <v>NA</v>
      </c>
      <c r="P98" s="9"/>
      <c r="Q98" s="7">
        <v>0</v>
      </c>
      <c r="R98" s="8" t="str">
        <f>IFERROR(Q98/Q444, "NA")</f>
        <v>NA</v>
      </c>
      <c r="S98" s="9"/>
      <c r="T98" s="7">
        <v>0</v>
      </c>
      <c r="U98" s="8" t="str">
        <f>IFERROR(T98/T444, "NA")</f>
        <v>NA</v>
      </c>
      <c r="V98" s="9"/>
      <c r="W98" s="10">
        <f t="shared" si="26"/>
        <v>0</v>
      </c>
      <c r="X98" s="8" t="str">
        <f>IFERROR(W98/W444, "NA")</f>
        <v>NA</v>
      </c>
      <c r="Y98" s="9"/>
      <c r="Z98" s="7">
        <v>0</v>
      </c>
      <c r="AA98" s="8" t="str">
        <f>IFERROR(Z98/Z444, "NA")</f>
        <v>NA</v>
      </c>
      <c r="AB98" s="9"/>
      <c r="AC98" s="10">
        <f t="shared" si="27"/>
        <v>0</v>
      </c>
      <c r="AD98" s="8" t="str">
        <f>IFERROR(AC98/AC444, "NA")</f>
        <v>NA</v>
      </c>
    </row>
    <row r="99" spans="1:30" ht="16.5" hidden="1" customHeight="1" x14ac:dyDescent="0.45">
      <c r="A99" s="12" t="s">
        <v>94</v>
      </c>
      <c r="B99" s="7">
        <v>0</v>
      </c>
      <c r="C99" s="8" t="str">
        <f>IFERROR(B99/B444, "NA")</f>
        <v>NA</v>
      </c>
      <c r="D99" s="9"/>
      <c r="E99" s="7">
        <v>0</v>
      </c>
      <c r="F99" s="8" t="str">
        <f>IFERROR(E99/E444, "NA")</f>
        <v>NA</v>
      </c>
      <c r="G99" s="9"/>
      <c r="H99" s="10">
        <f t="shared" si="24"/>
        <v>0</v>
      </c>
      <c r="I99" s="8" t="str">
        <f>IFERROR(H99/H444, "NA")</f>
        <v>NA</v>
      </c>
      <c r="J99" s="9"/>
      <c r="K99" s="7">
        <v>0</v>
      </c>
      <c r="L99" s="8" t="str">
        <f>IFERROR(K99/K444, "NA")</f>
        <v>NA</v>
      </c>
      <c r="M99" s="9"/>
      <c r="N99" s="10">
        <f t="shared" si="25"/>
        <v>0</v>
      </c>
      <c r="O99" s="8" t="str">
        <f>IFERROR(N99/N444, "NA")</f>
        <v>NA</v>
      </c>
      <c r="P99" s="9"/>
      <c r="Q99" s="7">
        <v>0</v>
      </c>
      <c r="R99" s="8" t="str">
        <f>IFERROR(Q99/Q444, "NA")</f>
        <v>NA</v>
      </c>
      <c r="S99" s="9"/>
      <c r="T99" s="7">
        <v>0</v>
      </c>
      <c r="U99" s="8" t="str">
        <f>IFERROR(T99/T444, "NA")</f>
        <v>NA</v>
      </c>
      <c r="V99" s="9"/>
      <c r="W99" s="10">
        <f t="shared" si="26"/>
        <v>0</v>
      </c>
      <c r="X99" s="8" t="str">
        <f>IFERROR(W99/W444, "NA")</f>
        <v>NA</v>
      </c>
      <c r="Y99" s="9"/>
      <c r="Z99" s="7">
        <v>0</v>
      </c>
      <c r="AA99" s="8" t="str">
        <f>IFERROR(Z99/Z444, "NA")</f>
        <v>NA</v>
      </c>
      <c r="AB99" s="9"/>
      <c r="AC99" s="10">
        <f t="shared" si="27"/>
        <v>0</v>
      </c>
      <c r="AD99" s="8" t="str">
        <f>IFERROR(AC99/AC444, "NA")</f>
        <v>NA</v>
      </c>
    </row>
    <row r="100" spans="1:30" ht="16.5" hidden="1" customHeight="1" x14ac:dyDescent="0.45">
      <c r="A100" s="12" t="s">
        <v>95</v>
      </c>
      <c r="B100" s="7">
        <v>0</v>
      </c>
      <c r="C100" s="8" t="str">
        <f>IFERROR(B100/B444, "NA")</f>
        <v>NA</v>
      </c>
      <c r="D100" s="9"/>
      <c r="E100" s="7">
        <v>0</v>
      </c>
      <c r="F100" s="8" t="str">
        <f>IFERROR(E100/E444, "NA")</f>
        <v>NA</v>
      </c>
      <c r="G100" s="9"/>
      <c r="H100" s="10">
        <f t="shared" si="24"/>
        <v>0</v>
      </c>
      <c r="I100" s="8" t="str">
        <f>IFERROR(H100/H444, "NA")</f>
        <v>NA</v>
      </c>
      <c r="J100" s="9"/>
      <c r="K100" s="7">
        <v>0</v>
      </c>
      <c r="L100" s="8" t="str">
        <f>IFERROR(K100/K444, "NA")</f>
        <v>NA</v>
      </c>
      <c r="M100" s="9"/>
      <c r="N100" s="10">
        <f t="shared" si="25"/>
        <v>0</v>
      </c>
      <c r="O100" s="8" t="str">
        <f>IFERROR(N100/N444, "NA")</f>
        <v>NA</v>
      </c>
      <c r="P100" s="9"/>
      <c r="Q100" s="7">
        <v>0</v>
      </c>
      <c r="R100" s="8" t="str">
        <f>IFERROR(Q100/Q444, "NA")</f>
        <v>NA</v>
      </c>
      <c r="S100" s="9"/>
      <c r="T100" s="7">
        <v>0</v>
      </c>
      <c r="U100" s="8" t="str">
        <f>IFERROR(T100/T444, "NA")</f>
        <v>NA</v>
      </c>
      <c r="V100" s="9"/>
      <c r="W100" s="10">
        <f t="shared" si="26"/>
        <v>0</v>
      </c>
      <c r="X100" s="8" t="str">
        <f>IFERROR(W100/W444, "NA")</f>
        <v>NA</v>
      </c>
      <c r="Y100" s="9"/>
      <c r="Z100" s="7">
        <v>0</v>
      </c>
      <c r="AA100" s="8" t="str">
        <f>IFERROR(Z100/Z444, "NA")</f>
        <v>NA</v>
      </c>
      <c r="AB100" s="9"/>
      <c r="AC100" s="10">
        <f t="shared" si="27"/>
        <v>0</v>
      </c>
      <c r="AD100" s="8" t="str">
        <f>IFERROR(AC100/AC444, "NA")</f>
        <v>NA</v>
      </c>
    </row>
    <row r="101" spans="1:30" ht="16.5" hidden="1" customHeight="1" x14ac:dyDescent="0.45">
      <c r="A101" s="12" t="s">
        <v>96</v>
      </c>
      <c r="B101" s="7">
        <v>0</v>
      </c>
      <c r="C101" s="8" t="str">
        <f>IFERROR(B101/B444, "NA")</f>
        <v>NA</v>
      </c>
      <c r="D101" s="9"/>
      <c r="E101" s="7">
        <v>0</v>
      </c>
      <c r="F101" s="8" t="str">
        <f>IFERROR(E101/E444, "NA")</f>
        <v>NA</v>
      </c>
      <c r="G101" s="9"/>
      <c r="H101" s="10">
        <f t="shared" si="24"/>
        <v>0</v>
      </c>
      <c r="I101" s="8" t="str">
        <f>IFERROR(H101/H444, "NA")</f>
        <v>NA</v>
      </c>
      <c r="J101" s="9"/>
      <c r="K101" s="7">
        <v>0</v>
      </c>
      <c r="L101" s="8" t="str">
        <f>IFERROR(K101/K444, "NA")</f>
        <v>NA</v>
      </c>
      <c r="M101" s="9"/>
      <c r="N101" s="10">
        <f t="shared" si="25"/>
        <v>0</v>
      </c>
      <c r="O101" s="8" t="str">
        <f>IFERROR(N101/N444, "NA")</f>
        <v>NA</v>
      </c>
      <c r="P101" s="9"/>
      <c r="Q101" s="7">
        <v>0</v>
      </c>
      <c r="R101" s="8" t="str">
        <f>IFERROR(Q101/Q444, "NA")</f>
        <v>NA</v>
      </c>
      <c r="S101" s="9"/>
      <c r="T101" s="7">
        <v>0</v>
      </c>
      <c r="U101" s="8" t="str">
        <f>IFERROR(T101/T444, "NA")</f>
        <v>NA</v>
      </c>
      <c r="V101" s="9"/>
      <c r="W101" s="10">
        <f t="shared" si="26"/>
        <v>0</v>
      </c>
      <c r="X101" s="8" t="str">
        <f>IFERROR(W101/W444, "NA")</f>
        <v>NA</v>
      </c>
      <c r="Y101" s="9"/>
      <c r="Z101" s="7">
        <v>0</v>
      </c>
      <c r="AA101" s="8" t="str">
        <f>IFERROR(Z101/Z444, "NA")</f>
        <v>NA</v>
      </c>
      <c r="AB101" s="9"/>
      <c r="AC101" s="10">
        <f t="shared" si="27"/>
        <v>0</v>
      </c>
      <c r="AD101" s="8" t="str">
        <f>IFERROR(AC101/AC444, "NA")</f>
        <v>NA</v>
      </c>
    </row>
    <row r="102" spans="1:30" ht="16.5" hidden="1" customHeight="1" x14ac:dyDescent="0.45">
      <c r="A102" s="12" t="s">
        <v>97</v>
      </c>
      <c r="B102" s="7">
        <v>0</v>
      </c>
      <c r="C102" s="8" t="str">
        <f>IFERROR(B102/B444, "NA")</f>
        <v>NA</v>
      </c>
      <c r="D102" s="9"/>
      <c r="E102" s="7">
        <v>0</v>
      </c>
      <c r="F102" s="8" t="str">
        <f>IFERROR(E102/E444, "NA")</f>
        <v>NA</v>
      </c>
      <c r="G102" s="9"/>
      <c r="H102" s="10">
        <f t="shared" si="24"/>
        <v>0</v>
      </c>
      <c r="I102" s="8" t="str">
        <f>IFERROR(H102/H444, "NA")</f>
        <v>NA</v>
      </c>
      <c r="J102" s="9"/>
      <c r="K102" s="7">
        <v>0</v>
      </c>
      <c r="L102" s="8" t="str">
        <f>IFERROR(K102/K444, "NA")</f>
        <v>NA</v>
      </c>
      <c r="M102" s="9"/>
      <c r="N102" s="10">
        <f t="shared" si="25"/>
        <v>0</v>
      </c>
      <c r="O102" s="8" t="str">
        <f>IFERROR(N102/N444, "NA")</f>
        <v>NA</v>
      </c>
      <c r="P102" s="9"/>
      <c r="Q102" s="7">
        <v>0</v>
      </c>
      <c r="R102" s="8" t="str">
        <f>IFERROR(Q102/Q444, "NA")</f>
        <v>NA</v>
      </c>
      <c r="S102" s="9"/>
      <c r="T102" s="7">
        <v>0</v>
      </c>
      <c r="U102" s="8" t="str">
        <f>IFERROR(T102/T444, "NA")</f>
        <v>NA</v>
      </c>
      <c r="V102" s="9"/>
      <c r="W102" s="10">
        <f t="shared" si="26"/>
        <v>0</v>
      </c>
      <c r="X102" s="8" t="str">
        <f>IFERROR(W102/W444, "NA")</f>
        <v>NA</v>
      </c>
      <c r="Y102" s="9"/>
      <c r="Z102" s="7">
        <v>0</v>
      </c>
      <c r="AA102" s="8" t="str">
        <f>IFERROR(Z102/Z444, "NA")</f>
        <v>NA</v>
      </c>
      <c r="AB102" s="9"/>
      <c r="AC102" s="10">
        <f t="shared" si="27"/>
        <v>0</v>
      </c>
      <c r="AD102" s="8" t="str">
        <f>IFERROR(AC102/AC444, "NA")</f>
        <v>NA</v>
      </c>
    </row>
    <row r="103" spans="1:30" ht="16.5" hidden="1" customHeight="1" x14ac:dyDescent="0.45">
      <c r="A103" s="12" t="s">
        <v>98</v>
      </c>
      <c r="B103" s="7">
        <v>0</v>
      </c>
      <c r="C103" s="8" t="str">
        <f>IFERROR(B103/B444, "NA")</f>
        <v>NA</v>
      </c>
      <c r="D103" s="9"/>
      <c r="E103" s="7">
        <v>0</v>
      </c>
      <c r="F103" s="8" t="str">
        <f>IFERROR(E103/E444, "NA")</f>
        <v>NA</v>
      </c>
      <c r="G103" s="9"/>
      <c r="H103" s="10">
        <f t="shared" si="24"/>
        <v>0</v>
      </c>
      <c r="I103" s="8" t="str">
        <f>IFERROR(H103/H444, "NA")</f>
        <v>NA</v>
      </c>
      <c r="J103" s="9"/>
      <c r="K103" s="7">
        <v>0</v>
      </c>
      <c r="L103" s="8" t="str">
        <f>IFERROR(K103/K444, "NA")</f>
        <v>NA</v>
      </c>
      <c r="M103" s="9"/>
      <c r="N103" s="10">
        <f t="shared" si="25"/>
        <v>0</v>
      </c>
      <c r="O103" s="8" t="str">
        <f>IFERROR(N103/N444, "NA")</f>
        <v>NA</v>
      </c>
      <c r="P103" s="9"/>
      <c r="Q103" s="7">
        <v>0</v>
      </c>
      <c r="R103" s="8" t="str">
        <f>IFERROR(Q103/Q444, "NA")</f>
        <v>NA</v>
      </c>
      <c r="S103" s="9"/>
      <c r="T103" s="7">
        <v>0</v>
      </c>
      <c r="U103" s="8" t="str">
        <f>IFERROR(T103/T444, "NA")</f>
        <v>NA</v>
      </c>
      <c r="V103" s="9"/>
      <c r="W103" s="10">
        <f t="shared" si="26"/>
        <v>0</v>
      </c>
      <c r="X103" s="8" t="str">
        <f>IFERROR(W103/W444, "NA")</f>
        <v>NA</v>
      </c>
      <c r="Y103" s="9"/>
      <c r="Z103" s="7">
        <v>0</v>
      </c>
      <c r="AA103" s="8" t="str">
        <f>IFERROR(Z103/Z444, "NA")</f>
        <v>NA</v>
      </c>
      <c r="AB103" s="9"/>
      <c r="AC103" s="10">
        <f t="shared" si="27"/>
        <v>0</v>
      </c>
      <c r="AD103" s="8" t="str">
        <f>IFERROR(AC103/AC444, "NA")</f>
        <v>NA</v>
      </c>
    </row>
    <row r="104" spans="1:30" ht="16.5" hidden="1" customHeight="1" x14ac:dyDescent="0.45">
      <c r="A104" s="12" t="s">
        <v>99</v>
      </c>
      <c r="B104" s="7">
        <v>0</v>
      </c>
      <c r="C104" s="8" t="str">
        <f>IFERROR(B104/B444, "NA")</f>
        <v>NA</v>
      </c>
      <c r="D104" s="9"/>
      <c r="E104" s="7">
        <v>0</v>
      </c>
      <c r="F104" s="8" t="str">
        <f>IFERROR(E104/E444, "NA")</f>
        <v>NA</v>
      </c>
      <c r="G104" s="9"/>
      <c r="H104" s="10">
        <f t="shared" si="24"/>
        <v>0</v>
      </c>
      <c r="I104" s="8" t="str">
        <f>IFERROR(H104/H444, "NA")</f>
        <v>NA</v>
      </c>
      <c r="J104" s="9"/>
      <c r="K104" s="7">
        <v>0</v>
      </c>
      <c r="L104" s="8" t="str">
        <f>IFERROR(K104/K444, "NA")</f>
        <v>NA</v>
      </c>
      <c r="M104" s="9"/>
      <c r="N104" s="10">
        <f t="shared" si="25"/>
        <v>0</v>
      </c>
      <c r="O104" s="8" t="str">
        <f>IFERROR(N104/N444, "NA")</f>
        <v>NA</v>
      </c>
      <c r="P104" s="9"/>
      <c r="Q104" s="7">
        <v>0</v>
      </c>
      <c r="R104" s="8" t="str">
        <f>IFERROR(Q104/Q444, "NA")</f>
        <v>NA</v>
      </c>
      <c r="S104" s="9"/>
      <c r="T104" s="7">
        <v>0</v>
      </c>
      <c r="U104" s="8" t="str">
        <f>IFERROR(T104/T444, "NA")</f>
        <v>NA</v>
      </c>
      <c r="V104" s="9"/>
      <c r="W104" s="10">
        <f t="shared" si="26"/>
        <v>0</v>
      </c>
      <c r="X104" s="8" t="str">
        <f>IFERROR(W104/W444, "NA")</f>
        <v>NA</v>
      </c>
      <c r="Y104" s="9"/>
      <c r="Z104" s="7">
        <v>0</v>
      </c>
      <c r="AA104" s="8" t="str">
        <f>IFERROR(Z104/Z444, "NA")</f>
        <v>NA</v>
      </c>
      <c r="AB104" s="9"/>
      <c r="AC104" s="10">
        <f t="shared" si="27"/>
        <v>0</v>
      </c>
      <c r="AD104" s="8" t="str">
        <f>IFERROR(AC104/AC444, "NA")</f>
        <v>NA</v>
      </c>
    </row>
    <row r="105" spans="1:30" ht="16.5" hidden="1" customHeight="1" x14ac:dyDescent="0.45">
      <c r="A105" s="12" t="s">
        <v>100</v>
      </c>
      <c r="B105" s="7">
        <v>0</v>
      </c>
      <c r="C105" s="8" t="str">
        <f>IFERROR(B105/B444, "NA")</f>
        <v>NA</v>
      </c>
      <c r="D105" s="9"/>
      <c r="E105" s="7">
        <v>0</v>
      </c>
      <c r="F105" s="8" t="str">
        <f>IFERROR(E105/E444, "NA")</f>
        <v>NA</v>
      </c>
      <c r="G105" s="9"/>
      <c r="H105" s="10">
        <f t="shared" si="24"/>
        <v>0</v>
      </c>
      <c r="I105" s="8" t="str">
        <f>IFERROR(H105/H444, "NA")</f>
        <v>NA</v>
      </c>
      <c r="J105" s="9"/>
      <c r="K105" s="7">
        <v>0</v>
      </c>
      <c r="L105" s="8" t="str">
        <f>IFERROR(K105/K444, "NA")</f>
        <v>NA</v>
      </c>
      <c r="M105" s="9"/>
      <c r="N105" s="10">
        <f t="shared" si="25"/>
        <v>0</v>
      </c>
      <c r="O105" s="8" t="str">
        <f>IFERROR(N105/N444, "NA")</f>
        <v>NA</v>
      </c>
      <c r="P105" s="9"/>
      <c r="Q105" s="7">
        <v>0</v>
      </c>
      <c r="R105" s="8" t="str">
        <f>IFERROR(Q105/Q444, "NA")</f>
        <v>NA</v>
      </c>
      <c r="S105" s="9"/>
      <c r="T105" s="7">
        <v>0</v>
      </c>
      <c r="U105" s="8" t="str">
        <f>IFERROR(T105/T444, "NA")</f>
        <v>NA</v>
      </c>
      <c r="V105" s="9"/>
      <c r="W105" s="10">
        <f t="shared" si="26"/>
        <v>0</v>
      </c>
      <c r="X105" s="8" t="str">
        <f>IFERROR(W105/W444, "NA")</f>
        <v>NA</v>
      </c>
      <c r="Y105" s="9"/>
      <c r="Z105" s="7">
        <v>0</v>
      </c>
      <c r="AA105" s="8" t="str">
        <f>IFERROR(Z105/Z444, "NA")</f>
        <v>NA</v>
      </c>
      <c r="AB105" s="9"/>
      <c r="AC105" s="10">
        <f t="shared" si="27"/>
        <v>0</v>
      </c>
      <c r="AD105" s="8" t="str">
        <f>IFERROR(AC105/AC444, "NA")</f>
        <v>NA</v>
      </c>
    </row>
    <row r="106" spans="1:30" ht="16.5" hidden="1" customHeight="1" x14ac:dyDescent="0.45">
      <c r="A106" s="12" t="s">
        <v>101</v>
      </c>
      <c r="B106" s="7">
        <v>0</v>
      </c>
      <c r="C106" s="8" t="str">
        <f>IFERROR(B106/B444, "NA")</f>
        <v>NA</v>
      </c>
      <c r="D106" s="9"/>
      <c r="E106" s="7">
        <v>0</v>
      </c>
      <c r="F106" s="8" t="str">
        <f>IFERROR(E106/E444, "NA")</f>
        <v>NA</v>
      </c>
      <c r="G106" s="9"/>
      <c r="H106" s="10">
        <f t="shared" si="24"/>
        <v>0</v>
      </c>
      <c r="I106" s="8" t="str">
        <f>IFERROR(H106/H444, "NA")</f>
        <v>NA</v>
      </c>
      <c r="J106" s="9"/>
      <c r="K106" s="7">
        <v>0</v>
      </c>
      <c r="L106" s="8" t="str">
        <f>IFERROR(K106/K444, "NA")</f>
        <v>NA</v>
      </c>
      <c r="M106" s="9"/>
      <c r="N106" s="10">
        <f t="shared" si="25"/>
        <v>0</v>
      </c>
      <c r="O106" s="8" t="str">
        <f>IFERROR(N106/N444, "NA")</f>
        <v>NA</v>
      </c>
      <c r="P106" s="9"/>
      <c r="Q106" s="7">
        <v>0</v>
      </c>
      <c r="R106" s="8" t="str">
        <f>IFERROR(Q106/Q444, "NA")</f>
        <v>NA</v>
      </c>
      <c r="S106" s="9"/>
      <c r="T106" s="7">
        <v>0</v>
      </c>
      <c r="U106" s="8" t="str">
        <f>IFERROR(T106/T444, "NA")</f>
        <v>NA</v>
      </c>
      <c r="V106" s="9"/>
      <c r="W106" s="10">
        <f t="shared" si="26"/>
        <v>0</v>
      </c>
      <c r="X106" s="8" t="str">
        <f>IFERROR(W106/W444, "NA")</f>
        <v>NA</v>
      </c>
      <c r="Y106" s="9"/>
      <c r="Z106" s="7">
        <v>0</v>
      </c>
      <c r="AA106" s="8" t="str">
        <f>IFERROR(Z106/Z444, "NA")</f>
        <v>NA</v>
      </c>
      <c r="AB106" s="9"/>
      <c r="AC106" s="10">
        <f t="shared" si="27"/>
        <v>0</v>
      </c>
      <c r="AD106" s="8" t="str">
        <f>IFERROR(AC106/AC444, "NA")</f>
        <v>NA</v>
      </c>
    </row>
    <row r="107" spans="1:30" ht="16.5" hidden="1" customHeight="1" x14ac:dyDescent="0.45">
      <c r="A107" s="12" t="s">
        <v>102</v>
      </c>
      <c r="B107" s="7">
        <v>0</v>
      </c>
      <c r="C107" s="8" t="str">
        <f>IFERROR(B107/B444, "NA")</f>
        <v>NA</v>
      </c>
      <c r="D107" s="9"/>
      <c r="E107" s="7">
        <v>0</v>
      </c>
      <c r="F107" s="8" t="str">
        <f>IFERROR(E107/E444, "NA")</f>
        <v>NA</v>
      </c>
      <c r="G107" s="9"/>
      <c r="H107" s="10">
        <f t="shared" si="24"/>
        <v>0</v>
      </c>
      <c r="I107" s="8" t="str">
        <f>IFERROR(H107/H444, "NA")</f>
        <v>NA</v>
      </c>
      <c r="J107" s="9"/>
      <c r="K107" s="7">
        <v>0</v>
      </c>
      <c r="L107" s="8" t="str">
        <f>IFERROR(K107/K444, "NA")</f>
        <v>NA</v>
      </c>
      <c r="M107" s="9"/>
      <c r="N107" s="10">
        <f t="shared" si="25"/>
        <v>0</v>
      </c>
      <c r="O107" s="8" t="str">
        <f>IFERROR(N107/N444, "NA")</f>
        <v>NA</v>
      </c>
      <c r="P107" s="9"/>
      <c r="Q107" s="7">
        <v>0</v>
      </c>
      <c r="R107" s="8" t="str">
        <f>IFERROR(Q107/Q444, "NA")</f>
        <v>NA</v>
      </c>
      <c r="S107" s="9"/>
      <c r="T107" s="7">
        <v>0</v>
      </c>
      <c r="U107" s="8" t="str">
        <f>IFERROR(T107/T444, "NA")</f>
        <v>NA</v>
      </c>
      <c r="V107" s="9"/>
      <c r="W107" s="10">
        <f t="shared" si="26"/>
        <v>0</v>
      </c>
      <c r="X107" s="8" t="str">
        <f>IFERROR(W107/W444, "NA")</f>
        <v>NA</v>
      </c>
      <c r="Y107" s="9"/>
      <c r="Z107" s="7">
        <v>0</v>
      </c>
      <c r="AA107" s="8" t="str">
        <f>IFERROR(Z107/Z444, "NA")</f>
        <v>NA</v>
      </c>
      <c r="AB107" s="9"/>
      <c r="AC107" s="10">
        <f t="shared" si="27"/>
        <v>0</v>
      </c>
      <c r="AD107" s="8" t="str">
        <f>IFERROR(AC107/AC444, "NA")</f>
        <v>NA</v>
      </c>
    </row>
    <row r="108" spans="1:30" ht="16.5" hidden="1" customHeight="1" x14ac:dyDescent="0.45">
      <c r="A108" s="12" t="s">
        <v>103</v>
      </c>
      <c r="B108" s="7">
        <v>0</v>
      </c>
      <c r="C108" s="8" t="str">
        <f>IFERROR(B108/B444, "NA")</f>
        <v>NA</v>
      </c>
      <c r="D108" s="9"/>
      <c r="E108" s="7">
        <v>0</v>
      </c>
      <c r="F108" s="8" t="str">
        <f>IFERROR(E108/E444, "NA")</f>
        <v>NA</v>
      </c>
      <c r="G108" s="9"/>
      <c r="H108" s="10">
        <f t="shared" si="24"/>
        <v>0</v>
      </c>
      <c r="I108" s="8" t="str">
        <f>IFERROR(H108/H444, "NA")</f>
        <v>NA</v>
      </c>
      <c r="J108" s="9"/>
      <c r="K108" s="7">
        <v>0</v>
      </c>
      <c r="L108" s="8" t="str">
        <f>IFERROR(K108/K444, "NA")</f>
        <v>NA</v>
      </c>
      <c r="M108" s="9"/>
      <c r="N108" s="10">
        <f t="shared" si="25"/>
        <v>0</v>
      </c>
      <c r="O108" s="8" t="str">
        <f>IFERROR(N108/N444, "NA")</f>
        <v>NA</v>
      </c>
      <c r="P108" s="9"/>
      <c r="Q108" s="7">
        <v>0</v>
      </c>
      <c r="R108" s="8" t="str">
        <f>IFERROR(Q108/Q444, "NA")</f>
        <v>NA</v>
      </c>
      <c r="S108" s="9"/>
      <c r="T108" s="7">
        <v>0</v>
      </c>
      <c r="U108" s="8" t="str">
        <f>IFERROR(T108/T444, "NA")</f>
        <v>NA</v>
      </c>
      <c r="V108" s="9"/>
      <c r="W108" s="10">
        <f t="shared" si="26"/>
        <v>0</v>
      </c>
      <c r="X108" s="8" t="str">
        <f>IFERROR(W108/W444, "NA")</f>
        <v>NA</v>
      </c>
      <c r="Y108" s="9"/>
      <c r="Z108" s="7">
        <v>0</v>
      </c>
      <c r="AA108" s="8" t="str">
        <f>IFERROR(Z108/Z444, "NA")</f>
        <v>NA</v>
      </c>
      <c r="AB108" s="9"/>
      <c r="AC108" s="10">
        <f t="shared" si="27"/>
        <v>0</v>
      </c>
      <c r="AD108" s="8" t="str">
        <f>IFERROR(AC108/AC444, "NA")</f>
        <v>NA</v>
      </c>
    </row>
    <row r="109" spans="1:30" ht="16.5" hidden="1" customHeight="1" x14ac:dyDescent="0.45">
      <c r="A109" s="12" t="s">
        <v>104</v>
      </c>
      <c r="B109" s="7">
        <v>0</v>
      </c>
      <c r="C109" s="8" t="str">
        <f>IFERROR(B109/B444, "NA")</f>
        <v>NA</v>
      </c>
      <c r="D109" s="9"/>
      <c r="E109" s="7">
        <v>0</v>
      </c>
      <c r="F109" s="8" t="str">
        <f>IFERROR(E109/E444, "NA")</f>
        <v>NA</v>
      </c>
      <c r="G109" s="9"/>
      <c r="H109" s="10">
        <f t="shared" si="24"/>
        <v>0</v>
      </c>
      <c r="I109" s="8" t="str">
        <f>IFERROR(H109/H444, "NA")</f>
        <v>NA</v>
      </c>
      <c r="J109" s="9"/>
      <c r="K109" s="7">
        <v>0</v>
      </c>
      <c r="L109" s="8" t="str">
        <f>IFERROR(K109/K444, "NA")</f>
        <v>NA</v>
      </c>
      <c r="M109" s="9"/>
      <c r="N109" s="10">
        <f t="shared" si="25"/>
        <v>0</v>
      </c>
      <c r="O109" s="8" t="str">
        <f>IFERROR(N109/N444, "NA")</f>
        <v>NA</v>
      </c>
      <c r="P109" s="9"/>
      <c r="Q109" s="7">
        <v>0</v>
      </c>
      <c r="R109" s="8" t="str">
        <f>IFERROR(Q109/Q444, "NA")</f>
        <v>NA</v>
      </c>
      <c r="S109" s="9"/>
      <c r="T109" s="7">
        <v>0</v>
      </c>
      <c r="U109" s="8" t="str">
        <f>IFERROR(T109/T444, "NA")</f>
        <v>NA</v>
      </c>
      <c r="V109" s="9"/>
      <c r="W109" s="10">
        <f t="shared" si="26"/>
        <v>0</v>
      </c>
      <c r="X109" s="8" t="str">
        <f>IFERROR(W109/W444, "NA")</f>
        <v>NA</v>
      </c>
      <c r="Y109" s="9"/>
      <c r="Z109" s="7">
        <v>0</v>
      </c>
      <c r="AA109" s="8" t="str">
        <f>IFERROR(Z109/Z444, "NA")</f>
        <v>NA</v>
      </c>
      <c r="AB109" s="9"/>
      <c r="AC109" s="10">
        <f t="shared" si="27"/>
        <v>0</v>
      </c>
      <c r="AD109" s="8" t="str">
        <f>IFERROR(AC109/AC444, "NA")</f>
        <v>NA</v>
      </c>
    </row>
    <row r="110" spans="1:30" ht="16.5" hidden="1" customHeight="1" x14ac:dyDescent="0.45">
      <c r="A110" s="12" t="s">
        <v>105</v>
      </c>
      <c r="B110" s="7">
        <v>0</v>
      </c>
      <c r="C110" s="8" t="str">
        <f>IFERROR(B110/B444, "NA")</f>
        <v>NA</v>
      </c>
      <c r="D110" s="9"/>
      <c r="E110" s="7">
        <v>0</v>
      </c>
      <c r="F110" s="8" t="str">
        <f>IFERROR(E110/E444, "NA")</f>
        <v>NA</v>
      </c>
      <c r="G110" s="9"/>
      <c r="H110" s="10">
        <f t="shared" si="24"/>
        <v>0</v>
      </c>
      <c r="I110" s="8" t="str">
        <f>IFERROR(H110/H444, "NA")</f>
        <v>NA</v>
      </c>
      <c r="J110" s="9"/>
      <c r="K110" s="7">
        <v>0</v>
      </c>
      <c r="L110" s="8" t="str">
        <f>IFERROR(K110/K444, "NA")</f>
        <v>NA</v>
      </c>
      <c r="M110" s="9"/>
      <c r="N110" s="10">
        <f t="shared" si="25"/>
        <v>0</v>
      </c>
      <c r="O110" s="8" t="str">
        <f>IFERROR(N110/N444, "NA")</f>
        <v>NA</v>
      </c>
      <c r="P110" s="9"/>
      <c r="Q110" s="7">
        <v>0</v>
      </c>
      <c r="R110" s="8" t="str">
        <f>IFERROR(Q110/Q444, "NA")</f>
        <v>NA</v>
      </c>
      <c r="S110" s="9"/>
      <c r="T110" s="7">
        <v>0</v>
      </c>
      <c r="U110" s="8" t="str">
        <f>IFERROR(T110/T444, "NA")</f>
        <v>NA</v>
      </c>
      <c r="V110" s="9"/>
      <c r="W110" s="10">
        <f t="shared" si="26"/>
        <v>0</v>
      </c>
      <c r="X110" s="8" t="str">
        <f>IFERROR(W110/W444, "NA")</f>
        <v>NA</v>
      </c>
      <c r="Y110" s="9"/>
      <c r="Z110" s="7">
        <v>0</v>
      </c>
      <c r="AA110" s="8" t="str">
        <f>IFERROR(Z110/Z444, "NA")</f>
        <v>NA</v>
      </c>
      <c r="AB110" s="9"/>
      <c r="AC110" s="10">
        <f t="shared" si="27"/>
        <v>0</v>
      </c>
      <c r="AD110" s="8" t="str">
        <f>IFERROR(AC110/AC444, "NA")</f>
        <v>NA</v>
      </c>
    </row>
    <row r="111" spans="1:30" ht="16.5" hidden="1" customHeight="1" x14ac:dyDescent="0.45">
      <c r="A111" s="12" t="s">
        <v>106</v>
      </c>
      <c r="B111" s="7">
        <v>0</v>
      </c>
      <c r="C111" s="8" t="str">
        <f>IFERROR(B111/B444, "NA")</f>
        <v>NA</v>
      </c>
      <c r="D111" s="9"/>
      <c r="E111" s="7">
        <v>0</v>
      </c>
      <c r="F111" s="8" t="str">
        <f>IFERROR(E111/E444, "NA")</f>
        <v>NA</v>
      </c>
      <c r="G111" s="9"/>
      <c r="H111" s="10">
        <f t="shared" si="24"/>
        <v>0</v>
      </c>
      <c r="I111" s="8" t="str">
        <f>IFERROR(H111/H444, "NA")</f>
        <v>NA</v>
      </c>
      <c r="J111" s="9"/>
      <c r="K111" s="7">
        <v>0</v>
      </c>
      <c r="L111" s="8" t="str">
        <f>IFERROR(K111/K444, "NA")</f>
        <v>NA</v>
      </c>
      <c r="M111" s="9"/>
      <c r="N111" s="10">
        <f t="shared" si="25"/>
        <v>0</v>
      </c>
      <c r="O111" s="8" t="str">
        <f>IFERROR(N111/N444, "NA")</f>
        <v>NA</v>
      </c>
      <c r="P111" s="9"/>
      <c r="Q111" s="7">
        <v>0</v>
      </c>
      <c r="R111" s="8" t="str">
        <f>IFERROR(Q111/Q444, "NA")</f>
        <v>NA</v>
      </c>
      <c r="S111" s="9"/>
      <c r="T111" s="7">
        <v>0</v>
      </c>
      <c r="U111" s="8" t="str">
        <f>IFERROR(T111/T444, "NA")</f>
        <v>NA</v>
      </c>
      <c r="V111" s="9"/>
      <c r="W111" s="10">
        <f t="shared" si="26"/>
        <v>0</v>
      </c>
      <c r="X111" s="8" t="str">
        <f>IFERROR(W111/W444, "NA")</f>
        <v>NA</v>
      </c>
      <c r="Y111" s="9"/>
      <c r="Z111" s="7">
        <v>0</v>
      </c>
      <c r="AA111" s="8" t="str">
        <f>IFERROR(Z111/Z444, "NA")</f>
        <v>NA</v>
      </c>
      <c r="AB111" s="9"/>
      <c r="AC111" s="10">
        <f t="shared" si="27"/>
        <v>0</v>
      </c>
      <c r="AD111" s="8" t="str">
        <f>IFERROR(AC111/AC444, "NA")</f>
        <v>NA</v>
      </c>
    </row>
    <row r="112" spans="1:30" ht="16.5" hidden="1" customHeight="1" x14ac:dyDescent="0.45">
      <c r="A112" s="12" t="s">
        <v>107</v>
      </c>
      <c r="B112" s="7">
        <v>0</v>
      </c>
      <c r="C112" s="8" t="str">
        <f>IFERROR(B112/B444, "NA")</f>
        <v>NA</v>
      </c>
      <c r="D112" s="9"/>
      <c r="E112" s="7">
        <v>0</v>
      </c>
      <c r="F112" s="8" t="str">
        <f>IFERROR(E112/E444, "NA")</f>
        <v>NA</v>
      </c>
      <c r="G112" s="9"/>
      <c r="H112" s="10">
        <f t="shared" si="24"/>
        <v>0</v>
      </c>
      <c r="I112" s="8" t="str">
        <f>IFERROR(H112/H444, "NA")</f>
        <v>NA</v>
      </c>
      <c r="J112" s="9"/>
      <c r="K112" s="7">
        <v>0</v>
      </c>
      <c r="L112" s="8" t="str">
        <f>IFERROR(K112/K444, "NA")</f>
        <v>NA</v>
      </c>
      <c r="M112" s="9"/>
      <c r="N112" s="10">
        <f t="shared" si="25"/>
        <v>0</v>
      </c>
      <c r="O112" s="8" t="str">
        <f>IFERROR(N112/N444, "NA")</f>
        <v>NA</v>
      </c>
      <c r="P112" s="9"/>
      <c r="Q112" s="7">
        <v>0</v>
      </c>
      <c r="R112" s="8" t="str">
        <f>IFERROR(Q112/Q444, "NA")</f>
        <v>NA</v>
      </c>
      <c r="S112" s="9"/>
      <c r="T112" s="7">
        <v>0</v>
      </c>
      <c r="U112" s="8" t="str">
        <f>IFERROR(T112/T444, "NA")</f>
        <v>NA</v>
      </c>
      <c r="V112" s="9"/>
      <c r="W112" s="10">
        <f t="shared" si="26"/>
        <v>0</v>
      </c>
      <c r="X112" s="8" t="str">
        <f>IFERROR(W112/W444, "NA")</f>
        <v>NA</v>
      </c>
      <c r="Y112" s="9"/>
      <c r="Z112" s="7">
        <v>0</v>
      </c>
      <c r="AA112" s="8" t="str">
        <f>IFERROR(Z112/Z444, "NA")</f>
        <v>NA</v>
      </c>
      <c r="AB112" s="9"/>
      <c r="AC112" s="10">
        <f t="shared" si="27"/>
        <v>0</v>
      </c>
      <c r="AD112" s="8" t="str">
        <f>IFERROR(AC112/AC444, "NA")</f>
        <v>NA</v>
      </c>
    </row>
    <row r="113" spans="1:30" ht="16.5" hidden="1" customHeight="1" x14ac:dyDescent="0.45">
      <c r="A113" s="12" t="s">
        <v>108</v>
      </c>
      <c r="B113" s="7">
        <v>0</v>
      </c>
      <c r="C113" s="8" t="str">
        <f>IFERROR(B113/B444, "NA")</f>
        <v>NA</v>
      </c>
      <c r="D113" s="9"/>
      <c r="E113" s="7">
        <v>0</v>
      </c>
      <c r="F113" s="8" t="str">
        <f>IFERROR(E113/E444, "NA")</f>
        <v>NA</v>
      </c>
      <c r="G113" s="9"/>
      <c r="H113" s="10">
        <f t="shared" si="24"/>
        <v>0</v>
      </c>
      <c r="I113" s="8" t="str">
        <f>IFERROR(H113/H444, "NA")</f>
        <v>NA</v>
      </c>
      <c r="J113" s="9"/>
      <c r="K113" s="7">
        <v>0</v>
      </c>
      <c r="L113" s="8" t="str">
        <f>IFERROR(K113/K444, "NA")</f>
        <v>NA</v>
      </c>
      <c r="M113" s="9"/>
      <c r="N113" s="10">
        <f t="shared" si="25"/>
        <v>0</v>
      </c>
      <c r="O113" s="8" t="str">
        <f>IFERROR(N113/N444, "NA")</f>
        <v>NA</v>
      </c>
      <c r="P113" s="9"/>
      <c r="Q113" s="7">
        <v>0</v>
      </c>
      <c r="R113" s="8" t="str">
        <f>IFERROR(Q113/Q444, "NA")</f>
        <v>NA</v>
      </c>
      <c r="S113" s="9"/>
      <c r="T113" s="7">
        <v>0</v>
      </c>
      <c r="U113" s="8" t="str">
        <f>IFERROR(T113/T444, "NA")</f>
        <v>NA</v>
      </c>
      <c r="V113" s="9"/>
      <c r="W113" s="10">
        <f t="shared" si="26"/>
        <v>0</v>
      </c>
      <c r="X113" s="8" t="str">
        <f>IFERROR(W113/W444, "NA")</f>
        <v>NA</v>
      </c>
      <c r="Y113" s="9"/>
      <c r="Z113" s="7">
        <v>0</v>
      </c>
      <c r="AA113" s="8" t="str">
        <f>IFERROR(Z113/Z444, "NA")</f>
        <v>NA</v>
      </c>
      <c r="AB113" s="9"/>
      <c r="AC113" s="10">
        <f t="shared" si="27"/>
        <v>0</v>
      </c>
      <c r="AD113" s="8" t="str">
        <f>IFERROR(AC113/AC444, "NA")</f>
        <v>NA</v>
      </c>
    </row>
    <row r="114" spans="1:30" ht="16.5" hidden="1" customHeight="1" x14ac:dyDescent="0.45">
      <c r="A114" s="12" t="s">
        <v>109</v>
      </c>
      <c r="B114" s="7">
        <v>0</v>
      </c>
      <c r="C114" s="8" t="str">
        <f>IFERROR(B114/B444, "NA")</f>
        <v>NA</v>
      </c>
      <c r="D114" s="9"/>
      <c r="E114" s="7">
        <v>0</v>
      </c>
      <c r="F114" s="8" t="str">
        <f>IFERROR(E114/E444, "NA")</f>
        <v>NA</v>
      </c>
      <c r="G114" s="9"/>
      <c r="H114" s="10">
        <f t="shared" si="24"/>
        <v>0</v>
      </c>
      <c r="I114" s="8" t="str">
        <f>IFERROR(H114/H444, "NA")</f>
        <v>NA</v>
      </c>
      <c r="J114" s="9"/>
      <c r="K114" s="7">
        <v>0</v>
      </c>
      <c r="L114" s="8" t="str">
        <f>IFERROR(K114/K444, "NA")</f>
        <v>NA</v>
      </c>
      <c r="M114" s="9"/>
      <c r="N114" s="10">
        <f t="shared" si="25"/>
        <v>0</v>
      </c>
      <c r="O114" s="8" t="str">
        <f>IFERROR(N114/N444, "NA")</f>
        <v>NA</v>
      </c>
      <c r="P114" s="9"/>
      <c r="Q114" s="7">
        <v>0</v>
      </c>
      <c r="R114" s="8" t="str">
        <f>IFERROR(Q114/Q444, "NA")</f>
        <v>NA</v>
      </c>
      <c r="S114" s="9"/>
      <c r="T114" s="7">
        <v>0</v>
      </c>
      <c r="U114" s="8" t="str">
        <f>IFERROR(T114/T444, "NA")</f>
        <v>NA</v>
      </c>
      <c r="V114" s="9"/>
      <c r="W114" s="10">
        <f t="shared" si="26"/>
        <v>0</v>
      </c>
      <c r="X114" s="8" t="str">
        <f>IFERROR(W114/W444, "NA")</f>
        <v>NA</v>
      </c>
      <c r="Y114" s="9"/>
      <c r="Z114" s="7">
        <v>0</v>
      </c>
      <c r="AA114" s="8" t="str">
        <f>IFERROR(Z114/Z444, "NA")</f>
        <v>NA</v>
      </c>
      <c r="AB114" s="9"/>
      <c r="AC114" s="10">
        <f t="shared" si="27"/>
        <v>0</v>
      </c>
      <c r="AD114" s="8" t="str">
        <f>IFERROR(AC114/AC444, "NA")</f>
        <v>NA</v>
      </c>
    </row>
    <row r="115" spans="1:30" ht="16.5" hidden="1" customHeight="1" x14ac:dyDescent="0.45">
      <c r="A115" s="12" t="s">
        <v>110</v>
      </c>
      <c r="B115" s="7">
        <v>0</v>
      </c>
      <c r="C115" s="8" t="str">
        <f>IFERROR(B115/B444, "NA")</f>
        <v>NA</v>
      </c>
      <c r="D115" s="9"/>
      <c r="E115" s="7">
        <v>0</v>
      </c>
      <c r="F115" s="8" t="str">
        <f>IFERROR(E115/E444, "NA")</f>
        <v>NA</v>
      </c>
      <c r="G115" s="9"/>
      <c r="H115" s="10">
        <f t="shared" si="24"/>
        <v>0</v>
      </c>
      <c r="I115" s="8" t="str">
        <f>IFERROR(H115/H444, "NA")</f>
        <v>NA</v>
      </c>
      <c r="J115" s="9"/>
      <c r="K115" s="7">
        <v>0</v>
      </c>
      <c r="L115" s="8" t="str">
        <f>IFERROR(K115/K444, "NA")</f>
        <v>NA</v>
      </c>
      <c r="M115" s="9"/>
      <c r="N115" s="10">
        <f t="shared" si="25"/>
        <v>0</v>
      </c>
      <c r="O115" s="8" t="str">
        <f>IFERROR(N115/N444, "NA")</f>
        <v>NA</v>
      </c>
      <c r="P115" s="9"/>
      <c r="Q115" s="7">
        <v>0</v>
      </c>
      <c r="R115" s="8" t="str">
        <f>IFERROR(Q115/Q444, "NA")</f>
        <v>NA</v>
      </c>
      <c r="S115" s="9"/>
      <c r="T115" s="7">
        <v>0</v>
      </c>
      <c r="U115" s="8" t="str">
        <f>IFERROR(T115/T444, "NA")</f>
        <v>NA</v>
      </c>
      <c r="V115" s="9"/>
      <c r="W115" s="10">
        <f t="shared" si="26"/>
        <v>0</v>
      </c>
      <c r="X115" s="8" t="str">
        <f>IFERROR(W115/W444, "NA")</f>
        <v>NA</v>
      </c>
      <c r="Y115" s="9"/>
      <c r="Z115" s="7">
        <v>0</v>
      </c>
      <c r="AA115" s="8" t="str">
        <f>IFERROR(Z115/Z444, "NA")</f>
        <v>NA</v>
      </c>
      <c r="AB115" s="9"/>
      <c r="AC115" s="10">
        <f t="shared" si="27"/>
        <v>0</v>
      </c>
      <c r="AD115" s="8" t="str">
        <f>IFERROR(AC115/AC444, "NA")</f>
        <v>NA</v>
      </c>
    </row>
    <row r="116" spans="1:30" ht="16.5" hidden="1" customHeight="1" x14ac:dyDescent="0.45">
      <c r="A116" s="12" t="s">
        <v>111</v>
      </c>
      <c r="B116" s="7">
        <v>0</v>
      </c>
      <c r="C116" s="8" t="str">
        <f>IFERROR(B116/B444, "NA")</f>
        <v>NA</v>
      </c>
      <c r="D116" s="9"/>
      <c r="E116" s="7">
        <v>0</v>
      </c>
      <c r="F116" s="8" t="str">
        <f>IFERROR(E116/E444, "NA")</f>
        <v>NA</v>
      </c>
      <c r="G116" s="9"/>
      <c r="H116" s="10">
        <f t="shared" si="24"/>
        <v>0</v>
      </c>
      <c r="I116" s="8" t="str">
        <f>IFERROR(H116/H444, "NA")</f>
        <v>NA</v>
      </c>
      <c r="J116" s="9"/>
      <c r="K116" s="7">
        <v>0</v>
      </c>
      <c r="L116" s="8" t="str">
        <f>IFERROR(K116/K444, "NA")</f>
        <v>NA</v>
      </c>
      <c r="M116" s="9"/>
      <c r="N116" s="10">
        <f t="shared" si="25"/>
        <v>0</v>
      </c>
      <c r="O116" s="8" t="str">
        <f>IFERROR(N116/N444, "NA")</f>
        <v>NA</v>
      </c>
      <c r="P116" s="9"/>
      <c r="Q116" s="7">
        <v>0</v>
      </c>
      <c r="R116" s="8" t="str">
        <f>IFERROR(Q116/Q444, "NA")</f>
        <v>NA</v>
      </c>
      <c r="S116" s="9"/>
      <c r="T116" s="7">
        <v>0</v>
      </c>
      <c r="U116" s="8" t="str">
        <f>IFERROR(T116/T444, "NA")</f>
        <v>NA</v>
      </c>
      <c r="V116" s="9"/>
      <c r="W116" s="10">
        <f t="shared" si="26"/>
        <v>0</v>
      </c>
      <c r="X116" s="8" t="str">
        <f>IFERROR(W116/W444, "NA")</f>
        <v>NA</v>
      </c>
      <c r="Y116" s="9"/>
      <c r="Z116" s="7">
        <v>0</v>
      </c>
      <c r="AA116" s="8" t="str">
        <f>IFERROR(Z116/Z444, "NA")</f>
        <v>NA</v>
      </c>
      <c r="AB116" s="9"/>
      <c r="AC116" s="10">
        <f t="shared" si="27"/>
        <v>0</v>
      </c>
      <c r="AD116" s="8" t="str">
        <f>IFERROR(AC116/AC444, "NA")</f>
        <v>NA</v>
      </c>
    </row>
    <row r="117" spans="1:30" ht="16.5" hidden="1" customHeight="1" x14ac:dyDescent="0.45">
      <c r="A117" s="12" t="s">
        <v>112</v>
      </c>
      <c r="B117" s="7">
        <v>0</v>
      </c>
      <c r="C117" s="8" t="str">
        <f>IFERROR(B117/B444, "NA")</f>
        <v>NA</v>
      </c>
      <c r="D117" s="9"/>
      <c r="E117" s="7">
        <v>0</v>
      </c>
      <c r="F117" s="8" t="str">
        <f>IFERROR(E117/E444, "NA")</f>
        <v>NA</v>
      </c>
      <c r="G117" s="9"/>
      <c r="H117" s="10">
        <f t="shared" si="24"/>
        <v>0</v>
      </c>
      <c r="I117" s="8" t="str">
        <f>IFERROR(H117/H444, "NA")</f>
        <v>NA</v>
      </c>
      <c r="J117" s="9"/>
      <c r="K117" s="7">
        <v>0</v>
      </c>
      <c r="L117" s="8" t="str">
        <f>IFERROR(K117/K444, "NA")</f>
        <v>NA</v>
      </c>
      <c r="M117" s="9"/>
      <c r="N117" s="10">
        <f t="shared" si="25"/>
        <v>0</v>
      </c>
      <c r="O117" s="8" t="str">
        <f>IFERROR(N117/N444, "NA")</f>
        <v>NA</v>
      </c>
      <c r="P117" s="9"/>
      <c r="Q117" s="7">
        <v>0</v>
      </c>
      <c r="R117" s="8" t="str">
        <f>IFERROR(Q117/Q444, "NA")</f>
        <v>NA</v>
      </c>
      <c r="S117" s="9"/>
      <c r="T117" s="7">
        <v>0</v>
      </c>
      <c r="U117" s="8" t="str">
        <f>IFERROR(T117/T444, "NA")</f>
        <v>NA</v>
      </c>
      <c r="V117" s="9"/>
      <c r="W117" s="10">
        <f t="shared" si="26"/>
        <v>0</v>
      </c>
      <c r="X117" s="8" t="str">
        <f>IFERROR(W117/W444, "NA")</f>
        <v>NA</v>
      </c>
      <c r="Y117" s="9"/>
      <c r="Z117" s="7">
        <v>0</v>
      </c>
      <c r="AA117" s="8" t="str">
        <f>IFERROR(Z117/Z444, "NA")</f>
        <v>NA</v>
      </c>
      <c r="AB117" s="9"/>
      <c r="AC117" s="10">
        <f t="shared" si="27"/>
        <v>0</v>
      </c>
      <c r="AD117" s="8" t="str">
        <f>IFERROR(AC117/AC444, "NA")</f>
        <v>NA</v>
      </c>
    </row>
    <row r="118" spans="1:30" ht="16.5" customHeight="1" x14ac:dyDescent="0.45">
      <c r="A118" s="13" t="s">
        <v>113</v>
      </c>
      <c r="B118" s="14">
        <f>IFERROR(B94+B95+B96+B97+B98+B99+B100+B101+B102+B103+B104+B105+B106+B107+B108+B109+B110+B111+B112+B113+B114+B115+B116+B117, "NA")</f>
        <v>0</v>
      </c>
      <c r="C118" s="15" t="str">
        <f>IFERROR(B118/B444, "NA")</f>
        <v>NA</v>
      </c>
      <c r="D118" s="2"/>
      <c r="E118" s="14">
        <f>IFERROR(E94+E95+E96+E97+E98+E99+E100+E101+E102+E103+E104+E105+E106+E107+E108+E109+E110+E111+E112+E113+E114+E115+E116+E117, "NA")</f>
        <v>0</v>
      </c>
      <c r="F118" s="15" t="str">
        <f>IFERROR(E118/E444, "NA")</f>
        <v>NA</v>
      </c>
      <c r="G118" s="2"/>
      <c r="H118" s="14">
        <f t="shared" si="24"/>
        <v>0</v>
      </c>
      <c r="I118" s="15" t="str">
        <f>IFERROR(H118/H444, "NA")</f>
        <v>NA</v>
      </c>
      <c r="J118" s="2"/>
      <c r="K118" s="14">
        <f>IFERROR(K94+K95+K96+K97+K98+K99+K100+K101+K102+K103+K104+K105+K106+K107+K108+K109+K110+K111+K112+K113+K114+K115+K116+K117, "NA")</f>
        <v>0</v>
      </c>
      <c r="L118" s="15" t="str">
        <f>IFERROR(K118/K444, "NA")</f>
        <v>NA</v>
      </c>
      <c r="M118" s="2"/>
      <c r="N118" s="14">
        <f t="shared" si="25"/>
        <v>0</v>
      </c>
      <c r="O118" s="15" t="str">
        <f>IFERROR(N118/N444, "NA")</f>
        <v>NA</v>
      </c>
      <c r="P118" s="2"/>
      <c r="Q118" s="14">
        <f>IFERROR(Q94+Q95+Q96+Q97+Q98+Q99+Q100+Q101+Q102+Q103+Q104+Q105+Q106+Q107+Q108+Q109+Q110+Q111+Q112+Q113+Q114+Q115+Q116+Q117, "NA")</f>
        <v>0</v>
      </c>
      <c r="R118" s="15" t="str">
        <f>IFERROR(Q118/Q444, "NA")</f>
        <v>NA</v>
      </c>
      <c r="S118" s="2"/>
      <c r="T118" s="14">
        <f>IFERROR(T94+T95+T96+T97+T98+T99+T100+T101+T102+T103+T104+T105+T106+T107+T108+T109+T110+T111+T112+T113+T114+T115+T116+T117, "NA")</f>
        <v>0</v>
      </c>
      <c r="U118" s="15" t="str">
        <f>IFERROR(T118/T444, "NA")</f>
        <v>NA</v>
      </c>
      <c r="V118" s="2"/>
      <c r="W118" s="14">
        <f t="shared" si="26"/>
        <v>0</v>
      </c>
      <c r="X118" s="15" t="str">
        <f>IFERROR(W118/W444, "NA")</f>
        <v>NA</v>
      </c>
      <c r="Y118" s="2"/>
      <c r="Z118" s="14">
        <f>IFERROR(Z94+Z95+Z96+Z97+Z98+Z99+Z100+Z101+Z102+Z103+Z104+Z105+Z106+Z107+Z108+Z109+Z110+Z111+Z112+Z113+Z114+Z115+Z116+Z117, "NA")</f>
        <v>0</v>
      </c>
      <c r="AA118" s="15" t="str">
        <f>IFERROR(Z118/Z444, "NA")</f>
        <v>NA</v>
      </c>
      <c r="AB118" s="2"/>
      <c r="AC118" s="14">
        <f t="shared" si="27"/>
        <v>0</v>
      </c>
      <c r="AD118" s="15" t="str">
        <f>IFERROR(AC118/AC444, "NA")</f>
        <v>NA</v>
      </c>
    </row>
    <row r="119" spans="1:30" ht="16.5" hidden="1" customHeight="1" x14ac:dyDescent="0.45">
      <c r="A119" s="6" t="s">
        <v>114</v>
      </c>
      <c r="B119" s="7">
        <v>0</v>
      </c>
      <c r="C119" s="8" t="str">
        <f>IFERROR(B119/B444, "NA")</f>
        <v>NA</v>
      </c>
      <c r="D119" s="9"/>
      <c r="E119" s="7">
        <v>0</v>
      </c>
      <c r="F119" s="8" t="str">
        <f>IFERROR(E119/E444, "NA")</f>
        <v>NA</v>
      </c>
      <c r="G119" s="9"/>
      <c r="H119" s="10">
        <f t="shared" si="24"/>
        <v>0</v>
      </c>
      <c r="I119" s="8" t="str">
        <f>IFERROR(H119/H444, "NA")</f>
        <v>NA</v>
      </c>
      <c r="J119" s="9"/>
      <c r="K119" s="7">
        <v>0</v>
      </c>
      <c r="L119" s="8" t="str">
        <f>IFERROR(K119/K444, "NA")</f>
        <v>NA</v>
      </c>
      <c r="M119" s="9"/>
      <c r="N119" s="10">
        <f t="shared" si="25"/>
        <v>0</v>
      </c>
      <c r="O119" s="8" t="str">
        <f>IFERROR(N119/N444, "NA")</f>
        <v>NA</v>
      </c>
      <c r="P119" s="9"/>
      <c r="Q119" s="7">
        <v>0</v>
      </c>
      <c r="R119" s="8" t="str">
        <f>IFERROR(Q119/Q444, "NA")</f>
        <v>NA</v>
      </c>
      <c r="S119" s="9"/>
      <c r="T119" s="7">
        <v>0</v>
      </c>
      <c r="U119" s="8" t="str">
        <f>IFERROR(T119/T444, "NA")</f>
        <v>NA</v>
      </c>
      <c r="V119" s="9"/>
      <c r="W119" s="10">
        <f t="shared" si="26"/>
        <v>0</v>
      </c>
      <c r="X119" s="8" t="str">
        <f>IFERROR(W119/W444, "NA")</f>
        <v>NA</v>
      </c>
      <c r="Y119" s="9"/>
      <c r="Z119" s="7">
        <v>0</v>
      </c>
      <c r="AA119" s="8" t="str">
        <f>IFERROR(Z119/Z444, "NA")</f>
        <v>NA</v>
      </c>
      <c r="AB119" s="9"/>
      <c r="AC119" s="10">
        <f t="shared" si="27"/>
        <v>0</v>
      </c>
      <c r="AD119" s="8" t="str">
        <f>IFERROR(AC119/AC444, "NA")</f>
        <v>NA</v>
      </c>
    </row>
    <row r="120" spans="1:30" ht="16.5" hidden="1" customHeight="1" x14ac:dyDescent="0.45">
      <c r="A120" s="6" t="s">
        <v>115</v>
      </c>
      <c r="B120" s="7">
        <v>0</v>
      </c>
      <c r="C120" s="8" t="str">
        <f>IFERROR(B120/B444, "NA")</f>
        <v>NA</v>
      </c>
      <c r="D120" s="9"/>
      <c r="E120" s="7">
        <v>0</v>
      </c>
      <c r="F120" s="8" t="str">
        <f>IFERROR(E120/E444, "NA")</f>
        <v>NA</v>
      </c>
      <c r="G120" s="9"/>
      <c r="H120" s="10">
        <f t="shared" si="24"/>
        <v>0</v>
      </c>
      <c r="I120" s="8" t="str">
        <f>IFERROR(H120/H444, "NA")</f>
        <v>NA</v>
      </c>
      <c r="J120" s="9"/>
      <c r="K120" s="7">
        <v>0</v>
      </c>
      <c r="L120" s="8" t="str">
        <f>IFERROR(K120/K444, "NA")</f>
        <v>NA</v>
      </c>
      <c r="M120" s="9"/>
      <c r="N120" s="10">
        <f t="shared" si="25"/>
        <v>0</v>
      </c>
      <c r="O120" s="8" t="str">
        <f>IFERROR(N120/N444, "NA")</f>
        <v>NA</v>
      </c>
      <c r="P120" s="9"/>
      <c r="Q120" s="7">
        <v>0</v>
      </c>
      <c r="R120" s="8" t="str">
        <f>IFERROR(Q120/Q444, "NA")</f>
        <v>NA</v>
      </c>
      <c r="S120" s="9"/>
      <c r="T120" s="7">
        <v>0</v>
      </c>
      <c r="U120" s="8" t="str">
        <f>IFERROR(T120/T444, "NA")</f>
        <v>NA</v>
      </c>
      <c r="V120" s="9"/>
      <c r="W120" s="10">
        <f t="shared" si="26"/>
        <v>0</v>
      </c>
      <c r="X120" s="8" t="str">
        <f>IFERROR(W120/W444, "NA")</f>
        <v>NA</v>
      </c>
      <c r="Y120" s="9"/>
      <c r="Z120" s="7">
        <v>0</v>
      </c>
      <c r="AA120" s="8" t="str">
        <f>IFERROR(Z120/Z444, "NA")</f>
        <v>NA</v>
      </c>
      <c r="AB120" s="9"/>
      <c r="AC120" s="10">
        <f t="shared" si="27"/>
        <v>0</v>
      </c>
      <c r="AD120" s="8" t="str">
        <f>IFERROR(AC120/AC444, "NA")</f>
        <v>NA</v>
      </c>
    </row>
    <row r="121" spans="1:30" ht="16.5" hidden="1" customHeight="1" x14ac:dyDescent="0.45">
      <c r="A121" s="6" t="s">
        <v>116</v>
      </c>
      <c r="B121" s="7">
        <v>0</v>
      </c>
      <c r="C121" s="8" t="str">
        <f>IFERROR(B121/B444, "NA")</f>
        <v>NA</v>
      </c>
      <c r="D121" s="9"/>
      <c r="E121" s="7">
        <v>0</v>
      </c>
      <c r="F121" s="8" t="str">
        <f>IFERROR(E121/E444, "NA")</f>
        <v>NA</v>
      </c>
      <c r="G121" s="9"/>
      <c r="H121" s="10">
        <f t="shared" si="24"/>
        <v>0</v>
      </c>
      <c r="I121" s="8" t="str">
        <f>IFERROR(H121/H444, "NA")</f>
        <v>NA</v>
      </c>
      <c r="J121" s="9"/>
      <c r="K121" s="7">
        <v>0</v>
      </c>
      <c r="L121" s="8" t="str">
        <f>IFERROR(K121/K444, "NA")</f>
        <v>NA</v>
      </c>
      <c r="M121" s="9"/>
      <c r="N121" s="10">
        <f t="shared" si="25"/>
        <v>0</v>
      </c>
      <c r="O121" s="8" t="str">
        <f>IFERROR(N121/N444, "NA")</f>
        <v>NA</v>
      </c>
      <c r="P121" s="9"/>
      <c r="Q121" s="7">
        <v>0</v>
      </c>
      <c r="R121" s="8" t="str">
        <f>IFERROR(Q121/Q444, "NA")</f>
        <v>NA</v>
      </c>
      <c r="S121" s="9"/>
      <c r="T121" s="7">
        <v>0</v>
      </c>
      <c r="U121" s="8" t="str">
        <f>IFERROR(T121/T444, "NA")</f>
        <v>NA</v>
      </c>
      <c r="V121" s="9"/>
      <c r="W121" s="10">
        <f t="shared" si="26"/>
        <v>0</v>
      </c>
      <c r="X121" s="8" t="str">
        <f>IFERROR(W121/W444, "NA")</f>
        <v>NA</v>
      </c>
      <c r="Y121" s="9"/>
      <c r="Z121" s="7">
        <v>0</v>
      </c>
      <c r="AA121" s="8" t="str">
        <f>IFERROR(Z121/Z444, "NA")</f>
        <v>NA</v>
      </c>
      <c r="AB121" s="9"/>
      <c r="AC121" s="10">
        <f t="shared" si="27"/>
        <v>0</v>
      </c>
      <c r="AD121" s="8" t="str">
        <f>IFERROR(AC121/AC444, "NA")</f>
        <v>NA</v>
      </c>
    </row>
    <row r="122" spans="1:30" ht="16.5" customHeight="1" x14ac:dyDescent="0.45">
      <c r="A122" s="19" t="s">
        <v>117</v>
      </c>
      <c r="B122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0</v>
      </c>
      <c r="C122" s="15" t="str">
        <f>IFERROR(B122/B444, "NA")</f>
        <v>NA</v>
      </c>
      <c r="D122" s="2"/>
      <c r="E122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0</v>
      </c>
      <c r="F122" s="15" t="str">
        <f>IFERROR(E122/E444, "NA")</f>
        <v>NA</v>
      </c>
      <c r="G122" s="2"/>
      <c r="H122" s="14">
        <f t="shared" si="24"/>
        <v>0</v>
      </c>
      <c r="I122" s="15" t="str">
        <f>IFERROR(H122/H444, "NA")</f>
        <v>NA</v>
      </c>
      <c r="J122" s="2"/>
      <c r="K122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0</v>
      </c>
      <c r="L122" s="15" t="str">
        <f>IFERROR(K122/K444, "NA")</f>
        <v>NA</v>
      </c>
      <c r="M122" s="2"/>
      <c r="N122" s="14">
        <f t="shared" si="25"/>
        <v>0</v>
      </c>
      <c r="O122" s="15" t="str">
        <f>IFERROR(N122/N444, "NA")</f>
        <v>NA</v>
      </c>
      <c r="P122" s="2"/>
      <c r="Q122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0</v>
      </c>
      <c r="R122" s="15" t="str">
        <f>IFERROR(Q122/Q444, "NA")</f>
        <v>NA</v>
      </c>
      <c r="S122" s="2"/>
      <c r="T122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0</v>
      </c>
      <c r="U122" s="15" t="str">
        <f>IFERROR(T122/T444, "NA")</f>
        <v>NA</v>
      </c>
      <c r="V122" s="2"/>
      <c r="W122" s="14">
        <f t="shared" si="26"/>
        <v>0</v>
      </c>
      <c r="X122" s="15" t="str">
        <f>IFERROR(W122/W444, "NA")</f>
        <v>NA</v>
      </c>
      <c r="Y122" s="2"/>
      <c r="Z122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0</v>
      </c>
      <c r="AA122" s="15" t="str">
        <f>IFERROR(Z122/Z444, "NA")</f>
        <v>NA</v>
      </c>
      <c r="AB122" s="2"/>
      <c r="AC122" s="14">
        <f t="shared" si="27"/>
        <v>0</v>
      </c>
      <c r="AD122" s="15" t="str">
        <f>IFERROR(AC122/AC444, "NA")</f>
        <v>NA</v>
      </c>
    </row>
    <row r="123" spans="1:30" ht="16.5" hidden="1" customHeight="1" x14ac:dyDescent="0.45">
      <c r="A123" s="20" t="s">
        <v>118</v>
      </c>
      <c r="B123" s="7">
        <v>0</v>
      </c>
      <c r="C123" s="8" t="str">
        <f>IFERROR(B123/B444, "NA")</f>
        <v>NA</v>
      </c>
      <c r="D123" s="9"/>
      <c r="E123" s="7">
        <v>0</v>
      </c>
      <c r="F123" s="8" t="str">
        <f>IFERROR(E123/E444, "NA")</f>
        <v>NA</v>
      </c>
      <c r="G123" s="9"/>
      <c r="H123" s="10">
        <f t="shared" si="24"/>
        <v>0</v>
      </c>
      <c r="I123" s="8" t="str">
        <f>IFERROR(H123/H444, "NA")</f>
        <v>NA</v>
      </c>
      <c r="J123" s="9"/>
      <c r="K123" s="7">
        <v>0</v>
      </c>
      <c r="L123" s="8" t="str">
        <f>IFERROR(K123/K444, "NA")</f>
        <v>NA</v>
      </c>
      <c r="M123" s="9"/>
      <c r="N123" s="10">
        <f t="shared" si="25"/>
        <v>0</v>
      </c>
      <c r="O123" s="8" t="str">
        <f>IFERROR(N123/N444, "NA")</f>
        <v>NA</v>
      </c>
      <c r="P123" s="9"/>
      <c r="Q123" s="7">
        <v>0</v>
      </c>
      <c r="R123" s="8" t="str">
        <f>IFERROR(Q123/Q444, "NA")</f>
        <v>NA</v>
      </c>
      <c r="S123" s="9"/>
      <c r="T123" s="7">
        <v>0</v>
      </c>
      <c r="U123" s="8" t="str">
        <f>IFERROR(T123/T444, "NA")</f>
        <v>NA</v>
      </c>
      <c r="V123" s="9"/>
      <c r="W123" s="10">
        <f t="shared" si="26"/>
        <v>0</v>
      </c>
      <c r="X123" s="8" t="str">
        <f>IFERROR(W123/W444, "NA")</f>
        <v>NA</v>
      </c>
      <c r="Y123" s="9"/>
      <c r="Z123" s="7">
        <v>0</v>
      </c>
      <c r="AA123" s="8" t="str">
        <f>IFERROR(Z123/Z444, "NA")</f>
        <v>NA</v>
      </c>
      <c r="AB123" s="9"/>
      <c r="AC123" s="10">
        <f t="shared" si="27"/>
        <v>0</v>
      </c>
      <c r="AD123" s="8" t="str">
        <f>IFERROR(AC123/AC444, "NA")</f>
        <v>NA</v>
      </c>
    </row>
    <row r="124" spans="1:30" ht="16.5" customHeight="1" x14ac:dyDescent="0.45">
      <c r="A124" s="21" t="s">
        <v>117</v>
      </c>
      <c r="B124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0</v>
      </c>
      <c r="C124" s="15" t="str">
        <f>IFERROR(B124/B444, "NA")</f>
        <v>NA</v>
      </c>
      <c r="D124" s="2"/>
      <c r="E124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0</v>
      </c>
      <c r="F124" s="15" t="str">
        <f>IFERROR(E124/E444, "NA")</f>
        <v>NA</v>
      </c>
      <c r="G124" s="2"/>
      <c r="H124" s="14">
        <f t="shared" si="24"/>
        <v>0</v>
      </c>
      <c r="I124" s="15" t="str">
        <f>IFERROR(H124/H444, "NA")</f>
        <v>NA</v>
      </c>
      <c r="J124" s="2"/>
      <c r="K124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0</v>
      </c>
      <c r="L124" s="15" t="str">
        <f>IFERROR(K124/K444, "NA")</f>
        <v>NA</v>
      </c>
      <c r="M124" s="2"/>
      <c r="N124" s="14">
        <f t="shared" si="25"/>
        <v>0</v>
      </c>
      <c r="O124" s="15" t="str">
        <f>IFERROR(N124/N444, "NA")</f>
        <v>NA</v>
      </c>
      <c r="P124" s="2"/>
      <c r="Q124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0</v>
      </c>
      <c r="R124" s="15" t="str">
        <f>IFERROR(Q124/Q444, "NA")</f>
        <v>NA</v>
      </c>
      <c r="S124" s="2"/>
      <c r="T124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0</v>
      </c>
      <c r="U124" s="15" t="str">
        <f>IFERROR(T124/T444, "NA")</f>
        <v>NA</v>
      </c>
      <c r="V124" s="2"/>
      <c r="W124" s="14">
        <f t="shared" si="26"/>
        <v>0</v>
      </c>
      <c r="X124" s="15" t="str">
        <f>IFERROR(W124/W444, "NA")</f>
        <v>NA</v>
      </c>
      <c r="Y124" s="2"/>
      <c r="Z124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0</v>
      </c>
      <c r="AA124" s="15" t="str">
        <f>IFERROR(Z124/Z444, "NA")</f>
        <v>NA</v>
      </c>
      <c r="AB124" s="2"/>
      <c r="AC124" s="14">
        <f t="shared" si="27"/>
        <v>0</v>
      </c>
      <c r="AD124" s="15" t="str">
        <f>IFERROR(AC124/AC444, "NA")</f>
        <v>NA</v>
      </c>
    </row>
    <row r="125" spans="1:30" ht="16.5" customHeight="1" x14ac:dyDescent="0.45">
      <c r="A125" s="1" t="s">
        <v>119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45">
      <c r="A126" s="5" t="s">
        <v>120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45">
      <c r="A127" s="6" t="s">
        <v>120</v>
      </c>
      <c r="B127" s="7">
        <v>0</v>
      </c>
      <c r="C127" s="8" t="str">
        <f>IFERROR(B127/B444, "NA")</f>
        <v>NA</v>
      </c>
      <c r="D127" s="9"/>
      <c r="E127" s="7">
        <v>0</v>
      </c>
      <c r="F127" s="8" t="str">
        <f>IFERROR(E127/E444, "NA")</f>
        <v>NA</v>
      </c>
      <c r="G127" s="9"/>
      <c r="H127" s="10">
        <f>IFERROR(-(B127-E127), "NA")</f>
        <v>0</v>
      </c>
      <c r="I127" s="8" t="str">
        <f>IFERROR(H127/H444, "NA")</f>
        <v>NA</v>
      </c>
      <c r="J127" s="9"/>
      <c r="K127" s="7">
        <v>0</v>
      </c>
      <c r="L127" s="8" t="str">
        <f>IFERROR(K127/K444, "NA")</f>
        <v>NA</v>
      </c>
      <c r="M127" s="9"/>
      <c r="N127" s="10">
        <f>IFERROR(-(B127-K127), "NA")</f>
        <v>0</v>
      </c>
      <c r="O127" s="8" t="str">
        <f>IFERROR(N127/N444, "NA")</f>
        <v>NA</v>
      </c>
      <c r="P127" s="9"/>
      <c r="Q127" s="7">
        <v>0</v>
      </c>
      <c r="R127" s="8" t="str">
        <f>IFERROR(Q127/Q444, "NA")</f>
        <v>NA</v>
      </c>
      <c r="S127" s="9"/>
      <c r="T127" s="7">
        <v>0</v>
      </c>
      <c r="U127" s="8" t="str">
        <f>IFERROR(T127/T444, "NA")</f>
        <v>NA</v>
      </c>
      <c r="V127" s="9"/>
      <c r="W127" s="10">
        <f>IFERROR(-(Q127-T127), "NA")</f>
        <v>0</v>
      </c>
      <c r="X127" s="8" t="str">
        <f>IFERROR(W127/W444, "NA")</f>
        <v>NA</v>
      </c>
      <c r="Y127" s="9"/>
      <c r="Z127" s="7">
        <v>0</v>
      </c>
      <c r="AA127" s="8" t="str">
        <f>IFERROR(Z127/Z444, "NA")</f>
        <v>NA</v>
      </c>
      <c r="AB127" s="9"/>
      <c r="AC127" s="10">
        <f>IFERROR(-(Q127-Z127), "NA")</f>
        <v>0</v>
      </c>
      <c r="AD127" s="8" t="str">
        <f>IFERROR(AC127/AC444, "NA")</f>
        <v>NA</v>
      </c>
    </row>
    <row r="128" spans="1:30" ht="16.5" customHeight="1" x14ac:dyDescent="0.45">
      <c r="A128" s="11" t="s">
        <v>121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hidden="1" customHeight="1" x14ac:dyDescent="0.45">
      <c r="A129" s="12" t="s">
        <v>121</v>
      </c>
      <c r="B129" s="7">
        <v>0</v>
      </c>
      <c r="C129" s="8" t="str">
        <f>IFERROR(B129/B444, "NA")</f>
        <v>NA</v>
      </c>
      <c r="D129" s="9"/>
      <c r="E129" s="7">
        <v>0</v>
      </c>
      <c r="F129" s="8" t="str">
        <f>IFERROR(E129/E444, "NA")</f>
        <v>NA</v>
      </c>
      <c r="G129" s="9"/>
      <c r="H129" s="10">
        <f t="shared" ref="H129:H141" si="28">IFERROR(-(B129-E129), "NA")</f>
        <v>0</v>
      </c>
      <c r="I129" s="8" t="str">
        <f>IFERROR(H129/H444, "NA")</f>
        <v>NA</v>
      </c>
      <c r="J129" s="9"/>
      <c r="K129" s="7">
        <v>0</v>
      </c>
      <c r="L129" s="8" t="str">
        <f>IFERROR(K129/K444, "NA")</f>
        <v>NA</v>
      </c>
      <c r="M129" s="9"/>
      <c r="N129" s="10">
        <f t="shared" ref="N129:N141" si="29">IFERROR(-(B129-K129), "NA")</f>
        <v>0</v>
      </c>
      <c r="O129" s="8" t="str">
        <f>IFERROR(N129/N444, "NA")</f>
        <v>NA</v>
      </c>
      <c r="P129" s="9"/>
      <c r="Q129" s="7">
        <v>0</v>
      </c>
      <c r="R129" s="8" t="str">
        <f>IFERROR(Q129/Q444, "NA")</f>
        <v>NA</v>
      </c>
      <c r="S129" s="9"/>
      <c r="T129" s="7">
        <v>0</v>
      </c>
      <c r="U129" s="8" t="str">
        <f>IFERROR(T129/T444, "NA")</f>
        <v>NA</v>
      </c>
      <c r="V129" s="9"/>
      <c r="W129" s="10">
        <f t="shared" ref="W129:W141" si="30">IFERROR(-(Q129-T129), "NA")</f>
        <v>0</v>
      </c>
      <c r="X129" s="8" t="str">
        <f>IFERROR(W129/W444, "NA")</f>
        <v>NA</v>
      </c>
      <c r="Y129" s="9"/>
      <c r="Z129" s="7">
        <v>0</v>
      </c>
      <c r="AA129" s="8" t="str">
        <f>IFERROR(Z129/Z444, "NA")</f>
        <v>NA</v>
      </c>
      <c r="AB129" s="9"/>
      <c r="AC129" s="10">
        <f t="shared" ref="AC129:AC141" si="31">IFERROR(-(Q129-Z129), "NA")</f>
        <v>0</v>
      </c>
      <c r="AD129" s="8" t="str">
        <f>IFERROR(AC129/AC444, "NA")</f>
        <v>NA</v>
      </c>
    </row>
    <row r="130" spans="1:30" ht="16.5" hidden="1" customHeight="1" x14ac:dyDescent="0.45">
      <c r="A130" s="12" t="s">
        <v>122</v>
      </c>
      <c r="B130" s="7">
        <v>0</v>
      </c>
      <c r="C130" s="8" t="str">
        <f>IFERROR(B130/B444, "NA")</f>
        <v>NA</v>
      </c>
      <c r="D130" s="9"/>
      <c r="E130" s="7">
        <v>0</v>
      </c>
      <c r="F130" s="8" t="str">
        <f>IFERROR(E130/E444, "NA")</f>
        <v>NA</v>
      </c>
      <c r="G130" s="9"/>
      <c r="H130" s="10">
        <f t="shared" si="28"/>
        <v>0</v>
      </c>
      <c r="I130" s="8" t="str">
        <f>IFERROR(H130/H444, "NA")</f>
        <v>NA</v>
      </c>
      <c r="J130" s="9"/>
      <c r="K130" s="7">
        <v>0</v>
      </c>
      <c r="L130" s="8" t="str">
        <f>IFERROR(K130/K444, "NA")</f>
        <v>NA</v>
      </c>
      <c r="M130" s="9"/>
      <c r="N130" s="10">
        <f t="shared" si="29"/>
        <v>0</v>
      </c>
      <c r="O130" s="8" t="str">
        <f>IFERROR(N130/N444, "NA")</f>
        <v>NA</v>
      </c>
      <c r="P130" s="9"/>
      <c r="Q130" s="7">
        <v>0</v>
      </c>
      <c r="R130" s="8" t="str">
        <f>IFERROR(Q130/Q444, "NA")</f>
        <v>NA</v>
      </c>
      <c r="S130" s="9"/>
      <c r="T130" s="7">
        <v>0</v>
      </c>
      <c r="U130" s="8" t="str">
        <f>IFERROR(T130/T444, "NA")</f>
        <v>NA</v>
      </c>
      <c r="V130" s="9"/>
      <c r="W130" s="10">
        <f t="shared" si="30"/>
        <v>0</v>
      </c>
      <c r="X130" s="8" t="str">
        <f>IFERROR(W130/W444, "NA")</f>
        <v>NA</v>
      </c>
      <c r="Y130" s="9"/>
      <c r="Z130" s="7">
        <v>0</v>
      </c>
      <c r="AA130" s="8" t="str">
        <f>IFERROR(Z130/Z444, "NA")</f>
        <v>NA</v>
      </c>
      <c r="AB130" s="9"/>
      <c r="AC130" s="10">
        <f t="shared" si="31"/>
        <v>0</v>
      </c>
      <c r="AD130" s="8" t="str">
        <f>IFERROR(AC130/AC444, "NA")</f>
        <v>NA</v>
      </c>
    </row>
    <row r="131" spans="1:30" ht="16.5" hidden="1" customHeight="1" x14ac:dyDescent="0.45">
      <c r="A131" s="12" t="s">
        <v>123</v>
      </c>
      <c r="B131" s="7">
        <v>0</v>
      </c>
      <c r="C131" s="8" t="str">
        <f>IFERROR(B131/B444, "NA")</f>
        <v>NA</v>
      </c>
      <c r="D131" s="9"/>
      <c r="E131" s="7">
        <v>0</v>
      </c>
      <c r="F131" s="8" t="str">
        <f>IFERROR(E131/E444, "NA")</f>
        <v>NA</v>
      </c>
      <c r="G131" s="9"/>
      <c r="H131" s="10">
        <f t="shared" si="28"/>
        <v>0</v>
      </c>
      <c r="I131" s="8" t="str">
        <f>IFERROR(H131/H444, "NA")</f>
        <v>NA</v>
      </c>
      <c r="J131" s="9"/>
      <c r="K131" s="7">
        <v>0</v>
      </c>
      <c r="L131" s="8" t="str">
        <f>IFERROR(K131/K444, "NA")</f>
        <v>NA</v>
      </c>
      <c r="M131" s="9"/>
      <c r="N131" s="10">
        <f t="shared" si="29"/>
        <v>0</v>
      </c>
      <c r="O131" s="8" t="str">
        <f>IFERROR(N131/N444, "NA")</f>
        <v>NA</v>
      </c>
      <c r="P131" s="9"/>
      <c r="Q131" s="7">
        <v>0</v>
      </c>
      <c r="R131" s="8" t="str">
        <f>IFERROR(Q131/Q444, "NA")</f>
        <v>NA</v>
      </c>
      <c r="S131" s="9"/>
      <c r="T131" s="7">
        <v>0</v>
      </c>
      <c r="U131" s="8" t="str">
        <f>IFERROR(T131/T444, "NA")</f>
        <v>NA</v>
      </c>
      <c r="V131" s="9"/>
      <c r="W131" s="10">
        <f t="shared" si="30"/>
        <v>0</v>
      </c>
      <c r="X131" s="8" t="str">
        <f>IFERROR(W131/W444, "NA")</f>
        <v>NA</v>
      </c>
      <c r="Y131" s="9"/>
      <c r="Z131" s="7">
        <v>0</v>
      </c>
      <c r="AA131" s="8" t="str">
        <f>IFERROR(Z131/Z444, "NA")</f>
        <v>NA</v>
      </c>
      <c r="AB131" s="9"/>
      <c r="AC131" s="10">
        <f t="shared" si="31"/>
        <v>0</v>
      </c>
      <c r="AD131" s="8" t="str">
        <f>IFERROR(AC131/AC444, "NA")</f>
        <v>NA</v>
      </c>
    </row>
    <row r="132" spans="1:30" ht="16.5" hidden="1" customHeight="1" x14ac:dyDescent="0.45">
      <c r="A132" s="12" t="s">
        <v>124</v>
      </c>
      <c r="B132" s="7">
        <v>0</v>
      </c>
      <c r="C132" s="8" t="str">
        <f>IFERROR(B132/B444, "NA")</f>
        <v>NA</v>
      </c>
      <c r="D132" s="9"/>
      <c r="E132" s="7">
        <v>0</v>
      </c>
      <c r="F132" s="8" t="str">
        <f>IFERROR(E132/E444, "NA")</f>
        <v>NA</v>
      </c>
      <c r="G132" s="9"/>
      <c r="H132" s="10">
        <f t="shared" si="28"/>
        <v>0</v>
      </c>
      <c r="I132" s="8" t="str">
        <f>IFERROR(H132/H444, "NA")</f>
        <v>NA</v>
      </c>
      <c r="J132" s="9"/>
      <c r="K132" s="7">
        <v>0</v>
      </c>
      <c r="L132" s="8" t="str">
        <f>IFERROR(K132/K444, "NA")</f>
        <v>NA</v>
      </c>
      <c r="M132" s="9"/>
      <c r="N132" s="10">
        <f t="shared" si="29"/>
        <v>0</v>
      </c>
      <c r="O132" s="8" t="str">
        <f>IFERROR(N132/N444, "NA")</f>
        <v>NA</v>
      </c>
      <c r="P132" s="9"/>
      <c r="Q132" s="7">
        <v>0</v>
      </c>
      <c r="R132" s="8" t="str">
        <f>IFERROR(Q132/Q444, "NA")</f>
        <v>NA</v>
      </c>
      <c r="S132" s="9"/>
      <c r="T132" s="7">
        <v>0</v>
      </c>
      <c r="U132" s="8" t="str">
        <f>IFERROR(T132/T444, "NA")</f>
        <v>NA</v>
      </c>
      <c r="V132" s="9"/>
      <c r="W132" s="10">
        <f t="shared" si="30"/>
        <v>0</v>
      </c>
      <c r="X132" s="8" t="str">
        <f>IFERROR(W132/W444, "NA")</f>
        <v>NA</v>
      </c>
      <c r="Y132" s="9"/>
      <c r="Z132" s="7">
        <v>0</v>
      </c>
      <c r="AA132" s="8" t="str">
        <f>IFERROR(Z132/Z444, "NA")</f>
        <v>NA</v>
      </c>
      <c r="AB132" s="9"/>
      <c r="AC132" s="10">
        <f t="shared" si="31"/>
        <v>0</v>
      </c>
      <c r="AD132" s="8" t="str">
        <f>IFERROR(AC132/AC444, "NA")</f>
        <v>NA</v>
      </c>
    </row>
    <row r="133" spans="1:30" ht="16.5" hidden="1" customHeight="1" x14ac:dyDescent="0.45">
      <c r="A133" s="12" t="s">
        <v>125</v>
      </c>
      <c r="B133" s="7">
        <v>0</v>
      </c>
      <c r="C133" s="8" t="str">
        <f>IFERROR(B133/B444, "NA")</f>
        <v>NA</v>
      </c>
      <c r="D133" s="9"/>
      <c r="E133" s="7">
        <v>0</v>
      </c>
      <c r="F133" s="8" t="str">
        <f>IFERROR(E133/E444, "NA")</f>
        <v>NA</v>
      </c>
      <c r="G133" s="9"/>
      <c r="H133" s="10">
        <f t="shared" si="28"/>
        <v>0</v>
      </c>
      <c r="I133" s="8" t="str">
        <f>IFERROR(H133/H444, "NA")</f>
        <v>NA</v>
      </c>
      <c r="J133" s="9"/>
      <c r="K133" s="7">
        <v>0</v>
      </c>
      <c r="L133" s="8" t="str">
        <f>IFERROR(K133/K444, "NA")</f>
        <v>NA</v>
      </c>
      <c r="M133" s="9"/>
      <c r="N133" s="10">
        <f t="shared" si="29"/>
        <v>0</v>
      </c>
      <c r="O133" s="8" t="str">
        <f>IFERROR(N133/N444, "NA")</f>
        <v>NA</v>
      </c>
      <c r="P133" s="9"/>
      <c r="Q133" s="7">
        <v>0</v>
      </c>
      <c r="R133" s="8" t="str">
        <f>IFERROR(Q133/Q444, "NA")</f>
        <v>NA</v>
      </c>
      <c r="S133" s="9"/>
      <c r="T133" s="7">
        <v>0</v>
      </c>
      <c r="U133" s="8" t="str">
        <f>IFERROR(T133/T444, "NA")</f>
        <v>NA</v>
      </c>
      <c r="V133" s="9"/>
      <c r="W133" s="10">
        <f t="shared" si="30"/>
        <v>0</v>
      </c>
      <c r="X133" s="8" t="str">
        <f>IFERROR(W133/W444, "NA")</f>
        <v>NA</v>
      </c>
      <c r="Y133" s="9"/>
      <c r="Z133" s="7">
        <v>0</v>
      </c>
      <c r="AA133" s="8" t="str">
        <f>IFERROR(Z133/Z444, "NA")</f>
        <v>NA</v>
      </c>
      <c r="AB133" s="9"/>
      <c r="AC133" s="10">
        <f t="shared" si="31"/>
        <v>0</v>
      </c>
      <c r="AD133" s="8" t="str">
        <f>IFERROR(AC133/AC444, "NA")</f>
        <v>NA</v>
      </c>
    </row>
    <row r="134" spans="1:30" ht="16.5" hidden="1" customHeight="1" x14ac:dyDescent="0.45">
      <c r="A134" s="12" t="s">
        <v>126</v>
      </c>
      <c r="B134" s="7">
        <v>0</v>
      </c>
      <c r="C134" s="8" t="str">
        <f>IFERROR(B134/B444, "NA")</f>
        <v>NA</v>
      </c>
      <c r="D134" s="9"/>
      <c r="E134" s="7">
        <v>0</v>
      </c>
      <c r="F134" s="8" t="str">
        <f>IFERROR(E134/E444, "NA")</f>
        <v>NA</v>
      </c>
      <c r="G134" s="9"/>
      <c r="H134" s="10">
        <f t="shared" si="28"/>
        <v>0</v>
      </c>
      <c r="I134" s="8" t="str">
        <f>IFERROR(H134/H444, "NA")</f>
        <v>NA</v>
      </c>
      <c r="J134" s="9"/>
      <c r="K134" s="7">
        <v>0</v>
      </c>
      <c r="L134" s="8" t="str">
        <f>IFERROR(K134/K444, "NA")</f>
        <v>NA</v>
      </c>
      <c r="M134" s="9"/>
      <c r="N134" s="10">
        <f t="shared" si="29"/>
        <v>0</v>
      </c>
      <c r="O134" s="8" t="str">
        <f>IFERROR(N134/N444, "NA")</f>
        <v>NA</v>
      </c>
      <c r="P134" s="9"/>
      <c r="Q134" s="7">
        <v>0</v>
      </c>
      <c r="R134" s="8" t="str">
        <f>IFERROR(Q134/Q444, "NA")</f>
        <v>NA</v>
      </c>
      <c r="S134" s="9"/>
      <c r="T134" s="7">
        <v>0</v>
      </c>
      <c r="U134" s="8" t="str">
        <f>IFERROR(T134/T444, "NA")</f>
        <v>NA</v>
      </c>
      <c r="V134" s="9"/>
      <c r="W134" s="10">
        <f t="shared" si="30"/>
        <v>0</v>
      </c>
      <c r="X134" s="8" t="str">
        <f>IFERROR(W134/W444, "NA")</f>
        <v>NA</v>
      </c>
      <c r="Y134" s="9"/>
      <c r="Z134" s="7">
        <v>0</v>
      </c>
      <c r="AA134" s="8" t="str">
        <f>IFERROR(Z134/Z444, "NA")</f>
        <v>NA</v>
      </c>
      <c r="AB134" s="9"/>
      <c r="AC134" s="10">
        <f t="shared" si="31"/>
        <v>0</v>
      </c>
      <c r="AD134" s="8" t="str">
        <f>IFERROR(AC134/AC444, "NA")</f>
        <v>NA</v>
      </c>
    </row>
    <row r="135" spans="1:30" ht="16.5" hidden="1" customHeight="1" x14ac:dyDescent="0.45">
      <c r="A135" s="12" t="s">
        <v>127</v>
      </c>
      <c r="B135" s="7">
        <v>0</v>
      </c>
      <c r="C135" s="8" t="str">
        <f>IFERROR(B135/B444, "NA")</f>
        <v>NA</v>
      </c>
      <c r="D135" s="9"/>
      <c r="E135" s="7">
        <v>0</v>
      </c>
      <c r="F135" s="8" t="str">
        <f>IFERROR(E135/E444, "NA")</f>
        <v>NA</v>
      </c>
      <c r="G135" s="9"/>
      <c r="H135" s="10">
        <f t="shared" si="28"/>
        <v>0</v>
      </c>
      <c r="I135" s="8" t="str">
        <f>IFERROR(H135/H444, "NA")</f>
        <v>NA</v>
      </c>
      <c r="J135" s="9"/>
      <c r="K135" s="7">
        <v>0</v>
      </c>
      <c r="L135" s="8" t="str">
        <f>IFERROR(K135/K444, "NA")</f>
        <v>NA</v>
      </c>
      <c r="M135" s="9"/>
      <c r="N135" s="10">
        <f t="shared" si="29"/>
        <v>0</v>
      </c>
      <c r="O135" s="8" t="str">
        <f>IFERROR(N135/N444, "NA")</f>
        <v>NA</v>
      </c>
      <c r="P135" s="9"/>
      <c r="Q135" s="7">
        <v>0</v>
      </c>
      <c r="R135" s="8" t="str">
        <f>IFERROR(Q135/Q444, "NA")</f>
        <v>NA</v>
      </c>
      <c r="S135" s="9"/>
      <c r="T135" s="7">
        <v>0</v>
      </c>
      <c r="U135" s="8" t="str">
        <f>IFERROR(T135/T444, "NA")</f>
        <v>NA</v>
      </c>
      <c r="V135" s="9"/>
      <c r="W135" s="10">
        <f t="shared" si="30"/>
        <v>0</v>
      </c>
      <c r="X135" s="8" t="str">
        <f>IFERROR(W135/W444, "NA")</f>
        <v>NA</v>
      </c>
      <c r="Y135" s="9"/>
      <c r="Z135" s="7">
        <v>0</v>
      </c>
      <c r="AA135" s="8" t="str">
        <f>IFERROR(Z135/Z444, "NA")</f>
        <v>NA</v>
      </c>
      <c r="AB135" s="9"/>
      <c r="AC135" s="10">
        <f t="shared" si="31"/>
        <v>0</v>
      </c>
      <c r="AD135" s="8" t="str">
        <f>IFERROR(AC135/AC444, "NA")</f>
        <v>NA</v>
      </c>
    </row>
    <row r="136" spans="1:30" ht="16.5" hidden="1" customHeight="1" x14ac:dyDescent="0.45">
      <c r="A136" s="12" t="s">
        <v>128</v>
      </c>
      <c r="B136" s="7">
        <v>0</v>
      </c>
      <c r="C136" s="8" t="str">
        <f>IFERROR(B136/B444, "NA")</f>
        <v>NA</v>
      </c>
      <c r="D136" s="9"/>
      <c r="E136" s="7">
        <v>0</v>
      </c>
      <c r="F136" s="8" t="str">
        <f>IFERROR(E136/E444, "NA")</f>
        <v>NA</v>
      </c>
      <c r="G136" s="9"/>
      <c r="H136" s="10">
        <f t="shared" si="28"/>
        <v>0</v>
      </c>
      <c r="I136" s="8" t="str">
        <f>IFERROR(H136/H444, "NA")</f>
        <v>NA</v>
      </c>
      <c r="J136" s="9"/>
      <c r="K136" s="7">
        <v>0</v>
      </c>
      <c r="L136" s="8" t="str">
        <f>IFERROR(K136/K444, "NA")</f>
        <v>NA</v>
      </c>
      <c r="M136" s="9"/>
      <c r="N136" s="10">
        <f t="shared" si="29"/>
        <v>0</v>
      </c>
      <c r="O136" s="8" t="str">
        <f>IFERROR(N136/N444, "NA")</f>
        <v>NA</v>
      </c>
      <c r="P136" s="9"/>
      <c r="Q136" s="7">
        <v>0</v>
      </c>
      <c r="R136" s="8" t="str">
        <f>IFERROR(Q136/Q444, "NA")</f>
        <v>NA</v>
      </c>
      <c r="S136" s="9"/>
      <c r="T136" s="7">
        <v>0</v>
      </c>
      <c r="U136" s="8" t="str">
        <f>IFERROR(T136/T444, "NA")</f>
        <v>NA</v>
      </c>
      <c r="V136" s="9"/>
      <c r="W136" s="10">
        <f t="shared" si="30"/>
        <v>0</v>
      </c>
      <c r="X136" s="8" t="str">
        <f>IFERROR(W136/W444, "NA")</f>
        <v>NA</v>
      </c>
      <c r="Y136" s="9"/>
      <c r="Z136" s="7">
        <v>0</v>
      </c>
      <c r="AA136" s="8" t="str">
        <f>IFERROR(Z136/Z444, "NA")</f>
        <v>NA</v>
      </c>
      <c r="AB136" s="9"/>
      <c r="AC136" s="10">
        <f t="shared" si="31"/>
        <v>0</v>
      </c>
      <c r="AD136" s="8" t="str">
        <f>IFERROR(AC136/AC444, "NA")</f>
        <v>NA</v>
      </c>
    </row>
    <row r="137" spans="1:30" ht="16.5" hidden="1" customHeight="1" x14ac:dyDescent="0.45">
      <c r="A137" s="12" t="s">
        <v>129</v>
      </c>
      <c r="B137" s="7">
        <v>0</v>
      </c>
      <c r="C137" s="8" t="str">
        <f>IFERROR(B137/B444, "NA")</f>
        <v>NA</v>
      </c>
      <c r="D137" s="9"/>
      <c r="E137" s="7">
        <v>0</v>
      </c>
      <c r="F137" s="8" t="str">
        <f>IFERROR(E137/E444, "NA")</f>
        <v>NA</v>
      </c>
      <c r="G137" s="9"/>
      <c r="H137" s="10">
        <f t="shared" si="28"/>
        <v>0</v>
      </c>
      <c r="I137" s="8" t="str">
        <f>IFERROR(H137/H444, "NA")</f>
        <v>NA</v>
      </c>
      <c r="J137" s="9"/>
      <c r="K137" s="7">
        <v>0</v>
      </c>
      <c r="L137" s="8" t="str">
        <f>IFERROR(K137/K444, "NA")</f>
        <v>NA</v>
      </c>
      <c r="M137" s="9"/>
      <c r="N137" s="10">
        <f t="shared" si="29"/>
        <v>0</v>
      </c>
      <c r="O137" s="8" t="str">
        <f>IFERROR(N137/N444, "NA")</f>
        <v>NA</v>
      </c>
      <c r="P137" s="9"/>
      <c r="Q137" s="7">
        <v>0</v>
      </c>
      <c r="R137" s="8" t="str">
        <f>IFERROR(Q137/Q444, "NA")</f>
        <v>NA</v>
      </c>
      <c r="S137" s="9"/>
      <c r="T137" s="7">
        <v>0</v>
      </c>
      <c r="U137" s="8" t="str">
        <f>IFERROR(T137/T444, "NA")</f>
        <v>NA</v>
      </c>
      <c r="V137" s="9"/>
      <c r="W137" s="10">
        <f t="shared" si="30"/>
        <v>0</v>
      </c>
      <c r="X137" s="8" t="str">
        <f>IFERROR(W137/W444, "NA")</f>
        <v>NA</v>
      </c>
      <c r="Y137" s="9"/>
      <c r="Z137" s="7">
        <v>0</v>
      </c>
      <c r="AA137" s="8" t="str">
        <f>IFERROR(Z137/Z444, "NA")</f>
        <v>NA</v>
      </c>
      <c r="AB137" s="9"/>
      <c r="AC137" s="10">
        <f t="shared" si="31"/>
        <v>0</v>
      </c>
      <c r="AD137" s="8" t="str">
        <f>IFERROR(AC137/AC444, "NA")</f>
        <v>NA</v>
      </c>
    </row>
    <row r="138" spans="1:30" ht="16.5" hidden="1" customHeight="1" x14ac:dyDescent="0.45">
      <c r="A138" s="12" t="s">
        <v>130</v>
      </c>
      <c r="B138" s="7">
        <v>0</v>
      </c>
      <c r="C138" s="8" t="str">
        <f>IFERROR(B138/B444, "NA")</f>
        <v>NA</v>
      </c>
      <c r="D138" s="9"/>
      <c r="E138" s="7">
        <v>0</v>
      </c>
      <c r="F138" s="8" t="str">
        <f>IFERROR(E138/E444, "NA")</f>
        <v>NA</v>
      </c>
      <c r="G138" s="9"/>
      <c r="H138" s="10">
        <f t="shared" si="28"/>
        <v>0</v>
      </c>
      <c r="I138" s="8" t="str">
        <f>IFERROR(H138/H444, "NA")</f>
        <v>NA</v>
      </c>
      <c r="J138" s="9"/>
      <c r="K138" s="7">
        <v>0</v>
      </c>
      <c r="L138" s="8" t="str">
        <f>IFERROR(K138/K444, "NA")</f>
        <v>NA</v>
      </c>
      <c r="M138" s="9"/>
      <c r="N138" s="10">
        <f t="shared" si="29"/>
        <v>0</v>
      </c>
      <c r="O138" s="8" t="str">
        <f>IFERROR(N138/N444, "NA")</f>
        <v>NA</v>
      </c>
      <c r="P138" s="9"/>
      <c r="Q138" s="7">
        <v>0</v>
      </c>
      <c r="R138" s="8" t="str">
        <f>IFERROR(Q138/Q444, "NA")</f>
        <v>NA</v>
      </c>
      <c r="S138" s="9"/>
      <c r="T138" s="7">
        <v>0</v>
      </c>
      <c r="U138" s="8" t="str">
        <f>IFERROR(T138/T444, "NA")</f>
        <v>NA</v>
      </c>
      <c r="V138" s="9"/>
      <c r="W138" s="10">
        <f t="shared" si="30"/>
        <v>0</v>
      </c>
      <c r="X138" s="8" t="str">
        <f>IFERROR(W138/W444, "NA")</f>
        <v>NA</v>
      </c>
      <c r="Y138" s="9"/>
      <c r="Z138" s="7">
        <v>0</v>
      </c>
      <c r="AA138" s="8" t="str">
        <f>IFERROR(Z138/Z444, "NA")</f>
        <v>NA</v>
      </c>
      <c r="AB138" s="9"/>
      <c r="AC138" s="10">
        <f t="shared" si="31"/>
        <v>0</v>
      </c>
      <c r="AD138" s="8" t="str">
        <f>IFERROR(AC138/AC444, "NA")</f>
        <v>NA</v>
      </c>
    </row>
    <row r="139" spans="1:30" ht="16.5" hidden="1" customHeight="1" x14ac:dyDescent="0.45">
      <c r="A139" s="12" t="s">
        <v>131</v>
      </c>
      <c r="B139" s="7">
        <v>0</v>
      </c>
      <c r="C139" s="8" t="str">
        <f>IFERROR(B139/B444, "NA")</f>
        <v>NA</v>
      </c>
      <c r="D139" s="9"/>
      <c r="E139" s="7">
        <v>0</v>
      </c>
      <c r="F139" s="8" t="str">
        <f>IFERROR(E139/E444, "NA")</f>
        <v>NA</v>
      </c>
      <c r="G139" s="9"/>
      <c r="H139" s="10">
        <f t="shared" si="28"/>
        <v>0</v>
      </c>
      <c r="I139" s="8" t="str">
        <f>IFERROR(H139/H444, "NA")</f>
        <v>NA</v>
      </c>
      <c r="J139" s="9"/>
      <c r="K139" s="7">
        <v>0</v>
      </c>
      <c r="L139" s="8" t="str">
        <f>IFERROR(K139/K444, "NA")</f>
        <v>NA</v>
      </c>
      <c r="M139" s="9"/>
      <c r="N139" s="10">
        <f t="shared" si="29"/>
        <v>0</v>
      </c>
      <c r="O139" s="8" t="str">
        <f>IFERROR(N139/N444, "NA")</f>
        <v>NA</v>
      </c>
      <c r="P139" s="9"/>
      <c r="Q139" s="7">
        <v>0</v>
      </c>
      <c r="R139" s="8" t="str">
        <f>IFERROR(Q139/Q444, "NA")</f>
        <v>NA</v>
      </c>
      <c r="S139" s="9"/>
      <c r="T139" s="7">
        <v>0</v>
      </c>
      <c r="U139" s="8" t="str">
        <f>IFERROR(T139/T444, "NA")</f>
        <v>NA</v>
      </c>
      <c r="V139" s="9"/>
      <c r="W139" s="10">
        <f t="shared" si="30"/>
        <v>0</v>
      </c>
      <c r="X139" s="8" t="str">
        <f>IFERROR(W139/W444, "NA")</f>
        <v>NA</v>
      </c>
      <c r="Y139" s="9"/>
      <c r="Z139" s="7">
        <v>0</v>
      </c>
      <c r="AA139" s="8" t="str">
        <f>IFERROR(Z139/Z444, "NA")</f>
        <v>NA</v>
      </c>
      <c r="AB139" s="9"/>
      <c r="AC139" s="10">
        <f t="shared" si="31"/>
        <v>0</v>
      </c>
      <c r="AD139" s="8" t="str">
        <f>IFERROR(AC139/AC444, "NA")</f>
        <v>NA</v>
      </c>
    </row>
    <row r="140" spans="1:30" ht="16.5" hidden="1" customHeight="1" x14ac:dyDescent="0.45">
      <c r="A140" s="12" t="s">
        <v>132</v>
      </c>
      <c r="B140" s="7">
        <v>0</v>
      </c>
      <c r="C140" s="8" t="str">
        <f>IFERROR(B140/B444, "NA")</f>
        <v>NA</v>
      </c>
      <c r="D140" s="9"/>
      <c r="E140" s="7">
        <v>0</v>
      </c>
      <c r="F140" s="8" t="str">
        <f>IFERROR(E140/E444, "NA")</f>
        <v>NA</v>
      </c>
      <c r="G140" s="9"/>
      <c r="H140" s="10">
        <f t="shared" si="28"/>
        <v>0</v>
      </c>
      <c r="I140" s="8" t="str">
        <f>IFERROR(H140/H444, "NA")</f>
        <v>NA</v>
      </c>
      <c r="J140" s="9"/>
      <c r="K140" s="7">
        <v>0</v>
      </c>
      <c r="L140" s="8" t="str">
        <f>IFERROR(K140/K444, "NA")</f>
        <v>NA</v>
      </c>
      <c r="M140" s="9"/>
      <c r="N140" s="10">
        <f t="shared" si="29"/>
        <v>0</v>
      </c>
      <c r="O140" s="8" t="str">
        <f>IFERROR(N140/N444, "NA")</f>
        <v>NA</v>
      </c>
      <c r="P140" s="9"/>
      <c r="Q140" s="7">
        <v>0</v>
      </c>
      <c r="R140" s="8" t="str">
        <f>IFERROR(Q140/Q444, "NA")</f>
        <v>NA</v>
      </c>
      <c r="S140" s="9"/>
      <c r="T140" s="7">
        <v>0</v>
      </c>
      <c r="U140" s="8" t="str">
        <f>IFERROR(T140/T444, "NA")</f>
        <v>NA</v>
      </c>
      <c r="V140" s="9"/>
      <c r="W140" s="10">
        <f t="shared" si="30"/>
        <v>0</v>
      </c>
      <c r="X140" s="8" t="str">
        <f>IFERROR(W140/W444, "NA")</f>
        <v>NA</v>
      </c>
      <c r="Y140" s="9"/>
      <c r="Z140" s="7">
        <v>0</v>
      </c>
      <c r="AA140" s="8" t="str">
        <f>IFERROR(Z140/Z444, "NA")</f>
        <v>NA</v>
      </c>
      <c r="AB140" s="9"/>
      <c r="AC140" s="10">
        <f t="shared" si="31"/>
        <v>0</v>
      </c>
      <c r="AD140" s="8" t="str">
        <f>IFERROR(AC140/AC444, "NA")</f>
        <v>NA</v>
      </c>
    </row>
    <row r="141" spans="1:30" ht="16.5" customHeight="1" x14ac:dyDescent="0.45">
      <c r="A141" s="13" t="s">
        <v>133</v>
      </c>
      <c r="B141" s="14">
        <f>IFERROR(B129+B130+B131+B132+B133+B134+B135+B136+B137+B138+B139+B140, "NA")</f>
        <v>0</v>
      </c>
      <c r="C141" s="15" t="str">
        <f>IFERROR(B141/B444, "NA")</f>
        <v>NA</v>
      </c>
      <c r="D141" s="2"/>
      <c r="E141" s="14">
        <f>IFERROR(E129+E130+E131+E132+E133+E134+E135+E136+E137+E138+E139+E140, "NA")</f>
        <v>0</v>
      </c>
      <c r="F141" s="15" t="str">
        <f>IFERROR(E141/E444, "NA")</f>
        <v>NA</v>
      </c>
      <c r="G141" s="2"/>
      <c r="H141" s="14">
        <f t="shared" si="28"/>
        <v>0</v>
      </c>
      <c r="I141" s="15" t="str">
        <f>IFERROR(H141/H444, "NA")</f>
        <v>NA</v>
      </c>
      <c r="J141" s="2"/>
      <c r="K141" s="14">
        <f>IFERROR(K129+K130+K131+K132+K133+K134+K135+K136+K137+K138+K139+K140, "NA")</f>
        <v>0</v>
      </c>
      <c r="L141" s="15" t="str">
        <f>IFERROR(K141/K444, "NA")</f>
        <v>NA</v>
      </c>
      <c r="M141" s="2"/>
      <c r="N141" s="14">
        <f t="shared" si="29"/>
        <v>0</v>
      </c>
      <c r="O141" s="15" t="str">
        <f>IFERROR(N141/N444, "NA")</f>
        <v>NA</v>
      </c>
      <c r="P141" s="2"/>
      <c r="Q141" s="14">
        <f>IFERROR(Q129+Q130+Q131+Q132+Q133+Q134+Q135+Q136+Q137+Q138+Q139+Q140, "NA")</f>
        <v>0</v>
      </c>
      <c r="R141" s="15" t="str">
        <f>IFERROR(Q141/Q444, "NA")</f>
        <v>NA</v>
      </c>
      <c r="S141" s="2"/>
      <c r="T141" s="14">
        <f>IFERROR(T129+T130+T131+T132+T133+T134+T135+T136+T137+T138+T139+T140, "NA")</f>
        <v>0</v>
      </c>
      <c r="U141" s="15" t="str">
        <f>IFERROR(T141/T444, "NA")</f>
        <v>NA</v>
      </c>
      <c r="V141" s="2"/>
      <c r="W141" s="14">
        <f t="shared" si="30"/>
        <v>0</v>
      </c>
      <c r="X141" s="15" t="str">
        <f>IFERROR(W141/W444, "NA")</f>
        <v>NA</v>
      </c>
      <c r="Y141" s="2"/>
      <c r="Z141" s="14">
        <f>IFERROR(Z129+Z130+Z131+Z132+Z133+Z134+Z135+Z136+Z137+Z138+Z139+Z140, "NA")</f>
        <v>0</v>
      </c>
      <c r="AA141" s="15" t="str">
        <f>IFERROR(Z141/Z444, "NA")</f>
        <v>NA</v>
      </c>
      <c r="AB141" s="2"/>
      <c r="AC141" s="14">
        <f t="shared" si="31"/>
        <v>0</v>
      </c>
      <c r="AD141" s="15" t="str">
        <f>IFERROR(AC141/AC444, "NA")</f>
        <v>NA</v>
      </c>
    </row>
    <row r="142" spans="1:30" ht="16.5" customHeight="1" x14ac:dyDescent="0.45">
      <c r="A142" s="11" t="s">
        <v>134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hidden="1" customHeight="1" x14ac:dyDescent="0.45">
      <c r="A143" s="12" t="s">
        <v>134</v>
      </c>
      <c r="B143" s="7">
        <v>0</v>
      </c>
      <c r="C143" s="8" t="str">
        <f>IFERROR(B143/B444, "NA")</f>
        <v>NA</v>
      </c>
      <c r="D143" s="9"/>
      <c r="E143" s="7">
        <v>0</v>
      </c>
      <c r="F143" s="8" t="str">
        <f>IFERROR(E143/E444, "NA")</f>
        <v>NA</v>
      </c>
      <c r="G143" s="9"/>
      <c r="H143" s="10">
        <f t="shared" ref="H143:H149" si="32">IFERROR(-(B143-E143), "NA")</f>
        <v>0</v>
      </c>
      <c r="I143" s="8" t="str">
        <f>IFERROR(H143/H444, "NA")</f>
        <v>NA</v>
      </c>
      <c r="J143" s="9"/>
      <c r="K143" s="7">
        <v>0</v>
      </c>
      <c r="L143" s="8" t="str">
        <f>IFERROR(K143/K444, "NA")</f>
        <v>NA</v>
      </c>
      <c r="M143" s="9"/>
      <c r="N143" s="10">
        <f t="shared" ref="N143:N149" si="33">IFERROR(-(B143-K143), "NA")</f>
        <v>0</v>
      </c>
      <c r="O143" s="8" t="str">
        <f>IFERROR(N143/N444, "NA")</f>
        <v>NA</v>
      </c>
      <c r="P143" s="9"/>
      <c r="Q143" s="7">
        <v>0</v>
      </c>
      <c r="R143" s="8" t="str">
        <f>IFERROR(Q143/Q444, "NA")</f>
        <v>NA</v>
      </c>
      <c r="S143" s="9"/>
      <c r="T143" s="7">
        <v>0</v>
      </c>
      <c r="U143" s="8" t="str">
        <f>IFERROR(T143/T444, "NA")</f>
        <v>NA</v>
      </c>
      <c r="V143" s="9"/>
      <c r="W143" s="10">
        <f t="shared" ref="W143:W149" si="34">IFERROR(-(Q143-T143), "NA")</f>
        <v>0</v>
      </c>
      <c r="X143" s="8" t="str">
        <f>IFERROR(W143/W444, "NA")</f>
        <v>NA</v>
      </c>
      <c r="Y143" s="9"/>
      <c r="Z143" s="7">
        <v>0</v>
      </c>
      <c r="AA143" s="8" t="str">
        <f>IFERROR(Z143/Z444, "NA")</f>
        <v>NA</v>
      </c>
      <c r="AB143" s="9"/>
      <c r="AC143" s="10">
        <f t="shared" ref="AC143:AC149" si="35">IFERROR(-(Q143-Z143), "NA")</f>
        <v>0</v>
      </c>
      <c r="AD143" s="8" t="str">
        <f>IFERROR(AC143/AC444, "NA")</f>
        <v>NA</v>
      </c>
    </row>
    <row r="144" spans="1:30" ht="16.5" hidden="1" customHeight="1" x14ac:dyDescent="0.45">
      <c r="A144" s="12" t="s">
        <v>135</v>
      </c>
      <c r="B144" s="7">
        <v>0</v>
      </c>
      <c r="C144" s="8" t="str">
        <f>IFERROR(B144/B444, "NA")</f>
        <v>NA</v>
      </c>
      <c r="D144" s="9"/>
      <c r="E144" s="7">
        <v>0</v>
      </c>
      <c r="F144" s="8" t="str">
        <f>IFERROR(E144/E444, "NA")</f>
        <v>NA</v>
      </c>
      <c r="G144" s="9"/>
      <c r="H144" s="10">
        <f t="shared" si="32"/>
        <v>0</v>
      </c>
      <c r="I144" s="8" t="str">
        <f>IFERROR(H144/H444, "NA")</f>
        <v>NA</v>
      </c>
      <c r="J144" s="9"/>
      <c r="K144" s="7">
        <v>0</v>
      </c>
      <c r="L144" s="8" t="str">
        <f>IFERROR(K144/K444, "NA")</f>
        <v>NA</v>
      </c>
      <c r="M144" s="9"/>
      <c r="N144" s="10">
        <f t="shared" si="33"/>
        <v>0</v>
      </c>
      <c r="O144" s="8" t="str">
        <f>IFERROR(N144/N444, "NA")</f>
        <v>NA</v>
      </c>
      <c r="P144" s="9"/>
      <c r="Q144" s="7">
        <v>0</v>
      </c>
      <c r="R144" s="8" t="str">
        <f>IFERROR(Q144/Q444, "NA")</f>
        <v>NA</v>
      </c>
      <c r="S144" s="9"/>
      <c r="T144" s="7">
        <v>0</v>
      </c>
      <c r="U144" s="8" t="str">
        <f>IFERROR(T144/T444, "NA")</f>
        <v>NA</v>
      </c>
      <c r="V144" s="9"/>
      <c r="W144" s="10">
        <f t="shared" si="34"/>
        <v>0</v>
      </c>
      <c r="X144" s="8" t="str">
        <f>IFERROR(W144/W444, "NA")</f>
        <v>NA</v>
      </c>
      <c r="Y144" s="9"/>
      <c r="Z144" s="7">
        <v>0</v>
      </c>
      <c r="AA144" s="8" t="str">
        <f>IFERROR(Z144/Z444, "NA")</f>
        <v>NA</v>
      </c>
      <c r="AB144" s="9"/>
      <c r="AC144" s="10">
        <f t="shared" si="35"/>
        <v>0</v>
      </c>
      <c r="AD144" s="8" t="str">
        <f>IFERROR(AC144/AC444, "NA")</f>
        <v>NA</v>
      </c>
    </row>
    <row r="145" spans="1:30" ht="16.5" hidden="1" customHeight="1" x14ac:dyDescent="0.45">
      <c r="A145" s="12" t="s">
        <v>136</v>
      </c>
      <c r="B145" s="7">
        <v>0</v>
      </c>
      <c r="C145" s="8" t="str">
        <f>IFERROR(B145/B444, "NA")</f>
        <v>NA</v>
      </c>
      <c r="D145" s="9"/>
      <c r="E145" s="7">
        <v>0</v>
      </c>
      <c r="F145" s="8" t="str">
        <f>IFERROR(E145/E444, "NA")</f>
        <v>NA</v>
      </c>
      <c r="G145" s="9"/>
      <c r="H145" s="10">
        <f t="shared" si="32"/>
        <v>0</v>
      </c>
      <c r="I145" s="8" t="str">
        <f>IFERROR(H145/H444, "NA")</f>
        <v>NA</v>
      </c>
      <c r="J145" s="9"/>
      <c r="K145" s="7">
        <v>0</v>
      </c>
      <c r="L145" s="8" t="str">
        <f>IFERROR(K145/K444, "NA")</f>
        <v>NA</v>
      </c>
      <c r="M145" s="9"/>
      <c r="N145" s="10">
        <f t="shared" si="33"/>
        <v>0</v>
      </c>
      <c r="O145" s="8" t="str">
        <f>IFERROR(N145/N444, "NA")</f>
        <v>NA</v>
      </c>
      <c r="P145" s="9"/>
      <c r="Q145" s="7">
        <v>0</v>
      </c>
      <c r="R145" s="8" t="str">
        <f>IFERROR(Q145/Q444, "NA")</f>
        <v>NA</v>
      </c>
      <c r="S145" s="9"/>
      <c r="T145" s="7">
        <v>0</v>
      </c>
      <c r="U145" s="8" t="str">
        <f>IFERROR(T145/T444, "NA")</f>
        <v>NA</v>
      </c>
      <c r="V145" s="9"/>
      <c r="W145" s="10">
        <f t="shared" si="34"/>
        <v>0</v>
      </c>
      <c r="X145" s="8" t="str">
        <f>IFERROR(W145/W444, "NA")</f>
        <v>NA</v>
      </c>
      <c r="Y145" s="9"/>
      <c r="Z145" s="7">
        <v>0</v>
      </c>
      <c r="AA145" s="8" t="str">
        <f>IFERROR(Z145/Z444, "NA")</f>
        <v>NA</v>
      </c>
      <c r="AB145" s="9"/>
      <c r="AC145" s="10">
        <f t="shared" si="35"/>
        <v>0</v>
      </c>
      <c r="AD145" s="8" t="str">
        <f>IFERROR(AC145/AC444, "NA")</f>
        <v>NA</v>
      </c>
    </row>
    <row r="146" spans="1:30" ht="16.5" hidden="1" customHeight="1" x14ac:dyDescent="0.45">
      <c r="A146" s="12" t="s">
        <v>137</v>
      </c>
      <c r="B146" s="7">
        <v>0</v>
      </c>
      <c r="C146" s="8" t="str">
        <f>IFERROR(B146/B444, "NA")</f>
        <v>NA</v>
      </c>
      <c r="D146" s="9"/>
      <c r="E146" s="7">
        <v>0</v>
      </c>
      <c r="F146" s="8" t="str">
        <f>IFERROR(E146/E444, "NA")</f>
        <v>NA</v>
      </c>
      <c r="G146" s="9"/>
      <c r="H146" s="10">
        <f t="shared" si="32"/>
        <v>0</v>
      </c>
      <c r="I146" s="8" t="str">
        <f>IFERROR(H146/H444, "NA")</f>
        <v>NA</v>
      </c>
      <c r="J146" s="9"/>
      <c r="K146" s="7">
        <v>0</v>
      </c>
      <c r="L146" s="8" t="str">
        <f>IFERROR(K146/K444, "NA")</f>
        <v>NA</v>
      </c>
      <c r="M146" s="9"/>
      <c r="N146" s="10">
        <f t="shared" si="33"/>
        <v>0</v>
      </c>
      <c r="O146" s="8" t="str">
        <f>IFERROR(N146/N444, "NA")</f>
        <v>NA</v>
      </c>
      <c r="P146" s="9"/>
      <c r="Q146" s="7">
        <v>0</v>
      </c>
      <c r="R146" s="8" t="str">
        <f>IFERROR(Q146/Q444, "NA")</f>
        <v>NA</v>
      </c>
      <c r="S146" s="9"/>
      <c r="T146" s="7">
        <v>0</v>
      </c>
      <c r="U146" s="8" t="str">
        <f>IFERROR(T146/T444, "NA")</f>
        <v>NA</v>
      </c>
      <c r="V146" s="9"/>
      <c r="W146" s="10">
        <f t="shared" si="34"/>
        <v>0</v>
      </c>
      <c r="X146" s="8" t="str">
        <f>IFERROR(W146/W444, "NA")</f>
        <v>NA</v>
      </c>
      <c r="Y146" s="9"/>
      <c r="Z146" s="7">
        <v>0</v>
      </c>
      <c r="AA146" s="8" t="str">
        <f>IFERROR(Z146/Z444, "NA")</f>
        <v>NA</v>
      </c>
      <c r="AB146" s="9"/>
      <c r="AC146" s="10">
        <f t="shared" si="35"/>
        <v>0</v>
      </c>
      <c r="AD146" s="8" t="str">
        <f>IFERROR(AC146/AC444, "NA")</f>
        <v>NA</v>
      </c>
    </row>
    <row r="147" spans="1:30" ht="16.5" hidden="1" customHeight="1" x14ac:dyDescent="0.45">
      <c r="A147" s="12" t="s">
        <v>138</v>
      </c>
      <c r="B147" s="7">
        <v>0</v>
      </c>
      <c r="C147" s="8" t="str">
        <f>IFERROR(B147/B444, "NA")</f>
        <v>NA</v>
      </c>
      <c r="D147" s="9"/>
      <c r="E147" s="7">
        <v>0</v>
      </c>
      <c r="F147" s="8" t="str">
        <f>IFERROR(E147/E444, "NA")</f>
        <v>NA</v>
      </c>
      <c r="G147" s="9"/>
      <c r="H147" s="10">
        <f t="shared" si="32"/>
        <v>0</v>
      </c>
      <c r="I147" s="8" t="str">
        <f>IFERROR(H147/H444, "NA")</f>
        <v>NA</v>
      </c>
      <c r="J147" s="9"/>
      <c r="K147" s="7">
        <v>0</v>
      </c>
      <c r="L147" s="8" t="str">
        <f>IFERROR(K147/K444, "NA")</f>
        <v>NA</v>
      </c>
      <c r="M147" s="9"/>
      <c r="N147" s="10">
        <f t="shared" si="33"/>
        <v>0</v>
      </c>
      <c r="O147" s="8" t="str">
        <f>IFERROR(N147/N444, "NA")</f>
        <v>NA</v>
      </c>
      <c r="P147" s="9"/>
      <c r="Q147" s="7">
        <v>0</v>
      </c>
      <c r="R147" s="8" t="str">
        <f>IFERROR(Q147/Q444, "NA")</f>
        <v>NA</v>
      </c>
      <c r="S147" s="9"/>
      <c r="T147" s="7">
        <v>0</v>
      </c>
      <c r="U147" s="8" t="str">
        <f>IFERROR(T147/T444, "NA")</f>
        <v>NA</v>
      </c>
      <c r="V147" s="9"/>
      <c r="W147" s="10">
        <f t="shared" si="34"/>
        <v>0</v>
      </c>
      <c r="X147" s="8" t="str">
        <f>IFERROR(W147/W444, "NA")</f>
        <v>NA</v>
      </c>
      <c r="Y147" s="9"/>
      <c r="Z147" s="7">
        <v>0</v>
      </c>
      <c r="AA147" s="8" t="str">
        <f>IFERROR(Z147/Z444, "NA")</f>
        <v>NA</v>
      </c>
      <c r="AB147" s="9"/>
      <c r="AC147" s="10">
        <f t="shared" si="35"/>
        <v>0</v>
      </c>
      <c r="AD147" s="8" t="str">
        <f>IFERROR(AC147/AC444, "NA")</f>
        <v>NA</v>
      </c>
    </row>
    <row r="148" spans="1:30" ht="16.5" customHeight="1" x14ac:dyDescent="0.45">
      <c r="A148" s="13" t="s">
        <v>139</v>
      </c>
      <c r="B148" s="14">
        <f>IFERROR(B143+B144+B145+B146+B147, "NA")</f>
        <v>0</v>
      </c>
      <c r="C148" s="15" t="str">
        <f>IFERROR(B148/B444, "NA")</f>
        <v>NA</v>
      </c>
      <c r="D148" s="2"/>
      <c r="E148" s="14">
        <f>IFERROR(E143+E144+E145+E146+E147, "NA")</f>
        <v>0</v>
      </c>
      <c r="F148" s="15" t="str">
        <f>IFERROR(E148/E444, "NA")</f>
        <v>NA</v>
      </c>
      <c r="G148" s="2"/>
      <c r="H148" s="14">
        <f t="shared" si="32"/>
        <v>0</v>
      </c>
      <c r="I148" s="15" t="str">
        <f>IFERROR(H148/H444, "NA")</f>
        <v>NA</v>
      </c>
      <c r="J148" s="2"/>
      <c r="K148" s="14">
        <f>IFERROR(K143+K144+K145+K146+K147, "NA")</f>
        <v>0</v>
      </c>
      <c r="L148" s="15" t="str">
        <f>IFERROR(K148/K444, "NA")</f>
        <v>NA</v>
      </c>
      <c r="M148" s="2"/>
      <c r="N148" s="14">
        <f t="shared" si="33"/>
        <v>0</v>
      </c>
      <c r="O148" s="15" t="str">
        <f>IFERROR(N148/N444, "NA")</f>
        <v>NA</v>
      </c>
      <c r="P148" s="2"/>
      <c r="Q148" s="14">
        <f>IFERROR(Q143+Q144+Q145+Q146+Q147, "NA")</f>
        <v>0</v>
      </c>
      <c r="R148" s="15" t="str">
        <f>IFERROR(Q148/Q444, "NA")</f>
        <v>NA</v>
      </c>
      <c r="S148" s="2"/>
      <c r="T148" s="14">
        <f>IFERROR(T143+T144+T145+T146+T147, "NA")</f>
        <v>0</v>
      </c>
      <c r="U148" s="15" t="str">
        <f>IFERROR(T148/T444, "NA")</f>
        <v>NA</v>
      </c>
      <c r="V148" s="2"/>
      <c r="W148" s="14">
        <f t="shared" si="34"/>
        <v>0</v>
      </c>
      <c r="X148" s="15" t="str">
        <f>IFERROR(W148/W444, "NA")</f>
        <v>NA</v>
      </c>
      <c r="Y148" s="2"/>
      <c r="Z148" s="14">
        <f>IFERROR(Z143+Z144+Z145+Z146+Z147, "NA")</f>
        <v>0</v>
      </c>
      <c r="AA148" s="15" t="str">
        <f>IFERROR(Z148/Z444, "NA")</f>
        <v>NA</v>
      </c>
      <c r="AB148" s="2"/>
      <c r="AC148" s="14">
        <f t="shared" si="35"/>
        <v>0</v>
      </c>
      <c r="AD148" s="15" t="str">
        <f>IFERROR(AC148/AC444, "NA")</f>
        <v>NA</v>
      </c>
    </row>
    <row r="149" spans="1:30" ht="16.5" customHeight="1" x14ac:dyDescent="0.45">
      <c r="A149" s="19" t="s">
        <v>140</v>
      </c>
      <c r="B149" s="14">
        <f>IFERROR(B127+B129+B130+B131+B132+B133+B134+B135+B136+B137+B138+B139+B140+B143+B144+B145+B146+B147, "NA")</f>
        <v>0</v>
      </c>
      <c r="C149" s="15" t="str">
        <f>IFERROR(B149/B444, "NA")</f>
        <v>NA</v>
      </c>
      <c r="D149" s="2"/>
      <c r="E149" s="14">
        <f>IFERROR(E127+E129+E130+E131+E132+E133+E134+E135+E136+E137+E138+E139+E140+E143+E144+E145+E146+E147, "NA")</f>
        <v>0</v>
      </c>
      <c r="F149" s="15" t="str">
        <f>IFERROR(E149/E444, "NA")</f>
        <v>NA</v>
      </c>
      <c r="G149" s="2"/>
      <c r="H149" s="14">
        <f t="shared" si="32"/>
        <v>0</v>
      </c>
      <c r="I149" s="15" t="str">
        <f>IFERROR(H149/H444, "NA")</f>
        <v>NA</v>
      </c>
      <c r="J149" s="2"/>
      <c r="K149" s="14">
        <f>IFERROR(K127+K129+K130+K131+K132+K133+K134+K135+K136+K137+K138+K139+K140+K143+K144+K145+K146+K147, "NA")</f>
        <v>0</v>
      </c>
      <c r="L149" s="15" t="str">
        <f>IFERROR(K149/K444, "NA")</f>
        <v>NA</v>
      </c>
      <c r="M149" s="2"/>
      <c r="N149" s="14">
        <f t="shared" si="33"/>
        <v>0</v>
      </c>
      <c r="O149" s="15" t="str">
        <f>IFERROR(N149/N444, "NA")</f>
        <v>NA</v>
      </c>
      <c r="P149" s="2"/>
      <c r="Q149" s="14">
        <f>IFERROR(Q127+Q129+Q130+Q131+Q132+Q133+Q134+Q135+Q136+Q137+Q138+Q139+Q140+Q143+Q144+Q145+Q146+Q147, "NA")</f>
        <v>0</v>
      </c>
      <c r="R149" s="15" t="str">
        <f>IFERROR(Q149/Q444, "NA")</f>
        <v>NA</v>
      </c>
      <c r="S149" s="2"/>
      <c r="T149" s="14">
        <f>IFERROR(T127+T129+T130+T131+T132+T133+T134+T135+T136+T137+T138+T139+T140+T143+T144+T145+T146+T147, "NA")</f>
        <v>0</v>
      </c>
      <c r="U149" s="15" t="str">
        <f>IFERROR(T149/T444, "NA")</f>
        <v>NA</v>
      </c>
      <c r="V149" s="2"/>
      <c r="W149" s="14">
        <f t="shared" si="34"/>
        <v>0</v>
      </c>
      <c r="X149" s="15" t="str">
        <f>IFERROR(W149/W444, "NA")</f>
        <v>NA</v>
      </c>
      <c r="Y149" s="2"/>
      <c r="Z149" s="14">
        <f>IFERROR(Z127+Z129+Z130+Z131+Z132+Z133+Z134+Z135+Z136+Z137+Z138+Z139+Z140+Z143+Z144+Z145+Z146+Z147, "NA")</f>
        <v>0</v>
      </c>
      <c r="AA149" s="15" t="str">
        <f>IFERROR(Z149/Z444, "NA")</f>
        <v>NA</v>
      </c>
      <c r="AB149" s="2"/>
      <c r="AC149" s="14">
        <f t="shared" si="35"/>
        <v>0</v>
      </c>
      <c r="AD149" s="15" t="str">
        <f>IFERROR(AC149/AC444, "NA")</f>
        <v>NA</v>
      </c>
    </row>
    <row r="150" spans="1:30" ht="16.5" customHeight="1" x14ac:dyDescent="0.45">
      <c r="A150" s="5" t="s">
        <v>141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45">
      <c r="A151" s="6" t="s">
        <v>141</v>
      </c>
      <c r="B151" s="7">
        <v>0</v>
      </c>
      <c r="C151" s="8" t="str">
        <f>IFERROR(B151/B444, "NA")</f>
        <v>NA</v>
      </c>
      <c r="D151" s="9"/>
      <c r="E151" s="7">
        <v>0</v>
      </c>
      <c r="F151" s="8" t="str">
        <f>IFERROR(E151/E444, "NA")</f>
        <v>NA</v>
      </c>
      <c r="G151" s="9"/>
      <c r="H151" s="10">
        <f>IFERROR(-(B151-E151), "NA")</f>
        <v>0</v>
      </c>
      <c r="I151" s="8" t="str">
        <f>IFERROR(H151/H444, "NA")</f>
        <v>NA</v>
      </c>
      <c r="J151" s="9"/>
      <c r="K151" s="7">
        <v>0</v>
      </c>
      <c r="L151" s="8" t="str">
        <f>IFERROR(K151/K444, "NA")</f>
        <v>NA</v>
      </c>
      <c r="M151" s="9"/>
      <c r="N151" s="10">
        <f>IFERROR(-(B151-K151), "NA")</f>
        <v>0</v>
      </c>
      <c r="O151" s="8" t="str">
        <f>IFERROR(N151/N444, "NA")</f>
        <v>NA</v>
      </c>
      <c r="P151" s="9"/>
      <c r="Q151" s="7">
        <v>0</v>
      </c>
      <c r="R151" s="8" t="str">
        <f>IFERROR(Q151/Q444, "NA")</f>
        <v>NA</v>
      </c>
      <c r="S151" s="9"/>
      <c r="T151" s="7">
        <v>0</v>
      </c>
      <c r="U151" s="8" t="str">
        <f>IFERROR(T151/T444, "NA")</f>
        <v>NA</v>
      </c>
      <c r="V151" s="9"/>
      <c r="W151" s="10">
        <f>IFERROR(-(Q151-T151), "NA")</f>
        <v>0</v>
      </c>
      <c r="X151" s="8" t="str">
        <f>IFERROR(W151/W444, "NA")</f>
        <v>NA</v>
      </c>
      <c r="Y151" s="9"/>
      <c r="Z151" s="7">
        <v>0</v>
      </c>
      <c r="AA151" s="8" t="str">
        <f>IFERROR(Z151/Z444, "NA")</f>
        <v>NA</v>
      </c>
      <c r="AB151" s="9"/>
      <c r="AC151" s="10">
        <f>IFERROR(-(Q151-Z151), "NA")</f>
        <v>0</v>
      </c>
      <c r="AD151" s="8" t="str">
        <f>IFERROR(AC151/AC444, "NA")</f>
        <v>NA</v>
      </c>
    </row>
    <row r="152" spans="1:30" ht="16.5" customHeight="1" x14ac:dyDescent="0.45">
      <c r="A152" s="11" t="s">
        <v>142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hidden="1" customHeight="1" x14ac:dyDescent="0.45">
      <c r="A153" s="12" t="s">
        <v>142</v>
      </c>
      <c r="B153" s="7">
        <v>0</v>
      </c>
      <c r="C153" s="8" t="str">
        <f>IFERROR(B153/B444, "NA")</f>
        <v>NA</v>
      </c>
      <c r="D153" s="9"/>
      <c r="E153" s="7">
        <v>0</v>
      </c>
      <c r="F153" s="8" t="str">
        <f>IFERROR(E153/E444, "NA")</f>
        <v>NA</v>
      </c>
      <c r="G153" s="9"/>
      <c r="H153" s="10">
        <f t="shared" ref="H153:H158" si="36">IFERROR(-(B153-E153), "NA")</f>
        <v>0</v>
      </c>
      <c r="I153" s="8" t="str">
        <f>IFERROR(H153/H444, "NA")</f>
        <v>NA</v>
      </c>
      <c r="J153" s="9"/>
      <c r="K153" s="7">
        <v>0</v>
      </c>
      <c r="L153" s="8" t="str">
        <f>IFERROR(K153/K444, "NA")</f>
        <v>NA</v>
      </c>
      <c r="M153" s="9"/>
      <c r="N153" s="10">
        <f t="shared" ref="N153:N158" si="37">IFERROR(-(B153-K153), "NA")</f>
        <v>0</v>
      </c>
      <c r="O153" s="8" t="str">
        <f>IFERROR(N153/N444, "NA")</f>
        <v>NA</v>
      </c>
      <c r="P153" s="9"/>
      <c r="Q153" s="7">
        <v>0</v>
      </c>
      <c r="R153" s="8" t="str">
        <f>IFERROR(Q153/Q444, "NA")</f>
        <v>NA</v>
      </c>
      <c r="S153" s="9"/>
      <c r="T153" s="7">
        <v>0</v>
      </c>
      <c r="U153" s="8" t="str">
        <f>IFERROR(T153/T444, "NA")</f>
        <v>NA</v>
      </c>
      <c r="V153" s="9"/>
      <c r="W153" s="10">
        <f t="shared" ref="W153:W158" si="38">IFERROR(-(Q153-T153), "NA")</f>
        <v>0</v>
      </c>
      <c r="X153" s="8" t="str">
        <f>IFERROR(W153/W444, "NA")</f>
        <v>NA</v>
      </c>
      <c r="Y153" s="9"/>
      <c r="Z153" s="7">
        <v>0</v>
      </c>
      <c r="AA153" s="8" t="str">
        <f>IFERROR(Z153/Z444, "NA")</f>
        <v>NA</v>
      </c>
      <c r="AB153" s="9"/>
      <c r="AC153" s="10">
        <f t="shared" ref="AC153:AC158" si="39">IFERROR(-(Q153-Z153), "NA")</f>
        <v>0</v>
      </c>
      <c r="AD153" s="8" t="str">
        <f>IFERROR(AC153/AC444, "NA")</f>
        <v>NA</v>
      </c>
    </row>
    <row r="154" spans="1:30" ht="16.5" hidden="1" customHeight="1" x14ac:dyDescent="0.45">
      <c r="A154" s="12" t="s">
        <v>143</v>
      </c>
      <c r="B154" s="7">
        <v>0</v>
      </c>
      <c r="C154" s="8" t="str">
        <f>IFERROR(B154/B444, "NA")</f>
        <v>NA</v>
      </c>
      <c r="D154" s="9"/>
      <c r="E154" s="7">
        <v>0</v>
      </c>
      <c r="F154" s="8" t="str">
        <f>IFERROR(E154/E444, "NA")</f>
        <v>NA</v>
      </c>
      <c r="G154" s="9"/>
      <c r="H154" s="10">
        <f t="shared" si="36"/>
        <v>0</v>
      </c>
      <c r="I154" s="8" t="str">
        <f>IFERROR(H154/H444, "NA")</f>
        <v>NA</v>
      </c>
      <c r="J154" s="9"/>
      <c r="K154" s="7">
        <v>0</v>
      </c>
      <c r="L154" s="8" t="str">
        <f>IFERROR(K154/K444, "NA")</f>
        <v>NA</v>
      </c>
      <c r="M154" s="9"/>
      <c r="N154" s="10">
        <f t="shared" si="37"/>
        <v>0</v>
      </c>
      <c r="O154" s="8" t="str">
        <f>IFERROR(N154/N444, "NA")</f>
        <v>NA</v>
      </c>
      <c r="P154" s="9"/>
      <c r="Q154" s="7">
        <v>0</v>
      </c>
      <c r="R154" s="8" t="str">
        <f>IFERROR(Q154/Q444, "NA")</f>
        <v>NA</v>
      </c>
      <c r="S154" s="9"/>
      <c r="T154" s="7">
        <v>0</v>
      </c>
      <c r="U154" s="8" t="str">
        <f>IFERROR(T154/T444, "NA")</f>
        <v>NA</v>
      </c>
      <c r="V154" s="9"/>
      <c r="W154" s="10">
        <f t="shared" si="38"/>
        <v>0</v>
      </c>
      <c r="X154" s="8" t="str">
        <f>IFERROR(W154/W444, "NA")</f>
        <v>NA</v>
      </c>
      <c r="Y154" s="9"/>
      <c r="Z154" s="7">
        <v>0</v>
      </c>
      <c r="AA154" s="8" t="str">
        <f>IFERROR(Z154/Z444, "NA")</f>
        <v>NA</v>
      </c>
      <c r="AB154" s="9"/>
      <c r="AC154" s="10">
        <f t="shared" si="39"/>
        <v>0</v>
      </c>
      <c r="AD154" s="8" t="str">
        <f>IFERROR(AC154/AC444, "NA")</f>
        <v>NA</v>
      </c>
    </row>
    <row r="155" spans="1:30" ht="16.5" hidden="1" customHeight="1" x14ac:dyDescent="0.45">
      <c r="A155" s="12" t="s">
        <v>144</v>
      </c>
      <c r="B155" s="7">
        <v>0</v>
      </c>
      <c r="C155" s="8" t="str">
        <f>IFERROR(B155/B444, "NA")</f>
        <v>NA</v>
      </c>
      <c r="D155" s="9"/>
      <c r="E155" s="7">
        <v>0</v>
      </c>
      <c r="F155" s="8" t="str">
        <f>IFERROR(E155/E444, "NA")</f>
        <v>NA</v>
      </c>
      <c r="G155" s="9"/>
      <c r="H155" s="10">
        <f t="shared" si="36"/>
        <v>0</v>
      </c>
      <c r="I155" s="8" t="str">
        <f>IFERROR(H155/H444, "NA")</f>
        <v>NA</v>
      </c>
      <c r="J155" s="9"/>
      <c r="K155" s="7">
        <v>0</v>
      </c>
      <c r="L155" s="8" t="str">
        <f>IFERROR(K155/K444, "NA")</f>
        <v>NA</v>
      </c>
      <c r="M155" s="9"/>
      <c r="N155" s="10">
        <f t="shared" si="37"/>
        <v>0</v>
      </c>
      <c r="O155" s="8" t="str">
        <f>IFERROR(N155/N444, "NA")</f>
        <v>NA</v>
      </c>
      <c r="P155" s="9"/>
      <c r="Q155" s="7">
        <v>0</v>
      </c>
      <c r="R155" s="8" t="str">
        <f>IFERROR(Q155/Q444, "NA")</f>
        <v>NA</v>
      </c>
      <c r="S155" s="9"/>
      <c r="T155" s="7">
        <v>0</v>
      </c>
      <c r="U155" s="8" t="str">
        <f>IFERROR(T155/T444, "NA")</f>
        <v>NA</v>
      </c>
      <c r="V155" s="9"/>
      <c r="W155" s="10">
        <f t="shared" si="38"/>
        <v>0</v>
      </c>
      <c r="X155" s="8" t="str">
        <f>IFERROR(W155/W444, "NA")</f>
        <v>NA</v>
      </c>
      <c r="Y155" s="9"/>
      <c r="Z155" s="7">
        <v>0</v>
      </c>
      <c r="AA155" s="8" t="str">
        <f>IFERROR(Z155/Z444, "NA")</f>
        <v>NA</v>
      </c>
      <c r="AB155" s="9"/>
      <c r="AC155" s="10">
        <f t="shared" si="39"/>
        <v>0</v>
      </c>
      <c r="AD155" s="8" t="str">
        <f>IFERROR(AC155/AC444, "NA")</f>
        <v>NA</v>
      </c>
    </row>
    <row r="156" spans="1:30" ht="16.5" hidden="1" customHeight="1" x14ac:dyDescent="0.45">
      <c r="A156" s="12" t="s">
        <v>145</v>
      </c>
      <c r="B156" s="7">
        <v>0</v>
      </c>
      <c r="C156" s="8" t="str">
        <f>IFERROR(B156/B444, "NA")</f>
        <v>NA</v>
      </c>
      <c r="D156" s="9"/>
      <c r="E156" s="7">
        <v>0</v>
      </c>
      <c r="F156" s="8" t="str">
        <f>IFERROR(E156/E444, "NA")</f>
        <v>NA</v>
      </c>
      <c r="G156" s="9"/>
      <c r="H156" s="10">
        <f t="shared" si="36"/>
        <v>0</v>
      </c>
      <c r="I156" s="8" t="str">
        <f>IFERROR(H156/H444, "NA")</f>
        <v>NA</v>
      </c>
      <c r="J156" s="9"/>
      <c r="K156" s="7">
        <v>0</v>
      </c>
      <c r="L156" s="8" t="str">
        <f>IFERROR(K156/K444, "NA")</f>
        <v>NA</v>
      </c>
      <c r="M156" s="9"/>
      <c r="N156" s="10">
        <f t="shared" si="37"/>
        <v>0</v>
      </c>
      <c r="O156" s="8" t="str">
        <f>IFERROR(N156/N444, "NA")</f>
        <v>NA</v>
      </c>
      <c r="P156" s="9"/>
      <c r="Q156" s="7">
        <v>0</v>
      </c>
      <c r="R156" s="8" t="str">
        <f>IFERROR(Q156/Q444, "NA")</f>
        <v>NA</v>
      </c>
      <c r="S156" s="9"/>
      <c r="T156" s="7">
        <v>0</v>
      </c>
      <c r="U156" s="8" t="str">
        <f>IFERROR(T156/T444, "NA")</f>
        <v>NA</v>
      </c>
      <c r="V156" s="9"/>
      <c r="W156" s="10">
        <f t="shared" si="38"/>
        <v>0</v>
      </c>
      <c r="X156" s="8" t="str">
        <f>IFERROR(W156/W444, "NA")</f>
        <v>NA</v>
      </c>
      <c r="Y156" s="9"/>
      <c r="Z156" s="7">
        <v>0</v>
      </c>
      <c r="AA156" s="8" t="str">
        <f>IFERROR(Z156/Z444, "NA")</f>
        <v>NA</v>
      </c>
      <c r="AB156" s="9"/>
      <c r="AC156" s="10">
        <f t="shared" si="39"/>
        <v>0</v>
      </c>
      <c r="AD156" s="8" t="str">
        <f>IFERROR(AC156/AC444, "NA")</f>
        <v>NA</v>
      </c>
    </row>
    <row r="157" spans="1:30" ht="16.5" hidden="1" customHeight="1" x14ac:dyDescent="0.45">
      <c r="A157" s="12" t="s">
        <v>146</v>
      </c>
      <c r="B157" s="7">
        <v>0</v>
      </c>
      <c r="C157" s="8" t="str">
        <f>IFERROR(B157/B444, "NA")</f>
        <v>NA</v>
      </c>
      <c r="D157" s="9"/>
      <c r="E157" s="7">
        <v>0</v>
      </c>
      <c r="F157" s="8" t="str">
        <f>IFERROR(E157/E444, "NA")</f>
        <v>NA</v>
      </c>
      <c r="G157" s="9"/>
      <c r="H157" s="10">
        <f t="shared" si="36"/>
        <v>0</v>
      </c>
      <c r="I157" s="8" t="str">
        <f>IFERROR(H157/H444, "NA")</f>
        <v>NA</v>
      </c>
      <c r="J157" s="9"/>
      <c r="K157" s="7">
        <v>0</v>
      </c>
      <c r="L157" s="8" t="str">
        <f>IFERROR(K157/K444, "NA")</f>
        <v>NA</v>
      </c>
      <c r="M157" s="9"/>
      <c r="N157" s="10">
        <f t="shared" si="37"/>
        <v>0</v>
      </c>
      <c r="O157" s="8" t="str">
        <f>IFERROR(N157/N444, "NA")</f>
        <v>NA</v>
      </c>
      <c r="P157" s="9"/>
      <c r="Q157" s="7">
        <v>0</v>
      </c>
      <c r="R157" s="8" t="str">
        <f>IFERROR(Q157/Q444, "NA")</f>
        <v>NA</v>
      </c>
      <c r="S157" s="9"/>
      <c r="T157" s="7">
        <v>0</v>
      </c>
      <c r="U157" s="8" t="str">
        <f>IFERROR(T157/T444, "NA")</f>
        <v>NA</v>
      </c>
      <c r="V157" s="9"/>
      <c r="W157" s="10">
        <f t="shared" si="38"/>
        <v>0</v>
      </c>
      <c r="X157" s="8" t="str">
        <f>IFERROR(W157/W444, "NA")</f>
        <v>NA</v>
      </c>
      <c r="Y157" s="9"/>
      <c r="Z157" s="7">
        <v>0</v>
      </c>
      <c r="AA157" s="8" t="str">
        <f>IFERROR(Z157/Z444, "NA")</f>
        <v>NA</v>
      </c>
      <c r="AB157" s="9"/>
      <c r="AC157" s="10">
        <f t="shared" si="39"/>
        <v>0</v>
      </c>
      <c r="AD157" s="8" t="str">
        <f>IFERROR(AC157/AC444, "NA")</f>
        <v>NA</v>
      </c>
    </row>
    <row r="158" spans="1:30" ht="16.5" customHeight="1" x14ac:dyDescent="0.45">
      <c r="A158" s="13" t="s">
        <v>147</v>
      </c>
      <c r="B158" s="14">
        <f>IFERROR(B153+B154+B155+B156+B157, "NA")</f>
        <v>0</v>
      </c>
      <c r="C158" s="15" t="str">
        <f>IFERROR(B158/B444, "NA")</f>
        <v>NA</v>
      </c>
      <c r="D158" s="2"/>
      <c r="E158" s="14">
        <f>IFERROR(E153+E154+E155+E156+E157, "NA")</f>
        <v>0</v>
      </c>
      <c r="F158" s="15" t="str">
        <f>IFERROR(E158/E444, "NA")</f>
        <v>NA</v>
      </c>
      <c r="G158" s="2"/>
      <c r="H158" s="14">
        <f t="shared" si="36"/>
        <v>0</v>
      </c>
      <c r="I158" s="15" t="str">
        <f>IFERROR(H158/H444, "NA")</f>
        <v>NA</v>
      </c>
      <c r="J158" s="2"/>
      <c r="K158" s="14">
        <f>IFERROR(K153+K154+K155+K156+K157, "NA")</f>
        <v>0</v>
      </c>
      <c r="L158" s="15" t="str">
        <f>IFERROR(K158/K444, "NA")</f>
        <v>NA</v>
      </c>
      <c r="M158" s="2"/>
      <c r="N158" s="14">
        <f t="shared" si="37"/>
        <v>0</v>
      </c>
      <c r="O158" s="15" t="str">
        <f>IFERROR(N158/N444, "NA")</f>
        <v>NA</v>
      </c>
      <c r="P158" s="2"/>
      <c r="Q158" s="14">
        <f>IFERROR(Q153+Q154+Q155+Q156+Q157, "NA")</f>
        <v>0</v>
      </c>
      <c r="R158" s="15" t="str">
        <f>IFERROR(Q158/Q444, "NA")</f>
        <v>NA</v>
      </c>
      <c r="S158" s="2"/>
      <c r="T158" s="14">
        <f>IFERROR(T153+T154+T155+T156+T157, "NA")</f>
        <v>0</v>
      </c>
      <c r="U158" s="15" t="str">
        <f>IFERROR(T158/T444, "NA")</f>
        <v>NA</v>
      </c>
      <c r="V158" s="2"/>
      <c r="W158" s="14">
        <f t="shared" si="38"/>
        <v>0</v>
      </c>
      <c r="X158" s="15" t="str">
        <f>IFERROR(W158/W444, "NA")</f>
        <v>NA</v>
      </c>
      <c r="Y158" s="2"/>
      <c r="Z158" s="14">
        <f>IFERROR(Z153+Z154+Z155+Z156+Z157, "NA")</f>
        <v>0</v>
      </c>
      <c r="AA158" s="15" t="str">
        <f>IFERROR(Z158/Z444, "NA")</f>
        <v>NA</v>
      </c>
      <c r="AB158" s="2"/>
      <c r="AC158" s="14">
        <f t="shared" si="39"/>
        <v>0</v>
      </c>
      <c r="AD158" s="15" t="str">
        <f>IFERROR(AC158/AC444, "NA")</f>
        <v>NA</v>
      </c>
    </row>
    <row r="159" spans="1:30" ht="16.5" customHeight="1" x14ac:dyDescent="0.45">
      <c r="A159" s="11" t="s">
        <v>148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45">
      <c r="A160" s="12" t="s">
        <v>148</v>
      </c>
      <c r="B160" s="7">
        <v>0</v>
      </c>
      <c r="C160" s="8" t="str">
        <f>IFERROR(B160/B444, "NA")</f>
        <v>NA</v>
      </c>
      <c r="D160" s="9"/>
      <c r="E160" s="7">
        <v>0</v>
      </c>
      <c r="F160" s="8" t="str">
        <f>IFERROR(E160/E444, "NA")</f>
        <v>NA</v>
      </c>
      <c r="G160" s="9"/>
      <c r="H160" s="10">
        <f t="shared" ref="H160:H171" si="40">IFERROR(-(B160-E160), "NA")</f>
        <v>0</v>
      </c>
      <c r="I160" s="8" t="str">
        <f>IFERROR(H160/H444, "NA")</f>
        <v>NA</v>
      </c>
      <c r="J160" s="9"/>
      <c r="K160" s="7">
        <v>0</v>
      </c>
      <c r="L160" s="8" t="str">
        <f>IFERROR(K160/K444, "NA")</f>
        <v>NA</v>
      </c>
      <c r="M160" s="9"/>
      <c r="N160" s="10">
        <f t="shared" ref="N160:N171" si="41">IFERROR(-(B160-K160), "NA")</f>
        <v>0</v>
      </c>
      <c r="O160" s="8" t="str">
        <f>IFERROR(N160/N444, "NA")</f>
        <v>NA</v>
      </c>
      <c r="P160" s="9"/>
      <c r="Q160" s="7">
        <v>0</v>
      </c>
      <c r="R160" s="8" t="str">
        <f>IFERROR(Q160/Q444, "NA")</f>
        <v>NA</v>
      </c>
      <c r="S160" s="9"/>
      <c r="T160" s="7">
        <v>0</v>
      </c>
      <c r="U160" s="8" t="str">
        <f>IFERROR(T160/T444, "NA")</f>
        <v>NA</v>
      </c>
      <c r="V160" s="9"/>
      <c r="W160" s="10">
        <f t="shared" ref="W160:W171" si="42">IFERROR(-(Q160-T160), "NA")</f>
        <v>0</v>
      </c>
      <c r="X160" s="8" t="str">
        <f>IFERROR(W160/W444, "NA")</f>
        <v>NA</v>
      </c>
      <c r="Y160" s="9"/>
      <c r="Z160" s="7">
        <v>0</v>
      </c>
      <c r="AA160" s="8" t="str">
        <f>IFERROR(Z160/Z444, "NA")</f>
        <v>NA</v>
      </c>
      <c r="AB160" s="9"/>
      <c r="AC160" s="10">
        <f t="shared" ref="AC160:AC171" si="43">IFERROR(-(Q160-Z160), "NA")</f>
        <v>0</v>
      </c>
      <c r="AD160" s="8" t="str">
        <f>IFERROR(AC160/AC444, "NA")</f>
        <v>NA</v>
      </c>
    </row>
    <row r="161" spans="1:30" ht="16.5" hidden="1" customHeight="1" x14ac:dyDescent="0.45">
      <c r="A161" s="12" t="s">
        <v>149</v>
      </c>
      <c r="B161" s="7">
        <v>0</v>
      </c>
      <c r="C161" s="8" t="str">
        <f>IFERROR(B161/B444, "NA")</f>
        <v>NA</v>
      </c>
      <c r="D161" s="9"/>
      <c r="E161" s="7">
        <v>0</v>
      </c>
      <c r="F161" s="8" t="str">
        <f>IFERROR(E161/E444, "NA")</f>
        <v>NA</v>
      </c>
      <c r="G161" s="9"/>
      <c r="H161" s="10">
        <f t="shared" si="40"/>
        <v>0</v>
      </c>
      <c r="I161" s="8" t="str">
        <f>IFERROR(H161/H444, "NA")</f>
        <v>NA</v>
      </c>
      <c r="J161" s="9"/>
      <c r="K161" s="7">
        <v>0</v>
      </c>
      <c r="L161" s="8" t="str">
        <f>IFERROR(K161/K444, "NA")</f>
        <v>NA</v>
      </c>
      <c r="M161" s="9"/>
      <c r="N161" s="10">
        <f t="shared" si="41"/>
        <v>0</v>
      </c>
      <c r="O161" s="8" t="str">
        <f>IFERROR(N161/N444, "NA")</f>
        <v>NA</v>
      </c>
      <c r="P161" s="9"/>
      <c r="Q161" s="7">
        <v>0</v>
      </c>
      <c r="R161" s="8" t="str">
        <f>IFERROR(Q161/Q444, "NA")</f>
        <v>NA</v>
      </c>
      <c r="S161" s="9"/>
      <c r="T161" s="7">
        <v>0</v>
      </c>
      <c r="U161" s="8" t="str">
        <f>IFERROR(T161/T444, "NA")</f>
        <v>NA</v>
      </c>
      <c r="V161" s="9"/>
      <c r="W161" s="10">
        <f t="shared" si="42"/>
        <v>0</v>
      </c>
      <c r="X161" s="8" t="str">
        <f>IFERROR(W161/W444, "NA")</f>
        <v>NA</v>
      </c>
      <c r="Y161" s="9"/>
      <c r="Z161" s="7">
        <v>0</v>
      </c>
      <c r="AA161" s="8" t="str">
        <f>IFERROR(Z161/Z444, "NA")</f>
        <v>NA</v>
      </c>
      <c r="AB161" s="9"/>
      <c r="AC161" s="10">
        <f t="shared" si="43"/>
        <v>0</v>
      </c>
      <c r="AD161" s="8" t="str">
        <f>IFERROR(AC161/AC444, "NA")</f>
        <v>NA</v>
      </c>
    </row>
    <row r="162" spans="1:30" ht="16.5" hidden="1" customHeight="1" x14ac:dyDescent="0.45">
      <c r="A162" s="12" t="s">
        <v>150</v>
      </c>
      <c r="B162" s="7">
        <v>0</v>
      </c>
      <c r="C162" s="8" t="str">
        <f>IFERROR(B162/B444, "NA")</f>
        <v>NA</v>
      </c>
      <c r="D162" s="9"/>
      <c r="E162" s="7">
        <v>0</v>
      </c>
      <c r="F162" s="8" t="str">
        <f>IFERROR(E162/E444, "NA")</f>
        <v>NA</v>
      </c>
      <c r="G162" s="9"/>
      <c r="H162" s="10">
        <f t="shared" si="40"/>
        <v>0</v>
      </c>
      <c r="I162" s="8" t="str">
        <f>IFERROR(H162/H444, "NA")</f>
        <v>NA</v>
      </c>
      <c r="J162" s="9"/>
      <c r="K162" s="7">
        <v>0</v>
      </c>
      <c r="L162" s="8" t="str">
        <f>IFERROR(K162/K444, "NA")</f>
        <v>NA</v>
      </c>
      <c r="M162" s="9"/>
      <c r="N162" s="10">
        <f t="shared" si="41"/>
        <v>0</v>
      </c>
      <c r="O162" s="8" t="str">
        <f>IFERROR(N162/N444, "NA")</f>
        <v>NA</v>
      </c>
      <c r="P162" s="9"/>
      <c r="Q162" s="7">
        <v>0</v>
      </c>
      <c r="R162" s="8" t="str">
        <f>IFERROR(Q162/Q444, "NA")</f>
        <v>NA</v>
      </c>
      <c r="S162" s="9"/>
      <c r="T162" s="7">
        <v>0</v>
      </c>
      <c r="U162" s="8" t="str">
        <f>IFERROR(T162/T444, "NA")</f>
        <v>NA</v>
      </c>
      <c r="V162" s="9"/>
      <c r="W162" s="10">
        <f t="shared" si="42"/>
        <v>0</v>
      </c>
      <c r="X162" s="8" t="str">
        <f>IFERROR(W162/W444, "NA")</f>
        <v>NA</v>
      </c>
      <c r="Y162" s="9"/>
      <c r="Z162" s="7">
        <v>0</v>
      </c>
      <c r="AA162" s="8" t="str">
        <f>IFERROR(Z162/Z444, "NA")</f>
        <v>NA</v>
      </c>
      <c r="AB162" s="9"/>
      <c r="AC162" s="10">
        <f t="shared" si="43"/>
        <v>0</v>
      </c>
      <c r="AD162" s="8" t="str">
        <f>IFERROR(AC162/AC444, "NA")</f>
        <v>NA</v>
      </c>
    </row>
    <row r="163" spans="1:30" ht="16.5" hidden="1" customHeight="1" x14ac:dyDescent="0.45">
      <c r="A163" s="12" t="s">
        <v>151</v>
      </c>
      <c r="B163" s="7">
        <v>0</v>
      </c>
      <c r="C163" s="8" t="str">
        <f>IFERROR(B163/B444, "NA")</f>
        <v>NA</v>
      </c>
      <c r="D163" s="9"/>
      <c r="E163" s="7">
        <v>0</v>
      </c>
      <c r="F163" s="8" t="str">
        <f>IFERROR(E163/E444, "NA")</f>
        <v>NA</v>
      </c>
      <c r="G163" s="9"/>
      <c r="H163" s="10">
        <f t="shared" si="40"/>
        <v>0</v>
      </c>
      <c r="I163" s="8" t="str">
        <f>IFERROR(H163/H444, "NA")</f>
        <v>NA</v>
      </c>
      <c r="J163" s="9"/>
      <c r="K163" s="7">
        <v>0</v>
      </c>
      <c r="L163" s="8" t="str">
        <f>IFERROR(K163/K444, "NA")</f>
        <v>NA</v>
      </c>
      <c r="M163" s="9"/>
      <c r="N163" s="10">
        <f t="shared" si="41"/>
        <v>0</v>
      </c>
      <c r="O163" s="8" t="str">
        <f>IFERROR(N163/N444, "NA")</f>
        <v>NA</v>
      </c>
      <c r="P163" s="9"/>
      <c r="Q163" s="7">
        <v>0</v>
      </c>
      <c r="R163" s="8" t="str">
        <f>IFERROR(Q163/Q444, "NA")</f>
        <v>NA</v>
      </c>
      <c r="S163" s="9"/>
      <c r="T163" s="7">
        <v>0</v>
      </c>
      <c r="U163" s="8" t="str">
        <f>IFERROR(T163/T444, "NA")</f>
        <v>NA</v>
      </c>
      <c r="V163" s="9"/>
      <c r="W163" s="10">
        <f t="shared" si="42"/>
        <v>0</v>
      </c>
      <c r="X163" s="8" t="str">
        <f>IFERROR(W163/W444, "NA")</f>
        <v>NA</v>
      </c>
      <c r="Y163" s="9"/>
      <c r="Z163" s="7">
        <v>0</v>
      </c>
      <c r="AA163" s="8" t="str">
        <f>IFERROR(Z163/Z444, "NA")</f>
        <v>NA</v>
      </c>
      <c r="AB163" s="9"/>
      <c r="AC163" s="10">
        <f t="shared" si="43"/>
        <v>0</v>
      </c>
      <c r="AD163" s="8" t="str">
        <f>IFERROR(AC163/AC444, "NA")</f>
        <v>NA</v>
      </c>
    </row>
    <row r="164" spans="1:30" ht="16.5" hidden="1" customHeight="1" x14ac:dyDescent="0.45">
      <c r="A164" s="12" t="s">
        <v>152</v>
      </c>
      <c r="B164" s="7">
        <v>0</v>
      </c>
      <c r="C164" s="8" t="str">
        <f>IFERROR(B164/B444, "NA")</f>
        <v>NA</v>
      </c>
      <c r="D164" s="9"/>
      <c r="E164" s="7">
        <v>0</v>
      </c>
      <c r="F164" s="8" t="str">
        <f>IFERROR(E164/E444, "NA")</f>
        <v>NA</v>
      </c>
      <c r="G164" s="9"/>
      <c r="H164" s="10">
        <f t="shared" si="40"/>
        <v>0</v>
      </c>
      <c r="I164" s="8" t="str">
        <f>IFERROR(H164/H444, "NA")</f>
        <v>NA</v>
      </c>
      <c r="J164" s="9"/>
      <c r="K164" s="7">
        <v>0</v>
      </c>
      <c r="L164" s="8" t="str">
        <f>IFERROR(K164/K444, "NA")</f>
        <v>NA</v>
      </c>
      <c r="M164" s="9"/>
      <c r="N164" s="10">
        <f t="shared" si="41"/>
        <v>0</v>
      </c>
      <c r="O164" s="8" t="str">
        <f>IFERROR(N164/N444, "NA")</f>
        <v>NA</v>
      </c>
      <c r="P164" s="9"/>
      <c r="Q164" s="7">
        <v>0</v>
      </c>
      <c r="R164" s="8" t="str">
        <f>IFERROR(Q164/Q444, "NA")</f>
        <v>NA</v>
      </c>
      <c r="S164" s="9"/>
      <c r="T164" s="7">
        <v>0</v>
      </c>
      <c r="U164" s="8" t="str">
        <f>IFERROR(T164/T444, "NA")</f>
        <v>NA</v>
      </c>
      <c r="V164" s="9"/>
      <c r="W164" s="10">
        <f t="shared" si="42"/>
        <v>0</v>
      </c>
      <c r="X164" s="8" t="str">
        <f>IFERROR(W164/W444, "NA")</f>
        <v>NA</v>
      </c>
      <c r="Y164" s="9"/>
      <c r="Z164" s="7">
        <v>0</v>
      </c>
      <c r="AA164" s="8" t="str">
        <f>IFERROR(Z164/Z444, "NA")</f>
        <v>NA</v>
      </c>
      <c r="AB164" s="9"/>
      <c r="AC164" s="10">
        <f t="shared" si="43"/>
        <v>0</v>
      </c>
      <c r="AD164" s="8" t="str">
        <f>IFERROR(AC164/AC444, "NA")</f>
        <v>NA</v>
      </c>
    </row>
    <row r="165" spans="1:30" ht="16.5" hidden="1" customHeight="1" x14ac:dyDescent="0.45">
      <c r="A165" s="12" t="s">
        <v>153</v>
      </c>
      <c r="B165" s="7">
        <v>0</v>
      </c>
      <c r="C165" s="8" t="str">
        <f>IFERROR(B165/B444, "NA")</f>
        <v>NA</v>
      </c>
      <c r="D165" s="9"/>
      <c r="E165" s="7">
        <v>0</v>
      </c>
      <c r="F165" s="8" t="str">
        <f>IFERROR(E165/E444, "NA")</f>
        <v>NA</v>
      </c>
      <c r="G165" s="9"/>
      <c r="H165" s="10">
        <f t="shared" si="40"/>
        <v>0</v>
      </c>
      <c r="I165" s="8" t="str">
        <f>IFERROR(H165/H444, "NA")</f>
        <v>NA</v>
      </c>
      <c r="J165" s="9"/>
      <c r="K165" s="7">
        <v>0</v>
      </c>
      <c r="L165" s="8" t="str">
        <f>IFERROR(K165/K444, "NA")</f>
        <v>NA</v>
      </c>
      <c r="M165" s="9"/>
      <c r="N165" s="10">
        <f t="shared" si="41"/>
        <v>0</v>
      </c>
      <c r="O165" s="8" t="str">
        <f>IFERROR(N165/N444, "NA")</f>
        <v>NA</v>
      </c>
      <c r="P165" s="9"/>
      <c r="Q165" s="7">
        <v>0</v>
      </c>
      <c r="R165" s="8" t="str">
        <f>IFERROR(Q165/Q444, "NA")</f>
        <v>NA</v>
      </c>
      <c r="S165" s="9"/>
      <c r="T165" s="7">
        <v>0</v>
      </c>
      <c r="U165" s="8" t="str">
        <f>IFERROR(T165/T444, "NA")</f>
        <v>NA</v>
      </c>
      <c r="V165" s="9"/>
      <c r="W165" s="10">
        <f t="shared" si="42"/>
        <v>0</v>
      </c>
      <c r="X165" s="8" t="str">
        <f>IFERROR(W165/W444, "NA")</f>
        <v>NA</v>
      </c>
      <c r="Y165" s="9"/>
      <c r="Z165" s="7">
        <v>0</v>
      </c>
      <c r="AA165" s="8" t="str">
        <f>IFERROR(Z165/Z444, "NA")</f>
        <v>NA</v>
      </c>
      <c r="AB165" s="9"/>
      <c r="AC165" s="10">
        <f t="shared" si="43"/>
        <v>0</v>
      </c>
      <c r="AD165" s="8" t="str">
        <f>IFERROR(AC165/AC444, "NA")</f>
        <v>NA</v>
      </c>
    </row>
    <row r="166" spans="1:30" ht="16.5" customHeight="1" x14ac:dyDescent="0.45">
      <c r="A166" s="13" t="s">
        <v>154</v>
      </c>
      <c r="B166" s="14">
        <f>IFERROR(B160+B161+B162+B163+B164+B165, "NA")</f>
        <v>0</v>
      </c>
      <c r="C166" s="15" t="str">
        <f>IFERROR(B166/B444, "NA")</f>
        <v>NA</v>
      </c>
      <c r="D166" s="2"/>
      <c r="E166" s="14">
        <f>IFERROR(E160+E161+E162+E163+E164+E165, "NA")</f>
        <v>0</v>
      </c>
      <c r="F166" s="15" t="str">
        <f>IFERROR(E166/E444, "NA")</f>
        <v>NA</v>
      </c>
      <c r="G166" s="2"/>
      <c r="H166" s="14">
        <f t="shared" si="40"/>
        <v>0</v>
      </c>
      <c r="I166" s="15" t="str">
        <f>IFERROR(H166/H444, "NA")</f>
        <v>NA</v>
      </c>
      <c r="J166" s="2"/>
      <c r="K166" s="14">
        <f>IFERROR(K160+K161+K162+K163+K164+K165, "NA")</f>
        <v>0</v>
      </c>
      <c r="L166" s="15" t="str">
        <f>IFERROR(K166/K444, "NA")</f>
        <v>NA</v>
      </c>
      <c r="M166" s="2"/>
      <c r="N166" s="14">
        <f t="shared" si="41"/>
        <v>0</v>
      </c>
      <c r="O166" s="15" t="str">
        <f>IFERROR(N166/N444, "NA")</f>
        <v>NA</v>
      </c>
      <c r="P166" s="2"/>
      <c r="Q166" s="14">
        <f>IFERROR(Q160+Q161+Q162+Q163+Q164+Q165, "NA")</f>
        <v>0</v>
      </c>
      <c r="R166" s="15" t="str">
        <f>IFERROR(Q166/Q444, "NA")</f>
        <v>NA</v>
      </c>
      <c r="S166" s="2"/>
      <c r="T166" s="14">
        <f>IFERROR(T160+T161+T162+T163+T164+T165, "NA")</f>
        <v>0</v>
      </c>
      <c r="U166" s="15" t="str">
        <f>IFERROR(T166/T444, "NA")</f>
        <v>NA</v>
      </c>
      <c r="V166" s="2"/>
      <c r="W166" s="14">
        <f t="shared" si="42"/>
        <v>0</v>
      </c>
      <c r="X166" s="15" t="str">
        <f>IFERROR(W166/W444, "NA")</f>
        <v>NA</v>
      </c>
      <c r="Y166" s="2"/>
      <c r="Z166" s="14">
        <f>IFERROR(Z160+Z161+Z162+Z163+Z164+Z165, "NA")</f>
        <v>0</v>
      </c>
      <c r="AA166" s="15" t="str">
        <f>IFERROR(Z166/Z444, "NA")</f>
        <v>NA</v>
      </c>
      <c r="AB166" s="2"/>
      <c r="AC166" s="14">
        <f t="shared" si="43"/>
        <v>0</v>
      </c>
      <c r="AD166" s="15" t="str">
        <f>IFERROR(AC166/AC444, "NA")</f>
        <v>NA</v>
      </c>
    </row>
    <row r="167" spans="1:30" ht="16.5" hidden="1" customHeight="1" x14ac:dyDescent="0.45">
      <c r="A167" s="6" t="s">
        <v>155</v>
      </c>
      <c r="B167" s="7">
        <v>0</v>
      </c>
      <c r="C167" s="8" t="str">
        <f>IFERROR(B167/B444, "NA")</f>
        <v>NA</v>
      </c>
      <c r="D167" s="9"/>
      <c r="E167" s="7">
        <v>0</v>
      </c>
      <c r="F167" s="8" t="str">
        <f>IFERROR(E167/E444, "NA")</f>
        <v>NA</v>
      </c>
      <c r="G167" s="9"/>
      <c r="H167" s="10">
        <f t="shared" si="40"/>
        <v>0</v>
      </c>
      <c r="I167" s="8" t="str">
        <f>IFERROR(H167/H444, "NA")</f>
        <v>NA</v>
      </c>
      <c r="J167" s="9"/>
      <c r="K167" s="7">
        <v>0</v>
      </c>
      <c r="L167" s="8" t="str">
        <f>IFERROR(K167/K444, "NA")</f>
        <v>NA</v>
      </c>
      <c r="M167" s="9"/>
      <c r="N167" s="10">
        <f t="shared" si="41"/>
        <v>0</v>
      </c>
      <c r="O167" s="8" t="str">
        <f>IFERROR(N167/N444, "NA")</f>
        <v>NA</v>
      </c>
      <c r="P167" s="9"/>
      <c r="Q167" s="7">
        <v>0</v>
      </c>
      <c r="R167" s="8" t="str">
        <f>IFERROR(Q167/Q444, "NA")</f>
        <v>NA</v>
      </c>
      <c r="S167" s="9"/>
      <c r="T167" s="7">
        <v>0</v>
      </c>
      <c r="U167" s="8" t="str">
        <f>IFERROR(T167/T444, "NA")</f>
        <v>NA</v>
      </c>
      <c r="V167" s="9"/>
      <c r="W167" s="10">
        <f t="shared" si="42"/>
        <v>0</v>
      </c>
      <c r="X167" s="8" t="str">
        <f>IFERROR(W167/W444, "NA")</f>
        <v>NA</v>
      </c>
      <c r="Y167" s="9"/>
      <c r="Z167" s="7">
        <v>0</v>
      </c>
      <c r="AA167" s="8" t="str">
        <f>IFERROR(Z167/Z444, "NA")</f>
        <v>NA</v>
      </c>
      <c r="AB167" s="9"/>
      <c r="AC167" s="10">
        <f t="shared" si="43"/>
        <v>0</v>
      </c>
      <c r="AD167" s="8" t="str">
        <f>IFERROR(AC167/AC444, "NA")</f>
        <v>NA</v>
      </c>
    </row>
    <row r="168" spans="1:30" ht="16.5" hidden="1" customHeight="1" x14ac:dyDescent="0.45">
      <c r="A168" s="6" t="s">
        <v>156</v>
      </c>
      <c r="B168" s="7">
        <v>0</v>
      </c>
      <c r="C168" s="8" t="str">
        <f>IFERROR(B168/B444, "NA")</f>
        <v>NA</v>
      </c>
      <c r="D168" s="9"/>
      <c r="E168" s="7">
        <v>0</v>
      </c>
      <c r="F168" s="8" t="str">
        <f>IFERROR(E168/E444, "NA")</f>
        <v>NA</v>
      </c>
      <c r="G168" s="9"/>
      <c r="H168" s="10">
        <f t="shared" si="40"/>
        <v>0</v>
      </c>
      <c r="I168" s="8" t="str">
        <f>IFERROR(H168/H444, "NA")</f>
        <v>NA</v>
      </c>
      <c r="J168" s="9"/>
      <c r="K168" s="7">
        <v>0</v>
      </c>
      <c r="L168" s="8" t="str">
        <f>IFERROR(K168/K444, "NA")</f>
        <v>NA</v>
      </c>
      <c r="M168" s="9"/>
      <c r="N168" s="10">
        <f t="shared" si="41"/>
        <v>0</v>
      </c>
      <c r="O168" s="8" t="str">
        <f>IFERROR(N168/N444, "NA")</f>
        <v>NA</v>
      </c>
      <c r="P168" s="9"/>
      <c r="Q168" s="7">
        <v>0</v>
      </c>
      <c r="R168" s="8" t="str">
        <f>IFERROR(Q168/Q444, "NA")</f>
        <v>NA</v>
      </c>
      <c r="S168" s="9"/>
      <c r="T168" s="7">
        <v>0</v>
      </c>
      <c r="U168" s="8" t="str">
        <f>IFERROR(T168/T444, "NA")</f>
        <v>NA</v>
      </c>
      <c r="V168" s="9"/>
      <c r="W168" s="10">
        <f t="shared" si="42"/>
        <v>0</v>
      </c>
      <c r="X168" s="8" t="str">
        <f>IFERROR(W168/W444, "NA")</f>
        <v>NA</v>
      </c>
      <c r="Y168" s="9"/>
      <c r="Z168" s="7">
        <v>0</v>
      </c>
      <c r="AA168" s="8" t="str">
        <f>IFERROR(Z168/Z444, "NA")</f>
        <v>NA</v>
      </c>
      <c r="AB168" s="9"/>
      <c r="AC168" s="10">
        <f t="shared" si="43"/>
        <v>0</v>
      </c>
      <c r="AD168" s="8" t="str">
        <f>IFERROR(AC168/AC444, "NA")</f>
        <v>NA</v>
      </c>
    </row>
    <row r="169" spans="1:30" ht="16.5" hidden="1" customHeight="1" x14ac:dyDescent="0.45">
      <c r="A169" s="6" t="s">
        <v>157</v>
      </c>
      <c r="B169" s="7">
        <v>0</v>
      </c>
      <c r="C169" s="8" t="str">
        <f>IFERROR(B169/B444, "NA")</f>
        <v>NA</v>
      </c>
      <c r="D169" s="9"/>
      <c r="E169" s="7">
        <v>0</v>
      </c>
      <c r="F169" s="8" t="str">
        <f>IFERROR(E169/E444, "NA")</f>
        <v>NA</v>
      </c>
      <c r="G169" s="9"/>
      <c r="H169" s="10">
        <f t="shared" si="40"/>
        <v>0</v>
      </c>
      <c r="I169" s="8" t="str">
        <f>IFERROR(H169/H444, "NA")</f>
        <v>NA</v>
      </c>
      <c r="J169" s="9"/>
      <c r="K169" s="7">
        <v>0</v>
      </c>
      <c r="L169" s="8" t="str">
        <f>IFERROR(K169/K444, "NA")</f>
        <v>NA</v>
      </c>
      <c r="M169" s="9"/>
      <c r="N169" s="10">
        <f t="shared" si="41"/>
        <v>0</v>
      </c>
      <c r="O169" s="8" t="str">
        <f>IFERROR(N169/N444, "NA")</f>
        <v>NA</v>
      </c>
      <c r="P169" s="9"/>
      <c r="Q169" s="7">
        <v>0</v>
      </c>
      <c r="R169" s="8" t="str">
        <f>IFERROR(Q169/Q444, "NA")</f>
        <v>NA</v>
      </c>
      <c r="S169" s="9"/>
      <c r="T169" s="7">
        <v>0</v>
      </c>
      <c r="U169" s="8" t="str">
        <f>IFERROR(T169/T444, "NA")</f>
        <v>NA</v>
      </c>
      <c r="V169" s="9"/>
      <c r="W169" s="10">
        <f t="shared" si="42"/>
        <v>0</v>
      </c>
      <c r="X169" s="8" t="str">
        <f>IFERROR(W169/W444, "NA")</f>
        <v>NA</v>
      </c>
      <c r="Y169" s="9"/>
      <c r="Z169" s="7">
        <v>0</v>
      </c>
      <c r="AA169" s="8" t="str">
        <f>IFERROR(Z169/Z444, "NA")</f>
        <v>NA</v>
      </c>
      <c r="AB169" s="9"/>
      <c r="AC169" s="10">
        <f t="shared" si="43"/>
        <v>0</v>
      </c>
      <c r="AD169" s="8" t="str">
        <f>IFERROR(AC169/AC444, "NA")</f>
        <v>NA</v>
      </c>
    </row>
    <row r="170" spans="1:30" ht="16.5" customHeight="1" x14ac:dyDescent="0.45">
      <c r="A170" s="19" t="s">
        <v>158</v>
      </c>
      <c r="B170" s="14">
        <f>IFERROR(B151+B153+B154+B155+B156+B157+B160+B161+B162+B163+B164+B165+B167+B168+B169, "NA")</f>
        <v>0</v>
      </c>
      <c r="C170" s="15" t="str">
        <f>IFERROR(B170/B444, "NA")</f>
        <v>NA</v>
      </c>
      <c r="D170" s="2"/>
      <c r="E170" s="14">
        <f>IFERROR(E151+E153+E154+E155+E156+E157+E160+E161+E162+E163+E164+E165+E167+E168+E169, "NA")</f>
        <v>0</v>
      </c>
      <c r="F170" s="15" t="str">
        <f>IFERROR(E170/E444, "NA")</f>
        <v>NA</v>
      </c>
      <c r="G170" s="2"/>
      <c r="H170" s="14">
        <f t="shared" si="40"/>
        <v>0</v>
      </c>
      <c r="I170" s="15" t="str">
        <f>IFERROR(H170/H444, "NA")</f>
        <v>NA</v>
      </c>
      <c r="J170" s="2"/>
      <c r="K170" s="14">
        <f>IFERROR(K151+K153+K154+K155+K156+K157+K160+K161+K162+K163+K164+K165+K167+K168+K169, "NA")</f>
        <v>0</v>
      </c>
      <c r="L170" s="15" t="str">
        <f>IFERROR(K170/K444, "NA")</f>
        <v>NA</v>
      </c>
      <c r="M170" s="2"/>
      <c r="N170" s="14">
        <f t="shared" si="41"/>
        <v>0</v>
      </c>
      <c r="O170" s="15" t="str">
        <f>IFERROR(N170/N444, "NA")</f>
        <v>NA</v>
      </c>
      <c r="P170" s="2"/>
      <c r="Q170" s="14">
        <f>IFERROR(Q151+Q153+Q154+Q155+Q156+Q157+Q160+Q161+Q162+Q163+Q164+Q165+Q167+Q168+Q169, "NA")</f>
        <v>0</v>
      </c>
      <c r="R170" s="15" t="str">
        <f>IFERROR(Q170/Q444, "NA")</f>
        <v>NA</v>
      </c>
      <c r="S170" s="2"/>
      <c r="T170" s="14">
        <f>IFERROR(T151+T153+T154+T155+T156+T157+T160+T161+T162+T163+T164+T165+T167+T168+T169, "NA")</f>
        <v>0</v>
      </c>
      <c r="U170" s="15" t="str">
        <f>IFERROR(T170/T444, "NA")</f>
        <v>NA</v>
      </c>
      <c r="V170" s="2"/>
      <c r="W170" s="14">
        <f t="shared" si="42"/>
        <v>0</v>
      </c>
      <c r="X170" s="15" t="str">
        <f>IFERROR(W170/W444, "NA")</f>
        <v>NA</v>
      </c>
      <c r="Y170" s="2"/>
      <c r="Z170" s="14">
        <f>IFERROR(Z151+Z153+Z154+Z155+Z156+Z157+Z160+Z161+Z162+Z163+Z164+Z165+Z167+Z168+Z169, "NA")</f>
        <v>0</v>
      </c>
      <c r="AA170" s="15" t="str">
        <f>IFERROR(Z170/Z444, "NA")</f>
        <v>NA</v>
      </c>
      <c r="AB170" s="2"/>
      <c r="AC170" s="14">
        <f t="shared" si="43"/>
        <v>0</v>
      </c>
      <c r="AD170" s="15" t="str">
        <f>IFERROR(AC170/AC444, "NA")</f>
        <v>NA</v>
      </c>
    </row>
    <row r="171" spans="1:30" ht="16.5" customHeight="1" x14ac:dyDescent="0.45">
      <c r="A171" s="21" t="s">
        <v>159</v>
      </c>
      <c r="B171" s="14">
        <f>IFERROR(B127+B129+B130+B131+B132+B133+B134+B135+B136+B137+B138+B139+B140+B143+B144+B145+B146+B147+B151+B153+B154+B155+B156+B157+B160+B161+B162+B163+B164+B165+B167+B168+B169, "NA")</f>
        <v>0</v>
      </c>
      <c r="C171" s="15" t="str">
        <f>IFERROR(B171/B444, "NA")</f>
        <v>NA</v>
      </c>
      <c r="D171" s="2"/>
      <c r="E171" s="14">
        <f>IFERROR(E127+E129+E130+E131+E132+E133+E134+E135+E136+E137+E138+E139+E140+E143+E144+E145+E146+E147+E151+E153+E154+E155+E156+E157+E160+E161+E162+E163+E164+E165+E167+E168+E169, "NA")</f>
        <v>0</v>
      </c>
      <c r="F171" s="15" t="str">
        <f>IFERROR(E171/E444, "NA")</f>
        <v>NA</v>
      </c>
      <c r="G171" s="2"/>
      <c r="H171" s="14">
        <f t="shared" si="40"/>
        <v>0</v>
      </c>
      <c r="I171" s="15" t="str">
        <f>IFERROR(H171/H444, "NA")</f>
        <v>NA</v>
      </c>
      <c r="J171" s="2"/>
      <c r="K171" s="14">
        <f>IFERROR(K127+K129+K130+K131+K132+K133+K134+K135+K136+K137+K138+K139+K140+K143+K144+K145+K146+K147+K151+K153+K154+K155+K156+K157+K160+K161+K162+K163+K164+K165+K167+K168+K169, "NA")</f>
        <v>0</v>
      </c>
      <c r="L171" s="15" t="str">
        <f>IFERROR(K171/K444, "NA")</f>
        <v>NA</v>
      </c>
      <c r="M171" s="2"/>
      <c r="N171" s="14">
        <f t="shared" si="41"/>
        <v>0</v>
      </c>
      <c r="O171" s="15" t="str">
        <f>IFERROR(N171/N444, "NA")</f>
        <v>NA</v>
      </c>
      <c r="P171" s="2"/>
      <c r="Q171" s="14">
        <f>IFERROR(Q127+Q129+Q130+Q131+Q132+Q133+Q134+Q135+Q136+Q137+Q138+Q139+Q140+Q143+Q144+Q145+Q146+Q147+Q151+Q153+Q154+Q155+Q156+Q157+Q160+Q161+Q162+Q163+Q164+Q165+Q167+Q168+Q169, "NA")</f>
        <v>0</v>
      </c>
      <c r="R171" s="15" t="str">
        <f>IFERROR(Q171/Q444, "NA")</f>
        <v>NA</v>
      </c>
      <c r="S171" s="2"/>
      <c r="T171" s="14">
        <f>IFERROR(T127+T129+T130+T131+T132+T133+T134+T135+T136+T137+T138+T139+T140+T143+T144+T145+T146+T147+T151+T153+T154+T155+T156+T157+T160+T161+T162+T163+T164+T165+T167+T168+T169, "NA")</f>
        <v>0</v>
      </c>
      <c r="U171" s="15" t="str">
        <f>IFERROR(T171/T444, "NA")</f>
        <v>NA</v>
      </c>
      <c r="V171" s="2"/>
      <c r="W171" s="14">
        <f t="shared" si="42"/>
        <v>0</v>
      </c>
      <c r="X171" s="15" t="str">
        <f>IFERROR(W171/W444, "NA")</f>
        <v>NA</v>
      </c>
      <c r="Y171" s="2"/>
      <c r="Z171" s="14">
        <f>IFERROR(Z127+Z129+Z130+Z131+Z132+Z133+Z134+Z135+Z136+Z137+Z138+Z139+Z140+Z143+Z144+Z145+Z146+Z147+Z151+Z153+Z154+Z155+Z156+Z157+Z160+Z161+Z162+Z163+Z164+Z165+Z167+Z168+Z169, "NA")</f>
        <v>0</v>
      </c>
      <c r="AA171" s="15" t="str">
        <f>IFERROR(Z171/Z444, "NA")</f>
        <v>NA</v>
      </c>
      <c r="AB171" s="2"/>
      <c r="AC171" s="14">
        <f t="shared" si="43"/>
        <v>0</v>
      </c>
      <c r="AD171" s="15" t="str">
        <f>IFERROR(AC171/AC444, "NA")</f>
        <v>NA</v>
      </c>
    </row>
    <row r="172" spans="1:30" ht="16.5" customHeight="1" x14ac:dyDescent="0.45">
      <c r="A172" s="22" t="s">
        <v>160</v>
      </c>
      <c r="B172" s="23">
        <f>IFERROR(B124-B171, "NA")</f>
        <v>0</v>
      </c>
      <c r="C172" s="24" t="str">
        <f>IFERROR(B172/B444, "NA")</f>
        <v>NA</v>
      </c>
      <c r="D172" s="25"/>
      <c r="E172" s="23">
        <f>IFERROR(E124-E171, "NA")</f>
        <v>0</v>
      </c>
      <c r="F172" s="24" t="str">
        <f>IFERROR(E172/E444, "NA")</f>
        <v>NA</v>
      </c>
      <c r="G172" s="25"/>
      <c r="H172" s="23">
        <f>IFERROR(B172-E172, "NA")</f>
        <v>0</v>
      </c>
      <c r="I172" s="24" t="str">
        <f>IFERROR(H172/H444, "NA")</f>
        <v>NA</v>
      </c>
      <c r="J172" s="25"/>
      <c r="K172" s="23">
        <f>IFERROR(K124-K171, "NA")</f>
        <v>0</v>
      </c>
      <c r="L172" s="24" t="str">
        <f>IFERROR(K172/K444, "NA")</f>
        <v>NA</v>
      </c>
      <c r="M172" s="25"/>
      <c r="N172" s="23">
        <f>IFERROR(B172-K172, "NA")</f>
        <v>0</v>
      </c>
      <c r="O172" s="24" t="str">
        <f>IFERROR(N172/N444, "NA")</f>
        <v>NA</v>
      </c>
      <c r="P172" s="25"/>
      <c r="Q172" s="23">
        <f>IFERROR(Q124-Q171, "NA")</f>
        <v>0</v>
      </c>
      <c r="R172" s="24" t="str">
        <f>IFERROR(Q172/Q444, "NA")</f>
        <v>NA</v>
      </c>
      <c r="S172" s="25"/>
      <c r="T172" s="23">
        <f>IFERROR(T124-T171, "NA")</f>
        <v>0</v>
      </c>
      <c r="U172" s="24" t="str">
        <f>IFERROR(T172/T444, "NA")</f>
        <v>NA</v>
      </c>
      <c r="V172" s="25"/>
      <c r="W172" s="23">
        <f>IFERROR(Q172-T172, "NA")</f>
        <v>0</v>
      </c>
      <c r="X172" s="24" t="str">
        <f>IFERROR(W172/W444, "NA")</f>
        <v>NA</v>
      </c>
      <c r="Y172" s="25"/>
      <c r="Z172" s="23">
        <f>IFERROR(Z124-Z171, "NA")</f>
        <v>0</v>
      </c>
      <c r="AA172" s="24" t="str">
        <f>IFERROR(Z172/Z444, "NA")</f>
        <v>NA</v>
      </c>
      <c r="AB172" s="25"/>
      <c r="AC172" s="23">
        <f>IFERROR(Q172-Z172, "NA")</f>
        <v>0</v>
      </c>
      <c r="AD172" s="24" t="str">
        <f>IFERROR(AC172/AC444, "NA")</f>
        <v>NA</v>
      </c>
    </row>
    <row r="173" spans="1:30" ht="16.5" customHeight="1" x14ac:dyDescent="0.45">
      <c r="A173" s="1" t="s">
        <v>161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45">
      <c r="A174" s="5" t="s">
        <v>161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45">
      <c r="A175" s="6" t="s">
        <v>161</v>
      </c>
      <c r="B175" s="7">
        <v>0</v>
      </c>
      <c r="C175" s="8" t="str">
        <f>IFERROR(B175/B444, "NA")</f>
        <v>NA</v>
      </c>
      <c r="D175" s="9"/>
      <c r="E175" s="7">
        <v>0</v>
      </c>
      <c r="F175" s="8" t="str">
        <f>IFERROR(E175/E444, "NA")</f>
        <v>NA</v>
      </c>
      <c r="G175" s="9"/>
      <c r="H175" s="10">
        <f>IFERROR(-(B175-E175), "NA")</f>
        <v>0</v>
      </c>
      <c r="I175" s="8" t="str">
        <f>IFERROR(H175/H444, "NA")</f>
        <v>NA</v>
      </c>
      <c r="J175" s="9"/>
      <c r="K175" s="7">
        <v>0</v>
      </c>
      <c r="L175" s="8" t="str">
        <f>IFERROR(K175/K444, "NA")</f>
        <v>NA</v>
      </c>
      <c r="M175" s="9"/>
      <c r="N175" s="10">
        <f>IFERROR(-(B175-K175), "NA")</f>
        <v>0</v>
      </c>
      <c r="O175" s="8" t="str">
        <f>IFERROR(N175/N444, "NA")</f>
        <v>NA</v>
      </c>
      <c r="P175" s="9"/>
      <c r="Q175" s="7">
        <v>0</v>
      </c>
      <c r="R175" s="8" t="str">
        <f>IFERROR(Q175/Q444, "NA")</f>
        <v>NA</v>
      </c>
      <c r="S175" s="9"/>
      <c r="T175" s="7">
        <v>0</v>
      </c>
      <c r="U175" s="8" t="str">
        <f>IFERROR(T175/T444, "NA")</f>
        <v>NA</v>
      </c>
      <c r="V175" s="9"/>
      <c r="W175" s="10">
        <f>IFERROR(-(Q175-T175), "NA")</f>
        <v>0</v>
      </c>
      <c r="X175" s="8" t="str">
        <f>IFERROR(W175/W444, "NA")</f>
        <v>NA</v>
      </c>
      <c r="Y175" s="9"/>
      <c r="Z175" s="7">
        <v>0</v>
      </c>
      <c r="AA175" s="8" t="str">
        <f>IFERROR(Z175/Z444, "NA")</f>
        <v>NA</v>
      </c>
      <c r="AB175" s="9"/>
      <c r="AC175" s="10">
        <f>IFERROR(-(Q175-Z175), "NA")</f>
        <v>0</v>
      </c>
      <c r="AD175" s="8" t="str">
        <f>IFERROR(AC175/AC444, "NA")</f>
        <v>NA</v>
      </c>
    </row>
    <row r="176" spans="1:30" ht="16.5" customHeight="1" x14ac:dyDescent="0.45">
      <c r="A176" s="11" t="s">
        <v>162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45">
      <c r="A177" s="12" t="s">
        <v>162</v>
      </c>
      <c r="B177" s="7">
        <v>0</v>
      </c>
      <c r="C177" s="8" t="str">
        <f>IFERROR(B177/B444, "NA")</f>
        <v>NA</v>
      </c>
      <c r="D177" s="9"/>
      <c r="E177" s="7">
        <v>0</v>
      </c>
      <c r="F177" s="8" t="str">
        <f>IFERROR(E177/E444, "NA")</f>
        <v>NA</v>
      </c>
      <c r="G177" s="9"/>
      <c r="H177" s="10">
        <f t="shared" ref="H177:H184" si="44">IFERROR(-(B177-E177), "NA")</f>
        <v>0</v>
      </c>
      <c r="I177" s="8" t="str">
        <f>IFERROR(H177/H444, "NA")</f>
        <v>NA</v>
      </c>
      <c r="J177" s="9"/>
      <c r="K177" s="7">
        <v>0</v>
      </c>
      <c r="L177" s="8" t="str">
        <f>IFERROR(K177/K444, "NA")</f>
        <v>NA</v>
      </c>
      <c r="M177" s="9"/>
      <c r="N177" s="10">
        <f t="shared" ref="N177:N184" si="45">IFERROR(-(B177-K177), "NA")</f>
        <v>0</v>
      </c>
      <c r="O177" s="8" t="str">
        <f>IFERROR(N177/N444, "NA")</f>
        <v>NA</v>
      </c>
      <c r="P177" s="9"/>
      <c r="Q177" s="7">
        <v>0</v>
      </c>
      <c r="R177" s="8" t="str">
        <f>IFERROR(Q177/Q444, "NA")</f>
        <v>NA</v>
      </c>
      <c r="S177" s="9"/>
      <c r="T177" s="7">
        <v>0</v>
      </c>
      <c r="U177" s="8" t="str">
        <f>IFERROR(T177/T444, "NA")</f>
        <v>NA</v>
      </c>
      <c r="V177" s="9"/>
      <c r="W177" s="10">
        <f t="shared" ref="W177:W184" si="46">IFERROR(-(Q177-T177), "NA")</f>
        <v>0</v>
      </c>
      <c r="X177" s="8" t="str">
        <f>IFERROR(W177/W444, "NA")</f>
        <v>NA</v>
      </c>
      <c r="Y177" s="9"/>
      <c r="Z177" s="7">
        <v>0</v>
      </c>
      <c r="AA177" s="8" t="str">
        <f>IFERROR(Z177/Z444, "NA")</f>
        <v>NA</v>
      </c>
      <c r="AB177" s="9"/>
      <c r="AC177" s="10">
        <f t="shared" ref="AC177:AC184" si="47">IFERROR(-(Q177-Z177), "NA")</f>
        <v>0</v>
      </c>
      <c r="AD177" s="8" t="str">
        <f>IFERROR(AC177/AC444, "NA")</f>
        <v>NA</v>
      </c>
    </row>
    <row r="178" spans="1:30" ht="16.5" hidden="1" customHeight="1" x14ac:dyDescent="0.45">
      <c r="A178" s="12" t="s">
        <v>163</v>
      </c>
      <c r="B178" s="7">
        <v>0</v>
      </c>
      <c r="C178" s="8" t="str">
        <f>IFERROR(B178/B444, "NA")</f>
        <v>NA</v>
      </c>
      <c r="D178" s="9"/>
      <c r="E178" s="7">
        <v>0</v>
      </c>
      <c r="F178" s="8" t="str">
        <f>IFERROR(E178/E444, "NA")</f>
        <v>NA</v>
      </c>
      <c r="G178" s="9"/>
      <c r="H178" s="10">
        <f t="shared" si="44"/>
        <v>0</v>
      </c>
      <c r="I178" s="8" t="str">
        <f>IFERROR(H178/H444, "NA")</f>
        <v>NA</v>
      </c>
      <c r="J178" s="9"/>
      <c r="K178" s="7">
        <v>0</v>
      </c>
      <c r="L178" s="8" t="str">
        <f>IFERROR(K178/K444, "NA")</f>
        <v>NA</v>
      </c>
      <c r="M178" s="9"/>
      <c r="N178" s="10">
        <f t="shared" si="45"/>
        <v>0</v>
      </c>
      <c r="O178" s="8" t="str">
        <f>IFERROR(N178/N444, "NA")</f>
        <v>NA</v>
      </c>
      <c r="P178" s="9"/>
      <c r="Q178" s="7">
        <v>0</v>
      </c>
      <c r="R178" s="8" t="str">
        <f>IFERROR(Q178/Q444, "NA")</f>
        <v>NA</v>
      </c>
      <c r="S178" s="9"/>
      <c r="T178" s="7">
        <v>0</v>
      </c>
      <c r="U178" s="8" t="str">
        <f>IFERROR(T178/T444, "NA")</f>
        <v>NA</v>
      </c>
      <c r="V178" s="9"/>
      <c r="W178" s="10">
        <f t="shared" si="46"/>
        <v>0</v>
      </c>
      <c r="X178" s="8" t="str">
        <f>IFERROR(W178/W444, "NA")</f>
        <v>NA</v>
      </c>
      <c r="Y178" s="9"/>
      <c r="Z178" s="7">
        <v>0</v>
      </c>
      <c r="AA178" s="8" t="str">
        <f>IFERROR(Z178/Z444, "NA")</f>
        <v>NA</v>
      </c>
      <c r="AB178" s="9"/>
      <c r="AC178" s="10">
        <f t="shared" si="47"/>
        <v>0</v>
      </c>
      <c r="AD178" s="8" t="str">
        <f>IFERROR(AC178/AC444, "NA")</f>
        <v>NA</v>
      </c>
    </row>
    <row r="179" spans="1:30" ht="16.5" hidden="1" customHeight="1" x14ac:dyDescent="0.45">
      <c r="A179" s="12" t="s">
        <v>164</v>
      </c>
      <c r="B179" s="7">
        <v>0</v>
      </c>
      <c r="C179" s="8" t="str">
        <f>IFERROR(B179/B444, "NA")</f>
        <v>NA</v>
      </c>
      <c r="D179" s="9"/>
      <c r="E179" s="7">
        <v>0</v>
      </c>
      <c r="F179" s="8" t="str">
        <f>IFERROR(E179/E444, "NA")</f>
        <v>NA</v>
      </c>
      <c r="G179" s="9"/>
      <c r="H179" s="10">
        <f t="shared" si="44"/>
        <v>0</v>
      </c>
      <c r="I179" s="8" t="str">
        <f>IFERROR(H179/H444, "NA")</f>
        <v>NA</v>
      </c>
      <c r="J179" s="9"/>
      <c r="K179" s="7">
        <v>0</v>
      </c>
      <c r="L179" s="8" t="str">
        <f>IFERROR(K179/K444, "NA")</f>
        <v>NA</v>
      </c>
      <c r="M179" s="9"/>
      <c r="N179" s="10">
        <f t="shared" si="45"/>
        <v>0</v>
      </c>
      <c r="O179" s="8" t="str">
        <f>IFERROR(N179/N444, "NA")</f>
        <v>NA</v>
      </c>
      <c r="P179" s="9"/>
      <c r="Q179" s="7">
        <v>0</v>
      </c>
      <c r="R179" s="8" t="str">
        <f>IFERROR(Q179/Q444, "NA")</f>
        <v>NA</v>
      </c>
      <c r="S179" s="9"/>
      <c r="T179" s="7">
        <v>0</v>
      </c>
      <c r="U179" s="8" t="str">
        <f>IFERROR(T179/T444, "NA")</f>
        <v>NA</v>
      </c>
      <c r="V179" s="9"/>
      <c r="W179" s="10">
        <f t="shared" si="46"/>
        <v>0</v>
      </c>
      <c r="X179" s="8" t="str">
        <f>IFERROR(W179/W444, "NA")</f>
        <v>NA</v>
      </c>
      <c r="Y179" s="9"/>
      <c r="Z179" s="7">
        <v>0</v>
      </c>
      <c r="AA179" s="8" t="str">
        <f>IFERROR(Z179/Z444, "NA")</f>
        <v>NA</v>
      </c>
      <c r="AB179" s="9"/>
      <c r="AC179" s="10">
        <f t="shared" si="47"/>
        <v>0</v>
      </c>
      <c r="AD179" s="8" t="str">
        <f>IFERROR(AC179/AC444, "NA")</f>
        <v>NA</v>
      </c>
    </row>
    <row r="180" spans="1:30" ht="16.5" hidden="1" customHeight="1" x14ac:dyDescent="0.45">
      <c r="A180" s="12" t="s">
        <v>165</v>
      </c>
      <c r="B180" s="7">
        <v>0</v>
      </c>
      <c r="C180" s="8" t="str">
        <f>IFERROR(B180/B444, "NA")</f>
        <v>NA</v>
      </c>
      <c r="D180" s="9"/>
      <c r="E180" s="7">
        <v>0</v>
      </c>
      <c r="F180" s="8" t="str">
        <f>IFERROR(E180/E444, "NA")</f>
        <v>NA</v>
      </c>
      <c r="G180" s="9"/>
      <c r="H180" s="10">
        <f t="shared" si="44"/>
        <v>0</v>
      </c>
      <c r="I180" s="8" t="str">
        <f>IFERROR(H180/H444, "NA")</f>
        <v>NA</v>
      </c>
      <c r="J180" s="9"/>
      <c r="K180" s="7">
        <v>0</v>
      </c>
      <c r="L180" s="8" t="str">
        <f>IFERROR(K180/K444, "NA")</f>
        <v>NA</v>
      </c>
      <c r="M180" s="9"/>
      <c r="N180" s="10">
        <f t="shared" si="45"/>
        <v>0</v>
      </c>
      <c r="O180" s="8" t="str">
        <f>IFERROR(N180/N444, "NA")</f>
        <v>NA</v>
      </c>
      <c r="P180" s="9"/>
      <c r="Q180" s="7">
        <v>0</v>
      </c>
      <c r="R180" s="8" t="str">
        <f>IFERROR(Q180/Q444, "NA")</f>
        <v>NA</v>
      </c>
      <c r="S180" s="9"/>
      <c r="T180" s="7">
        <v>0</v>
      </c>
      <c r="U180" s="8" t="str">
        <f>IFERROR(T180/T444, "NA")</f>
        <v>NA</v>
      </c>
      <c r="V180" s="9"/>
      <c r="W180" s="10">
        <f t="shared" si="46"/>
        <v>0</v>
      </c>
      <c r="X180" s="8" t="str">
        <f>IFERROR(W180/W444, "NA")</f>
        <v>NA</v>
      </c>
      <c r="Y180" s="9"/>
      <c r="Z180" s="7">
        <v>0</v>
      </c>
      <c r="AA180" s="8" t="str">
        <f>IFERROR(Z180/Z444, "NA")</f>
        <v>NA</v>
      </c>
      <c r="AB180" s="9"/>
      <c r="AC180" s="10">
        <f t="shared" si="47"/>
        <v>0</v>
      </c>
      <c r="AD180" s="8" t="str">
        <f>IFERROR(AC180/AC444, "NA")</f>
        <v>NA</v>
      </c>
    </row>
    <row r="181" spans="1:30" ht="16.5" hidden="1" customHeight="1" x14ac:dyDescent="0.45">
      <c r="A181" s="12" t="s">
        <v>166</v>
      </c>
      <c r="B181" s="7">
        <v>0</v>
      </c>
      <c r="C181" s="8" t="str">
        <f>IFERROR(B181/B444, "NA")</f>
        <v>NA</v>
      </c>
      <c r="D181" s="9"/>
      <c r="E181" s="7">
        <v>0</v>
      </c>
      <c r="F181" s="8" t="str">
        <f>IFERROR(E181/E444, "NA")</f>
        <v>NA</v>
      </c>
      <c r="G181" s="9"/>
      <c r="H181" s="10">
        <f t="shared" si="44"/>
        <v>0</v>
      </c>
      <c r="I181" s="8" t="str">
        <f>IFERROR(H181/H444, "NA")</f>
        <v>NA</v>
      </c>
      <c r="J181" s="9"/>
      <c r="K181" s="7">
        <v>0</v>
      </c>
      <c r="L181" s="8" t="str">
        <f>IFERROR(K181/K444, "NA")</f>
        <v>NA</v>
      </c>
      <c r="M181" s="9"/>
      <c r="N181" s="10">
        <f t="shared" si="45"/>
        <v>0</v>
      </c>
      <c r="O181" s="8" t="str">
        <f>IFERROR(N181/N444, "NA")</f>
        <v>NA</v>
      </c>
      <c r="P181" s="9"/>
      <c r="Q181" s="7">
        <v>0</v>
      </c>
      <c r="R181" s="8" t="str">
        <f>IFERROR(Q181/Q444, "NA")</f>
        <v>NA</v>
      </c>
      <c r="S181" s="9"/>
      <c r="T181" s="7">
        <v>0</v>
      </c>
      <c r="U181" s="8" t="str">
        <f>IFERROR(T181/T444, "NA")</f>
        <v>NA</v>
      </c>
      <c r="V181" s="9"/>
      <c r="W181" s="10">
        <f t="shared" si="46"/>
        <v>0</v>
      </c>
      <c r="X181" s="8" t="str">
        <f>IFERROR(W181/W444, "NA")</f>
        <v>NA</v>
      </c>
      <c r="Y181" s="9"/>
      <c r="Z181" s="7">
        <v>0</v>
      </c>
      <c r="AA181" s="8" t="str">
        <f>IFERROR(Z181/Z444, "NA")</f>
        <v>NA</v>
      </c>
      <c r="AB181" s="9"/>
      <c r="AC181" s="10">
        <f t="shared" si="47"/>
        <v>0</v>
      </c>
      <c r="AD181" s="8" t="str">
        <f>IFERROR(AC181/AC444, "NA")</f>
        <v>NA</v>
      </c>
    </row>
    <row r="182" spans="1:30" ht="16.5" customHeight="1" x14ac:dyDescent="0.45">
      <c r="A182" s="13" t="s">
        <v>167</v>
      </c>
      <c r="B182" s="14">
        <f>IFERROR(B177+B178+B179+B180+B181, "NA")</f>
        <v>0</v>
      </c>
      <c r="C182" s="15" t="str">
        <f>IFERROR(B182/B444, "NA")</f>
        <v>NA</v>
      </c>
      <c r="D182" s="2"/>
      <c r="E182" s="14">
        <f>IFERROR(E177+E178+E179+E180+E181, "NA")</f>
        <v>0</v>
      </c>
      <c r="F182" s="15" t="str">
        <f>IFERROR(E182/E444, "NA")</f>
        <v>NA</v>
      </c>
      <c r="G182" s="2"/>
      <c r="H182" s="14">
        <f t="shared" si="44"/>
        <v>0</v>
      </c>
      <c r="I182" s="15" t="str">
        <f>IFERROR(H182/H444, "NA")</f>
        <v>NA</v>
      </c>
      <c r="J182" s="2"/>
      <c r="K182" s="14">
        <f>IFERROR(K177+K178+K179+K180+K181, "NA")</f>
        <v>0</v>
      </c>
      <c r="L182" s="15" t="str">
        <f>IFERROR(K182/K444, "NA")</f>
        <v>NA</v>
      </c>
      <c r="M182" s="2"/>
      <c r="N182" s="14">
        <f t="shared" si="45"/>
        <v>0</v>
      </c>
      <c r="O182" s="15" t="str">
        <f>IFERROR(N182/N444, "NA")</f>
        <v>NA</v>
      </c>
      <c r="P182" s="2"/>
      <c r="Q182" s="14">
        <f>IFERROR(Q177+Q178+Q179+Q180+Q181, "NA")</f>
        <v>0</v>
      </c>
      <c r="R182" s="15" t="str">
        <f>IFERROR(Q182/Q444, "NA")</f>
        <v>NA</v>
      </c>
      <c r="S182" s="2"/>
      <c r="T182" s="14">
        <f>IFERROR(T177+T178+T179+T180+T181, "NA")</f>
        <v>0</v>
      </c>
      <c r="U182" s="15" t="str">
        <f>IFERROR(T182/T444, "NA")</f>
        <v>NA</v>
      </c>
      <c r="V182" s="2"/>
      <c r="W182" s="14">
        <f t="shared" si="46"/>
        <v>0</v>
      </c>
      <c r="X182" s="15" t="str">
        <f>IFERROR(W182/W444, "NA")</f>
        <v>NA</v>
      </c>
      <c r="Y182" s="2"/>
      <c r="Z182" s="14">
        <f>IFERROR(Z177+Z178+Z179+Z180+Z181, "NA")</f>
        <v>0</v>
      </c>
      <c r="AA182" s="15" t="str">
        <f>IFERROR(Z182/Z444, "NA")</f>
        <v>NA</v>
      </c>
      <c r="AB182" s="2"/>
      <c r="AC182" s="14">
        <f t="shared" si="47"/>
        <v>0</v>
      </c>
      <c r="AD182" s="15" t="str">
        <f>IFERROR(AC182/AC444, "NA")</f>
        <v>NA</v>
      </c>
    </row>
    <row r="183" spans="1:30" ht="16.5" hidden="1" customHeight="1" x14ac:dyDescent="0.45">
      <c r="A183" s="6" t="s">
        <v>168</v>
      </c>
      <c r="B183" s="7">
        <v>0</v>
      </c>
      <c r="C183" s="8" t="str">
        <f>IFERROR(B183/B444, "NA")</f>
        <v>NA</v>
      </c>
      <c r="D183" s="9"/>
      <c r="E183" s="7">
        <v>0</v>
      </c>
      <c r="F183" s="8" t="str">
        <f>IFERROR(E183/E444, "NA")</f>
        <v>NA</v>
      </c>
      <c r="G183" s="9"/>
      <c r="H183" s="10">
        <f t="shared" si="44"/>
        <v>0</v>
      </c>
      <c r="I183" s="8" t="str">
        <f>IFERROR(H183/H444, "NA")</f>
        <v>NA</v>
      </c>
      <c r="J183" s="9"/>
      <c r="K183" s="7">
        <v>0</v>
      </c>
      <c r="L183" s="8" t="str">
        <f>IFERROR(K183/K444, "NA")</f>
        <v>NA</v>
      </c>
      <c r="M183" s="9"/>
      <c r="N183" s="10">
        <f t="shared" si="45"/>
        <v>0</v>
      </c>
      <c r="O183" s="8" t="str">
        <f>IFERROR(N183/N444, "NA")</f>
        <v>NA</v>
      </c>
      <c r="P183" s="9"/>
      <c r="Q183" s="7">
        <v>0</v>
      </c>
      <c r="R183" s="8" t="str">
        <f>IFERROR(Q183/Q444, "NA")</f>
        <v>NA</v>
      </c>
      <c r="S183" s="9"/>
      <c r="T183" s="7">
        <v>0</v>
      </c>
      <c r="U183" s="8" t="str">
        <f>IFERROR(T183/T444, "NA")</f>
        <v>NA</v>
      </c>
      <c r="V183" s="9"/>
      <c r="W183" s="10">
        <f t="shared" si="46"/>
        <v>0</v>
      </c>
      <c r="X183" s="8" t="str">
        <f>IFERROR(W183/W444, "NA")</f>
        <v>NA</v>
      </c>
      <c r="Y183" s="9"/>
      <c r="Z183" s="7">
        <v>0</v>
      </c>
      <c r="AA183" s="8" t="str">
        <f>IFERROR(Z183/Z444, "NA")</f>
        <v>NA</v>
      </c>
      <c r="AB183" s="9"/>
      <c r="AC183" s="10">
        <f t="shared" si="47"/>
        <v>0</v>
      </c>
      <c r="AD183" s="8" t="str">
        <f>IFERROR(AC183/AC444, "NA")</f>
        <v>NA</v>
      </c>
    </row>
    <row r="184" spans="1:30" ht="16.5" hidden="1" customHeight="1" x14ac:dyDescent="0.45">
      <c r="A184" s="6" t="s">
        <v>169</v>
      </c>
      <c r="B184" s="7">
        <v>0</v>
      </c>
      <c r="C184" s="8" t="str">
        <f>IFERROR(B184/B444, "NA")</f>
        <v>NA</v>
      </c>
      <c r="D184" s="9"/>
      <c r="E184" s="7">
        <v>0</v>
      </c>
      <c r="F184" s="8" t="str">
        <f>IFERROR(E184/E444, "NA")</f>
        <v>NA</v>
      </c>
      <c r="G184" s="9"/>
      <c r="H184" s="10">
        <f t="shared" si="44"/>
        <v>0</v>
      </c>
      <c r="I184" s="8" t="str">
        <f>IFERROR(H184/H444, "NA")</f>
        <v>NA</v>
      </c>
      <c r="J184" s="9"/>
      <c r="K184" s="7">
        <v>0</v>
      </c>
      <c r="L184" s="8" t="str">
        <f>IFERROR(K184/K444, "NA")</f>
        <v>NA</v>
      </c>
      <c r="M184" s="9"/>
      <c r="N184" s="10">
        <f t="shared" si="45"/>
        <v>0</v>
      </c>
      <c r="O184" s="8" t="str">
        <f>IFERROR(N184/N444, "NA")</f>
        <v>NA</v>
      </c>
      <c r="P184" s="9"/>
      <c r="Q184" s="7">
        <v>0</v>
      </c>
      <c r="R184" s="8" t="str">
        <f>IFERROR(Q184/Q444, "NA")</f>
        <v>NA</v>
      </c>
      <c r="S184" s="9"/>
      <c r="T184" s="7">
        <v>0</v>
      </c>
      <c r="U184" s="8" t="str">
        <f>IFERROR(T184/T444, "NA")</f>
        <v>NA</v>
      </c>
      <c r="V184" s="9"/>
      <c r="W184" s="10">
        <f t="shared" si="46"/>
        <v>0</v>
      </c>
      <c r="X184" s="8" t="str">
        <f>IFERROR(W184/W444, "NA")</f>
        <v>NA</v>
      </c>
      <c r="Y184" s="9"/>
      <c r="Z184" s="7">
        <v>0</v>
      </c>
      <c r="AA184" s="8" t="str">
        <f>IFERROR(Z184/Z444, "NA")</f>
        <v>NA</v>
      </c>
      <c r="AB184" s="9"/>
      <c r="AC184" s="10">
        <f t="shared" si="47"/>
        <v>0</v>
      </c>
      <c r="AD184" s="8" t="str">
        <f>IFERROR(AC184/AC444, "NA")</f>
        <v>NA</v>
      </c>
    </row>
    <row r="185" spans="1:30" ht="16.5" customHeight="1" x14ac:dyDescent="0.45">
      <c r="A185" s="11" t="s">
        <v>170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hidden="1" customHeight="1" x14ac:dyDescent="0.45">
      <c r="A186" s="12" t="s">
        <v>170</v>
      </c>
      <c r="B186" s="7">
        <v>0</v>
      </c>
      <c r="C186" s="8" t="str">
        <f>IFERROR(B186/B444, "NA")</f>
        <v>NA</v>
      </c>
      <c r="D186" s="9"/>
      <c r="E186" s="7">
        <v>0</v>
      </c>
      <c r="F186" s="8" t="str">
        <f>IFERROR(E186/E444, "NA")</f>
        <v>NA</v>
      </c>
      <c r="G186" s="9"/>
      <c r="H186" s="10">
        <f t="shared" ref="H186:H197" si="48">IFERROR(-(B186-E186), "NA")</f>
        <v>0</v>
      </c>
      <c r="I186" s="8" t="str">
        <f>IFERROR(H186/H444, "NA")</f>
        <v>NA</v>
      </c>
      <c r="J186" s="9"/>
      <c r="K186" s="7">
        <v>0</v>
      </c>
      <c r="L186" s="8" t="str">
        <f>IFERROR(K186/K444, "NA")</f>
        <v>NA</v>
      </c>
      <c r="M186" s="9"/>
      <c r="N186" s="10">
        <f t="shared" ref="N186:N197" si="49">IFERROR(-(B186-K186), "NA")</f>
        <v>0</v>
      </c>
      <c r="O186" s="8" t="str">
        <f>IFERROR(N186/N444, "NA")</f>
        <v>NA</v>
      </c>
      <c r="P186" s="9"/>
      <c r="Q186" s="7">
        <v>0</v>
      </c>
      <c r="R186" s="8" t="str">
        <f>IFERROR(Q186/Q444, "NA")</f>
        <v>NA</v>
      </c>
      <c r="S186" s="9"/>
      <c r="T186" s="7">
        <v>0</v>
      </c>
      <c r="U186" s="8" t="str">
        <f>IFERROR(T186/T444, "NA")</f>
        <v>NA</v>
      </c>
      <c r="V186" s="9"/>
      <c r="W186" s="10">
        <f t="shared" ref="W186:W197" si="50">IFERROR(-(Q186-T186), "NA")</f>
        <v>0</v>
      </c>
      <c r="X186" s="8" t="str">
        <f>IFERROR(W186/W444, "NA")</f>
        <v>NA</v>
      </c>
      <c r="Y186" s="9"/>
      <c r="Z186" s="7">
        <v>0</v>
      </c>
      <c r="AA186" s="8" t="str">
        <f>IFERROR(Z186/Z444, "NA")</f>
        <v>NA</v>
      </c>
      <c r="AB186" s="9"/>
      <c r="AC186" s="10">
        <f t="shared" ref="AC186:AC197" si="51">IFERROR(-(Q186-Z186), "NA")</f>
        <v>0</v>
      </c>
      <c r="AD186" s="8" t="str">
        <f>IFERROR(AC186/AC444, "NA")</f>
        <v>NA</v>
      </c>
    </row>
    <row r="187" spans="1:30" ht="16.5" hidden="1" customHeight="1" x14ac:dyDescent="0.45">
      <c r="A187" s="12" t="s">
        <v>171</v>
      </c>
      <c r="B187" s="7">
        <v>0</v>
      </c>
      <c r="C187" s="8" t="str">
        <f>IFERROR(B187/B444, "NA")</f>
        <v>NA</v>
      </c>
      <c r="D187" s="9"/>
      <c r="E187" s="7">
        <v>0</v>
      </c>
      <c r="F187" s="8" t="str">
        <f>IFERROR(E187/E444, "NA")</f>
        <v>NA</v>
      </c>
      <c r="G187" s="9"/>
      <c r="H187" s="10">
        <f t="shared" si="48"/>
        <v>0</v>
      </c>
      <c r="I187" s="8" t="str">
        <f>IFERROR(H187/H444, "NA")</f>
        <v>NA</v>
      </c>
      <c r="J187" s="9"/>
      <c r="K187" s="7">
        <v>0</v>
      </c>
      <c r="L187" s="8" t="str">
        <f>IFERROR(K187/K444, "NA")</f>
        <v>NA</v>
      </c>
      <c r="M187" s="9"/>
      <c r="N187" s="10">
        <f t="shared" si="49"/>
        <v>0</v>
      </c>
      <c r="O187" s="8" t="str">
        <f>IFERROR(N187/N444, "NA")</f>
        <v>NA</v>
      </c>
      <c r="P187" s="9"/>
      <c r="Q187" s="7">
        <v>0</v>
      </c>
      <c r="R187" s="8" t="str">
        <f>IFERROR(Q187/Q444, "NA")</f>
        <v>NA</v>
      </c>
      <c r="S187" s="9"/>
      <c r="T187" s="7">
        <v>0</v>
      </c>
      <c r="U187" s="8" t="str">
        <f>IFERROR(T187/T444, "NA")</f>
        <v>NA</v>
      </c>
      <c r="V187" s="9"/>
      <c r="W187" s="10">
        <f t="shared" si="50"/>
        <v>0</v>
      </c>
      <c r="X187" s="8" t="str">
        <f>IFERROR(W187/W444, "NA")</f>
        <v>NA</v>
      </c>
      <c r="Y187" s="9"/>
      <c r="Z187" s="7">
        <v>0</v>
      </c>
      <c r="AA187" s="8" t="str">
        <f>IFERROR(Z187/Z444, "NA")</f>
        <v>NA</v>
      </c>
      <c r="AB187" s="9"/>
      <c r="AC187" s="10">
        <f t="shared" si="51"/>
        <v>0</v>
      </c>
      <c r="AD187" s="8" t="str">
        <f>IFERROR(AC187/AC444, "NA")</f>
        <v>NA</v>
      </c>
    </row>
    <row r="188" spans="1:30" ht="16.5" hidden="1" customHeight="1" x14ac:dyDescent="0.45">
      <c r="A188" s="12" t="s">
        <v>172</v>
      </c>
      <c r="B188" s="7">
        <v>0</v>
      </c>
      <c r="C188" s="8" t="str">
        <f>IFERROR(B188/B444, "NA")</f>
        <v>NA</v>
      </c>
      <c r="D188" s="9"/>
      <c r="E188" s="7">
        <v>0</v>
      </c>
      <c r="F188" s="8" t="str">
        <f>IFERROR(E188/E444, "NA")</f>
        <v>NA</v>
      </c>
      <c r="G188" s="9"/>
      <c r="H188" s="10">
        <f t="shared" si="48"/>
        <v>0</v>
      </c>
      <c r="I188" s="8" t="str">
        <f>IFERROR(H188/H444, "NA")</f>
        <v>NA</v>
      </c>
      <c r="J188" s="9"/>
      <c r="K188" s="7">
        <v>0</v>
      </c>
      <c r="L188" s="8" t="str">
        <f>IFERROR(K188/K444, "NA")</f>
        <v>NA</v>
      </c>
      <c r="M188" s="9"/>
      <c r="N188" s="10">
        <f t="shared" si="49"/>
        <v>0</v>
      </c>
      <c r="O188" s="8" t="str">
        <f>IFERROR(N188/N444, "NA")</f>
        <v>NA</v>
      </c>
      <c r="P188" s="9"/>
      <c r="Q188" s="7">
        <v>0</v>
      </c>
      <c r="R188" s="8" t="str">
        <f>IFERROR(Q188/Q444, "NA")</f>
        <v>NA</v>
      </c>
      <c r="S188" s="9"/>
      <c r="T188" s="7">
        <v>0</v>
      </c>
      <c r="U188" s="8" t="str">
        <f>IFERROR(T188/T444, "NA")</f>
        <v>NA</v>
      </c>
      <c r="V188" s="9"/>
      <c r="W188" s="10">
        <f t="shared" si="50"/>
        <v>0</v>
      </c>
      <c r="X188" s="8" t="str">
        <f>IFERROR(W188/W444, "NA")</f>
        <v>NA</v>
      </c>
      <c r="Y188" s="9"/>
      <c r="Z188" s="7">
        <v>0</v>
      </c>
      <c r="AA188" s="8" t="str">
        <f>IFERROR(Z188/Z444, "NA")</f>
        <v>NA</v>
      </c>
      <c r="AB188" s="9"/>
      <c r="AC188" s="10">
        <f t="shared" si="51"/>
        <v>0</v>
      </c>
      <c r="AD188" s="8" t="str">
        <f>IFERROR(AC188/AC444, "NA")</f>
        <v>NA</v>
      </c>
    </row>
    <row r="189" spans="1:30" ht="16.5" hidden="1" customHeight="1" x14ac:dyDescent="0.45">
      <c r="A189" s="12" t="s">
        <v>173</v>
      </c>
      <c r="B189" s="7">
        <v>0</v>
      </c>
      <c r="C189" s="8" t="str">
        <f>IFERROR(B189/B444, "NA")</f>
        <v>NA</v>
      </c>
      <c r="D189" s="9"/>
      <c r="E189" s="7">
        <v>0</v>
      </c>
      <c r="F189" s="8" t="str">
        <f>IFERROR(E189/E444, "NA")</f>
        <v>NA</v>
      </c>
      <c r="G189" s="9"/>
      <c r="H189" s="10">
        <f t="shared" si="48"/>
        <v>0</v>
      </c>
      <c r="I189" s="8" t="str">
        <f>IFERROR(H189/H444, "NA")</f>
        <v>NA</v>
      </c>
      <c r="J189" s="9"/>
      <c r="K189" s="7">
        <v>0</v>
      </c>
      <c r="L189" s="8" t="str">
        <f>IFERROR(K189/K444, "NA")</f>
        <v>NA</v>
      </c>
      <c r="M189" s="9"/>
      <c r="N189" s="10">
        <f t="shared" si="49"/>
        <v>0</v>
      </c>
      <c r="O189" s="8" t="str">
        <f>IFERROR(N189/N444, "NA")</f>
        <v>NA</v>
      </c>
      <c r="P189" s="9"/>
      <c r="Q189" s="7">
        <v>0</v>
      </c>
      <c r="R189" s="8" t="str">
        <f>IFERROR(Q189/Q444, "NA")</f>
        <v>NA</v>
      </c>
      <c r="S189" s="9"/>
      <c r="T189" s="7">
        <v>0</v>
      </c>
      <c r="U189" s="8" t="str">
        <f>IFERROR(T189/T444, "NA")</f>
        <v>NA</v>
      </c>
      <c r="V189" s="9"/>
      <c r="W189" s="10">
        <f t="shared" si="50"/>
        <v>0</v>
      </c>
      <c r="X189" s="8" t="str">
        <f>IFERROR(W189/W444, "NA")</f>
        <v>NA</v>
      </c>
      <c r="Y189" s="9"/>
      <c r="Z189" s="7">
        <v>0</v>
      </c>
      <c r="AA189" s="8" t="str">
        <f>IFERROR(Z189/Z444, "NA")</f>
        <v>NA</v>
      </c>
      <c r="AB189" s="9"/>
      <c r="AC189" s="10">
        <f t="shared" si="51"/>
        <v>0</v>
      </c>
      <c r="AD189" s="8" t="str">
        <f>IFERROR(AC189/AC444, "NA")</f>
        <v>NA</v>
      </c>
    </row>
    <row r="190" spans="1:30" ht="16.5" hidden="1" customHeight="1" x14ac:dyDescent="0.45">
      <c r="A190" s="12" t="s">
        <v>174</v>
      </c>
      <c r="B190" s="7">
        <v>0</v>
      </c>
      <c r="C190" s="8" t="str">
        <f>IFERROR(B190/B444, "NA")</f>
        <v>NA</v>
      </c>
      <c r="D190" s="9"/>
      <c r="E190" s="7">
        <v>0</v>
      </c>
      <c r="F190" s="8" t="str">
        <f>IFERROR(E190/E444, "NA")</f>
        <v>NA</v>
      </c>
      <c r="G190" s="9"/>
      <c r="H190" s="10">
        <f t="shared" si="48"/>
        <v>0</v>
      </c>
      <c r="I190" s="8" t="str">
        <f>IFERROR(H190/H444, "NA")</f>
        <v>NA</v>
      </c>
      <c r="J190" s="9"/>
      <c r="K190" s="7">
        <v>0</v>
      </c>
      <c r="L190" s="8" t="str">
        <f>IFERROR(K190/K444, "NA")</f>
        <v>NA</v>
      </c>
      <c r="M190" s="9"/>
      <c r="N190" s="10">
        <f t="shared" si="49"/>
        <v>0</v>
      </c>
      <c r="O190" s="8" t="str">
        <f>IFERROR(N190/N444, "NA")</f>
        <v>NA</v>
      </c>
      <c r="P190" s="9"/>
      <c r="Q190" s="7">
        <v>0</v>
      </c>
      <c r="R190" s="8" t="str">
        <f>IFERROR(Q190/Q444, "NA")</f>
        <v>NA</v>
      </c>
      <c r="S190" s="9"/>
      <c r="T190" s="7">
        <v>0</v>
      </c>
      <c r="U190" s="8" t="str">
        <f>IFERROR(T190/T444, "NA")</f>
        <v>NA</v>
      </c>
      <c r="V190" s="9"/>
      <c r="W190" s="10">
        <f t="shared" si="50"/>
        <v>0</v>
      </c>
      <c r="X190" s="8" t="str">
        <f>IFERROR(W190/W444, "NA")</f>
        <v>NA</v>
      </c>
      <c r="Y190" s="9"/>
      <c r="Z190" s="7">
        <v>0</v>
      </c>
      <c r="AA190" s="8" t="str">
        <f>IFERROR(Z190/Z444, "NA")</f>
        <v>NA</v>
      </c>
      <c r="AB190" s="9"/>
      <c r="AC190" s="10">
        <f t="shared" si="51"/>
        <v>0</v>
      </c>
      <c r="AD190" s="8" t="str">
        <f>IFERROR(AC190/AC444, "NA")</f>
        <v>NA</v>
      </c>
    </row>
    <row r="191" spans="1:30" ht="16.5" hidden="1" customHeight="1" x14ac:dyDescent="0.45">
      <c r="A191" s="12" t="s">
        <v>175</v>
      </c>
      <c r="B191" s="7">
        <v>0</v>
      </c>
      <c r="C191" s="8" t="str">
        <f>IFERROR(B191/B444, "NA")</f>
        <v>NA</v>
      </c>
      <c r="D191" s="9"/>
      <c r="E191" s="7">
        <v>0</v>
      </c>
      <c r="F191" s="8" t="str">
        <f>IFERROR(E191/E444, "NA")</f>
        <v>NA</v>
      </c>
      <c r="G191" s="9"/>
      <c r="H191" s="10">
        <f t="shared" si="48"/>
        <v>0</v>
      </c>
      <c r="I191" s="8" t="str">
        <f>IFERROR(H191/H444, "NA")</f>
        <v>NA</v>
      </c>
      <c r="J191" s="9"/>
      <c r="K191" s="7">
        <v>0</v>
      </c>
      <c r="L191" s="8" t="str">
        <f>IFERROR(K191/K444, "NA")</f>
        <v>NA</v>
      </c>
      <c r="M191" s="9"/>
      <c r="N191" s="10">
        <f t="shared" si="49"/>
        <v>0</v>
      </c>
      <c r="O191" s="8" t="str">
        <f>IFERROR(N191/N444, "NA")</f>
        <v>NA</v>
      </c>
      <c r="P191" s="9"/>
      <c r="Q191" s="7">
        <v>0</v>
      </c>
      <c r="R191" s="8" t="str">
        <f>IFERROR(Q191/Q444, "NA")</f>
        <v>NA</v>
      </c>
      <c r="S191" s="9"/>
      <c r="T191" s="7">
        <v>0</v>
      </c>
      <c r="U191" s="8" t="str">
        <f>IFERROR(T191/T444, "NA")</f>
        <v>NA</v>
      </c>
      <c r="V191" s="9"/>
      <c r="W191" s="10">
        <f t="shared" si="50"/>
        <v>0</v>
      </c>
      <c r="X191" s="8" t="str">
        <f>IFERROR(W191/W444, "NA")</f>
        <v>NA</v>
      </c>
      <c r="Y191" s="9"/>
      <c r="Z191" s="7">
        <v>0</v>
      </c>
      <c r="AA191" s="8" t="str">
        <f>IFERROR(Z191/Z444, "NA")</f>
        <v>NA</v>
      </c>
      <c r="AB191" s="9"/>
      <c r="AC191" s="10">
        <f t="shared" si="51"/>
        <v>0</v>
      </c>
      <c r="AD191" s="8" t="str">
        <f>IFERROR(AC191/AC444, "NA")</f>
        <v>NA</v>
      </c>
    </row>
    <row r="192" spans="1:30" ht="16.5" hidden="1" customHeight="1" x14ac:dyDescent="0.45">
      <c r="A192" s="12" t="s">
        <v>176</v>
      </c>
      <c r="B192" s="7">
        <v>0</v>
      </c>
      <c r="C192" s="8" t="str">
        <f>IFERROR(B192/B444, "NA")</f>
        <v>NA</v>
      </c>
      <c r="D192" s="9"/>
      <c r="E192" s="7">
        <v>0</v>
      </c>
      <c r="F192" s="8" t="str">
        <f>IFERROR(E192/E444, "NA")</f>
        <v>NA</v>
      </c>
      <c r="G192" s="9"/>
      <c r="H192" s="10">
        <f t="shared" si="48"/>
        <v>0</v>
      </c>
      <c r="I192" s="8" t="str">
        <f>IFERROR(H192/H444, "NA")</f>
        <v>NA</v>
      </c>
      <c r="J192" s="9"/>
      <c r="K192" s="7">
        <v>0</v>
      </c>
      <c r="L192" s="8" t="str">
        <f>IFERROR(K192/K444, "NA")</f>
        <v>NA</v>
      </c>
      <c r="M192" s="9"/>
      <c r="N192" s="10">
        <f t="shared" si="49"/>
        <v>0</v>
      </c>
      <c r="O192" s="8" t="str">
        <f>IFERROR(N192/N444, "NA")</f>
        <v>NA</v>
      </c>
      <c r="P192" s="9"/>
      <c r="Q192" s="7">
        <v>0</v>
      </c>
      <c r="R192" s="8" t="str">
        <f>IFERROR(Q192/Q444, "NA")</f>
        <v>NA</v>
      </c>
      <c r="S192" s="9"/>
      <c r="T192" s="7">
        <v>0</v>
      </c>
      <c r="U192" s="8" t="str">
        <f>IFERROR(T192/T444, "NA")</f>
        <v>NA</v>
      </c>
      <c r="V192" s="9"/>
      <c r="W192" s="10">
        <f t="shared" si="50"/>
        <v>0</v>
      </c>
      <c r="X192" s="8" t="str">
        <f>IFERROR(W192/W444, "NA")</f>
        <v>NA</v>
      </c>
      <c r="Y192" s="9"/>
      <c r="Z192" s="7">
        <v>0</v>
      </c>
      <c r="AA192" s="8" t="str">
        <f>IFERROR(Z192/Z444, "NA")</f>
        <v>NA</v>
      </c>
      <c r="AB192" s="9"/>
      <c r="AC192" s="10">
        <f t="shared" si="51"/>
        <v>0</v>
      </c>
      <c r="AD192" s="8" t="str">
        <f>IFERROR(AC192/AC444, "NA")</f>
        <v>NA</v>
      </c>
    </row>
    <row r="193" spans="1:30" ht="16.5" customHeight="1" x14ac:dyDescent="0.45">
      <c r="A193" s="13" t="s">
        <v>177</v>
      </c>
      <c r="B193" s="14">
        <f>IFERROR(B186+B187+B188+B189+B190+B191+B192, "NA")</f>
        <v>0</v>
      </c>
      <c r="C193" s="15" t="str">
        <f>IFERROR(B193/B444, "NA")</f>
        <v>NA</v>
      </c>
      <c r="D193" s="2"/>
      <c r="E193" s="14">
        <f>IFERROR(E186+E187+E188+E189+E190+E191+E192, "NA")</f>
        <v>0</v>
      </c>
      <c r="F193" s="15" t="str">
        <f>IFERROR(E193/E444, "NA")</f>
        <v>NA</v>
      </c>
      <c r="G193" s="2"/>
      <c r="H193" s="14">
        <f t="shared" si="48"/>
        <v>0</v>
      </c>
      <c r="I193" s="15" t="str">
        <f>IFERROR(H193/H444, "NA")</f>
        <v>NA</v>
      </c>
      <c r="J193" s="2"/>
      <c r="K193" s="14">
        <f>IFERROR(K186+K187+K188+K189+K190+K191+K192, "NA")</f>
        <v>0</v>
      </c>
      <c r="L193" s="15" t="str">
        <f>IFERROR(K193/K444, "NA")</f>
        <v>NA</v>
      </c>
      <c r="M193" s="2"/>
      <c r="N193" s="14">
        <f t="shared" si="49"/>
        <v>0</v>
      </c>
      <c r="O193" s="15" t="str">
        <f>IFERROR(N193/N444, "NA")</f>
        <v>NA</v>
      </c>
      <c r="P193" s="2"/>
      <c r="Q193" s="14">
        <f>IFERROR(Q186+Q187+Q188+Q189+Q190+Q191+Q192, "NA")</f>
        <v>0</v>
      </c>
      <c r="R193" s="15" t="str">
        <f>IFERROR(Q193/Q444, "NA")</f>
        <v>NA</v>
      </c>
      <c r="S193" s="2"/>
      <c r="T193" s="14">
        <f>IFERROR(T186+T187+T188+T189+T190+T191+T192, "NA")</f>
        <v>0</v>
      </c>
      <c r="U193" s="15" t="str">
        <f>IFERROR(T193/T444, "NA")</f>
        <v>NA</v>
      </c>
      <c r="V193" s="2"/>
      <c r="W193" s="14">
        <f t="shared" si="50"/>
        <v>0</v>
      </c>
      <c r="X193" s="15" t="str">
        <f>IFERROR(W193/W444, "NA")</f>
        <v>NA</v>
      </c>
      <c r="Y193" s="2"/>
      <c r="Z193" s="14">
        <f>IFERROR(Z186+Z187+Z188+Z189+Z190+Z191+Z192, "NA")</f>
        <v>0</v>
      </c>
      <c r="AA193" s="15" t="str">
        <f>IFERROR(Z193/Z444, "NA")</f>
        <v>NA</v>
      </c>
      <c r="AB193" s="2"/>
      <c r="AC193" s="14">
        <f t="shared" si="51"/>
        <v>0</v>
      </c>
      <c r="AD193" s="15" t="str">
        <f>IFERROR(AC193/AC444, "NA")</f>
        <v>NA</v>
      </c>
    </row>
    <row r="194" spans="1:30" ht="16.5" hidden="1" customHeight="1" x14ac:dyDescent="0.45">
      <c r="A194" s="6" t="s">
        <v>178</v>
      </c>
      <c r="B194" s="7">
        <v>0</v>
      </c>
      <c r="C194" s="8" t="str">
        <f>IFERROR(B194/B444, "NA")</f>
        <v>NA</v>
      </c>
      <c r="D194" s="9"/>
      <c r="E194" s="7">
        <v>0</v>
      </c>
      <c r="F194" s="8" t="str">
        <f>IFERROR(E194/E444, "NA")</f>
        <v>NA</v>
      </c>
      <c r="G194" s="9"/>
      <c r="H194" s="10">
        <f t="shared" si="48"/>
        <v>0</v>
      </c>
      <c r="I194" s="8" t="str">
        <f>IFERROR(H194/H444, "NA")</f>
        <v>NA</v>
      </c>
      <c r="J194" s="9"/>
      <c r="K194" s="7">
        <v>0</v>
      </c>
      <c r="L194" s="8" t="str">
        <f>IFERROR(K194/K444, "NA")</f>
        <v>NA</v>
      </c>
      <c r="M194" s="9"/>
      <c r="N194" s="10">
        <f t="shared" si="49"/>
        <v>0</v>
      </c>
      <c r="O194" s="8" t="str">
        <f>IFERROR(N194/N444, "NA")</f>
        <v>NA</v>
      </c>
      <c r="P194" s="9"/>
      <c r="Q194" s="7">
        <v>0</v>
      </c>
      <c r="R194" s="8" t="str">
        <f>IFERROR(Q194/Q444, "NA")</f>
        <v>NA</v>
      </c>
      <c r="S194" s="9"/>
      <c r="T194" s="7">
        <v>0</v>
      </c>
      <c r="U194" s="8" t="str">
        <f>IFERROR(T194/T444, "NA")</f>
        <v>NA</v>
      </c>
      <c r="V194" s="9"/>
      <c r="W194" s="10">
        <f t="shared" si="50"/>
        <v>0</v>
      </c>
      <c r="X194" s="8" t="str">
        <f>IFERROR(W194/W444, "NA")</f>
        <v>NA</v>
      </c>
      <c r="Y194" s="9"/>
      <c r="Z194" s="7">
        <v>0</v>
      </c>
      <c r="AA194" s="8" t="str">
        <f>IFERROR(Z194/Z444, "NA")</f>
        <v>NA</v>
      </c>
      <c r="AB194" s="9"/>
      <c r="AC194" s="10">
        <f t="shared" si="51"/>
        <v>0</v>
      </c>
      <c r="AD194" s="8" t="str">
        <f>IFERROR(AC194/AC444, "NA")</f>
        <v>NA</v>
      </c>
    </row>
    <row r="195" spans="1:30" ht="16.5" hidden="1" customHeight="1" x14ac:dyDescent="0.45">
      <c r="A195" s="6" t="s">
        <v>179</v>
      </c>
      <c r="B195" s="7">
        <v>0</v>
      </c>
      <c r="C195" s="8" t="str">
        <f>IFERROR(B195/B444, "NA")</f>
        <v>NA</v>
      </c>
      <c r="D195" s="9"/>
      <c r="E195" s="7">
        <v>0</v>
      </c>
      <c r="F195" s="8" t="str">
        <f>IFERROR(E195/E444, "NA")</f>
        <v>NA</v>
      </c>
      <c r="G195" s="9"/>
      <c r="H195" s="10">
        <f t="shared" si="48"/>
        <v>0</v>
      </c>
      <c r="I195" s="8" t="str">
        <f>IFERROR(H195/H444, "NA")</f>
        <v>NA</v>
      </c>
      <c r="J195" s="9"/>
      <c r="K195" s="7">
        <v>0</v>
      </c>
      <c r="L195" s="8" t="str">
        <f>IFERROR(K195/K444, "NA")</f>
        <v>NA</v>
      </c>
      <c r="M195" s="9"/>
      <c r="N195" s="10">
        <f t="shared" si="49"/>
        <v>0</v>
      </c>
      <c r="O195" s="8" t="str">
        <f>IFERROR(N195/N444, "NA")</f>
        <v>NA</v>
      </c>
      <c r="P195" s="9"/>
      <c r="Q195" s="7">
        <v>0</v>
      </c>
      <c r="R195" s="8" t="str">
        <f>IFERROR(Q195/Q444, "NA")</f>
        <v>NA</v>
      </c>
      <c r="S195" s="9"/>
      <c r="T195" s="7">
        <v>0</v>
      </c>
      <c r="U195" s="8" t="str">
        <f>IFERROR(T195/T444, "NA")</f>
        <v>NA</v>
      </c>
      <c r="V195" s="9"/>
      <c r="W195" s="10">
        <f t="shared" si="50"/>
        <v>0</v>
      </c>
      <c r="X195" s="8" t="str">
        <f>IFERROR(W195/W444, "NA")</f>
        <v>NA</v>
      </c>
      <c r="Y195" s="9"/>
      <c r="Z195" s="7">
        <v>0</v>
      </c>
      <c r="AA195" s="8" t="str">
        <f>IFERROR(Z195/Z444, "NA")</f>
        <v>NA</v>
      </c>
      <c r="AB195" s="9"/>
      <c r="AC195" s="10">
        <f t="shared" si="51"/>
        <v>0</v>
      </c>
      <c r="AD195" s="8" t="str">
        <f>IFERROR(AC195/AC444, "NA")</f>
        <v>NA</v>
      </c>
    </row>
    <row r="196" spans="1:30" ht="16.5" customHeight="1" x14ac:dyDescent="0.45">
      <c r="A196" s="19" t="s">
        <v>180</v>
      </c>
      <c r="B196" s="14">
        <f>IFERROR(B175+B177+B178+B179+B180+B181+B183+B184+B186+B187+B188+B189+B190+B191+B192+B194+B195, "NA")</f>
        <v>0</v>
      </c>
      <c r="C196" s="15" t="str">
        <f>IFERROR(B196/B444, "NA")</f>
        <v>NA</v>
      </c>
      <c r="D196" s="2"/>
      <c r="E196" s="14">
        <f>IFERROR(E175+E177+E178+E179+E180+E181+E183+E184+E186+E187+E188+E189+E190+E191+E192+E194+E195, "NA")</f>
        <v>0</v>
      </c>
      <c r="F196" s="15" t="str">
        <f>IFERROR(E196/E444, "NA")</f>
        <v>NA</v>
      </c>
      <c r="G196" s="2"/>
      <c r="H196" s="14">
        <f t="shared" si="48"/>
        <v>0</v>
      </c>
      <c r="I196" s="15" t="str">
        <f>IFERROR(H196/H444, "NA")</f>
        <v>NA</v>
      </c>
      <c r="J196" s="2"/>
      <c r="K196" s="14">
        <f>IFERROR(K175+K177+K178+K179+K180+K181+K183+K184+K186+K187+K188+K189+K190+K191+K192+K194+K195, "NA")</f>
        <v>0</v>
      </c>
      <c r="L196" s="15" t="str">
        <f>IFERROR(K196/K444, "NA")</f>
        <v>NA</v>
      </c>
      <c r="M196" s="2"/>
      <c r="N196" s="14">
        <f t="shared" si="49"/>
        <v>0</v>
      </c>
      <c r="O196" s="15" t="str">
        <f>IFERROR(N196/N444, "NA")</f>
        <v>NA</v>
      </c>
      <c r="P196" s="2"/>
      <c r="Q196" s="14">
        <f>IFERROR(Q175+Q177+Q178+Q179+Q180+Q181+Q183+Q184+Q186+Q187+Q188+Q189+Q190+Q191+Q192+Q194+Q195, "NA")</f>
        <v>0</v>
      </c>
      <c r="R196" s="15" t="str">
        <f>IFERROR(Q196/Q444, "NA")</f>
        <v>NA</v>
      </c>
      <c r="S196" s="2"/>
      <c r="T196" s="14">
        <f>IFERROR(T175+T177+T178+T179+T180+T181+T183+T184+T186+T187+T188+T189+T190+T191+T192+T194+T195, "NA")</f>
        <v>0</v>
      </c>
      <c r="U196" s="15" t="str">
        <f>IFERROR(T196/T444, "NA")</f>
        <v>NA</v>
      </c>
      <c r="V196" s="2"/>
      <c r="W196" s="14">
        <f t="shared" si="50"/>
        <v>0</v>
      </c>
      <c r="X196" s="15" t="str">
        <f>IFERROR(W196/W444, "NA")</f>
        <v>NA</v>
      </c>
      <c r="Y196" s="2"/>
      <c r="Z196" s="14">
        <f>IFERROR(Z175+Z177+Z178+Z179+Z180+Z181+Z183+Z184+Z186+Z187+Z188+Z189+Z190+Z191+Z192+Z194+Z195, "NA")</f>
        <v>0</v>
      </c>
      <c r="AA196" s="15" t="str">
        <f>IFERROR(Z196/Z444, "NA")</f>
        <v>NA</v>
      </c>
      <c r="AB196" s="2"/>
      <c r="AC196" s="14">
        <f t="shared" si="51"/>
        <v>0</v>
      </c>
      <c r="AD196" s="15" t="str">
        <f>IFERROR(AC196/AC444, "NA")</f>
        <v>NA</v>
      </c>
    </row>
    <row r="197" spans="1:30" ht="16.5" customHeight="1" x14ac:dyDescent="0.45">
      <c r="A197" s="21" t="s">
        <v>180</v>
      </c>
      <c r="B197" s="14">
        <f>IFERROR(B175+B177+B178+B179+B180+B181+B183+B184+B186+B187+B188+B189+B190+B191+B192+B194+B195, "NA")</f>
        <v>0</v>
      </c>
      <c r="C197" s="15" t="str">
        <f>IFERROR(B197/B444, "NA")</f>
        <v>NA</v>
      </c>
      <c r="D197" s="2"/>
      <c r="E197" s="14">
        <f>IFERROR(E175+E177+E178+E179+E180+E181+E183+E184+E186+E187+E188+E189+E190+E191+E192+E194+E195, "NA")</f>
        <v>0</v>
      </c>
      <c r="F197" s="15" t="str">
        <f>IFERROR(E197/E444, "NA")</f>
        <v>NA</v>
      </c>
      <c r="G197" s="2"/>
      <c r="H197" s="14">
        <f t="shared" si="48"/>
        <v>0</v>
      </c>
      <c r="I197" s="15" t="str">
        <f>IFERROR(H197/H444, "NA")</f>
        <v>NA</v>
      </c>
      <c r="J197" s="2"/>
      <c r="K197" s="14">
        <f>IFERROR(K175+K177+K178+K179+K180+K181+K183+K184+K186+K187+K188+K189+K190+K191+K192+K194+K195, "NA")</f>
        <v>0</v>
      </c>
      <c r="L197" s="15" t="str">
        <f>IFERROR(K197/K444, "NA")</f>
        <v>NA</v>
      </c>
      <c r="M197" s="2"/>
      <c r="N197" s="14">
        <f t="shared" si="49"/>
        <v>0</v>
      </c>
      <c r="O197" s="15" t="str">
        <f>IFERROR(N197/N444, "NA")</f>
        <v>NA</v>
      </c>
      <c r="P197" s="2"/>
      <c r="Q197" s="14">
        <f>IFERROR(Q175+Q177+Q178+Q179+Q180+Q181+Q183+Q184+Q186+Q187+Q188+Q189+Q190+Q191+Q192+Q194+Q195, "NA")</f>
        <v>0</v>
      </c>
      <c r="R197" s="15" t="str">
        <f>IFERROR(Q197/Q444, "NA")</f>
        <v>NA</v>
      </c>
      <c r="S197" s="2"/>
      <c r="T197" s="14">
        <f>IFERROR(T175+T177+T178+T179+T180+T181+T183+T184+T186+T187+T188+T189+T190+T191+T192+T194+T195, "NA")</f>
        <v>0</v>
      </c>
      <c r="U197" s="15" t="str">
        <f>IFERROR(T197/T444, "NA")</f>
        <v>NA</v>
      </c>
      <c r="V197" s="2"/>
      <c r="W197" s="14">
        <f t="shared" si="50"/>
        <v>0</v>
      </c>
      <c r="X197" s="15" t="str">
        <f>IFERROR(W197/W444, "NA")</f>
        <v>NA</v>
      </c>
      <c r="Y197" s="2"/>
      <c r="Z197" s="14">
        <f>IFERROR(Z175+Z177+Z178+Z179+Z180+Z181+Z183+Z184+Z186+Z187+Z188+Z189+Z190+Z191+Z192+Z194+Z195, "NA")</f>
        <v>0</v>
      </c>
      <c r="AA197" s="15" t="str">
        <f>IFERROR(Z197/Z444, "NA")</f>
        <v>NA</v>
      </c>
      <c r="AB197" s="2"/>
      <c r="AC197" s="14">
        <f t="shared" si="51"/>
        <v>0</v>
      </c>
      <c r="AD197" s="15" t="str">
        <f>IFERROR(AC197/AC444, "NA")</f>
        <v>NA</v>
      </c>
    </row>
    <row r="198" spans="1:30" ht="16.5" customHeight="1" x14ac:dyDescent="0.45">
      <c r="A198" s="22" t="s">
        <v>181</v>
      </c>
      <c r="B198" s="23">
        <f>IFERROR(B172-B197, "NA")</f>
        <v>0</v>
      </c>
      <c r="C198" s="24" t="str">
        <f>IFERROR(B198/B444, "NA")</f>
        <v>NA</v>
      </c>
      <c r="D198" s="25"/>
      <c r="E198" s="23">
        <f>IFERROR(E172-E197, "NA")</f>
        <v>0</v>
      </c>
      <c r="F198" s="24" t="str">
        <f>IFERROR(E198/E444, "NA")</f>
        <v>NA</v>
      </c>
      <c r="G198" s="25"/>
      <c r="H198" s="23">
        <f>IFERROR(B198-E198, "NA")</f>
        <v>0</v>
      </c>
      <c r="I198" s="24" t="str">
        <f>IFERROR(H198/H444, "NA")</f>
        <v>NA</v>
      </c>
      <c r="J198" s="25"/>
      <c r="K198" s="23">
        <f>IFERROR(K172-K197, "NA")</f>
        <v>0</v>
      </c>
      <c r="L198" s="24" t="str">
        <f>IFERROR(K198/K444, "NA")</f>
        <v>NA</v>
      </c>
      <c r="M198" s="25"/>
      <c r="N198" s="23">
        <f>IFERROR(B198-K198, "NA")</f>
        <v>0</v>
      </c>
      <c r="O198" s="24" t="str">
        <f>IFERROR(N198/N444, "NA")</f>
        <v>NA</v>
      </c>
      <c r="P198" s="25"/>
      <c r="Q198" s="23">
        <f>IFERROR(Q172-Q197, "NA")</f>
        <v>0</v>
      </c>
      <c r="R198" s="24" t="str">
        <f>IFERROR(Q198/Q444, "NA")</f>
        <v>NA</v>
      </c>
      <c r="S198" s="25"/>
      <c r="T198" s="23">
        <f>IFERROR(T172-T197, "NA")</f>
        <v>0</v>
      </c>
      <c r="U198" s="24" t="str">
        <f>IFERROR(T198/T444, "NA")</f>
        <v>NA</v>
      </c>
      <c r="V198" s="25"/>
      <c r="W198" s="23">
        <f>IFERROR(Q198-T198, "NA")</f>
        <v>0</v>
      </c>
      <c r="X198" s="24" t="str">
        <f>IFERROR(W198/W444, "NA")</f>
        <v>NA</v>
      </c>
      <c r="Y198" s="25"/>
      <c r="Z198" s="23">
        <f>IFERROR(Z172-Z197, "NA")</f>
        <v>0</v>
      </c>
      <c r="AA198" s="24" t="str">
        <f>IFERROR(Z198/Z444, "NA")</f>
        <v>NA</v>
      </c>
      <c r="AB198" s="25"/>
      <c r="AC198" s="23">
        <f>IFERROR(Q198-Z198, "NA")</f>
        <v>0</v>
      </c>
      <c r="AD198" s="24" t="str">
        <f>IFERROR(AC198/AC444, "NA")</f>
        <v>NA</v>
      </c>
    </row>
    <row r="199" spans="1:30" ht="16.5" customHeight="1" x14ac:dyDescent="0.45">
      <c r="A199" s="1" t="s">
        <v>182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45">
      <c r="A200" s="5" t="s">
        <v>183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45">
      <c r="A201" s="6" t="s">
        <v>183</v>
      </c>
      <c r="B201" s="7">
        <v>0</v>
      </c>
      <c r="C201" s="8" t="str">
        <f>IFERROR(B201/B444, "NA")</f>
        <v>NA</v>
      </c>
      <c r="D201" s="9"/>
      <c r="E201" s="7">
        <v>0</v>
      </c>
      <c r="F201" s="8" t="str">
        <f>IFERROR(E201/E444, "NA")</f>
        <v>NA</v>
      </c>
      <c r="G201" s="9"/>
      <c r="H201" s="10">
        <f t="shared" ref="H201:H209" si="52">IFERROR(-(B201-E201), "NA")</f>
        <v>0</v>
      </c>
      <c r="I201" s="8" t="str">
        <f>IFERROR(H201/H444, "NA")</f>
        <v>NA</v>
      </c>
      <c r="J201" s="9"/>
      <c r="K201" s="7">
        <v>0</v>
      </c>
      <c r="L201" s="8" t="str">
        <f>IFERROR(K201/K444, "NA")</f>
        <v>NA</v>
      </c>
      <c r="M201" s="9"/>
      <c r="N201" s="10">
        <f t="shared" ref="N201:N209" si="53">IFERROR(-(B201-K201), "NA")</f>
        <v>0</v>
      </c>
      <c r="O201" s="8" t="str">
        <f>IFERROR(N201/N444, "NA")</f>
        <v>NA</v>
      </c>
      <c r="P201" s="9"/>
      <c r="Q201" s="7">
        <v>0</v>
      </c>
      <c r="R201" s="8" t="str">
        <f>IFERROR(Q201/Q444, "NA")</f>
        <v>NA</v>
      </c>
      <c r="S201" s="9"/>
      <c r="T201" s="7">
        <v>0</v>
      </c>
      <c r="U201" s="8" t="str">
        <f>IFERROR(T201/T444, "NA")</f>
        <v>NA</v>
      </c>
      <c r="V201" s="9"/>
      <c r="W201" s="10">
        <f t="shared" ref="W201:W209" si="54">IFERROR(-(Q201-T201), "NA")</f>
        <v>0</v>
      </c>
      <c r="X201" s="8" t="str">
        <f>IFERROR(W201/W444, "NA")</f>
        <v>NA</v>
      </c>
      <c r="Y201" s="9"/>
      <c r="Z201" s="7">
        <v>0</v>
      </c>
      <c r="AA201" s="8" t="str">
        <f>IFERROR(Z201/Z444, "NA")</f>
        <v>NA</v>
      </c>
      <c r="AB201" s="9"/>
      <c r="AC201" s="10">
        <f t="shared" ref="AC201:AC209" si="55">IFERROR(-(Q201-Z201), "NA")</f>
        <v>0</v>
      </c>
      <c r="AD201" s="8" t="str">
        <f>IFERROR(AC201/AC444, "NA")</f>
        <v>NA</v>
      </c>
    </row>
    <row r="202" spans="1:30" ht="16.5" hidden="1" customHeight="1" x14ac:dyDescent="0.45">
      <c r="A202" s="6" t="s">
        <v>184</v>
      </c>
      <c r="B202" s="7">
        <v>0</v>
      </c>
      <c r="C202" s="8" t="str">
        <f>IFERROR(B202/B444, "NA")</f>
        <v>NA</v>
      </c>
      <c r="D202" s="9"/>
      <c r="E202" s="7">
        <v>0</v>
      </c>
      <c r="F202" s="8" t="str">
        <f>IFERROR(E202/E444, "NA")</f>
        <v>NA</v>
      </c>
      <c r="G202" s="9"/>
      <c r="H202" s="10">
        <f t="shared" si="52"/>
        <v>0</v>
      </c>
      <c r="I202" s="8" t="str">
        <f>IFERROR(H202/H444, "NA")</f>
        <v>NA</v>
      </c>
      <c r="J202" s="9"/>
      <c r="K202" s="7">
        <v>0</v>
      </c>
      <c r="L202" s="8" t="str">
        <f>IFERROR(K202/K444, "NA")</f>
        <v>NA</v>
      </c>
      <c r="M202" s="9"/>
      <c r="N202" s="10">
        <f t="shared" si="53"/>
        <v>0</v>
      </c>
      <c r="O202" s="8" t="str">
        <f>IFERROR(N202/N444, "NA")</f>
        <v>NA</v>
      </c>
      <c r="P202" s="9"/>
      <c r="Q202" s="7">
        <v>0</v>
      </c>
      <c r="R202" s="8" t="str">
        <f>IFERROR(Q202/Q444, "NA")</f>
        <v>NA</v>
      </c>
      <c r="S202" s="9"/>
      <c r="T202" s="7">
        <v>0</v>
      </c>
      <c r="U202" s="8" t="str">
        <f>IFERROR(T202/T444, "NA")</f>
        <v>NA</v>
      </c>
      <c r="V202" s="9"/>
      <c r="W202" s="10">
        <f t="shared" si="54"/>
        <v>0</v>
      </c>
      <c r="X202" s="8" t="str">
        <f>IFERROR(W202/W444, "NA")</f>
        <v>NA</v>
      </c>
      <c r="Y202" s="9"/>
      <c r="Z202" s="7">
        <v>0</v>
      </c>
      <c r="AA202" s="8" t="str">
        <f>IFERROR(Z202/Z444, "NA")</f>
        <v>NA</v>
      </c>
      <c r="AB202" s="9"/>
      <c r="AC202" s="10">
        <f t="shared" si="55"/>
        <v>0</v>
      </c>
      <c r="AD202" s="8" t="str">
        <f>IFERROR(AC202/AC444, "NA")</f>
        <v>NA</v>
      </c>
    </row>
    <row r="203" spans="1:30" ht="16.5" hidden="1" customHeight="1" x14ac:dyDescent="0.45">
      <c r="A203" s="6" t="s">
        <v>185</v>
      </c>
      <c r="B203" s="7">
        <v>0</v>
      </c>
      <c r="C203" s="8" t="str">
        <f>IFERROR(B203/B444, "NA")</f>
        <v>NA</v>
      </c>
      <c r="D203" s="9"/>
      <c r="E203" s="7">
        <v>0</v>
      </c>
      <c r="F203" s="8" t="str">
        <f>IFERROR(E203/E444, "NA")</f>
        <v>NA</v>
      </c>
      <c r="G203" s="9"/>
      <c r="H203" s="10">
        <f t="shared" si="52"/>
        <v>0</v>
      </c>
      <c r="I203" s="8" t="str">
        <f>IFERROR(H203/H444, "NA")</f>
        <v>NA</v>
      </c>
      <c r="J203" s="9"/>
      <c r="K203" s="7">
        <v>0</v>
      </c>
      <c r="L203" s="8" t="str">
        <f>IFERROR(K203/K444, "NA")</f>
        <v>NA</v>
      </c>
      <c r="M203" s="9"/>
      <c r="N203" s="10">
        <f t="shared" si="53"/>
        <v>0</v>
      </c>
      <c r="O203" s="8" t="str">
        <f>IFERROR(N203/N444, "NA")</f>
        <v>NA</v>
      </c>
      <c r="P203" s="9"/>
      <c r="Q203" s="7">
        <v>0</v>
      </c>
      <c r="R203" s="8" t="str">
        <f>IFERROR(Q203/Q444, "NA")</f>
        <v>NA</v>
      </c>
      <c r="S203" s="9"/>
      <c r="T203" s="7">
        <v>0</v>
      </c>
      <c r="U203" s="8" t="str">
        <f>IFERROR(T203/T444, "NA")</f>
        <v>NA</v>
      </c>
      <c r="V203" s="9"/>
      <c r="W203" s="10">
        <f t="shared" si="54"/>
        <v>0</v>
      </c>
      <c r="X203" s="8" t="str">
        <f>IFERROR(W203/W444, "NA")</f>
        <v>NA</v>
      </c>
      <c r="Y203" s="9"/>
      <c r="Z203" s="7">
        <v>0</v>
      </c>
      <c r="AA203" s="8" t="str">
        <f>IFERROR(Z203/Z444, "NA")</f>
        <v>NA</v>
      </c>
      <c r="AB203" s="9"/>
      <c r="AC203" s="10">
        <f t="shared" si="55"/>
        <v>0</v>
      </c>
      <c r="AD203" s="8" t="str">
        <f>IFERROR(AC203/AC444, "NA")</f>
        <v>NA</v>
      </c>
    </row>
    <row r="204" spans="1:30" ht="16.5" hidden="1" customHeight="1" x14ac:dyDescent="0.45">
      <c r="A204" s="6" t="s">
        <v>186</v>
      </c>
      <c r="B204" s="7">
        <v>0</v>
      </c>
      <c r="C204" s="8" t="str">
        <f>IFERROR(B204/B444, "NA")</f>
        <v>NA</v>
      </c>
      <c r="D204" s="9"/>
      <c r="E204" s="7">
        <v>0</v>
      </c>
      <c r="F204" s="8" t="str">
        <f>IFERROR(E204/E444, "NA")</f>
        <v>NA</v>
      </c>
      <c r="G204" s="9"/>
      <c r="H204" s="10">
        <f t="shared" si="52"/>
        <v>0</v>
      </c>
      <c r="I204" s="8" t="str">
        <f>IFERROR(H204/H444, "NA")</f>
        <v>NA</v>
      </c>
      <c r="J204" s="9"/>
      <c r="K204" s="7">
        <v>0</v>
      </c>
      <c r="L204" s="8" t="str">
        <f>IFERROR(K204/K444, "NA")</f>
        <v>NA</v>
      </c>
      <c r="M204" s="9"/>
      <c r="N204" s="10">
        <f t="shared" si="53"/>
        <v>0</v>
      </c>
      <c r="O204" s="8" t="str">
        <f>IFERROR(N204/N444, "NA")</f>
        <v>NA</v>
      </c>
      <c r="P204" s="9"/>
      <c r="Q204" s="7">
        <v>0</v>
      </c>
      <c r="R204" s="8" t="str">
        <f>IFERROR(Q204/Q444, "NA")</f>
        <v>NA</v>
      </c>
      <c r="S204" s="9"/>
      <c r="T204" s="7">
        <v>0</v>
      </c>
      <c r="U204" s="8" t="str">
        <f>IFERROR(T204/T444, "NA")</f>
        <v>NA</v>
      </c>
      <c r="V204" s="9"/>
      <c r="W204" s="10">
        <f t="shared" si="54"/>
        <v>0</v>
      </c>
      <c r="X204" s="8" t="str">
        <f>IFERROR(W204/W444, "NA")</f>
        <v>NA</v>
      </c>
      <c r="Y204" s="9"/>
      <c r="Z204" s="7">
        <v>0</v>
      </c>
      <c r="AA204" s="8" t="str">
        <f>IFERROR(Z204/Z444, "NA")</f>
        <v>NA</v>
      </c>
      <c r="AB204" s="9"/>
      <c r="AC204" s="10">
        <f t="shared" si="55"/>
        <v>0</v>
      </c>
      <c r="AD204" s="8" t="str">
        <f>IFERROR(AC204/AC444, "NA")</f>
        <v>NA</v>
      </c>
    </row>
    <row r="205" spans="1:30" ht="16.5" hidden="1" customHeight="1" x14ac:dyDescent="0.45">
      <c r="A205" s="6" t="s">
        <v>187</v>
      </c>
      <c r="B205" s="7">
        <v>0</v>
      </c>
      <c r="C205" s="8" t="str">
        <f>IFERROR(B205/B444, "NA")</f>
        <v>NA</v>
      </c>
      <c r="D205" s="9"/>
      <c r="E205" s="7">
        <v>0</v>
      </c>
      <c r="F205" s="8" t="str">
        <f>IFERROR(E205/E444, "NA")</f>
        <v>NA</v>
      </c>
      <c r="G205" s="9"/>
      <c r="H205" s="10">
        <f t="shared" si="52"/>
        <v>0</v>
      </c>
      <c r="I205" s="8" t="str">
        <f>IFERROR(H205/H444, "NA")</f>
        <v>NA</v>
      </c>
      <c r="J205" s="9"/>
      <c r="K205" s="7">
        <v>0</v>
      </c>
      <c r="L205" s="8" t="str">
        <f>IFERROR(K205/K444, "NA")</f>
        <v>NA</v>
      </c>
      <c r="M205" s="9"/>
      <c r="N205" s="10">
        <f t="shared" si="53"/>
        <v>0</v>
      </c>
      <c r="O205" s="8" t="str">
        <f>IFERROR(N205/N444, "NA")</f>
        <v>NA</v>
      </c>
      <c r="P205" s="9"/>
      <c r="Q205" s="7">
        <v>0</v>
      </c>
      <c r="R205" s="8" t="str">
        <f>IFERROR(Q205/Q444, "NA")</f>
        <v>NA</v>
      </c>
      <c r="S205" s="9"/>
      <c r="T205" s="7">
        <v>0</v>
      </c>
      <c r="U205" s="8" t="str">
        <f>IFERROR(T205/T444, "NA")</f>
        <v>NA</v>
      </c>
      <c r="V205" s="9"/>
      <c r="W205" s="10">
        <f t="shared" si="54"/>
        <v>0</v>
      </c>
      <c r="X205" s="8" t="str">
        <f>IFERROR(W205/W444, "NA")</f>
        <v>NA</v>
      </c>
      <c r="Y205" s="9"/>
      <c r="Z205" s="7">
        <v>0</v>
      </c>
      <c r="AA205" s="8" t="str">
        <f>IFERROR(Z205/Z444, "NA")</f>
        <v>NA</v>
      </c>
      <c r="AB205" s="9"/>
      <c r="AC205" s="10">
        <f t="shared" si="55"/>
        <v>0</v>
      </c>
      <c r="AD205" s="8" t="str">
        <f>IFERROR(AC205/AC444, "NA")</f>
        <v>NA</v>
      </c>
    </row>
    <row r="206" spans="1:30" ht="16.5" hidden="1" customHeight="1" x14ac:dyDescent="0.45">
      <c r="A206" s="6" t="s">
        <v>188</v>
      </c>
      <c r="B206" s="7">
        <v>0</v>
      </c>
      <c r="C206" s="8" t="str">
        <f>IFERROR(B206/B444, "NA")</f>
        <v>NA</v>
      </c>
      <c r="D206" s="9"/>
      <c r="E206" s="7">
        <v>0</v>
      </c>
      <c r="F206" s="8" t="str">
        <f>IFERROR(E206/E444, "NA")</f>
        <v>NA</v>
      </c>
      <c r="G206" s="9"/>
      <c r="H206" s="10">
        <f t="shared" si="52"/>
        <v>0</v>
      </c>
      <c r="I206" s="8" t="str">
        <f>IFERROR(H206/H444, "NA")</f>
        <v>NA</v>
      </c>
      <c r="J206" s="9"/>
      <c r="K206" s="7">
        <v>0</v>
      </c>
      <c r="L206" s="8" t="str">
        <f>IFERROR(K206/K444, "NA")</f>
        <v>NA</v>
      </c>
      <c r="M206" s="9"/>
      <c r="N206" s="10">
        <f t="shared" si="53"/>
        <v>0</v>
      </c>
      <c r="O206" s="8" t="str">
        <f>IFERROR(N206/N444, "NA")</f>
        <v>NA</v>
      </c>
      <c r="P206" s="9"/>
      <c r="Q206" s="7">
        <v>0</v>
      </c>
      <c r="R206" s="8" t="str">
        <f>IFERROR(Q206/Q444, "NA")</f>
        <v>NA</v>
      </c>
      <c r="S206" s="9"/>
      <c r="T206" s="7">
        <v>0</v>
      </c>
      <c r="U206" s="8" t="str">
        <f>IFERROR(T206/T444, "NA")</f>
        <v>NA</v>
      </c>
      <c r="V206" s="9"/>
      <c r="W206" s="10">
        <f t="shared" si="54"/>
        <v>0</v>
      </c>
      <c r="X206" s="8" t="str">
        <f>IFERROR(W206/W444, "NA")</f>
        <v>NA</v>
      </c>
      <c r="Y206" s="9"/>
      <c r="Z206" s="7">
        <v>0</v>
      </c>
      <c r="AA206" s="8" t="str">
        <f>IFERROR(Z206/Z444, "NA")</f>
        <v>NA</v>
      </c>
      <c r="AB206" s="9"/>
      <c r="AC206" s="10">
        <f t="shared" si="55"/>
        <v>0</v>
      </c>
      <c r="AD206" s="8" t="str">
        <f>IFERROR(AC206/AC444, "NA")</f>
        <v>NA</v>
      </c>
    </row>
    <row r="207" spans="1:30" ht="16.5" hidden="1" customHeight="1" x14ac:dyDescent="0.45">
      <c r="A207" s="6" t="s">
        <v>189</v>
      </c>
      <c r="B207" s="7">
        <v>0</v>
      </c>
      <c r="C207" s="8" t="str">
        <f>IFERROR(B207/B444, "NA")</f>
        <v>NA</v>
      </c>
      <c r="D207" s="9"/>
      <c r="E207" s="7">
        <v>0</v>
      </c>
      <c r="F207" s="8" t="str">
        <f>IFERROR(E207/E444, "NA")</f>
        <v>NA</v>
      </c>
      <c r="G207" s="9"/>
      <c r="H207" s="10">
        <f t="shared" si="52"/>
        <v>0</v>
      </c>
      <c r="I207" s="8" t="str">
        <f>IFERROR(H207/H444, "NA")</f>
        <v>NA</v>
      </c>
      <c r="J207" s="9"/>
      <c r="K207" s="7">
        <v>0</v>
      </c>
      <c r="L207" s="8" t="str">
        <f>IFERROR(K207/K444, "NA")</f>
        <v>NA</v>
      </c>
      <c r="M207" s="9"/>
      <c r="N207" s="10">
        <f t="shared" si="53"/>
        <v>0</v>
      </c>
      <c r="O207" s="8" t="str">
        <f>IFERROR(N207/N444, "NA")</f>
        <v>NA</v>
      </c>
      <c r="P207" s="9"/>
      <c r="Q207" s="7">
        <v>0</v>
      </c>
      <c r="R207" s="8" t="str">
        <f>IFERROR(Q207/Q444, "NA")</f>
        <v>NA</v>
      </c>
      <c r="S207" s="9"/>
      <c r="T207" s="7">
        <v>0</v>
      </c>
      <c r="U207" s="8" t="str">
        <f>IFERROR(T207/T444, "NA")</f>
        <v>NA</v>
      </c>
      <c r="V207" s="9"/>
      <c r="W207" s="10">
        <f t="shared" si="54"/>
        <v>0</v>
      </c>
      <c r="X207" s="8" t="str">
        <f>IFERROR(W207/W444, "NA")</f>
        <v>NA</v>
      </c>
      <c r="Y207" s="9"/>
      <c r="Z207" s="7">
        <v>0</v>
      </c>
      <c r="AA207" s="8" t="str">
        <f>IFERROR(Z207/Z444, "NA")</f>
        <v>NA</v>
      </c>
      <c r="AB207" s="9"/>
      <c r="AC207" s="10">
        <f t="shared" si="55"/>
        <v>0</v>
      </c>
      <c r="AD207" s="8" t="str">
        <f>IFERROR(AC207/AC444, "NA")</f>
        <v>NA</v>
      </c>
    </row>
    <row r="208" spans="1:30" ht="16.5" hidden="1" customHeight="1" x14ac:dyDescent="0.45">
      <c r="A208" s="6" t="s">
        <v>190</v>
      </c>
      <c r="B208" s="7">
        <v>0</v>
      </c>
      <c r="C208" s="8" t="str">
        <f>IFERROR(B208/B444, "NA")</f>
        <v>NA</v>
      </c>
      <c r="D208" s="9"/>
      <c r="E208" s="7">
        <v>0</v>
      </c>
      <c r="F208" s="8" t="str">
        <f>IFERROR(E208/E444, "NA")</f>
        <v>NA</v>
      </c>
      <c r="G208" s="9"/>
      <c r="H208" s="10">
        <f t="shared" si="52"/>
        <v>0</v>
      </c>
      <c r="I208" s="8" t="str">
        <f>IFERROR(H208/H444, "NA")</f>
        <v>NA</v>
      </c>
      <c r="J208" s="9"/>
      <c r="K208" s="7">
        <v>0</v>
      </c>
      <c r="L208" s="8" t="str">
        <f>IFERROR(K208/K444, "NA")</f>
        <v>NA</v>
      </c>
      <c r="M208" s="9"/>
      <c r="N208" s="10">
        <f t="shared" si="53"/>
        <v>0</v>
      </c>
      <c r="O208" s="8" t="str">
        <f>IFERROR(N208/N444, "NA")</f>
        <v>NA</v>
      </c>
      <c r="P208" s="9"/>
      <c r="Q208" s="7">
        <v>0</v>
      </c>
      <c r="R208" s="8" t="str">
        <f>IFERROR(Q208/Q444, "NA")</f>
        <v>NA</v>
      </c>
      <c r="S208" s="9"/>
      <c r="T208" s="7">
        <v>0</v>
      </c>
      <c r="U208" s="8" t="str">
        <f>IFERROR(T208/T444, "NA")</f>
        <v>NA</v>
      </c>
      <c r="V208" s="9"/>
      <c r="W208" s="10">
        <f t="shared" si="54"/>
        <v>0</v>
      </c>
      <c r="X208" s="8" t="str">
        <f>IFERROR(W208/W444, "NA")</f>
        <v>NA</v>
      </c>
      <c r="Y208" s="9"/>
      <c r="Z208" s="7">
        <v>0</v>
      </c>
      <c r="AA208" s="8" t="str">
        <f>IFERROR(Z208/Z444, "NA")</f>
        <v>NA</v>
      </c>
      <c r="AB208" s="9"/>
      <c r="AC208" s="10">
        <f t="shared" si="55"/>
        <v>0</v>
      </c>
      <c r="AD208" s="8" t="str">
        <f>IFERROR(AC208/AC444, "NA")</f>
        <v>NA</v>
      </c>
    </row>
    <row r="209" spans="1:30" ht="16.5" customHeight="1" x14ac:dyDescent="0.45">
      <c r="A209" s="19" t="s">
        <v>191</v>
      </c>
      <c r="B209" s="14">
        <f>IFERROR(B201+B202+B203+B204+B205+B206+B207+B208, "NA")</f>
        <v>0</v>
      </c>
      <c r="C209" s="15" t="str">
        <f>IFERROR(B209/B444, "NA")</f>
        <v>NA</v>
      </c>
      <c r="D209" s="2"/>
      <c r="E209" s="14">
        <f>IFERROR(E201+E202+E203+E204+E205+E206+E207+E208, "NA")</f>
        <v>0</v>
      </c>
      <c r="F209" s="15" t="str">
        <f>IFERROR(E209/E444, "NA")</f>
        <v>NA</v>
      </c>
      <c r="G209" s="2"/>
      <c r="H209" s="14">
        <f t="shared" si="52"/>
        <v>0</v>
      </c>
      <c r="I209" s="15" t="str">
        <f>IFERROR(H209/H444, "NA")</f>
        <v>NA</v>
      </c>
      <c r="J209" s="2"/>
      <c r="K209" s="14">
        <f>IFERROR(K201+K202+K203+K204+K205+K206+K207+K208, "NA")</f>
        <v>0</v>
      </c>
      <c r="L209" s="15" t="str">
        <f>IFERROR(K209/K444, "NA")</f>
        <v>NA</v>
      </c>
      <c r="M209" s="2"/>
      <c r="N209" s="14">
        <f t="shared" si="53"/>
        <v>0</v>
      </c>
      <c r="O209" s="15" t="str">
        <f>IFERROR(N209/N444, "NA")</f>
        <v>NA</v>
      </c>
      <c r="P209" s="2"/>
      <c r="Q209" s="14">
        <f>IFERROR(Q201+Q202+Q203+Q204+Q205+Q206+Q207+Q208, "NA")</f>
        <v>0</v>
      </c>
      <c r="R209" s="15" t="str">
        <f>IFERROR(Q209/Q444, "NA")</f>
        <v>NA</v>
      </c>
      <c r="S209" s="2"/>
      <c r="T209" s="14">
        <f>IFERROR(T201+T202+T203+T204+T205+T206+T207+T208, "NA")</f>
        <v>0</v>
      </c>
      <c r="U209" s="15" t="str">
        <f>IFERROR(T209/T444, "NA")</f>
        <v>NA</v>
      </c>
      <c r="V209" s="2"/>
      <c r="W209" s="14">
        <f t="shared" si="54"/>
        <v>0</v>
      </c>
      <c r="X209" s="15" t="str">
        <f>IFERROR(W209/W444, "NA")</f>
        <v>NA</v>
      </c>
      <c r="Y209" s="2"/>
      <c r="Z209" s="14">
        <f>IFERROR(Z201+Z202+Z203+Z204+Z205+Z206+Z207+Z208, "NA")</f>
        <v>0</v>
      </c>
      <c r="AA209" s="15" t="str">
        <f>IFERROR(Z209/Z444, "NA")</f>
        <v>NA</v>
      </c>
      <c r="AB209" s="2"/>
      <c r="AC209" s="14">
        <f t="shared" si="55"/>
        <v>0</v>
      </c>
      <c r="AD209" s="15" t="str">
        <f>IFERROR(AC209/AC444, "NA")</f>
        <v>NA</v>
      </c>
    </row>
    <row r="210" spans="1:30" ht="16.5" customHeight="1" x14ac:dyDescent="0.45">
      <c r="A210" s="5" t="s">
        <v>192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45">
      <c r="A211" s="6" t="s">
        <v>192</v>
      </c>
      <c r="B211" s="7">
        <v>0</v>
      </c>
      <c r="C211" s="8" t="str">
        <f>IFERROR(B211/B444, "NA")</f>
        <v>NA</v>
      </c>
      <c r="D211" s="9"/>
      <c r="E211" s="7">
        <v>0</v>
      </c>
      <c r="F211" s="8" t="str">
        <f>IFERROR(E211/E444, "NA")</f>
        <v>NA</v>
      </c>
      <c r="G211" s="9"/>
      <c r="H211" s="10">
        <f>IFERROR(-(B211-E211), "NA")</f>
        <v>0</v>
      </c>
      <c r="I211" s="8" t="str">
        <f>IFERROR(H211/H444, "NA")</f>
        <v>NA</v>
      </c>
      <c r="J211" s="9"/>
      <c r="K211" s="7">
        <v>0</v>
      </c>
      <c r="L211" s="8" t="str">
        <f>IFERROR(K211/K444, "NA")</f>
        <v>NA</v>
      </c>
      <c r="M211" s="9"/>
      <c r="N211" s="10">
        <f>IFERROR(-(B211-K211), "NA")</f>
        <v>0</v>
      </c>
      <c r="O211" s="8" t="str">
        <f>IFERROR(N211/N444, "NA")</f>
        <v>NA</v>
      </c>
      <c r="P211" s="9"/>
      <c r="Q211" s="7">
        <v>0</v>
      </c>
      <c r="R211" s="8" t="str">
        <f>IFERROR(Q211/Q444, "NA")</f>
        <v>NA</v>
      </c>
      <c r="S211" s="9"/>
      <c r="T211" s="7">
        <v>0</v>
      </c>
      <c r="U211" s="8" t="str">
        <f>IFERROR(T211/T444, "NA")</f>
        <v>NA</v>
      </c>
      <c r="V211" s="9"/>
      <c r="W211" s="10">
        <f>IFERROR(-(Q211-T211), "NA")</f>
        <v>0</v>
      </c>
      <c r="X211" s="8" t="str">
        <f>IFERROR(W211/W444, "NA")</f>
        <v>NA</v>
      </c>
      <c r="Y211" s="9"/>
      <c r="Z211" s="7">
        <v>0</v>
      </c>
      <c r="AA211" s="8" t="str">
        <f>IFERROR(Z211/Z444, "NA")</f>
        <v>NA</v>
      </c>
      <c r="AB211" s="9"/>
      <c r="AC211" s="10">
        <f>IFERROR(-(Q211-Z211), "NA")</f>
        <v>0</v>
      </c>
      <c r="AD211" s="8" t="str">
        <f>IFERROR(AC211/AC444, "NA")</f>
        <v>NA</v>
      </c>
    </row>
    <row r="212" spans="1:30" ht="16.5" customHeight="1" x14ac:dyDescent="0.45">
      <c r="A212" s="11" t="s">
        <v>193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hidden="1" customHeight="1" x14ac:dyDescent="0.45">
      <c r="A213" s="12" t="s">
        <v>193</v>
      </c>
      <c r="B213" s="7">
        <v>0</v>
      </c>
      <c r="C213" s="8" t="str">
        <f>IFERROR(B213/B444, "NA")</f>
        <v>NA</v>
      </c>
      <c r="D213" s="9"/>
      <c r="E213" s="7">
        <v>0</v>
      </c>
      <c r="F213" s="8" t="str">
        <f>IFERROR(E213/E444, "NA")</f>
        <v>NA</v>
      </c>
      <c r="G213" s="9"/>
      <c r="H213" s="10">
        <f t="shared" ref="H213:H227" si="56">IFERROR(-(B213-E213), "NA")</f>
        <v>0</v>
      </c>
      <c r="I213" s="8" t="str">
        <f>IFERROR(H213/H444, "NA")</f>
        <v>NA</v>
      </c>
      <c r="J213" s="9"/>
      <c r="K213" s="7">
        <v>0</v>
      </c>
      <c r="L213" s="8" t="str">
        <f>IFERROR(K213/K444, "NA")</f>
        <v>NA</v>
      </c>
      <c r="M213" s="9"/>
      <c r="N213" s="10">
        <f t="shared" ref="N213:N227" si="57">IFERROR(-(B213-K213), "NA")</f>
        <v>0</v>
      </c>
      <c r="O213" s="8" t="str">
        <f>IFERROR(N213/N444, "NA")</f>
        <v>NA</v>
      </c>
      <c r="P213" s="9"/>
      <c r="Q213" s="7">
        <v>0</v>
      </c>
      <c r="R213" s="8" t="str">
        <f>IFERROR(Q213/Q444, "NA")</f>
        <v>NA</v>
      </c>
      <c r="S213" s="9"/>
      <c r="T213" s="7">
        <v>0</v>
      </c>
      <c r="U213" s="8" t="str">
        <f>IFERROR(T213/T444, "NA")</f>
        <v>NA</v>
      </c>
      <c r="V213" s="9"/>
      <c r="W213" s="10">
        <f t="shared" ref="W213:W227" si="58">IFERROR(-(Q213-T213), "NA")</f>
        <v>0</v>
      </c>
      <c r="X213" s="8" t="str">
        <f>IFERROR(W213/W444, "NA")</f>
        <v>NA</v>
      </c>
      <c r="Y213" s="9"/>
      <c r="Z213" s="7">
        <v>0</v>
      </c>
      <c r="AA213" s="8" t="str">
        <f>IFERROR(Z213/Z444, "NA")</f>
        <v>NA</v>
      </c>
      <c r="AB213" s="9"/>
      <c r="AC213" s="10">
        <f t="shared" ref="AC213:AC227" si="59">IFERROR(-(Q213-Z213), "NA")</f>
        <v>0</v>
      </c>
      <c r="AD213" s="8" t="str">
        <f>IFERROR(AC213/AC444, "NA")</f>
        <v>NA</v>
      </c>
    </row>
    <row r="214" spans="1:30" ht="16.5" hidden="1" customHeight="1" x14ac:dyDescent="0.45">
      <c r="A214" s="12" t="s">
        <v>194</v>
      </c>
      <c r="B214" s="7">
        <v>0</v>
      </c>
      <c r="C214" s="8" t="str">
        <f>IFERROR(B214/B444, "NA")</f>
        <v>NA</v>
      </c>
      <c r="D214" s="9"/>
      <c r="E214" s="7">
        <v>0</v>
      </c>
      <c r="F214" s="8" t="str">
        <f>IFERROR(E214/E444, "NA")</f>
        <v>NA</v>
      </c>
      <c r="G214" s="9"/>
      <c r="H214" s="10">
        <f t="shared" si="56"/>
        <v>0</v>
      </c>
      <c r="I214" s="8" t="str">
        <f>IFERROR(H214/H444, "NA")</f>
        <v>NA</v>
      </c>
      <c r="J214" s="9"/>
      <c r="K214" s="7">
        <v>0</v>
      </c>
      <c r="L214" s="8" t="str">
        <f>IFERROR(K214/K444, "NA")</f>
        <v>NA</v>
      </c>
      <c r="M214" s="9"/>
      <c r="N214" s="10">
        <f t="shared" si="57"/>
        <v>0</v>
      </c>
      <c r="O214" s="8" t="str">
        <f>IFERROR(N214/N444, "NA")</f>
        <v>NA</v>
      </c>
      <c r="P214" s="9"/>
      <c r="Q214" s="7">
        <v>0</v>
      </c>
      <c r="R214" s="8" t="str">
        <f>IFERROR(Q214/Q444, "NA")</f>
        <v>NA</v>
      </c>
      <c r="S214" s="9"/>
      <c r="T214" s="7">
        <v>0</v>
      </c>
      <c r="U214" s="8" t="str">
        <f>IFERROR(T214/T444, "NA")</f>
        <v>NA</v>
      </c>
      <c r="V214" s="9"/>
      <c r="W214" s="10">
        <f t="shared" si="58"/>
        <v>0</v>
      </c>
      <c r="X214" s="8" t="str">
        <f>IFERROR(W214/W444, "NA")</f>
        <v>NA</v>
      </c>
      <c r="Y214" s="9"/>
      <c r="Z214" s="7">
        <v>0</v>
      </c>
      <c r="AA214" s="8" t="str">
        <f>IFERROR(Z214/Z444, "NA")</f>
        <v>NA</v>
      </c>
      <c r="AB214" s="9"/>
      <c r="AC214" s="10">
        <f t="shared" si="59"/>
        <v>0</v>
      </c>
      <c r="AD214" s="8" t="str">
        <f>IFERROR(AC214/AC444, "NA")</f>
        <v>NA</v>
      </c>
    </row>
    <row r="215" spans="1:30" ht="16.5" hidden="1" customHeight="1" x14ac:dyDescent="0.45">
      <c r="A215" s="12" t="s">
        <v>195</v>
      </c>
      <c r="B215" s="7">
        <v>0</v>
      </c>
      <c r="C215" s="8" t="str">
        <f>IFERROR(B215/B444, "NA")</f>
        <v>NA</v>
      </c>
      <c r="D215" s="9"/>
      <c r="E215" s="7">
        <v>0</v>
      </c>
      <c r="F215" s="8" t="str">
        <f>IFERROR(E215/E444, "NA")</f>
        <v>NA</v>
      </c>
      <c r="G215" s="9"/>
      <c r="H215" s="10">
        <f t="shared" si="56"/>
        <v>0</v>
      </c>
      <c r="I215" s="8" t="str">
        <f>IFERROR(H215/H444, "NA")</f>
        <v>NA</v>
      </c>
      <c r="J215" s="9"/>
      <c r="K215" s="7">
        <v>0</v>
      </c>
      <c r="L215" s="8" t="str">
        <f>IFERROR(K215/K444, "NA")</f>
        <v>NA</v>
      </c>
      <c r="M215" s="9"/>
      <c r="N215" s="10">
        <f t="shared" si="57"/>
        <v>0</v>
      </c>
      <c r="O215" s="8" t="str">
        <f>IFERROR(N215/N444, "NA")</f>
        <v>NA</v>
      </c>
      <c r="P215" s="9"/>
      <c r="Q215" s="7">
        <v>0</v>
      </c>
      <c r="R215" s="8" t="str">
        <f>IFERROR(Q215/Q444, "NA")</f>
        <v>NA</v>
      </c>
      <c r="S215" s="9"/>
      <c r="T215" s="7">
        <v>0</v>
      </c>
      <c r="U215" s="8" t="str">
        <f>IFERROR(T215/T444, "NA")</f>
        <v>NA</v>
      </c>
      <c r="V215" s="9"/>
      <c r="W215" s="10">
        <f t="shared" si="58"/>
        <v>0</v>
      </c>
      <c r="X215" s="8" t="str">
        <f>IFERROR(W215/W444, "NA")</f>
        <v>NA</v>
      </c>
      <c r="Y215" s="9"/>
      <c r="Z215" s="7">
        <v>0</v>
      </c>
      <c r="AA215" s="8" t="str">
        <f>IFERROR(Z215/Z444, "NA")</f>
        <v>NA</v>
      </c>
      <c r="AB215" s="9"/>
      <c r="AC215" s="10">
        <f t="shared" si="59"/>
        <v>0</v>
      </c>
      <c r="AD215" s="8" t="str">
        <f>IFERROR(AC215/AC444, "NA")</f>
        <v>NA</v>
      </c>
    </row>
    <row r="216" spans="1:30" ht="16.5" hidden="1" customHeight="1" x14ac:dyDescent="0.45">
      <c r="A216" s="12" t="s">
        <v>196</v>
      </c>
      <c r="B216" s="7">
        <v>0</v>
      </c>
      <c r="C216" s="8" t="str">
        <f>IFERROR(B216/B444, "NA")</f>
        <v>NA</v>
      </c>
      <c r="D216" s="9"/>
      <c r="E216" s="7">
        <v>0</v>
      </c>
      <c r="F216" s="8" t="str">
        <f>IFERROR(E216/E444, "NA")</f>
        <v>NA</v>
      </c>
      <c r="G216" s="9"/>
      <c r="H216" s="10">
        <f t="shared" si="56"/>
        <v>0</v>
      </c>
      <c r="I216" s="8" t="str">
        <f>IFERROR(H216/H444, "NA")</f>
        <v>NA</v>
      </c>
      <c r="J216" s="9"/>
      <c r="K216" s="7">
        <v>0</v>
      </c>
      <c r="L216" s="8" t="str">
        <f>IFERROR(K216/K444, "NA")</f>
        <v>NA</v>
      </c>
      <c r="M216" s="9"/>
      <c r="N216" s="10">
        <f t="shared" si="57"/>
        <v>0</v>
      </c>
      <c r="O216" s="8" t="str">
        <f>IFERROR(N216/N444, "NA")</f>
        <v>NA</v>
      </c>
      <c r="P216" s="9"/>
      <c r="Q216" s="7">
        <v>0</v>
      </c>
      <c r="R216" s="8" t="str">
        <f>IFERROR(Q216/Q444, "NA")</f>
        <v>NA</v>
      </c>
      <c r="S216" s="9"/>
      <c r="T216" s="7">
        <v>0</v>
      </c>
      <c r="U216" s="8" t="str">
        <f>IFERROR(T216/T444, "NA")</f>
        <v>NA</v>
      </c>
      <c r="V216" s="9"/>
      <c r="W216" s="10">
        <f t="shared" si="58"/>
        <v>0</v>
      </c>
      <c r="X216" s="8" t="str">
        <f>IFERROR(W216/W444, "NA")</f>
        <v>NA</v>
      </c>
      <c r="Y216" s="9"/>
      <c r="Z216" s="7">
        <v>0</v>
      </c>
      <c r="AA216" s="8" t="str">
        <f>IFERROR(Z216/Z444, "NA")</f>
        <v>NA</v>
      </c>
      <c r="AB216" s="9"/>
      <c r="AC216" s="10">
        <f t="shared" si="59"/>
        <v>0</v>
      </c>
      <c r="AD216" s="8" t="str">
        <f>IFERROR(AC216/AC444, "NA")</f>
        <v>NA</v>
      </c>
    </row>
    <row r="217" spans="1:30" ht="16.5" hidden="1" customHeight="1" x14ac:dyDescent="0.45">
      <c r="A217" s="12" t="s">
        <v>197</v>
      </c>
      <c r="B217" s="7">
        <v>0</v>
      </c>
      <c r="C217" s="8" t="str">
        <f>IFERROR(B217/B444, "NA")</f>
        <v>NA</v>
      </c>
      <c r="D217" s="9"/>
      <c r="E217" s="7">
        <v>0</v>
      </c>
      <c r="F217" s="8" t="str">
        <f>IFERROR(E217/E444, "NA")</f>
        <v>NA</v>
      </c>
      <c r="G217" s="9"/>
      <c r="H217" s="10">
        <f t="shared" si="56"/>
        <v>0</v>
      </c>
      <c r="I217" s="8" t="str">
        <f>IFERROR(H217/H444, "NA")</f>
        <v>NA</v>
      </c>
      <c r="J217" s="9"/>
      <c r="K217" s="7">
        <v>0</v>
      </c>
      <c r="L217" s="8" t="str">
        <f>IFERROR(K217/K444, "NA")</f>
        <v>NA</v>
      </c>
      <c r="M217" s="9"/>
      <c r="N217" s="10">
        <f t="shared" si="57"/>
        <v>0</v>
      </c>
      <c r="O217" s="8" t="str">
        <f>IFERROR(N217/N444, "NA")</f>
        <v>NA</v>
      </c>
      <c r="P217" s="9"/>
      <c r="Q217" s="7">
        <v>0</v>
      </c>
      <c r="R217" s="8" t="str">
        <f>IFERROR(Q217/Q444, "NA")</f>
        <v>NA</v>
      </c>
      <c r="S217" s="9"/>
      <c r="T217" s="7">
        <v>0</v>
      </c>
      <c r="U217" s="8" t="str">
        <f>IFERROR(T217/T444, "NA")</f>
        <v>NA</v>
      </c>
      <c r="V217" s="9"/>
      <c r="W217" s="10">
        <f t="shared" si="58"/>
        <v>0</v>
      </c>
      <c r="X217" s="8" t="str">
        <f>IFERROR(W217/W444, "NA")</f>
        <v>NA</v>
      </c>
      <c r="Y217" s="9"/>
      <c r="Z217" s="7">
        <v>0</v>
      </c>
      <c r="AA217" s="8" t="str">
        <f>IFERROR(Z217/Z444, "NA")</f>
        <v>NA</v>
      </c>
      <c r="AB217" s="9"/>
      <c r="AC217" s="10">
        <f t="shared" si="59"/>
        <v>0</v>
      </c>
      <c r="AD217" s="8" t="str">
        <f>IFERROR(AC217/AC444, "NA")</f>
        <v>NA</v>
      </c>
    </row>
    <row r="218" spans="1:30" ht="16.5" customHeight="1" x14ac:dyDescent="0.45">
      <c r="A218" s="13" t="s">
        <v>198</v>
      </c>
      <c r="B218" s="14">
        <f>IFERROR(B213+B214+B215+B216+B217, "NA")</f>
        <v>0</v>
      </c>
      <c r="C218" s="15" t="str">
        <f>IFERROR(B218/B444, "NA")</f>
        <v>NA</v>
      </c>
      <c r="D218" s="2"/>
      <c r="E218" s="14">
        <f>IFERROR(E213+E214+E215+E216+E217, "NA")</f>
        <v>0</v>
      </c>
      <c r="F218" s="15" t="str">
        <f>IFERROR(E218/E444, "NA")</f>
        <v>NA</v>
      </c>
      <c r="G218" s="2"/>
      <c r="H218" s="14">
        <f t="shared" si="56"/>
        <v>0</v>
      </c>
      <c r="I218" s="15" t="str">
        <f>IFERROR(H218/H444, "NA")</f>
        <v>NA</v>
      </c>
      <c r="J218" s="2"/>
      <c r="K218" s="14">
        <f>IFERROR(K213+K214+K215+K216+K217, "NA")</f>
        <v>0</v>
      </c>
      <c r="L218" s="15" t="str">
        <f>IFERROR(K218/K444, "NA")</f>
        <v>NA</v>
      </c>
      <c r="M218" s="2"/>
      <c r="N218" s="14">
        <f t="shared" si="57"/>
        <v>0</v>
      </c>
      <c r="O218" s="15" t="str">
        <f>IFERROR(N218/N444, "NA")</f>
        <v>NA</v>
      </c>
      <c r="P218" s="2"/>
      <c r="Q218" s="14">
        <f>IFERROR(Q213+Q214+Q215+Q216+Q217, "NA")</f>
        <v>0</v>
      </c>
      <c r="R218" s="15" t="str">
        <f>IFERROR(Q218/Q444, "NA")</f>
        <v>NA</v>
      </c>
      <c r="S218" s="2"/>
      <c r="T218" s="14">
        <f>IFERROR(T213+T214+T215+T216+T217, "NA")</f>
        <v>0</v>
      </c>
      <c r="U218" s="15" t="str">
        <f>IFERROR(T218/T444, "NA")</f>
        <v>NA</v>
      </c>
      <c r="V218" s="2"/>
      <c r="W218" s="14">
        <f t="shared" si="58"/>
        <v>0</v>
      </c>
      <c r="X218" s="15" t="str">
        <f>IFERROR(W218/W444, "NA")</f>
        <v>NA</v>
      </c>
      <c r="Y218" s="2"/>
      <c r="Z218" s="14">
        <f>IFERROR(Z213+Z214+Z215+Z216+Z217, "NA")</f>
        <v>0</v>
      </c>
      <c r="AA218" s="15" t="str">
        <f>IFERROR(Z218/Z444, "NA")</f>
        <v>NA</v>
      </c>
      <c r="AB218" s="2"/>
      <c r="AC218" s="14">
        <f t="shared" si="59"/>
        <v>0</v>
      </c>
      <c r="AD218" s="15" t="str">
        <f>IFERROR(AC218/AC444, "NA")</f>
        <v>NA</v>
      </c>
    </row>
    <row r="219" spans="1:30" ht="16.5" hidden="1" customHeight="1" x14ac:dyDescent="0.45">
      <c r="A219" s="6" t="s">
        <v>199</v>
      </c>
      <c r="B219" s="7">
        <v>0</v>
      </c>
      <c r="C219" s="8" t="str">
        <f>IFERROR(B219/B444, "NA")</f>
        <v>NA</v>
      </c>
      <c r="D219" s="9"/>
      <c r="E219" s="7">
        <v>0</v>
      </c>
      <c r="F219" s="8" t="str">
        <f>IFERROR(E219/E444, "NA")</f>
        <v>NA</v>
      </c>
      <c r="G219" s="9"/>
      <c r="H219" s="10">
        <f t="shared" si="56"/>
        <v>0</v>
      </c>
      <c r="I219" s="8" t="str">
        <f>IFERROR(H219/H444, "NA")</f>
        <v>NA</v>
      </c>
      <c r="J219" s="9"/>
      <c r="K219" s="7">
        <v>0</v>
      </c>
      <c r="L219" s="8" t="str">
        <f>IFERROR(K219/K444, "NA")</f>
        <v>NA</v>
      </c>
      <c r="M219" s="9"/>
      <c r="N219" s="10">
        <f t="shared" si="57"/>
        <v>0</v>
      </c>
      <c r="O219" s="8" t="str">
        <f>IFERROR(N219/N444, "NA")</f>
        <v>NA</v>
      </c>
      <c r="P219" s="9"/>
      <c r="Q219" s="7">
        <v>0</v>
      </c>
      <c r="R219" s="8" t="str">
        <f>IFERROR(Q219/Q444, "NA")</f>
        <v>NA</v>
      </c>
      <c r="S219" s="9"/>
      <c r="T219" s="7">
        <v>0</v>
      </c>
      <c r="U219" s="8" t="str">
        <f>IFERROR(T219/T444, "NA")</f>
        <v>NA</v>
      </c>
      <c r="V219" s="9"/>
      <c r="W219" s="10">
        <f t="shared" si="58"/>
        <v>0</v>
      </c>
      <c r="X219" s="8" t="str">
        <f>IFERROR(W219/W444, "NA")</f>
        <v>NA</v>
      </c>
      <c r="Y219" s="9"/>
      <c r="Z219" s="7">
        <v>0</v>
      </c>
      <c r="AA219" s="8" t="str">
        <f>IFERROR(Z219/Z444, "NA")</f>
        <v>NA</v>
      </c>
      <c r="AB219" s="9"/>
      <c r="AC219" s="10">
        <f t="shared" si="59"/>
        <v>0</v>
      </c>
      <c r="AD219" s="8" t="str">
        <f>IFERROR(AC219/AC444, "NA")</f>
        <v>NA</v>
      </c>
    </row>
    <row r="220" spans="1:30" ht="16.5" hidden="1" customHeight="1" x14ac:dyDescent="0.45">
      <c r="A220" s="6" t="s">
        <v>200</v>
      </c>
      <c r="B220" s="7">
        <v>0</v>
      </c>
      <c r="C220" s="8" t="str">
        <f>IFERROR(B220/B444, "NA")</f>
        <v>NA</v>
      </c>
      <c r="D220" s="9"/>
      <c r="E220" s="7">
        <v>0</v>
      </c>
      <c r="F220" s="8" t="str">
        <f>IFERROR(E220/E444, "NA")</f>
        <v>NA</v>
      </c>
      <c r="G220" s="9"/>
      <c r="H220" s="10">
        <f t="shared" si="56"/>
        <v>0</v>
      </c>
      <c r="I220" s="8" t="str">
        <f>IFERROR(H220/H444, "NA")</f>
        <v>NA</v>
      </c>
      <c r="J220" s="9"/>
      <c r="K220" s="7">
        <v>0</v>
      </c>
      <c r="L220" s="8" t="str">
        <f>IFERROR(K220/K444, "NA")</f>
        <v>NA</v>
      </c>
      <c r="M220" s="9"/>
      <c r="N220" s="10">
        <f t="shared" si="57"/>
        <v>0</v>
      </c>
      <c r="O220" s="8" t="str">
        <f>IFERROR(N220/N444, "NA")</f>
        <v>NA</v>
      </c>
      <c r="P220" s="9"/>
      <c r="Q220" s="7">
        <v>0</v>
      </c>
      <c r="R220" s="8" t="str">
        <f>IFERROR(Q220/Q444, "NA")</f>
        <v>NA</v>
      </c>
      <c r="S220" s="9"/>
      <c r="T220" s="7">
        <v>0</v>
      </c>
      <c r="U220" s="8" t="str">
        <f>IFERROR(T220/T444, "NA")</f>
        <v>NA</v>
      </c>
      <c r="V220" s="9"/>
      <c r="W220" s="10">
        <f t="shared" si="58"/>
        <v>0</v>
      </c>
      <c r="X220" s="8" t="str">
        <f>IFERROR(W220/W444, "NA")</f>
        <v>NA</v>
      </c>
      <c r="Y220" s="9"/>
      <c r="Z220" s="7">
        <v>0</v>
      </c>
      <c r="AA220" s="8" t="str">
        <f>IFERROR(Z220/Z444, "NA")</f>
        <v>NA</v>
      </c>
      <c r="AB220" s="9"/>
      <c r="AC220" s="10">
        <f t="shared" si="59"/>
        <v>0</v>
      </c>
      <c r="AD220" s="8" t="str">
        <f>IFERROR(AC220/AC444, "NA")</f>
        <v>NA</v>
      </c>
    </row>
    <row r="221" spans="1:30" ht="16.5" hidden="1" customHeight="1" x14ac:dyDescent="0.45">
      <c r="A221" s="6" t="s">
        <v>201</v>
      </c>
      <c r="B221" s="7">
        <v>0</v>
      </c>
      <c r="C221" s="8" t="str">
        <f>IFERROR(B221/B444, "NA")</f>
        <v>NA</v>
      </c>
      <c r="D221" s="9"/>
      <c r="E221" s="7">
        <v>0</v>
      </c>
      <c r="F221" s="8" t="str">
        <f>IFERROR(E221/E444, "NA")</f>
        <v>NA</v>
      </c>
      <c r="G221" s="9"/>
      <c r="H221" s="10">
        <f t="shared" si="56"/>
        <v>0</v>
      </c>
      <c r="I221" s="8" t="str">
        <f>IFERROR(H221/H444, "NA")</f>
        <v>NA</v>
      </c>
      <c r="J221" s="9"/>
      <c r="K221" s="7">
        <v>0</v>
      </c>
      <c r="L221" s="8" t="str">
        <f>IFERROR(K221/K444, "NA")</f>
        <v>NA</v>
      </c>
      <c r="M221" s="9"/>
      <c r="N221" s="10">
        <f t="shared" si="57"/>
        <v>0</v>
      </c>
      <c r="O221" s="8" t="str">
        <f>IFERROR(N221/N444, "NA")</f>
        <v>NA</v>
      </c>
      <c r="P221" s="9"/>
      <c r="Q221" s="7">
        <v>0</v>
      </c>
      <c r="R221" s="8" t="str">
        <f>IFERROR(Q221/Q444, "NA")</f>
        <v>NA</v>
      </c>
      <c r="S221" s="9"/>
      <c r="T221" s="7">
        <v>0</v>
      </c>
      <c r="U221" s="8" t="str">
        <f>IFERROR(T221/T444, "NA")</f>
        <v>NA</v>
      </c>
      <c r="V221" s="9"/>
      <c r="W221" s="10">
        <f t="shared" si="58"/>
        <v>0</v>
      </c>
      <c r="X221" s="8" t="str">
        <f>IFERROR(W221/W444, "NA")</f>
        <v>NA</v>
      </c>
      <c r="Y221" s="9"/>
      <c r="Z221" s="7">
        <v>0</v>
      </c>
      <c r="AA221" s="8" t="str">
        <f>IFERROR(Z221/Z444, "NA")</f>
        <v>NA</v>
      </c>
      <c r="AB221" s="9"/>
      <c r="AC221" s="10">
        <f t="shared" si="59"/>
        <v>0</v>
      </c>
      <c r="AD221" s="8" t="str">
        <f>IFERROR(AC221/AC444, "NA")</f>
        <v>NA</v>
      </c>
    </row>
    <row r="222" spans="1:30" ht="16.5" hidden="1" customHeight="1" x14ac:dyDescent="0.45">
      <c r="A222" s="6" t="s">
        <v>202</v>
      </c>
      <c r="B222" s="7">
        <v>0</v>
      </c>
      <c r="C222" s="8" t="str">
        <f>IFERROR(B222/B444, "NA")</f>
        <v>NA</v>
      </c>
      <c r="D222" s="9"/>
      <c r="E222" s="7">
        <v>0</v>
      </c>
      <c r="F222" s="8" t="str">
        <f>IFERROR(E222/E444, "NA")</f>
        <v>NA</v>
      </c>
      <c r="G222" s="9"/>
      <c r="H222" s="10">
        <f t="shared" si="56"/>
        <v>0</v>
      </c>
      <c r="I222" s="8" t="str">
        <f>IFERROR(H222/H444, "NA")</f>
        <v>NA</v>
      </c>
      <c r="J222" s="9"/>
      <c r="K222" s="7">
        <v>0</v>
      </c>
      <c r="L222" s="8" t="str">
        <f>IFERROR(K222/K444, "NA")</f>
        <v>NA</v>
      </c>
      <c r="M222" s="9"/>
      <c r="N222" s="10">
        <f t="shared" si="57"/>
        <v>0</v>
      </c>
      <c r="O222" s="8" t="str">
        <f>IFERROR(N222/N444, "NA")</f>
        <v>NA</v>
      </c>
      <c r="P222" s="9"/>
      <c r="Q222" s="7">
        <v>0</v>
      </c>
      <c r="R222" s="8" t="str">
        <f>IFERROR(Q222/Q444, "NA")</f>
        <v>NA</v>
      </c>
      <c r="S222" s="9"/>
      <c r="T222" s="7">
        <v>0</v>
      </c>
      <c r="U222" s="8" t="str">
        <f>IFERROR(T222/T444, "NA")</f>
        <v>NA</v>
      </c>
      <c r="V222" s="9"/>
      <c r="W222" s="10">
        <f t="shared" si="58"/>
        <v>0</v>
      </c>
      <c r="X222" s="8" t="str">
        <f>IFERROR(W222/W444, "NA")</f>
        <v>NA</v>
      </c>
      <c r="Y222" s="9"/>
      <c r="Z222" s="7">
        <v>0</v>
      </c>
      <c r="AA222" s="8" t="str">
        <f>IFERROR(Z222/Z444, "NA")</f>
        <v>NA</v>
      </c>
      <c r="AB222" s="9"/>
      <c r="AC222" s="10">
        <f t="shared" si="59"/>
        <v>0</v>
      </c>
      <c r="AD222" s="8" t="str">
        <f>IFERROR(AC222/AC444, "NA")</f>
        <v>NA</v>
      </c>
    </row>
    <row r="223" spans="1:30" ht="16.5" hidden="1" customHeight="1" x14ac:dyDescent="0.45">
      <c r="A223" s="6" t="s">
        <v>203</v>
      </c>
      <c r="B223" s="7">
        <v>0</v>
      </c>
      <c r="C223" s="8" t="str">
        <f>IFERROR(B223/B444, "NA")</f>
        <v>NA</v>
      </c>
      <c r="D223" s="9"/>
      <c r="E223" s="7">
        <v>0</v>
      </c>
      <c r="F223" s="8" t="str">
        <f>IFERROR(E223/E444, "NA")</f>
        <v>NA</v>
      </c>
      <c r="G223" s="9"/>
      <c r="H223" s="10">
        <f t="shared" si="56"/>
        <v>0</v>
      </c>
      <c r="I223" s="8" t="str">
        <f>IFERROR(H223/H444, "NA")</f>
        <v>NA</v>
      </c>
      <c r="J223" s="9"/>
      <c r="K223" s="7">
        <v>0</v>
      </c>
      <c r="L223" s="8" t="str">
        <f>IFERROR(K223/K444, "NA")</f>
        <v>NA</v>
      </c>
      <c r="M223" s="9"/>
      <c r="N223" s="10">
        <f t="shared" si="57"/>
        <v>0</v>
      </c>
      <c r="O223" s="8" t="str">
        <f>IFERROR(N223/N444, "NA")</f>
        <v>NA</v>
      </c>
      <c r="P223" s="9"/>
      <c r="Q223" s="7">
        <v>0</v>
      </c>
      <c r="R223" s="8" t="str">
        <f>IFERROR(Q223/Q444, "NA")</f>
        <v>NA</v>
      </c>
      <c r="S223" s="9"/>
      <c r="T223" s="7">
        <v>0</v>
      </c>
      <c r="U223" s="8" t="str">
        <f>IFERROR(T223/T444, "NA")</f>
        <v>NA</v>
      </c>
      <c r="V223" s="9"/>
      <c r="W223" s="10">
        <f t="shared" si="58"/>
        <v>0</v>
      </c>
      <c r="X223" s="8" t="str">
        <f>IFERROR(W223/W444, "NA")</f>
        <v>NA</v>
      </c>
      <c r="Y223" s="9"/>
      <c r="Z223" s="7">
        <v>0</v>
      </c>
      <c r="AA223" s="8" t="str">
        <f>IFERROR(Z223/Z444, "NA")</f>
        <v>NA</v>
      </c>
      <c r="AB223" s="9"/>
      <c r="AC223" s="10">
        <f t="shared" si="59"/>
        <v>0</v>
      </c>
      <c r="AD223" s="8" t="str">
        <f>IFERROR(AC223/AC444, "NA")</f>
        <v>NA</v>
      </c>
    </row>
    <row r="224" spans="1:30" ht="16.5" hidden="1" customHeight="1" x14ac:dyDescent="0.45">
      <c r="A224" s="6" t="s">
        <v>204</v>
      </c>
      <c r="B224" s="7">
        <v>0</v>
      </c>
      <c r="C224" s="8" t="str">
        <f>IFERROR(B224/B444, "NA")</f>
        <v>NA</v>
      </c>
      <c r="D224" s="9"/>
      <c r="E224" s="7">
        <v>0</v>
      </c>
      <c r="F224" s="8" t="str">
        <f>IFERROR(E224/E444, "NA")</f>
        <v>NA</v>
      </c>
      <c r="G224" s="9"/>
      <c r="H224" s="10">
        <f t="shared" si="56"/>
        <v>0</v>
      </c>
      <c r="I224" s="8" t="str">
        <f>IFERROR(H224/H444, "NA")</f>
        <v>NA</v>
      </c>
      <c r="J224" s="9"/>
      <c r="K224" s="7">
        <v>0</v>
      </c>
      <c r="L224" s="8" t="str">
        <f>IFERROR(K224/K444, "NA")</f>
        <v>NA</v>
      </c>
      <c r="M224" s="9"/>
      <c r="N224" s="10">
        <f t="shared" si="57"/>
        <v>0</v>
      </c>
      <c r="O224" s="8" t="str">
        <f>IFERROR(N224/N444, "NA")</f>
        <v>NA</v>
      </c>
      <c r="P224" s="9"/>
      <c r="Q224" s="7">
        <v>0</v>
      </c>
      <c r="R224" s="8" t="str">
        <f>IFERROR(Q224/Q444, "NA")</f>
        <v>NA</v>
      </c>
      <c r="S224" s="9"/>
      <c r="T224" s="7">
        <v>0</v>
      </c>
      <c r="U224" s="8" t="str">
        <f>IFERROR(T224/T444, "NA")</f>
        <v>NA</v>
      </c>
      <c r="V224" s="9"/>
      <c r="W224" s="10">
        <f t="shared" si="58"/>
        <v>0</v>
      </c>
      <c r="X224" s="8" t="str">
        <f>IFERROR(W224/W444, "NA")</f>
        <v>NA</v>
      </c>
      <c r="Y224" s="9"/>
      <c r="Z224" s="7">
        <v>0</v>
      </c>
      <c r="AA224" s="8" t="str">
        <f>IFERROR(Z224/Z444, "NA")</f>
        <v>NA</v>
      </c>
      <c r="AB224" s="9"/>
      <c r="AC224" s="10">
        <f t="shared" si="59"/>
        <v>0</v>
      </c>
      <c r="AD224" s="8" t="str">
        <f>IFERROR(AC224/AC444, "NA")</f>
        <v>NA</v>
      </c>
    </row>
    <row r="225" spans="1:30" ht="16.5" hidden="1" customHeight="1" x14ac:dyDescent="0.45">
      <c r="A225" s="6" t="s">
        <v>205</v>
      </c>
      <c r="B225" s="7">
        <v>0</v>
      </c>
      <c r="C225" s="8" t="str">
        <f>IFERROR(B225/B444, "NA")</f>
        <v>NA</v>
      </c>
      <c r="D225" s="9"/>
      <c r="E225" s="7">
        <v>0</v>
      </c>
      <c r="F225" s="8" t="str">
        <f>IFERROR(E225/E444, "NA")</f>
        <v>NA</v>
      </c>
      <c r="G225" s="9"/>
      <c r="H225" s="10">
        <f t="shared" si="56"/>
        <v>0</v>
      </c>
      <c r="I225" s="8" t="str">
        <f>IFERROR(H225/H444, "NA")</f>
        <v>NA</v>
      </c>
      <c r="J225" s="9"/>
      <c r="K225" s="7">
        <v>0</v>
      </c>
      <c r="L225" s="8" t="str">
        <f>IFERROR(K225/K444, "NA")</f>
        <v>NA</v>
      </c>
      <c r="M225" s="9"/>
      <c r="N225" s="10">
        <f t="shared" si="57"/>
        <v>0</v>
      </c>
      <c r="O225" s="8" t="str">
        <f>IFERROR(N225/N444, "NA")</f>
        <v>NA</v>
      </c>
      <c r="P225" s="9"/>
      <c r="Q225" s="7">
        <v>0</v>
      </c>
      <c r="R225" s="8" t="str">
        <f>IFERROR(Q225/Q444, "NA")</f>
        <v>NA</v>
      </c>
      <c r="S225" s="9"/>
      <c r="T225" s="7">
        <v>0</v>
      </c>
      <c r="U225" s="8" t="str">
        <f>IFERROR(T225/T444, "NA")</f>
        <v>NA</v>
      </c>
      <c r="V225" s="9"/>
      <c r="W225" s="10">
        <f t="shared" si="58"/>
        <v>0</v>
      </c>
      <c r="X225" s="8" t="str">
        <f>IFERROR(W225/W444, "NA")</f>
        <v>NA</v>
      </c>
      <c r="Y225" s="9"/>
      <c r="Z225" s="7">
        <v>0</v>
      </c>
      <c r="AA225" s="8" t="str">
        <f>IFERROR(Z225/Z444, "NA")</f>
        <v>NA</v>
      </c>
      <c r="AB225" s="9"/>
      <c r="AC225" s="10">
        <f t="shared" si="59"/>
        <v>0</v>
      </c>
      <c r="AD225" s="8" t="str">
        <f>IFERROR(AC225/AC444, "NA")</f>
        <v>NA</v>
      </c>
    </row>
    <row r="226" spans="1:30" ht="16.5" hidden="1" customHeight="1" x14ac:dyDescent="0.45">
      <c r="A226" s="6" t="s">
        <v>206</v>
      </c>
      <c r="B226" s="7">
        <v>0</v>
      </c>
      <c r="C226" s="8" t="str">
        <f>IFERROR(B226/B444, "NA")</f>
        <v>NA</v>
      </c>
      <c r="D226" s="9"/>
      <c r="E226" s="7">
        <v>0</v>
      </c>
      <c r="F226" s="8" t="str">
        <f>IFERROR(E226/E444, "NA")</f>
        <v>NA</v>
      </c>
      <c r="G226" s="9"/>
      <c r="H226" s="10">
        <f t="shared" si="56"/>
        <v>0</v>
      </c>
      <c r="I226" s="8" t="str">
        <f>IFERROR(H226/H444, "NA")</f>
        <v>NA</v>
      </c>
      <c r="J226" s="9"/>
      <c r="K226" s="7">
        <v>0</v>
      </c>
      <c r="L226" s="8" t="str">
        <f>IFERROR(K226/K444, "NA")</f>
        <v>NA</v>
      </c>
      <c r="M226" s="9"/>
      <c r="N226" s="10">
        <f t="shared" si="57"/>
        <v>0</v>
      </c>
      <c r="O226" s="8" t="str">
        <f>IFERROR(N226/N444, "NA")</f>
        <v>NA</v>
      </c>
      <c r="P226" s="9"/>
      <c r="Q226" s="7">
        <v>0</v>
      </c>
      <c r="R226" s="8" t="str">
        <f>IFERROR(Q226/Q444, "NA")</f>
        <v>NA</v>
      </c>
      <c r="S226" s="9"/>
      <c r="T226" s="7">
        <v>0</v>
      </c>
      <c r="U226" s="8" t="str">
        <f>IFERROR(T226/T444, "NA")</f>
        <v>NA</v>
      </c>
      <c r="V226" s="9"/>
      <c r="W226" s="10">
        <f t="shared" si="58"/>
        <v>0</v>
      </c>
      <c r="X226" s="8" t="str">
        <f>IFERROR(W226/W444, "NA")</f>
        <v>NA</v>
      </c>
      <c r="Y226" s="9"/>
      <c r="Z226" s="7">
        <v>0</v>
      </c>
      <c r="AA226" s="8" t="str">
        <f>IFERROR(Z226/Z444, "NA")</f>
        <v>NA</v>
      </c>
      <c r="AB226" s="9"/>
      <c r="AC226" s="10">
        <f t="shared" si="59"/>
        <v>0</v>
      </c>
      <c r="AD226" s="8" t="str">
        <f>IFERROR(AC226/AC444, "NA")</f>
        <v>NA</v>
      </c>
    </row>
    <row r="227" spans="1:30" ht="16.5" customHeight="1" x14ac:dyDescent="0.45">
      <c r="A227" s="19" t="s">
        <v>207</v>
      </c>
      <c r="B227" s="14">
        <f>IFERROR(B211+B213+B214+B215+B216+B217+B219+B220+B221+B222+B223+B224+B225+B226, "NA")</f>
        <v>0</v>
      </c>
      <c r="C227" s="15" t="str">
        <f>IFERROR(B227/B444, "NA")</f>
        <v>NA</v>
      </c>
      <c r="D227" s="2"/>
      <c r="E227" s="14">
        <f>IFERROR(E211+E213+E214+E215+E216+E217+E219+E220+E221+E222+E223+E224+E225+E226, "NA")</f>
        <v>0</v>
      </c>
      <c r="F227" s="15" t="str">
        <f>IFERROR(E227/E444, "NA")</f>
        <v>NA</v>
      </c>
      <c r="G227" s="2"/>
      <c r="H227" s="14">
        <f t="shared" si="56"/>
        <v>0</v>
      </c>
      <c r="I227" s="15" t="str">
        <f>IFERROR(H227/H444, "NA")</f>
        <v>NA</v>
      </c>
      <c r="J227" s="2"/>
      <c r="K227" s="14">
        <f>IFERROR(K211+K213+K214+K215+K216+K217+K219+K220+K221+K222+K223+K224+K225+K226, "NA")</f>
        <v>0</v>
      </c>
      <c r="L227" s="15" t="str">
        <f>IFERROR(K227/K444, "NA")</f>
        <v>NA</v>
      </c>
      <c r="M227" s="2"/>
      <c r="N227" s="14">
        <f t="shared" si="57"/>
        <v>0</v>
      </c>
      <c r="O227" s="15" t="str">
        <f>IFERROR(N227/N444, "NA")</f>
        <v>NA</v>
      </c>
      <c r="P227" s="2"/>
      <c r="Q227" s="14">
        <f>IFERROR(Q211+Q213+Q214+Q215+Q216+Q217+Q219+Q220+Q221+Q222+Q223+Q224+Q225+Q226, "NA")</f>
        <v>0</v>
      </c>
      <c r="R227" s="15" t="str">
        <f>IFERROR(Q227/Q444, "NA")</f>
        <v>NA</v>
      </c>
      <c r="S227" s="2"/>
      <c r="T227" s="14">
        <f>IFERROR(T211+T213+T214+T215+T216+T217+T219+T220+T221+T222+T223+T224+T225+T226, "NA")</f>
        <v>0</v>
      </c>
      <c r="U227" s="15" t="str">
        <f>IFERROR(T227/T444, "NA")</f>
        <v>NA</v>
      </c>
      <c r="V227" s="2"/>
      <c r="W227" s="14">
        <f t="shared" si="58"/>
        <v>0</v>
      </c>
      <c r="X227" s="15" t="str">
        <f>IFERROR(W227/W444, "NA")</f>
        <v>NA</v>
      </c>
      <c r="Y227" s="2"/>
      <c r="Z227" s="14">
        <f>IFERROR(Z211+Z213+Z214+Z215+Z216+Z217+Z219+Z220+Z221+Z222+Z223+Z224+Z225+Z226, "NA")</f>
        <v>0</v>
      </c>
      <c r="AA227" s="15" t="str">
        <f>IFERROR(Z227/Z444, "NA")</f>
        <v>NA</v>
      </c>
      <c r="AB227" s="2"/>
      <c r="AC227" s="14">
        <f t="shared" si="59"/>
        <v>0</v>
      </c>
      <c r="AD227" s="15" t="str">
        <f>IFERROR(AC227/AC444, "NA")</f>
        <v>NA</v>
      </c>
    </row>
    <row r="228" spans="1:30" ht="16.5" customHeight="1" x14ac:dyDescent="0.45">
      <c r="A228" s="5" t="s">
        <v>208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hidden="1" customHeight="1" x14ac:dyDescent="0.45">
      <c r="A229" s="6" t="s">
        <v>208</v>
      </c>
      <c r="B229" s="7">
        <v>0</v>
      </c>
      <c r="C229" s="8" t="str">
        <f>IFERROR(B229/B444, "NA")</f>
        <v>NA</v>
      </c>
      <c r="D229" s="9"/>
      <c r="E229" s="7">
        <v>0</v>
      </c>
      <c r="F229" s="8" t="str">
        <f>IFERROR(E229/E444, "NA")</f>
        <v>NA</v>
      </c>
      <c r="G229" s="9"/>
      <c r="H229" s="10">
        <f t="shared" ref="H229:H236" si="60">IFERROR(-(B229-E229), "NA")</f>
        <v>0</v>
      </c>
      <c r="I229" s="8" t="str">
        <f>IFERROR(H229/H444, "NA")</f>
        <v>NA</v>
      </c>
      <c r="J229" s="9"/>
      <c r="K229" s="7">
        <v>0</v>
      </c>
      <c r="L229" s="8" t="str">
        <f>IFERROR(K229/K444, "NA")</f>
        <v>NA</v>
      </c>
      <c r="M229" s="9"/>
      <c r="N229" s="10">
        <f t="shared" ref="N229:N236" si="61">IFERROR(-(B229-K229), "NA")</f>
        <v>0</v>
      </c>
      <c r="O229" s="8" t="str">
        <f>IFERROR(N229/N444, "NA")</f>
        <v>NA</v>
      </c>
      <c r="P229" s="9"/>
      <c r="Q229" s="7">
        <v>0</v>
      </c>
      <c r="R229" s="8" t="str">
        <f>IFERROR(Q229/Q444, "NA")</f>
        <v>NA</v>
      </c>
      <c r="S229" s="9"/>
      <c r="T229" s="7">
        <v>0</v>
      </c>
      <c r="U229" s="8" t="str">
        <f>IFERROR(T229/T444, "NA")</f>
        <v>NA</v>
      </c>
      <c r="V229" s="9"/>
      <c r="W229" s="10">
        <f t="shared" ref="W229:W236" si="62">IFERROR(-(Q229-T229), "NA")</f>
        <v>0</v>
      </c>
      <c r="X229" s="8" t="str">
        <f>IFERROR(W229/W444, "NA")</f>
        <v>NA</v>
      </c>
      <c r="Y229" s="9"/>
      <c r="Z229" s="7">
        <v>0</v>
      </c>
      <c r="AA229" s="8" t="str">
        <f>IFERROR(Z229/Z444, "NA")</f>
        <v>NA</v>
      </c>
      <c r="AB229" s="9"/>
      <c r="AC229" s="10">
        <f t="shared" ref="AC229:AC236" si="63">IFERROR(-(Q229-Z229), "NA")</f>
        <v>0</v>
      </c>
      <c r="AD229" s="8" t="str">
        <f>IFERROR(AC229/AC444, "NA")</f>
        <v>NA</v>
      </c>
    </row>
    <row r="230" spans="1:30" ht="16.5" hidden="1" customHeight="1" x14ac:dyDescent="0.45">
      <c r="A230" s="6" t="s">
        <v>209</v>
      </c>
      <c r="B230" s="7">
        <v>0</v>
      </c>
      <c r="C230" s="8" t="str">
        <f>IFERROR(B230/B444, "NA")</f>
        <v>NA</v>
      </c>
      <c r="D230" s="9"/>
      <c r="E230" s="7">
        <v>0</v>
      </c>
      <c r="F230" s="8" t="str">
        <f>IFERROR(E230/E444, "NA")</f>
        <v>NA</v>
      </c>
      <c r="G230" s="9"/>
      <c r="H230" s="10">
        <f t="shared" si="60"/>
        <v>0</v>
      </c>
      <c r="I230" s="8" t="str">
        <f>IFERROR(H230/H444, "NA")</f>
        <v>NA</v>
      </c>
      <c r="J230" s="9"/>
      <c r="K230" s="7">
        <v>0</v>
      </c>
      <c r="L230" s="8" t="str">
        <f>IFERROR(K230/K444, "NA")</f>
        <v>NA</v>
      </c>
      <c r="M230" s="9"/>
      <c r="N230" s="10">
        <f t="shared" si="61"/>
        <v>0</v>
      </c>
      <c r="O230" s="8" t="str">
        <f>IFERROR(N230/N444, "NA")</f>
        <v>NA</v>
      </c>
      <c r="P230" s="9"/>
      <c r="Q230" s="7">
        <v>0</v>
      </c>
      <c r="R230" s="8" t="str">
        <f>IFERROR(Q230/Q444, "NA")</f>
        <v>NA</v>
      </c>
      <c r="S230" s="9"/>
      <c r="T230" s="7">
        <v>0</v>
      </c>
      <c r="U230" s="8" t="str">
        <f>IFERROR(T230/T444, "NA")</f>
        <v>NA</v>
      </c>
      <c r="V230" s="9"/>
      <c r="W230" s="10">
        <f t="shared" si="62"/>
        <v>0</v>
      </c>
      <c r="X230" s="8" t="str">
        <f>IFERROR(W230/W444, "NA")</f>
        <v>NA</v>
      </c>
      <c r="Y230" s="9"/>
      <c r="Z230" s="7">
        <v>0</v>
      </c>
      <c r="AA230" s="8" t="str">
        <f>IFERROR(Z230/Z444, "NA")</f>
        <v>NA</v>
      </c>
      <c r="AB230" s="9"/>
      <c r="AC230" s="10">
        <f t="shared" si="63"/>
        <v>0</v>
      </c>
      <c r="AD230" s="8" t="str">
        <f>IFERROR(AC230/AC444, "NA")</f>
        <v>NA</v>
      </c>
    </row>
    <row r="231" spans="1:30" ht="16.5" hidden="1" customHeight="1" x14ac:dyDescent="0.45">
      <c r="A231" s="6" t="s">
        <v>210</v>
      </c>
      <c r="B231" s="7">
        <v>0</v>
      </c>
      <c r="C231" s="8" t="str">
        <f>IFERROR(B231/B444, "NA")</f>
        <v>NA</v>
      </c>
      <c r="D231" s="9"/>
      <c r="E231" s="7">
        <v>0</v>
      </c>
      <c r="F231" s="8" t="str">
        <f>IFERROR(E231/E444, "NA")</f>
        <v>NA</v>
      </c>
      <c r="G231" s="9"/>
      <c r="H231" s="10">
        <f t="shared" si="60"/>
        <v>0</v>
      </c>
      <c r="I231" s="8" t="str">
        <f>IFERROR(H231/H444, "NA")</f>
        <v>NA</v>
      </c>
      <c r="J231" s="9"/>
      <c r="K231" s="7">
        <v>0</v>
      </c>
      <c r="L231" s="8" t="str">
        <f>IFERROR(K231/K444, "NA")</f>
        <v>NA</v>
      </c>
      <c r="M231" s="9"/>
      <c r="N231" s="10">
        <f t="shared" si="61"/>
        <v>0</v>
      </c>
      <c r="O231" s="8" t="str">
        <f>IFERROR(N231/N444, "NA")</f>
        <v>NA</v>
      </c>
      <c r="P231" s="9"/>
      <c r="Q231" s="7">
        <v>0</v>
      </c>
      <c r="R231" s="8" t="str">
        <f>IFERROR(Q231/Q444, "NA")</f>
        <v>NA</v>
      </c>
      <c r="S231" s="9"/>
      <c r="T231" s="7">
        <v>0</v>
      </c>
      <c r="U231" s="8" t="str">
        <f>IFERROR(T231/T444, "NA")</f>
        <v>NA</v>
      </c>
      <c r="V231" s="9"/>
      <c r="W231" s="10">
        <f t="shared" si="62"/>
        <v>0</v>
      </c>
      <c r="X231" s="8" t="str">
        <f>IFERROR(W231/W444, "NA")</f>
        <v>NA</v>
      </c>
      <c r="Y231" s="9"/>
      <c r="Z231" s="7">
        <v>0</v>
      </c>
      <c r="AA231" s="8" t="str">
        <f>IFERROR(Z231/Z444, "NA")</f>
        <v>NA</v>
      </c>
      <c r="AB231" s="9"/>
      <c r="AC231" s="10">
        <f t="shared" si="63"/>
        <v>0</v>
      </c>
      <c r="AD231" s="8" t="str">
        <f>IFERROR(AC231/AC444, "NA")</f>
        <v>NA</v>
      </c>
    </row>
    <row r="232" spans="1:30" ht="16.5" hidden="1" customHeight="1" x14ac:dyDescent="0.45">
      <c r="A232" s="6" t="s">
        <v>211</v>
      </c>
      <c r="B232" s="7">
        <v>0</v>
      </c>
      <c r="C232" s="8" t="str">
        <f>IFERROR(B232/B444, "NA")</f>
        <v>NA</v>
      </c>
      <c r="D232" s="9"/>
      <c r="E232" s="7">
        <v>0</v>
      </c>
      <c r="F232" s="8" t="str">
        <f>IFERROR(E232/E444, "NA")</f>
        <v>NA</v>
      </c>
      <c r="G232" s="9"/>
      <c r="H232" s="10">
        <f t="shared" si="60"/>
        <v>0</v>
      </c>
      <c r="I232" s="8" t="str">
        <f>IFERROR(H232/H444, "NA")</f>
        <v>NA</v>
      </c>
      <c r="J232" s="9"/>
      <c r="K232" s="7">
        <v>0</v>
      </c>
      <c r="L232" s="8" t="str">
        <f>IFERROR(K232/K444, "NA")</f>
        <v>NA</v>
      </c>
      <c r="M232" s="9"/>
      <c r="N232" s="10">
        <f t="shared" si="61"/>
        <v>0</v>
      </c>
      <c r="O232" s="8" t="str">
        <f>IFERROR(N232/N444, "NA")</f>
        <v>NA</v>
      </c>
      <c r="P232" s="9"/>
      <c r="Q232" s="7">
        <v>0</v>
      </c>
      <c r="R232" s="8" t="str">
        <f>IFERROR(Q232/Q444, "NA")</f>
        <v>NA</v>
      </c>
      <c r="S232" s="9"/>
      <c r="T232" s="7">
        <v>0</v>
      </c>
      <c r="U232" s="8" t="str">
        <f>IFERROR(T232/T444, "NA")</f>
        <v>NA</v>
      </c>
      <c r="V232" s="9"/>
      <c r="W232" s="10">
        <f t="shared" si="62"/>
        <v>0</v>
      </c>
      <c r="X232" s="8" t="str">
        <f>IFERROR(W232/W444, "NA")</f>
        <v>NA</v>
      </c>
      <c r="Y232" s="9"/>
      <c r="Z232" s="7">
        <v>0</v>
      </c>
      <c r="AA232" s="8" t="str">
        <f>IFERROR(Z232/Z444, "NA")</f>
        <v>NA</v>
      </c>
      <c r="AB232" s="9"/>
      <c r="AC232" s="10">
        <f t="shared" si="63"/>
        <v>0</v>
      </c>
      <c r="AD232" s="8" t="str">
        <f>IFERROR(AC232/AC444, "NA")</f>
        <v>NA</v>
      </c>
    </row>
    <row r="233" spans="1:30" ht="16.5" hidden="1" customHeight="1" x14ac:dyDescent="0.45">
      <c r="A233" s="6" t="s">
        <v>212</v>
      </c>
      <c r="B233" s="7">
        <v>0</v>
      </c>
      <c r="C233" s="8" t="str">
        <f>IFERROR(B233/B444, "NA")</f>
        <v>NA</v>
      </c>
      <c r="D233" s="9"/>
      <c r="E233" s="7">
        <v>0</v>
      </c>
      <c r="F233" s="8" t="str">
        <f>IFERROR(E233/E444, "NA")</f>
        <v>NA</v>
      </c>
      <c r="G233" s="9"/>
      <c r="H233" s="10">
        <f t="shared" si="60"/>
        <v>0</v>
      </c>
      <c r="I233" s="8" t="str">
        <f>IFERROR(H233/H444, "NA")</f>
        <v>NA</v>
      </c>
      <c r="J233" s="9"/>
      <c r="K233" s="7">
        <v>0</v>
      </c>
      <c r="L233" s="8" t="str">
        <f>IFERROR(K233/K444, "NA")</f>
        <v>NA</v>
      </c>
      <c r="M233" s="9"/>
      <c r="N233" s="10">
        <f t="shared" si="61"/>
        <v>0</v>
      </c>
      <c r="O233" s="8" t="str">
        <f>IFERROR(N233/N444, "NA")</f>
        <v>NA</v>
      </c>
      <c r="P233" s="9"/>
      <c r="Q233" s="7">
        <v>0</v>
      </c>
      <c r="R233" s="8" t="str">
        <f>IFERROR(Q233/Q444, "NA")</f>
        <v>NA</v>
      </c>
      <c r="S233" s="9"/>
      <c r="T233" s="7">
        <v>0</v>
      </c>
      <c r="U233" s="8" t="str">
        <f>IFERROR(T233/T444, "NA")</f>
        <v>NA</v>
      </c>
      <c r="V233" s="9"/>
      <c r="W233" s="10">
        <f t="shared" si="62"/>
        <v>0</v>
      </c>
      <c r="X233" s="8" t="str">
        <f>IFERROR(W233/W444, "NA")</f>
        <v>NA</v>
      </c>
      <c r="Y233" s="9"/>
      <c r="Z233" s="7">
        <v>0</v>
      </c>
      <c r="AA233" s="8" t="str">
        <f>IFERROR(Z233/Z444, "NA")</f>
        <v>NA</v>
      </c>
      <c r="AB233" s="9"/>
      <c r="AC233" s="10">
        <f t="shared" si="63"/>
        <v>0</v>
      </c>
      <c r="AD233" s="8" t="str">
        <f>IFERROR(AC233/AC444, "NA")</f>
        <v>NA</v>
      </c>
    </row>
    <row r="234" spans="1:30" ht="16.5" hidden="1" customHeight="1" x14ac:dyDescent="0.45">
      <c r="A234" s="6" t="s">
        <v>213</v>
      </c>
      <c r="B234" s="7">
        <v>0</v>
      </c>
      <c r="C234" s="8" t="str">
        <f>IFERROR(B234/B444, "NA")</f>
        <v>NA</v>
      </c>
      <c r="D234" s="9"/>
      <c r="E234" s="7">
        <v>0</v>
      </c>
      <c r="F234" s="8" t="str">
        <f>IFERROR(E234/E444, "NA")</f>
        <v>NA</v>
      </c>
      <c r="G234" s="9"/>
      <c r="H234" s="10">
        <f t="shared" si="60"/>
        <v>0</v>
      </c>
      <c r="I234" s="8" t="str">
        <f>IFERROR(H234/H444, "NA")</f>
        <v>NA</v>
      </c>
      <c r="J234" s="9"/>
      <c r="K234" s="7">
        <v>0</v>
      </c>
      <c r="L234" s="8" t="str">
        <f>IFERROR(K234/K444, "NA")</f>
        <v>NA</v>
      </c>
      <c r="M234" s="9"/>
      <c r="N234" s="10">
        <f t="shared" si="61"/>
        <v>0</v>
      </c>
      <c r="O234" s="8" t="str">
        <f>IFERROR(N234/N444, "NA")</f>
        <v>NA</v>
      </c>
      <c r="P234" s="9"/>
      <c r="Q234" s="7">
        <v>0</v>
      </c>
      <c r="R234" s="8" t="str">
        <f>IFERROR(Q234/Q444, "NA")</f>
        <v>NA</v>
      </c>
      <c r="S234" s="9"/>
      <c r="T234" s="7">
        <v>0</v>
      </c>
      <c r="U234" s="8" t="str">
        <f>IFERROR(T234/T444, "NA")</f>
        <v>NA</v>
      </c>
      <c r="V234" s="9"/>
      <c r="W234" s="10">
        <f t="shared" si="62"/>
        <v>0</v>
      </c>
      <c r="X234" s="8" t="str">
        <f>IFERROR(W234/W444, "NA")</f>
        <v>NA</v>
      </c>
      <c r="Y234" s="9"/>
      <c r="Z234" s="7">
        <v>0</v>
      </c>
      <c r="AA234" s="8" t="str">
        <f>IFERROR(Z234/Z444, "NA")</f>
        <v>NA</v>
      </c>
      <c r="AB234" s="9"/>
      <c r="AC234" s="10">
        <f t="shared" si="63"/>
        <v>0</v>
      </c>
      <c r="AD234" s="8" t="str">
        <f>IFERROR(AC234/AC444, "NA")</f>
        <v>NA</v>
      </c>
    </row>
    <row r="235" spans="1:30" ht="16.5" hidden="1" customHeight="1" x14ac:dyDescent="0.45">
      <c r="A235" s="6" t="s">
        <v>214</v>
      </c>
      <c r="B235" s="7">
        <v>0</v>
      </c>
      <c r="C235" s="8" t="str">
        <f>IFERROR(B235/B444, "NA")</f>
        <v>NA</v>
      </c>
      <c r="D235" s="9"/>
      <c r="E235" s="7">
        <v>0</v>
      </c>
      <c r="F235" s="8" t="str">
        <f>IFERROR(E235/E444, "NA")</f>
        <v>NA</v>
      </c>
      <c r="G235" s="9"/>
      <c r="H235" s="10">
        <f t="shared" si="60"/>
        <v>0</v>
      </c>
      <c r="I235" s="8" t="str">
        <f>IFERROR(H235/H444, "NA")</f>
        <v>NA</v>
      </c>
      <c r="J235" s="9"/>
      <c r="K235" s="7">
        <v>0</v>
      </c>
      <c r="L235" s="8" t="str">
        <f>IFERROR(K235/K444, "NA")</f>
        <v>NA</v>
      </c>
      <c r="M235" s="9"/>
      <c r="N235" s="10">
        <f t="shared" si="61"/>
        <v>0</v>
      </c>
      <c r="O235" s="8" t="str">
        <f>IFERROR(N235/N444, "NA")</f>
        <v>NA</v>
      </c>
      <c r="P235" s="9"/>
      <c r="Q235" s="7">
        <v>0</v>
      </c>
      <c r="R235" s="8" t="str">
        <f>IFERROR(Q235/Q444, "NA")</f>
        <v>NA</v>
      </c>
      <c r="S235" s="9"/>
      <c r="T235" s="7">
        <v>0</v>
      </c>
      <c r="U235" s="8" t="str">
        <f>IFERROR(T235/T444, "NA")</f>
        <v>NA</v>
      </c>
      <c r="V235" s="9"/>
      <c r="W235" s="10">
        <f t="shared" si="62"/>
        <v>0</v>
      </c>
      <c r="X235" s="8" t="str">
        <f>IFERROR(W235/W444, "NA")</f>
        <v>NA</v>
      </c>
      <c r="Y235" s="9"/>
      <c r="Z235" s="7">
        <v>0</v>
      </c>
      <c r="AA235" s="8" t="str">
        <f>IFERROR(Z235/Z444, "NA")</f>
        <v>NA</v>
      </c>
      <c r="AB235" s="9"/>
      <c r="AC235" s="10">
        <f t="shared" si="63"/>
        <v>0</v>
      </c>
      <c r="AD235" s="8" t="str">
        <f>IFERROR(AC235/AC444, "NA")</f>
        <v>NA</v>
      </c>
    </row>
    <row r="236" spans="1:30" ht="16.5" customHeight="1" x14ac:dyDescent="0.45">
      <c r="A236" s="19" t="s">
        <v>215</v>
      </c>
      <c r="B236" s="14">
        <f>IFERROR(B229+B230+B231+B232+B233+B234+B235, "NA")</f>
        <v>0</v>
      </c>
      <c r="C236" s="15" t="str">
        <f>IFERROR(B236/B444, "NA")</f>
        <v>NA</v>
      </c>
      <c r="D236" s="2"/>
      <c r="E236" s="14">
        <f>IFERROR(E229+E230+E231+E232+E233+E234+E235, "NA")</f>
        <v>0</v>
      </c>
      <c r="F236" s="15" t="str">
        <f>IFERROR(E236/E444, "NA")</f>
        <v>NA</v>
      </c>
      <c r="G236" s="2"/>
      <c r="H236" s="14">
        <f t="shared" si="60"/>
        <v>0</v>
      </c>
      <c r="I236" s="15" t="str">
        <f>IFERROR(H236/H444, "NA")</f>
        <v>NA</v>
      </c>
      <c r="J236" s="2"/>
      <c r="K236" s="14">
        <f>IFERROR(K229+K230+K231+K232+K233+K234+K235, "NA")</f>
        <v>0</v>
      </c>
      <c r="L236" s="15" t="str">
        <f>IFERROR(K236/K444, "NA")</f>
        <v>NA</v>
      </c>
      <c r="M236" s="2"/>
      <c r="N236" s="14">
        <f t="shared" si="61"/>
        <v>0</v>
      </c>
      <c r="O236" s="15" t="str">
        <f>IFERROR(N236/N444, "NA")</f>
        <v>NA</v>
      </c>
      <c r="P236" s="2"/>
      <c r="Q236" s="14">
        <f>IFERROR(Q229+Q230+Q231+Q232+Q233+Q234+Q235, "NA")</f>
        <v>0</v>
      </c>
      <c r="R236" s="15" t="str">
        <f>IFERROR(Q236/Q444, "NA")</f>
        <v>NA</v>
      </c>
      <c r="S236" s="2"/>
      <c r="T236" s="14">
        <f>IFERROR(T229+T230+T231+T232+T233+T234+T235, "NA")</f>
        <v>0</v>
      </c>
      <c r="U236" s="15" t="str">
        <f>IFERROR(T236/T444, "NA")</f>
        <v>NA</v>
      </c>
      <c r="V236" s="2"/>
      <c r="W236" s="14">
        <f t="shared" si="62"/>
        <v>0</v>
      </c>
      <c r="X236" s="15" t="str">
        <f>IFERROR(W236/W444, "NA")</f>
        <v>NA</v>
      </c>
      <c r="Y236" s="2"/>
      <c r="Z236" s="14">
        <f>IFERROR(Z229+Z230+Z231+Z232+Z233+Z234+Z235, "NA")</f>
        <v>0</v>
      </c>
      <c r="AA236" s="15" t="str">
        <f>IFERROR(Z236/Z444, "NA")</f>
        <v>NA</v>
      </c>
      <c r="AB236" s="2"/>
      <c r="AC236" s="14">
        <f t="shared" si="63"/>
        <v>0</v>
      </c>
      <c r="AD236" s="15" t="str">
        <f>IFERROR(AC236/AC444, "NA")</f>
        <v>NA</v>
      </c>
    </row>
    <row r="237" spans="1:30" ht="16.5" customHeight="1" x14ac:dyDescent="0.45">
      <c r="A237" s="5" t="s">
        <v>216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45">
      <c r="A238" s="6" t="s">
        <v>216</v>
      </c>
      <c r="B238" s="7">
        <v>0</v>
      </c>
      <c r="C238" s="8" t="str">
        <f>IFERROR(B238/B444, "NA")</f>
        <v>NA</v>
      </c>
      <c r="D238" s="9"/>
      <c r="E238" s="7">
        <v>0</v>
      </c>
      <c r="F238" s="8" t="str">
        <f>IFERROR(E238/E444, "NA")</f>
        <v>NA</v>
      </c>
      <c r="G238" s="9"/>
      <c r="H238" s="10">
        <f>IFERROR(-(B238-E238), "NA")</f>
        <v>0</v>
      </c>
      <c r="I238" s="8" t="str">
        <f>IFERROR(H238/H444, "NA")</f>
        <v>NA</v>
      </c>
      <c r="J238" s="9"/>
      <c r="K238" s="7">
        <v>0</v>
      </c>
      <c r="L238" s="8" t="str">
        <f>IFERROR(K238/K444, "NA")</f>
        <v>NA</v>
      </c>
      <c r="M238" s="9"/>
      <c r="N238" s="10">
        <f>IFERROR(-(B238-K238), "NA")</f>
        <v>0</v>
      </c>
      <c r="O238" s="8" t="str">
        <f>IFERROR(N238/N444, "NA")</f>
        <v>NA</v>
      </c>
      <c r="P238" s="9"/>
      <c r="Q238" s="7">
        <v>0</v>
      </c>
      <c r="R238" s="8" t="str">
        <f>IFERROR(Q238/Q444, "NA")</f>
        <v>NA</v>
      </c>
      <c r="S238" s="9"/>
      <c r="T238" s="7">
        <v>0</v>
      </c>
      <c r="U238" s="8" t="str">
        <f>IFERROR(T238/T444, "NA")</f>
        <v>NA</v>
      </c>
      <c r="V238" s="9"/>
      <c r="W238" s="10">
        <f>IFERROR(-(Q238-T238), "NA")</f>
        <v>0</v>
      </c>
      <c r="X238" s="8" t="str">
        <f>IFERROR(W238/W444, "NA")</f>
        <v>NA</v>
      </c>
      <c r="Y238" s="9"/>
      <c r="Z238" s="7">
        <v>0</v>
      </c>
      <c r="AA238" s="8" t="str">
        <f>IFERROR(Z238/Z444, "NA")</f>
        <v>NA</v>
      </c>
      <c r="AB238" s="9"/>
      <c r="AC238" s="10">
        <f>IFERROR(-(Q238-Z238), "NA")</f>
        <v>0</v>
      </c>
      <c r="AD238" s="8" t="str">
        <f>IFERROR(AC238/AC444, "NA")</f>
        <v>NA</v>
      </c>
    </row>
    <row r="239" spans="1:30" ht="16.5" customHeight="1" x14ac:dyDescent="0.45">
      <c r="A239" s="11" t="s">
        <v>217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hidden="1" customHeight="1" x14ac:dyDescent="0.45">
      <c r="A240" s="12" t="s">
        <v>217</v>
      </c>
      <c r="B240" s="7">
        <v>0</v>
      </c>
      <c r="C240" s="8" t="str">
        <f>IFERROR(B240/B444, "NA")</f>
        <v>NA</v>
      </c>
      <c r="D240" s="9"/>
      <c r="E240" s="7">
        <v>0</v>
      </c>
      <c r="F240" s="8" t="str">
        <f>IFERROR(E240/E444, "NA")</f>
        <v>NA</v>
      </c>
      <c r="G240" s="9"/>
      <c r="H240" s="10">
        <f t="shared" ref="H240:H263" si="64">IFERROR(-(B240-E240), "NA")</f>
        <v>0</v>
      </c>
      <c r="I240" s="8" t="str">
        <f>IFERROR(H240/H444, "NA")</f>
        <v>NA</v>
      </c>
      <c r="J240" s="9"/>
      <c r="K240" s="7">
        <v>0</v>
      </c>
      <c r="L240" s="8" t="str">
        <f>IFERROR(K240/K444, "NA")</f>
        <v>NA</v>
      </c>
      <c r="M240" s="9"/>
      <c r="N240" s="10">
        <f t="shared" ref="N240:N263" si="65">IFERROR(-(B240-K240), "NA")</f>
        <v>0</v>
      </c>
      <c r="O240" s="8" t="str">
        <f>IFERROR(N240/N444, "NA")</f>
        <v>NA</v>
      </c>
      <c r="P240" s="9"/>
      <c r="Q240" s="7">
        <v>0</v>
      </c>
      <c r="R240" s="8" t="str">
        <f>IFERROR(Q240/Q444, "NA")</f>
        <v>NA</v>
      </c>
      <c r="S240" s="9"/>
      <c r="T240" s="7">
        <v>0</v>
      </c>
      <c r="U240" s="8" t="str">
        <f>IFERROR(T240/T444, "NA")</f>
        <v>NA</v>
      </c>
      <c r="V240" s="9"/>
      <c r="W240" s="10">
        <f t="shared" ref="W240:W263" si="66">IFERROR(-(Q240-T240), "NA")</f>
        <v>0</v>
      </c>
      <c r="X240" s="8" t="str">
        <f>IFERROR(W240/W444, "NA")</f>
        <v>NA</v>
      </c>
      <c r="Y240" s="9"/>
      <c r="Z240" s="7">
        <v>0</v>
      </c>
      <c r="AA240" s="8" t="str">
        <f>IFERROR(Z240/Z444, "NA")</f>
        <v>NA</v>
      </c>
      <c r="AB240" s="9"/>
      <c r="AC240" s="10">
        <f t="shared" ref="AC240:AC263" si="67">IFERROR(-(Q240-Z240), "NA")</f>
        <v>0</v>
      </c>
      <c r="AD240" s="8" t="str">
        <f>IFERROR(AC240/AC444, "NA")</f>
        <v>NA</v>
      </c>
    </row>
    <row r="241" spans="1:30" ht="16.5" hidden="1" customHeight="1" x14ac:dyDescent="0.45">
      <c r="A241" s="12" t="s">
        <v>218</v>
      </c>
      <c r="B241" s="7">
        <v>0</v>
      </c>
      <c r="C241" s="8" t="str">
        <f>IFERROR(B241/B444, "NA")</f>
        <v>NA</v>
      </c>
      <c r="D241" s="9"/>
      <c r="E241" s="7">
        <v>0</v>
      </c>
      <c r="F241" s="8" t="str">
        <f>IFERROR(E241/E444, "NA")</f>
        <v>NA</v>
      </c>
      <c r="G241" s="9"/>
      <c r="H241" s="10">
        <f t="shared" si="64"/>
        <v>0</v>
      </c>
      <c r="I241" s="8" t="str">
        <f>IFERROR(H241/H444, "NA")</f>
        <v>NA</v>
      </c>
      <c r="J241" s="9"/>
      <c r="K241" s="7">
        <v>0</v>
      </c>
      <c r="L241" s="8" t="str">
        <f>IFERROR(K241/K444, "NA")</f>
        <v>NA</v>
      </c>
      <c r="M241" s="9"/>
      <c r="N241" s="10">
        <f t="shared" si="65"/>
        <v>0</v>
      </c>
      <c r="O241" s="8" t="str">
        <f>IFERROR(N241/N444, "NA")</f>
        <v>NA</v>
      </c>
      <c r="P241" s="9"/>
      <c r="Q241" s="7">
        <v>0</v>
      </c>
      <c r="R241" s="8" t="str">
        <f>IFERROR(Q241/Q444, "NA")</f>
        <v>NA</v>
      </c>
      <c r="S241" s="9"/>
      <c r="T241" s="7">
        <v>0</v>
      </c>
      <c r="U241" s="8" t="str">
        <f>IFERROR(T241/T444, "NA")</f>
        <v>NA</v>
      </c>
      <c r="V241" s="9"/>
      <c r="W241" s="10">
        <f t="shared" si="66"/>
        <v>0</v>
      </c>
      <c r="X241" s="8" t="str">
        <f>IFERROR(W241/W444, "NA")</f>
        <v>NA</v>
      </c>
      <c r="Y241" s="9"/>
      <c r="Z241" s="7">
        <v>0</v>
      </c>
      <c r="AA241" s="8" t="str">
        <f>IFERROR(Z241/Z444, "NA")</f>
        <v>NA</v>
      </c>
      <c r="AB241" s="9"/>
      <c r="AC241" s="10">
        <f t="shared" si="67"/>
        <v>0</v>
      </c>
      <c r="AD241" s="8" t="str">
        <f>IFERROR(AC241/AC444, "NA")</f>
        <v>NA</v>
      </c>
    </row>
    <row r="242" spans="1:30" ht="16.5" hidden="1" customHeight="1" x14ac:dyDescent="0.45">
      <c r="A242" s="12" t="s">
        <v>219</v>
      </c>
      <c r="B242" s="7">
        <v>0</v>
      </c>
      <c r="C242" s="8" t="str">
        <f>IFERROR(B242/B444, "NA")</f>
        <v>NA</v>
      </c>
      <c r="D242" s="9"/>
      <c r="E242" s="7">
        <v>0</v>
      </c>
      <c r="F242" s="8" t="str">
        <f>IFERROR(E242/E444, "NA")</f>
        <v>NA</v>
      </c>
      <c r="G242" s="9"/>
      <c r="H242" s="10">
        <f t="shared" si="64"/>
        <v>0</v>
      </c>
      <c r="I242" s="8" t="str">
        <f>IFERROR(H242/H444, "NA")</f>
        <v>NA</v>
      </c>
      <c r="J242" s="9"/>
      <c r="K242" s="7">
        <v>0</v>
      </c>
      <c r="L242" s="8" t="str">
        <f>IFERROR(K242/K444, "NA")</f>
        <v>NA</v>
      </c>
      <c r="M242" s="9"/>
      <c r="N242" s="10">
        <f t="shared" si="65"/>
        <v>0</v>
      </c>
      <c r="O242" s="8" t="str">
        <f>IFERROR(N242/N444, "NA")</f>
        <v>NA</v>
      </c>
      <c r="P242" s="9"/>
      <c r="Q242" s="7">
        <v>0</v>
      </c>
      <c r="R242" s="8" t="str">
        <f>IFERROR(Q242/Q444, "NA")</f>
        <v>NA</v>
      </c>
      <c r="S242" s="9"/>
      <c r="T242" s="7">
        <v>0</v>
      </c>
      <c r="U242" s="8" t="str">
        <f>IFERROR(T242/T444, "NA")</f>
        <v>NA</v>
      </c>
      <c r="V242" s="9"/>
      <c r="W242" s="10">
        <f t="shared" si="66"/>
        <v>0</v>
      </c>
      <c r="X242" s="8" t="str">
        <f>IFERROR(W242/W444, "NA")</f>
        <v>NA</v>
      </c>
      <c r="Y242" s="9"/>
      <c r="Z242" s="7">
        <v>0</v>
      </c>
      <c r="AA242" s="8" t="str">
        <f>IFERROR(Z242/Z444, "NA")</f>
        <v>NA</v>
      </c>
      <c r="AB242" s="9"/>
      <c r="AC242" s="10">
        <f t="shared" si="67"/>
        <v>0</v>
      </c>
      <c r="AD242" s="8" t="str">
        <f>IFERROR(AC242/AC444, "NA")</f>
        <v>NA</v>
      </c>
    </row>
    <row r="243" spans="1:30" ht="16.5" hidden="1" customHeight="1" x14ac:dyDescent="0.45">
      <c r="A243" s="12" t="s">
        <v>220</v>
      </c>
      <c r="B243" s="7">
        <v>0</v>
      </c>
      <c r="C243" s="8" t="str">
        <f>IFERROR(B243/B444, "NA")</f>
        <v>NA</v>
      </c>
      <c r="D243" s="9"/>
      <c r="E243" s="7">
        <v>0</v>
      </c>
      <c r="F243" s="8" t="str">
        <f>IFERROR(E243/E444, "NA")</f>
        <v>NA</v>
      </c>
      <c r="G243" s="9"/>
      <c r="H243" s="10">
        <f t="shared" si="64"/>
        <v>0</v>
      </c>
      <c r="I243" s="8" t="str">
        <f>IFERROR(H243/H444, "NA")</f>
        <v>NA</v>
      </c>
      <c r="J243" s="9"/>
      <c r="K243" s="7">
        <v>0</v>
      </c>
      <c r="L243" s="8" t="str">
        <f>IFERROR(K243/K444, "NA")</f>
        <v>NA</v>
      </c>
      <c r="M243" s="9"/>
      <c r="N243" s="10">
        <f t="shared" si="65"/>
        <v>0</v>
      </c>
      <c r="O243" s="8" t="str">
        <f>IFERROR(N243/N444, "NA")</f>
        <v>NA</v>
      </c>
      <c r="P243" s="9"/>
      <c r="Q243" s="7">
        <v>0</v>
      </c>
      <c r="R243" s="8" t="str">
        <f>IFERROR(Q243/Q444, "NA")</f>
        <v>NA</v>
      </c>
      <c r="S243" s="9"/>
      <c r="T243" s="7">
        <v>0</v>
      </c>
      <c r="U243" s="8" t="str">
        <f>IFERROR(T243/T444, "NA")</f>
        <v>NA</v>
      </c>
      <c r="V243" s="9"/>
      <c r="W243" s="10">
        <f t="shared" si="66"/>
        <v>0</v>
      </c>
      <c r="X243" s="8" t="str">
        <f>IFERROR(W243/W444, "NA")</f>
        <v>NA</v>
      </c>
      <c r="Y243" s="9"/>
      <c r="Z243" s="7">
        <v>0</v>
      </c>
      <c r="AA243" s="8" t="str">
        <f>IFERROR(Z243/Z444, "NA")</f>
        <v>NA</v>
      </c>
      <c r="AB243" s="9"/>
      <c r="AC243" s="10">
        <f t="shared" si="67"/>
        <v>0</v>
      </c>
      <c r="AD243" s="8" t="str">
        <f>IFERROR(AC243/AC444, "NA")</f>
        <v>NA</v>
      </c>
    </row>
    <row r="244" spans="1:30" ht="16.5" hidden="1" customHeight="1" x14ac:dyDescent="0.45">
      <c r="A244" s="12" t="s">
        <v>221</v>
      </c>
      <c r="B244" s="7">
        <v>0</v>
      </c>
      <c r="C244" s="8" t="str">
        <f>IFERROR(B244/B444, "NA")</f>
        <v>NA</v>
      </c>
      <c r="D244" s="9"/>
      <c r="E244" s="7">
        <v>0</v>
      </c>
      <c r="F244" s="8" t="str">
        <f>IFERROR(E244/E444, "NA")</f>
        <v>NA</v>
      </c>
      <c r="G244" s="9"/>
      <c r="H244" s="10">
        <f t="shared" si="64"/>
        <v>0</v>
      </c>
      <c r="I244" s="8" t="str">
        <f>IFERROR(H244/H444, "NA")</f>
        <v>NA</v>
      </c>
      <c r="J244" s="9"/>
      <c r="K244" s="7">
        <v>0</v>
      </c>
      <c r="L244" s="8" t="str">
        <f>IFERROR(K244/K444, "NA")</f>
        <v>NA</v>
      </c>
      <c r="M244" s="9"/>
      <c r="N244" s="10">
        <f t="shared" si="65"/>
        <v>0</v>
      </c>
      <c r="O244" s="8" t="str">
        <f>IFERROR(N244/N444, "NA")</f>
        <v>NA</v>
      </c>
      <c r="P244" s="9"/>
      <c r="Q244" s="7">
        <v>0</v>
      </c>
      <c r="R244" s="8" t="str">
        <f>IFERROR(Q244/Q444, "NA")</f>
        <v>NA</v>
      </c>
      <c r="S244" s="9"/>
      <c r="T244" s="7">
        <v>0</v>
      </c>
      <c r="U244" s="8" t="str">
        <f>IFERROR(T244/T444, "NA")</f>
        <v>NA</v>
      </c>
      <c r="V244" s="9"/>
      <c r="W244" s="10">
        <f t="shared" si="66"/>
        <v>0</v>
      </c>
      <c r="X244" s="8" t="str">
        <f>IFERROR(W244/W444, "NA")</f>
        <v>NA</v>
      </c>
      <c r="Y244" s="9"/>
      <c r="Z244" s="7">
        <v>0</v>
      </c>
      <c r="AA244" s="8" t="str">
        <f>IFERROR(Z244/Z444, "NA")</f>
        <v>NA</v>
      </c>
      <c r="AB244" s="9"/>
      <c r="AC244" s="10">
        <f t="shared" si="67"/>
        <v>0</v>
      </c>
      <c r="AD244" s="8" t="str">
        <f>IFERROR(AC244/AC444, "NA")</f>
        <v>NA</v>
      </c>
    </row>
    <row r="245" spans="1:30" ht="16.5" hidden="1" customHeight="1" x14ac:dyDescent="0.45">
      <c r="A245" s="12" t="s">
        <v>222</v>
      </c>
      <c r="B245" s="7">
        <v>0</v>
      </c>
      <c r="C245" s="8" t="str">
        <f>IFERROR(B245/B444, "NA")</f>
        <v>NA</v>
      </c>
      <c r="D245" s="9"/>
      <c r="E245" s="7">
        <v>0</v>
      </c>
      <c r="F245" s="8" t="str">
        <f>IFERROR(E245/E444, "NA")</f>
        <v>NA</v>
      </c>
      <c r="G245" s="9"/>
      <c r="H245" s="10">
        <f t="shared" si="64"/>
        <v>0</v>
      </c>
      <c r="I245" s="8" t="str">
        <f>IFERROR(H245/H444, "NA")</f>
        <v>NA</v>
      </c>
      <c r="J245" s="9"/>
      <c r="K245" s="7">
        <v>0</v>
      </c>
      <c r="L245" s="8" t="str">
        <f>IFERROR(K245/K444, "NA")</f>
        <v>NA</v>
      </c>
      <c r="M245" s="9"/>
      <c r="N245" s="10">
        <f t="shared" si="65"/>
        <v>0</v>
      </c>
      <c r="O245" s="8" t="str">
        <f>IFERROR(N245/N444, "NA")</f>
        <v>NA</v>
      </c>
      <c r="P245" s="9"/>
      <c r="Q245" s="7">
        <v>0</v>
      </c>
      <c r="R245" s="8" t="str">
        <f>IFERROR(Q245/Q444, "NA")</f>
        <v>NA</v>
      </c>
      <c r="S245" s="9"/>
      <c r="T245" s="7">
        <v>0</v>
      </c>
      <c r="U245" s="8" t="str">
        <f>IFERROR(T245/T444, "NA")</f>
        <v>NA</v>
      </c>
      <c r="V245" s="9"/>
      <c r="W245" s="10">
        <f t="shared" si="66"/>
        <v>0</v>
      </c>
      <c r="X245" s="8" t="str">
        <f>IFERROR(W245/W444, "NA")</f>
        <v>NA</v>
      </c>
      <c r="Y245" s="9"/>
      <c r="Z245" s="7">
        <v>0</v>
      </c>
      <c r="AA245" s="8" t="str">
        <f>IFERROR(Z245/Z444, "NA")</f>
        <v>NA</v>
      </c>
      <c r="AB245" s="9"/>
      <c r="AC245" s="10">
        <f t="shared" si="67"/>
        <v>0</v>
      </c>
      <c r="AD245" s="8" t="str">
        <f>IFERROR(AC245/AC444, "NA")</f>
        <v>NA</v>
      </c>
    </row>
    <row r="246" spans="1:30" ht="16.5" hidden="1" customHeight="1" x14ac:dyDescent="0.45">
      <c r="A246" s="12" t="s">
        <v>223</v>
      </c>
      <c r="B246" s="7">
        <v>0</v>
      </c>
      <c r="C246" s="8" t="str">
        <f>IFERROR(B246/B444, "NA")</f>
        <v>NA</v>
      </c>
      <c r="D246" s="9"/>
      <c r="E246" s="7">
        <v>0</v>
      </c>
      <c r="F246" s="8" t="str">
        <f>IFERROR(E246/E444, "NA")</f>
        <v>NA</v>
      </c>
      <c r="G246" s="9"/>
      <c r="H246" s="10">
        <f t="shared" si="64"/>
        <v>0</v>
      </c>
      <c r="I246" s="8" t="str">
        <f>IFERROR(H246/H444, "NA")</f>
        <v>NA</v>
      </c>
      <c r="J246" s="9"/>
      <c r="K246" s="7">
        <v>0</v>
      </c>
      <c r="L246" s="8" t="str">
        <f>IFERROR(K246/K444, "NA")</f>
        <v>NA</v>
      </c>
      <c r="M246" s="9"/>
      <c r="N246" s="10">
        <f t="shared" si="65"/>
        <v>0</v>
      </c>
      <c r="O246" s="8" t="str">
        <f>IFERROR(N246/N444, "NA")</f>
        <v>NA</v>
      </c>
      <c r="P246" s="9"/>
      <c r="Q246" s="7">
        <v>0</v>
      </c>
      <c r="R246" s="8" t="str">
        <f>IFERROR(Q246/Q444, "NA")</f>
        <v>NA</v>
      </c>
      <c r="S246" s="9"/>
      <c r="T246" s="7">
        <v>0</v>
      </c>
      <c r="U246" s="8" t="str">
        <f>IFERROR(T246/T444, "NA")</f>
        <v>NA</v>
      </c>
      <c r="V246" s="9"/>
      <c r="W246" s="10">
        <f t="shared" si="66"/>
        <v>0</v>
      </c>
      <c r="X246" s="8" t="str">
        <f>IFERROR(W246/W444, "NA")</f>
        <v>NA</v>
      </c>
      <c r="Y246" s="9"/>
      <c r="Z246" s="7">
        <v>0</v>
      </c>
      <c r="AA246" s="8" t="str">
        <f>IFERROR(Z246/Z444, "NA")</f>
        <v>NA</v>
      </c>
      <c r="AB246" s="9"/>
      <c r="AC246" s="10">
        <f t="shared" si="67"/>
        <v>0</v>
      </c>
      <c r="AD246" s="8" t="str">
        <f>IFERROR(AC246/AC444, "NA")</f>
        <v>NA</v>
      </c>
    </row>
    <row r="247" spans="1:30" ht="16.5" hidden="1" customHeight="1" x14ac:dyDescent="0.45">
      <c r="A247" s="12" t="s">
        <v>224</v>
      </c>
      <c r="B247" s="7">
        <v>0</v>
      </c>
      <c r="C247" s="8" t="str">
        <f>IFERROR(B247/B444, "NA")</f>
        <v>NA</v>
      </c>
      <c r="D247" s="9"/>
      <c r="E247" s="7">
        <v>0</v>
      </c>
      <c r="F247" s="8" t="str">
        <f>IFERROR(E247/E444, "NA")</f>
        <v>NA</v>
      </c>
      <c r="G247" s="9"/>
      <c r="H247" s="10">
        <f t="shared" si="64"/>
        <v>0</v>
      </c>
      <c r="I247" s="8" t="str">
        <f>IFERROR(H247/H444, "NA")</f>
        <v>NA</v>
      </c>
      <c r="J247" s="9"/>
      <c r="K247" s="7">
        <v>0</v>
      </c>
      <c r="L247" s="8" t="str">
        <f>IFERROR(K247/K444, "NA")</f>
        <v>NA</v>
      </c>
      <c r="M247" s="9"/>
      <c r="N247" s="10">
        <f t="shared" si="65"/>
        <v>0</v>
      </c>
      <c r="O247" s="8" t="str">
        <f>IFERROR(N247/N444, "NA")</f>
        <v>NA</v>
      </c>
      <c r="P247" s="9"/>
      <c r="Q247" s="7">
        <v>0</v>
      </c>
      <c r="R247" s="8" t="str">
        <f>IFERROR(Q247/Q444, "NA")</f>
        <v>NA</v>
      </c>
      <c r="S247" s="9"/>
      <c r="T247" s="7">
        <v>0</v>
      </c>
      <c r="U247" s="8" t="str">
        <f>IFERROR(T247/T444, "NA")</f>
        <v>NA</v>
      </c>
      <c r="V247" s="9"/>
      <c r="W247" s="10">
        <f t="shared" si="66"/>
        <v>0</v>
      </c>
      <c r="X247" s="8" t="str">
        <f>IFERROR(W247/W444, "NA")</f>
        <v>NA</v>
      </c>
      <c r="Y247" s="9"/>
      <c r="Z247" s="7">
        <v>0</v>
      </c>
      <c r="AA247" s="8" t="str">
        <f>IFERROR(Z247/Z444, "NA")</f>
        <v>NA</v>
      </c>
      <c r="AB247" s="9"/>
      <c r="AC247" s="10">
        <f t="shared" si="67"/>
        <v>0</v>
      </c>
      <c r="AD247" s="8" t="str">
        <f>IFERROR(AC247/AC444, "NA")</f>
        <v>NA</v>
      </c>
    </row>
    <row r="248" spans="1:30" ht="16.5" hidden="1" customHeight="1" x14ac:dyDescent="0.45">
      <c r="A248" s="12" t="s">
        <v>225</v>
      </c>
      <c r="B248" s="7">
        <v>0</v>
      </c>
      <c r="C248" s="8" t="str">
        <f>IFERROR(B248/B444, "NA")</f>
        <v>NA</v>
      </c>
      <c r="D248" s="9"/>
      <c r="E248" s="7">
        <v>0</v>
      </c>
      <c r="F248" s="8" t="str">
        <f>IFERROR(E248/E444, "NA")</f>
        <v>NA</v>
      </c>
      <c r="G248" s="9"/>
      <c r="H248" s="10">
        <f t="shared" si="64"/>
        <v>0</v>
      </c>
      <c r="I248" s="8" t="str">
        <f>IFERROR(H248/H444, "NA")</f>
        <v>NA</v>
      </c>
      <c r="J248" s="9"/>
      <c r="K248" s="7">
        <v>0</v>
      </c>
      <c r="L248" s="8" t="str">
        <f>IFERROR(K248/K444, "NA")</f>
        <v>NA</v>
      </c>
      <c r="M248" s="9"/>
      <c r="N248" s="10">
        <f t="shared" si="65"/>
        <v>0</v>
      </c>
      <c r="O248" s="8" t="str">
        <f>IFERROR(N248/N444, "NA")</f>
        <v>NA</v>
      </c>
      <c r="P248" s="9"/>
      <c r="Q248" s="7">
        <v>0</v>
      </c>
      <c r="R248" s="8" t="str">
        <f>IFERROR(Q248/Q444, "NA")</f>
        <v>NA</v>
      </c>
      <c r="S248" s="9"/>
      <c r="T248" s="7">
        <v>0</v>
      </c>
      <c r="U248" s="8" t="str">
        <f>IFERROR(T248/T444, "NA")</f>
        <v>NA</v>
      </c>
      <c r="V248" s="9"/>
      <c r="W248" s="10">
        <f t="shared" si="66"/>
        <v>0</v>
      </c>
      <c r="X248" s="8" t="str">
        <f>IFERROR(W248/W444, "NA")</f>
        <v>NA</v>
      </c>
      <c r="Y248" s="9"/>
      <c r="Z248" s="7">
        <v>0</v>
      </c>
      <c r="AA248" s="8" t="str">
        <f>IFERROR(Z248/Z444, "NA")</f>
        <v>NA</v>
      </c>
      <c r="AB248" s="9"/>
      <c r="AC248" s="10">
        <f t="shared" si="67"/>
        <v>0</v>
      </c>
      <c r="AD248" s="8" t="str">
        <f>IFERROR(AC248/AC444, "NA")</f>
        <v>NA</v>
      </c>
    </row>
    <row r="249" spans="1:30" ht="16.5" hidden="1" customHeight="1" x14ac:dyDescent="0.45">
      <c r="A249" s="12" t="s">
        <v>226</v>
      </c>
      <c r="B249" s="7">
        <v>0</v>
      </c>
      <c r="C249" s="8" t="str">
        <f>IFERROR(B249/B444, "NA")</f>
        <v>NA</v>
      </c>
      <c r="D249" s="9"/>
      <c r="E249" s="7">
        <v>0</v>
      </c>
      <c r="F249" s="8" t="str">
        <f>IFERROR(E249/E444, "NA")</f>
        <v>NA</v>
      </c>
      <c r="G249" s="9"/>
      <c r="H249" s="10">
        <f t="shared" si="64"/>
        <v>0</v>
      </c>
      <c r="I249" s="8" t="str">
        <f>IFERROR(H249/H444, "NA")</f>
        <v>NA</v>
      </c>
      <c r="J249" s="9"/>
      <c r="K249" s="7">
        <v>0</v>
      </c>
      <c r="L249" s="8" t="str">
        <f>IFERROR(K249/K444, "NA")</f>
        <v>NA</v>
      </c>
      <c r="M249" s="9"/>
      <c r="N249" s="10">
        <f t="shared" si="65"/>
        <v>0</v>
      </c>
      <c r="O249" s="8" t="str">
        <f>IFERROR(N249/N444, "NA")</f>
        <v>NA</v>
      </c>
      <c r="P249" s="9"/>
      <c r="Q249" s="7">
        <v>0</v>
      </c>
      <c r="R249" s="8" t="str">
        <f>IFERROR(Q249/Q444, "NA")</f>
        <v>NA</v>
      </c>
      <c r="S249" s="9"/>
      <c r="T249" s="7">
        <v>0</v>
      </c>
      <c r="U249" s="8" t="str">
        <f>IFERROR(T249/T444, "NA")</f>
        <v>NA</v>
      </c>
      <c r="V249" s="9"/>
      <c r="W249" s="10">
        <f t="shared" si="66"/>
        <v>0</v>
      </c>
      <c r="X249" s="8" t="str">
        <f>IFERROR(W249/W444, "NA")</f>
        <v>NA</v>
      </c>
      <c r="Y249" s="9"/>
      <c r="Z249" s="7">
        <v>0</v>
      </c>
      <c r="AA249" s="8" t="str">
        <f>IFERROR(Z249/Z444, "NA")</f>
        <v>NA</v>
      </c>
      <c r="AB249" s="9"/>
      <c r="AC249" s="10">
        <f t="shared" si="67"/>
        <v>0</v>
      </c>
      <c r="AD249" s="8" t="str">
        <f>IFERROR(AC249/AC444, "NA")</f>
        <v>NA</v>
      </c>
    </row>
    <row r="250" spans="1:30" ht="16.5" hidden="1" customHeight="1" x14ac:dyDescent="0.45">
      <c r="A250" s="12" t="s">
        <v>227</v>
      </c>
      <c r="B250" s="7">
        <v>0</v>
      </c>
      <c r="C250" s="8" t="str">
        <f>IFERROR(B250/B444, "NA")</f>
        <v>NA</v>
      </c>
      <c r="D250" s="9"/>
      <c r="E250" s="7">
        <v>0</v>
      </c>
      <c r="F250" s="8" t="str">
        <f>IFERROR(E250/E444, "NA")</f>
        <v>NA</v>
      </c>
      <c r="G250" s="9"/>
      <c r="H250" s="10">
        <f t="shared" si="64"/>
        <v>0</v>
      </c>
      <c r="I250" s="8" t="str">
        <f>IFERROR(H250/H444, "NA")</f>
        <v>NA</v>
      </c>
      <c r="J250" s="9"/>
      <c r="K250" s="7">
        <v>0</v>
      </c>
      <c r="L250" s="8" t="str">
        <f>IFERROR(K250/K444, "NA")</f>
        <v>NA</v>
      </c>
      <c r="M250" s="9"/>
      <c r="N250" s="10">
        <f t="shared" si="65"/>
        <v>0</v>
      </c>
      <c r="O250" s="8" t="str">
        <f>IFERROR(N250/N444, "NA")</f>
        <v>NA</v>
      </c>
      <c r="P250" s="9"/>
      <c r="Q250" s="7">
        <v>0</v>
      </c>
      <c r="R250" s="8" t="str">
        <f>IFERROR(Q250/Q444, "NA")</f>
        <v>NA</v>
      </c>
      <c r="S250" s="9"/>
      <c r="T250" s="7">
        <v>0</v>
      </c>
      <c r="U250" s="8" t="str">
        <f>IFERROR(T250/T444, "NA")</f>
        <v>NA</v>
      </c>
      <c r="V250" s="9"/>
      <c r="W250" s="10">
        <f t="shared" si="66"/>
        <v>0</v>
      </c>
      <c r="X250" s="8" t="str">
        <f>IFERROR(W250/W444, "NA")</f>
        <v>NA</v>
      </c>
      <c r="Y250" s="9"/>
      <c r="Z250" s="7">
        <v>0</v>
      </c>
      <c r="AA250" s="8" t="str">
        <f>IFERROR(Z250/Z444, "NA")</f>
        <v>NA</v>
      </c>
      <c r="AB250" s="9"/>
      <c r="AC250" s="10">
        <f t="shared" si="67"/>
        <v>0</v>
      </c>
      <c r="AD250" s="8" t="str">
        <f>IFERROR(AC250/AC444, "NA")</f>
        <v>NA</v>
      </c>
    </row>
    <row r="251" spans="1:30" ht="16.5" hidden="1" customHeight="1" x14ac:dyDescent="0.45">
      <c r="A251" s="12" t="s">
        <v>228</v>
      </c>
      <c r="B251" s="7">
        <v>0</v>
      </c>
      <c r="C251" s="8" t="str">
        <f>IFERROR(B251/B444, "NA")</f>
        <v>NA</v>
      </c>
      <c r="D251" s="9"/>
      <c r="E251" s="7">
        <v>0</v>
      </c>
      <c r="F251" s="8" t="str">
        <f>IFERROR(E251/E444, "NA")</f>
        <v>NA</v>
      </c>
      <c r="G251" s="9"/>
      <c r="H251" s="10">
        <f t="shared" si="64"/>
        <v>0</v>
      </c>
      <c r="I251" s="8" t="str">
        <f>IFERROR(H251/H444, "NA")</f>
        <v>NA</v>
      </c>
      <c r="J251" s="9"/>
      <c r="K251" s="7">
        <v>0</v>
      </c>
      <c r="L251" s="8" t="str">
        <f>IFERROR(K251/K444, "NA")</f>
        <v>NA</v>
      </c>
      <c r="M251" s="9"/>
      <c r="N251" s="10">
        <f t="shared" si="65"/>
        <v>0</v>
      </c>
      <c r="O251" s="8" t="str">
        <f>IFERROR(N251/N444, "NA")</f>
        <v>NA</v>
      </c>
      <c r="P251" s="9"/>
      <c r="Q251" s="7">
        <v>0</v>
      </c>
      <c r="R251" s="8" t="str">
        <f>IFERROR(Q251/Q444, "NA")</f>
        <v>NA</v>
      </c>
      <c r="S251" s="9"/>
      <c r="T251" s="7">
        <v>0</v>
      </c>
      <c r="U251" s="8" t="str">
        <f>IFERROR(T251/T444, "NA")</f>
        <v>NA</v>
      </c>
      <c r="V251" s="9"/>
      <c r="W251" s="10">
        <f t="shared" si="66"/>
        <v>0</v>
      </c>
      <c r="X251" s="8" t="str">
        <f>IFERROR(W251/W444, "NA")</f>
        <v>NA</v>
      </c>
      <c r="Y251" s="9"/>
      <c r="Z251" s="7">
        <v>0</v>
      </c>
      <c r="AA251" s="8" t="str">
        <f>IFERROR(Z251/Z444, "NA")</f>
        <v>NA</v>
      </c>
      <c r="AB251" s="9"/>
      <c r="AC251" s="10">
        <f t="shared" si="67"/>
        <v>0</v>
      </c>
      <c r="AD251" s="8" t="str">
        <f>IFERROR(AC251/AC444, "NA")</f>
        <v>NA</v>
      </c>
    </row>
    <row r="252" spans="1:30" ht="16.5" hidden="1" customHeight="1" x14ac:dyDescent="0.45">
      <c r="A252" s="12" t="s">
        <v>229</v>
      </c>
      <c r="B252" s="7">
        <v>0</v>
      </c>
      <c r="C252" s="8" t="str">
        <f>IFERROR(B252/B444, "NA")</f>
        <v>NA</v>
      </c>
      <c r="D252" s="9"/>
      <c r="E252" s="7">
        <v>0</v>
      </c>
      <c r="F252" s="8" t="str">
        <f>IFERROR(E252/E444, "NA")</f>
        <v>NA</v>
      </c>
      <c r="G252" s="9"/>
      <c r="H252" s="10">
        <f t="shared" si="64"/>
        <v>0</v>
      </c>
      <c r="I252" s="8" t="str">
        <f>IFERROR(H252/H444, "NA")</f>
        <v>NA</v>
      </c>
      <c r="J252" s="9"/>
      <c r="K252" s="7">
        <v>0</v>
      </c>
      <c r="L252" s="8" t="str">
        <f>IFERROR(K252/K444, "NA")</f>
        <v>NA</v>
      </c>
      <c r="M252" s="9"/>
      <c r="N252" s="10">
        <f t="shared" si="65"/>
        <v>0</v>
      </c>
      <c r="O252" s="8" t="str">
        <f>IFERROR(N252/N444, "NA")</f>
        <v>NA</v>
      </c>
      <c r="P252" s="9"/>
      <c r="Q252" s="7">
        <v>0</v>
      </c>
      <c r="R252" s="8" t="str">
        <f>IFERROR(Q252/Q444, "NA")</f>
        <v>NA</v>
      </c>
      <c r="S252" s="9"/>
      <c r="T252" s="7">
        <v>0</v>
      </c>
      <c r="U252" s="8" t="str">
        <f>IFERROR(T252/T444, "NA")</f>
        <v>NA</v>
      </c>
      <c r="V252" s="9"/>
      <c r="W252" s="10">
        <f t="shared" si="66"/>
        <v>0</v>
      </c>
      <c r="X252" s="8" t="str">
        <f>IFERROR(W252/W444, "NA")</f>
        <v>NA</v>
      </c>
      <c r="Y252" s="9"/>
      <c r="Z252" s="7">
        <v>0</v>
      </c>
      <c r="AA252" s="8" t="str">
        <f>IFERROR(Z252/Z444, "NA")</f>
        <v>NA</v>
      </c>
      <c r="AB252" s="9"/>
      <c r="AC252" s="10">
        <f t="shared" si="67"/>
        <v>0</v>
      </c>
      <c r="AD252" s="8" t="str">
        <f>IFERROR(AC252/AC444, "NA")</f>
        <v>NA</v>
      </c>
    </row>
    <row r="253" spans="1:30" ht="16.5" hidden="1" customHeight="1" x14ac:dyDescent="0.45">
      <c r="A253" s="12" t="s">
        <v>230</v>
      </c>
      <c r="B253" s="7">
        <v>0</v>
      </c>
      <c r="C253" s="8" t="str">
        <f>IFERROR(B253/B444, "NA")</f>
        <v>NA</v>
      </c>
      <c r="D253" s="9"/>
      <c r="E253" s="7">
        <v>0</v>
      </c>
      <c r="F253" s="8" t="str">
        <f>IFERROR(E253/E444, "NA")</f>
        <v>NA</v>
      </c>
      <c r="G253" s="9"/>
      <c r="H253" s="10">
        <f t="shared" si="64"/>
        <v>0</v>
      </c>
      <c r="I253" s="8" t="str">
        <f>IFERROR(H253/H444, "NA")</f>
        <v>NA</v>
      </c>
      <c r="J253" s="9"/>
      <c r="K253" s="7">
        <v>0</v>
      </c>
      <c r="L253" s="8" t="str">
        <f>IFERROR(K253/K444, "NA")</f>
        <v>NA</v>
      </c>
      <c r="M253" s="9"/>
      <c r="N253" s="10">
        <f t="shared" si="65"/>
        <v>0</v>
      </c>
      <c r="O253" s="8" t="str">
        <f>IFERROR(N253/N444, "NA")</f>
        <v>NA</v>
      </c>
      <c r="P253" s="9"/>
      <c r="Q253" s="7">
        <v>0</v>
      </c>
      <c r="R253" s="8" t="str">
        <f>IFERROR(Q253/Q444, "NA")</f>
        <v>NA</v>
      </c>
      <c r="S253" s="9"/>
      <c r="T253" s="7">
        <v>0</v>
      </c>
      <c r="U253" s="8" t="str">
        <f>IFERROR(T253/T444, "NA")</f>
        <v>NA</v>
      </c>
      <c r="V253" s="9"/>
      <c r="W253" s="10">
        <f t="shared" si="66"/>
        <v>0</v>
      </c>
      <c r="X253" s="8" t="str">
        <f>IFERROR(W253/W444, "NA")</f>
        <v>NA</v>
      </c>
      <c r="Y253" s="9"/>
      <c r="Z253" s="7">
        <v>0</v>
      </c>
      <c r="AA253" s="8" t="str">
        <f>IFERROR(Z253/Z444, "NA")</f>
        <v>NA</v>
      </c>
      <c r="AB253" s="9"/>
      <c r="AC253" s="10">
        <f t="shared" si="67"/>
        <v>0</v>
      </c>
      <c r="AD253" s="8" t="str">
        <f>IFERROR(AC253/AC444, "NA")</f>
        <v>NA</v>
      </c>
    </row>
    <row r="254" spans="1:30" ht="16.5" hidden="1" customHeight="1" x14ac:dyDescent="0.45">
      <c r="A254" s="12" t="s">
        <v>231</v>
      </c>
      <c r="B254" s="7">
        <v>0</v>
      </c>
      <c r="C254" s="8" t="str">
        <f>IFERROR(B254/B444, "NA")</f>
        <v>NA</v>
      </c>
      <c r="D254" s="9"/>
      <c r="E254" s="7">
        <v>0</v>
      </c>
      <c r="F254" s="8" t="str">
        <f>IFERROR(E254/E444, "NA")</f>
        <v>NA</v>
      </c>
      <c r="G254" s="9"/>
      <c r="H254" s="10">
        <f t="shared" si="64"/>
        <v>0</v>
      </c>
      <c r="I254" s="8" t="str">
        <f>IFERROR(H254/H444, "NA")</f>
        <v>NA</v>
      </c>
      <c r="J254" s="9"/>
      <c r="K254" s="7">
        <v>0</v>
      </c>
      <c r="L254" s="8" t="str">
        <f>IFERROR(K254/K444, "NA")</f>
        <v>NA</v>
      </c>
      <c r="M254" s="9"/>
      <c r="N254" s="10">
        <f t="shared" si="65"/>
        <v>0</v>
      </c>
      <c r="O254" s="8" t="str">
        <f>IFERROR(N254/N444, "NA")</f>
        <v>NA</v>
      </c>
      <c r="P254" s="9"/>
      <c r="Q254" s="7">
        <v>0</v>
      </c>
      <c r="R254" s="8" t="str">
        <f>IFERROR(Q254/Q444, "NA")</f>
        <v>NA</v>
      </c>
      <c r="S254" s="9"/>
      <c r="T254" s="7">
        <v>0</v>
      </c>
      <c r="U254" s="8" t="str">
        <f>IFERROR(T254/T444, "NA")</f>
        <v>NA</v>
      </c>
      <c r="V254" s="9"/>
      <c r="W254" s="10">
        <f t="shared" si="66"/>
        <v>0</v>
      </c>
      <c r="X254" s="8" t="str">
        <f>IFERROR(W254/W444, "NA")</f>
        <v>NA</v>
      </c>
      <c r="Y254" s="9"/>
      <c r="Z254" s="7">
        <v>0</v>
      </c>
      <c r="AA254" s="8" t="str">
        <f>IFERROR(Z254/Z444, "NA")</f>
        <v>NA</v>
      </c>
      <c r="AB254" s="9"/>
      <c r="AC254" s="10">
        <f t="shared" si="67"/>
        <v>0</v>
      </c>
      <c r="AD254" s="8" t="str">
        <f>IFERROR(AC254/AC444, "NA")</f>
        <v>NA</v>
      </c>
    </row>
    <row r="255" spans="1:30" ht="16.5" hidden="1" customHeight="1" x14ac:dyDescent="0.45">
      <c r="A255" s="12" t="s">
        <v>232</v>
      </c>
      <c r="B255" s="7">
        <v>0</v>
      </c>
      <c r="C255" s="8" t="str">
        <f>IFERROR(B255/B444, "NA")</f>
        <v>NA</v>
      </c>
      <c r="D255" s="9"/>
      <c r="E255" s="7">
        <v>0</v>
      </c>
      <c r="F255" s="8" t="str">
        <f>IFERROR(E255/E444, "NA")</f>
        <v>NA</v>
      </c>
      <c r="G255" s="9"/>
      <c r="H255" s="10">
        <f t="shared" si="64"/>
        <v>0</v>
      </c>
      <c r="I255" s="8" t="str">
        <f>IFERROR(H255/H444, "NA")</f>
        <v>NA</v>
      </c>
      <c r="J255" s="9"/>
      <c r="K255" s="7">
        <v>0</v>
      </c>
      <c r="L255" s="8" t="str">
        <f>IFERROR(K255/K444, "NA")</f>
        <v>NA</v>
      </c>
      <c r="M255" s="9"/>
      <c r="N255" s="10">
        <f t="shared" si="65"/>
        <v>0</v>
      </c>
      <c r="O255" s="8" t="str">
        <f>IFERROR(N255/N444, "NA")</f>
        <v>NA</v>
      </c>
      <c r="P255" s="9"/>
      <c r="Q255" s="7">
        <v>0</v>
      </c>
      <c r="R255" s="8" t="str">
        <f>IFERROR(Q255/Q444, "NA")</f>
        <v>NA</v>
      </c>
      <c r="S255" s="9"/>
      <c r="T255" s="7">
        <v>0</v>
      </c>
      <c r="U255" s="8" t="str">
        <f>IFERROR(T255/T444, "NA")</f>
        <v>NA</v>
      </c>
      <c r="V255" s="9"/>
      <c r="W255" s="10">
        <f t="shared" si="66"/>
        <v>0</v>
      </c>
      <c r="X255" s="8" t="str">
        <f>IFERROR(W255/W444, "NA")</f>
        <v>NA</v>
      </c>
      <c r="Y255" s="9"/>
      <c r="Z255" s="7">
        <v>0</v>
      </c>
      <c r="AA255" s="8" t="str">
        <f>IFERROR(Z255/Z444, "NA")</f>
        <v>NA</v>
      </c>
      <c r="AB255" s="9"/>
      <c r="AC255" s="10">
        <f t="shared" si="67"/>
        <v>0</v>
      </c>
      <c r="AD255" s="8" t="str">
        <f>IFERROR(AC255/AC444, "NA")</f>
        <v>NA</v>
      </c>
    </row>
    <row r="256" spans="1:30" ht="16.5" hidden="1" customHeight="1" x14ac:dyDescent="0.45">
      <c r="A256" s="12" t="s">
        <v>233</v>
      </c>
      <c r="B256" s="7">
        <v>0</v>
      </c>
      <c r="C256" s="8" t="str">
        <f>IFERROR(B256/B444, "NA")</f>
        <v>NA</v>
      </c>
      <c r="D256" s="9"/>
      <c r="E256" s="7">
        <v>0</v>
      </c>
      <c r="F256" s="8" t="str">
        <f>IFERROR(E256/E444, "NA")</f>
        <v>NA</v>
      </c>
      <c r="G256" s="9"/>
      <c r="H256" s="10">
        <f t="shared" si="64"/>
        <v>0</v>
      </c>
      <c r="I256" s="8" t="str">
        <f>IFERROR(H256/H444, "NA")</f>
        <v>NA</v>
      </c>
      <c r="J256" s="9"/>
      <c r="K256" s="7">
        <v>0</v>
      </c>
      <c r="L256" s="8" t="str">
        <f>IFERROR(K256/K444, "NA")</f>
        <v>NA</v>
      </c>
      <c r="M256" s="9"/>
      <c r="N256" s="10">
        <f t="shared" si="65"/>
        <v>0</v>
      </c>
      <c r="O256" s="8" t="str">
        <f>IFERROR(N256/N444, "NA")</f>
        <v>NA</v>
      </c>
      <c r="P256" s="9"/>
      <c r="Q256" s="7">
        <v>0</v>
      </c>
      <c r="R256" s="8" t="str">
        <f>IFERROR(Q256/Q444, "NA")</f>
        <v>NA</v>
      </c>
      <c r="S256" s="9"/>
      <c r="T256" s="7">
        <v>0</v>
      </c>
      <c r="U256" s="8" t="str">
        <f>IFERROR(T256/T444, "NA")</f>
        <v>NA</v>
      </c>
      <c r="V256" s="9"/>
      <c r="W256" s="10">
        <f t="shared" si="66"/>
        <v>0</v>
      </c>
      <c r="X256" s="8" t="str">
        <f>IFERROR(W256/W444, "NA")</f>
        <v>NA</v>
      </c>
      <c r="Y256" s="9"/>
      <c r="Z256" s="7">
        <v>0</v>
      </c>
      <c r="AA256" s="8" t="str">
        <f>IFERROR(Z256/Z444, "NA")</f>
        <v>NA</v>
      </c>
      <c r="AB256" s="9"/>
      <c r="AC256" s="10">
        <f t="shared" si="67"/>
        <v>0</v>
      </c>
      <c r="AD256" s="8" t="str">
        <f>IFERROR(AC256/AC444, "NA")</f>
        <v>NA</v>
      </c>
    </row>
    <row r="257" spans="1:30" ht="16.5" hidden="1" customHeight="1" x14ac:dyDescent="0.45">
      <c r="A257" s="12" t="s">
        <v>234</v>
      </c>
      <c r="B257" s="7">
        <v>0</v>
      </c>
      <c r="C257" s="8" t="str">
        <f>IFERROR(B257/B444, "NA")</f>
        <v>NA</v>
      </c>
      <c r="D257" s="9"/>
      <c r="E257" s="7">
        <v>0</v>
      </c>
      <c r="F257" s="8" t="str">
        <f>IFERROR(E257/E444, "NA")</f>
        <v>NA</v>
      </c>
      <c r="G257" s="9"/>
      <c r="H257" s="10">
        <f t="shared" si="64"/>
        <v>0</v>
      </c>
      <c r="I257" s="8" t="str">
        <f>IFERROR(H257/H444, "NA")</f>
        <v>NA</v>
      </c>
      <c r="J257" s="9"/>
      <c r="K257" s="7">
        <v>0</v>
      </c>
      <c r="L257" s="8" t="str">
        <f>IFERROR(K257/K444, "NA")</f>
        <v>NA</v>
      </c>
      <c r="M257" s="9"/>
      <c r="N257" s="10">
        <f t="shared" si="65"/>
        <v>0</v>
      </c>
      <c r="O257" s="8" t="str">
        <f>IFERROR(N257/N444, "NA")</f>
        <v>NA</v>
      </c>
      <c r="P257" s="9"/>
      <c r="Q257" s="7">
        <v>0</v>
      </c>
      <c r="R257" s="8" t="str">
        <f>IFERROR(Q257/Q444, "NA")</f>
        <v>NA</v>
      </c>
      <c r="S257" s="9"/>
      <c r="T257" s="7">
        <v>0</v>
      </c>
      <c r="U257" s="8" t="str">
        <f>IFERROR(T257/T444, "NA")</f>
        <v>NA</v>
      </c>
      <c r="V257" s="9"/>
      <c r="W257" s="10">
        <f t="shared" si="66"/>
        <v>0</v>
      </c>
      <c r="X257" s="8" t="str">
        <f>IFERROR(W257/W444, "NA")</f>
        <v>NA</v>
      </c>
      <c r="Y257" s="9"/>
      <c r="Z257" s="7">
        <v>0</v>
      </c>
      <c r="AA257" s="8" t="str">
        <f>IFERROR(Z257/Z444, "NA")</f>
        <v>NA</v>
      </c>
      <c r="AB257" s="9"/>
      <c r="AC257" s="10">
        <f t="shared" si="67"/>
        <v>0</v>
      </c>
      <c r="AD257" s="8" t="str">
        <f>IFERROR(AC257/AC444, "NA")</f>
        <v>NA</v>
      </c>
    </row>
    <row r="258" spans="1:30" ht="16.5" hidden="1" customHeight="1" x14ac:dyDescent="0.45">
      <c r="A258" s="12" t="s">
        <v>235</v>
      </c>
      <c r="B258" s="7">
        <v>0</v>
      </c>
      <c r="C258" s="8" t="str">
        <f>IFERROR(B258/B444, "NA")</f>
        <v>NA</v>
      </c>
      <c r="D258" s="9"/>
      <c r="E258" s="7">
        <v>0</v>
      </c>
      <c r="F258" s="8" t="str">
        <f>IFERROR(E258/E444, "NA")</f>
        <v>NA</v>
      </c>
      <c r="G258" s="9"/>
      <c r="H258" s="10">
        <f t="shared" si="64"/>
        <v>0</v>
      </c>
      <c r="I258" s="8" t="str">
        <f>IFERROR(H258/H444, "NA")</f>
        <v>NA</v>
      </c>
      <c r="J258" s="9"/>
      <c r="K258" s="7">
        <v>0</v>
      </c>
      <c r="L258" s="8" t="str">
        <f>IFERROR(K258/K444, "NA")</f>
        <v>NA</v>
      </c>
      <c r="M258" s="9"/>
      <c r="N258" s="10">
        <f t="shared" si="65"/>
        <v>0</v>
      </c>
      <c r="O258" s="8" t="str">
        <f>IFERROR(N258/N444, "NA")</f>
        <v>NA</v>
      </c>
      <c r="P258" s="9"/>
      <c r="Q258" s="7">
        <v>0</v>
      </c>
      <c r="R258" s="8" t="str">
        <f>IFERROR(Q258/Q444, "NA")</f>
        <v>NA</v>
      </c>
      <c r="S258" s="9"/>
      <c r="T258" s="7">
        <v>0</v>
      </c>
      <c r="U258" s="8" t="str">
        <f>IFERROR(T258/T444, "NA")</f>
        <v>NA</v>
      </c>
      <c r="V258" s="9"/>
      <c r="W258" s="10">
        <f t="shared" si="66"/>
        <v>0</v>
      </c>
      <c r="X258" s="8" t="str">
        <f>IFERROR(W258/W444, "NA")</f>
        <v>NA</v>
      </c>
      <c r="Y258" s="9"/>
      <c r="Z258" s="7">
        <v>0</v>
      </c>
      <c r="AA258" s="8" t="str">
        <f>IFERROR(Z258/Z444, "NA")</f>
        <v>NA</v>
      </c>
      <c r="AB258" s="9"/>
      <c r="AC258" s="10">
        <f t="shared" si="67"/>
        <v>0</v>
      </c>
      <c r="AD258" s="8" t="str">
        <f>IFERROR(AC258/AC444, "NA")</f>
        <v>NA</v>
      </c>
    </row>
    <row r="259" spans="1:30" ht="16.5" hidden="1" customHeight="1" x14ac:dyDescent="0.45">
      <c r="A259" s="12" t="s">
        <v>236</v>
      </c>
      <c r="B259" s="7">
        <v>0</v>
      </c>
      <c r="C259" s="8" t="str">
        <f>IFERROR(B259/B444, "NA")</f>
        <v>NA</v>
      </c>
      <c r="D259" s="9"/>
      <c r="E259" s="7">
        <v>0</v>
      </c>
      <c r="F259" s="8" t="str">
        <f>IFERROR(E259/E444, "NA")</f>
        <v>NA</v>
      </c>
      <c r="G259" s="9"/>
      <c r="H259" s="10">
        <f t="shared" si="64"/>
        <v>0</v>
      </c>
      <c r="I259" s="8" t="str">
        <f>IFERROR(H259/H444, "NA")</f>
        <v>NA</v>
      </c>
      <c r="J259" s="9"/>
      <c r="K259" s="7">
        <v>0</v>
      </c>
      <c r="L259" s="8" t="str">
        <f>IFERROR(K259/K444, "NA")</f>
        <v>NA</v>
      </c>
      <c r="M259" s="9"/>
      <c r="N259" s="10">
        <f t="shared" si="65"/>
        <v>0</v>
      </c>
      <c r="O259" s="8" t="str">
        <f>IFERROR(N259/N444, "NA")</f>
        <v>NA</v>
      </c>
      <c r="P259" s="9"/>
      <c r="Q259" s="7">
        <v>0</v>
      </c>
      <c r="R259" s="8" t="str">
        <f>IFERROR(Q259/Q444, "NA")</f>
        <v>NA</v>
      </c>
      <c r="S259" s="9"/>
      <c r="T259" s="7">
        <v>0</v>
      </c>
      <c r="U259" s="8" t="str">
        <f>IFERROR(T259/T444, "NA")</f>
        <v>NA</v>
      </c>
      <c r="V259" s="9"/>
      <c r="W259" s="10">
        <f t="shared" si="66"/>
        <v>0</v>
      </c>
      <c r="X259" s="8" t="str">
        <f>IFERROR(W259/W444, "NA")</f>
        <v>NA</v>
      </c>
      <c r="Y259" s="9"/>
      <c r="Z259" s="7">
        <v>0</v>
      </c>
      <c r="AA259" s="8" t="str">
        <f>IFERROR(Z259/Z444, "NA")</f>
        <v>NA</v>
      </c>
      <c r="AB259" s="9"/>
      <c r="AC259" s="10">
        <f t="shared" si="67"/>
        <v>0</v>
      </c>
      <c r="AD259" s="8" t="str">
        <f>IFERROR(AC259/AC444, "NA")</f>
        <v>NA</v>
      </c>
    </row>
    <row r="260" spans="1:30" ht="16.5" hidden="1" customHeight="1" x14ac:dyDescent="0.45">
      <c r="A260" s="12" t="s">
        <v>237</v>
      </c>
      <c r="B260" s="7">
        <v>0</v>
      </c>
      <c r="C260" s="8" t="str">
        <f>IFERROR(B260/B444, "NA")</f>
        <v>NA</v>
      </c>
      <c r="D260" s="9"/>
      <c r="E260" s="7">
        <v>0</v>
      </c>
      <c r="F260" s="8" t="str">
        <f>IFERROR(E260/E444, "NA")</f>
        <v>NA</v>
      </c>
      <c r="G260" s="9"/>
      <c r="H260" s="10">
        <f t="shared" si="64"/>
        <v>0</v>
      </c>
      <c r="I260" s="8" t="str">
        <f>IFERROR(H260/H444, "NA")</f>
        <v>NA</v>
      </c>
      <c r="J260" s="9"/>
      <c r="K260" s="7">
        <v>0</v>
      </c>
      <c r="L260" s="8" t="str">
        <f>IFERROR(K260/K444, "NA")</f>
        <v>NA</v>
      </c>
      <c r="M260" s="9"/>
      <c r="N260" s="10">
        <f t="shared" si="65"/>
        <v>0</v>
      </c>
      <c r="O260" s="8" t="str">
        <f>IFERROR(N260/N444, "NA")</f>
        <v>NA</v>
      </c>
      <c r="P260" s="9"/>
      <c r="Q260" s="7">
        <v>0</v>
      </c>
      <c r="R260" s="8" t="str">
        <f>IFERROR(Q260/Q444, "NA")</f>
        <v>NA</v>
      </c>
      <c r="S260" s="9"/>
      <c r="T260" s="7">
        <v>0</v>
      </c>
      <c r="U260" s="8" t="str">
        <f>IFERROR(T260/T444, "NA")</f>
        <v>NA</v>
      </c>
      <c r="V260" s="9"/>
      <c r="W260" s="10">
        <f t="shared" si="66"/>
        <v>0</v>
      </c>
      <c r="X260" s="8" t="str">
        <f>IFERROR(W260/W444, "NA")</f>
        <v>NA</v>
      </c>
      <c r="Y260" s="9"/>
      <c r="Z260" s="7">
        <v>0</v>
      </c>
      <c r="AA260" s="8" t="str">
        <f>IFERROR(Z260/Z444, "NA")</f>
        <v>NA</v>
      </c>
      <c r="AB260" s="9"/>
      <c r="AC260" s="10">
        <f t="shared" si="67"/>
        <v>0</v>
      </c>
      <c r="AD260" s="8" t="str">
        <f>IFERROR(AC260/AC444, "NA")</f>
        <v>NA</v>
      </c>
    </row>
    <row r="261" spans="1:30" ht="16.5" hidden="1" customHeight="1" x14ac:dyDescent="0.45">
      <c r="A261" s="12" t="s">
        <v>238</v>
      </c>
      <c r="B261" s="7">
        <v>0</v>
      </c>
      <c r="C261" s="8" t="str">
        <f>IFERROR(B261/B444, "NA")</f>
        <v>NA</v>
      </c>
      <c r="D261" s="9"/>
      <c r="E261" s="7">
        <v>0</v>
      </c>
      <c r="F261" s="8" t="str">
        <f>IFERROR(E261/E444, "NA")</f>
        <v>NA</v>
      </c>
      <c r="G261" s="9"/>
      <c r="H261" s="10">
        <f t="shared" si="64"/>
        <v>0</v>
      </c>
      <c r="I261" s="8" t="str">
        <f>IFERROR(H261/H444, "NA")</f>
        <v>NA</v>
      </c>
      <c r="J261" s="9"/>
      <c r="K261" s="7">
        <v>0</v>
      </c>
      <c r="L261" s="8" t="str">
        <f>IFERROR(K261/K444, "NA")</f>
        <v>NA</v>
      </c>
      <c r="M261" s="9"/>
      <c r="N261" s="10">
        <f t="shared" si="65"/>
        <v>0</v>
      </c>
      <c r="O261" s="8" t="str">
        <f>IFERROR(N261/N444, "NA")</f>
        <v>NA</v>
      </c>
      <c r="P261" s="9"/>
      <c r="Q261" s="7">
        <v>0</v>
      </c>
      <c r="R261" s="8" t="str">
        <f>IFERROR(Q261/Q444, "NA")</f>
        <v>NA</v>
      </c>
      <c r="S261" s="9"/>
      <c r="T261" s="7">
        <v>0</v>
      </c>
      <c r="U261" s="8" t="str">
        <f>IFERROR(T261/T444, "NA")</f>
        <v>NA</v>
      </c>
      <c r="V261" s="9"/>
      <c r="W261" s="10">
        <f t="shared" si="66"/>
        <v>0</v>
      </c>
      <c r="X261" s="8" t="str">
        <f>IFERROR(W261/W444, "NA")</f>
        <v>NA</v>
      </c>
      <c r="Y261" s="9"/>
      <c r="Z261" s="7">
        <v>0</v>
      </c>
      <c r="AA261" s="8" t="str">
        <f>IFERROR(Z261/Z444, "NA")</f>
        <v>NA</v>
      </c>
      <c r="AB261" s="9"/>
      <c r="AC261" s="10">
        <f t="shared" si="67"/>
        <v>0</v>
      </c>
      <c r="AD261" s="8" t="str">
        <f>IFERROR(AC261/AC444, "NA")</f>
        <v>NA</v>
      </c>
    </row>
    <row r="262" spans="1:30" ht="16.5" customHeight="1" x14ac:dyDescent="0.45">
      <c r="A262" s="13" t="s">
        <v>239</v>
      </c>
      <c r="B262" s="14">
        <f>IFERROR(B240+B241+B242+B243+B244+B245+B246+B247+B248+B249+B250+B251+B252+B253+B254+B255+B256+B257+B258+B259+B260+B261, "NA")</f>
        <v>0</v>
      </c>
      <c r="C262" s="15" t="str">
        <f>IFERROR(B262/B444, "NA")</f>
        <v>NA</v>
      </c>
      <c r="D262" s="2"/>
      <c r="E262" s="14">
        <f>IFERROR(E240+E241+E242+E243+E244+E245+E246+E247+E248+E249+E250+E251+E252+E253+E254+E255+E256+E257+E258+E259+E260+E261, "NA")</f>
        <v>0</v>
      </c>
      <c r="F262" s="15" t="str">
        <f>IFERROR(E262/E444, "NA")</f>
        <v>NA</v>
      </c>
      <c r="G262" s="2"/>
      <c r="H262" s="14">
        <f t="shared" si="64"/>
        <v>0</v>
      </c>
      <c r="I262" s="15" t="str">
        <f>IFERROR(H262/H444, "NA")</f>
        <v>NA</v>
      </c>
      <c r="J262" s="2"/>
      <c r="K262" s="14">
        <f>IFERROR(K240+K241+K242+K243+K244+K245+K246+K247+K248+K249+K250+K251+K252+K253+K254+K255+K256+K257+K258+K259+K260+K261, "NA")</f>
        <v>0</v>
      </c>
      <c r="L262" s="15" t="str">
        <f>IFERROR(K262/K444, "NA")</f>
        <v>NA</v>
      </c>
      <c r="M262" s="2"/>
      <c r="N262" s="14">
        <f t="shared" si="65"/>
        <v>0</v>
      </c>
      <c r="O262" s="15" t="str">
        <f>IFERROR(N262/N444, "NA")</f>
        <v>NA</v>
      </c>
      <c r="P262" s="2"/>
      <c r="Q262" s="14">
        <f>IFERROR(Q240+Q241+Q242+Q243+Q244+Q245+Q246+Q247+Q248+Q249+Q250+Q251+Q252+Q253+Q254+Q255+Q256+Q257+Q258+Q259+Q260+Q261, "NA")</f>
        <v>0</v>
      </c>
      <c r="R262" s="15" t="str">
        <f>IFERROR(Q262/Q444, "NA")</f>
        <v>NA</v>
      </c>
      <c r="S262" s="2"/>
      <c r="T262" s="14">
        <f>IFERROR(T240+T241+T242+T243+T244+T245+T246+T247+T248+T249+T250+T251+T252+T253+T254+T255+T256+T257+T258+T259+T260+T261, "NA")</f>
        <v>0</v>
      </c>
      <c r="U262" s="15" t="str">
        <f>IFERROR(T262/T444, "NA")</f>
        <v>NA</v>
      </c>
      <c r="V262" s="2"/>
      <c r="W262" s="14">
        <f t="shared" si="66"/>
        <v>0</v>
      </c>
      <c r="X262" s="15" t="str">
        <f>IFERROR(W262/W444, "NA")</f>
        <v>NA</v>
      </c>
      <c r="Y262" s="2"/>
      <c r="Z262" s="14">
        <f>IFERROR(Z240+Z241+Z242+Z243+Z244+Z245+Z246+Z247+Z248+Z249+Z250+Z251+Z252+Z253+Z254+Z255+Z256+Z257+Z258+Z259+Z260+Z261, "NA")</f>
        <v>0</v>
      </c>
      <c r="AA262" s="15" t="str">
        <f>IFERROR(Z262/Z444, "NA")</f>
        <v>NA</v>
      </c>
      <c r="AB262" s="2"/>
      <c r="AC262" s="14">
        <f t="shared" si="67"/>
        <v>0</v>
      </c>
      <c r="AD262" s="15" t="str">
        <f>IFERROR(AC262/AC444, "NA")</f>
        <v>NA</v>
      </c>
    </row>
    <row r="263" spans="1:30" ht="16.5" customHeight="1" x14ac:dyDescent="0.45">
      <c r="A263" s="19" t="s">
        <v>240</v>
      </c>
      <c r="B263" s="14">
        <f>IFERROR(B238+B240+B241+B242+B243+B244+B245+B246+B247+B248+B249+B250+B251+B252+B253+B254+B255+B256+B257+B258+B259+B260+B261, "NA")</f>
        <v>0</v>
      </c>
      <c r="C263" s="15" t="str">
        <f>IFERROR(B263/B444, "NA")</f>
        <v>NA</v>
      </c>
      <c r="D263" s="2"/>
      <c r="E263" s="14">
        <f>IFERROR(E238+E240+E241+E242+E243+E244+E245+E246+E247+E248+E249+E250+E251+E252+E253+E254+E255+E256+E257+E258+E259+E260+E261, "NA")</f>
        <v>0</v>
      </c>
      <c r="F263" s="15" t="str">
        <f>IFERROR(E263/E444, "NA")</f>
        <v>NA</v>
      </c>
      <c r="G263" s="2"/>
      <c r="H263" s="14">
        <f t="shared" si="64"/>
        <v>0</v>
      </c>
      <c r="I263" s="15" t="str">
        <f>IFERROR(H263/H444, "NA")</f>
        <v>NA</v>
      </c>
      <c r="J263" s="2"/>
      <c r="K263" s="14">
        <f>IFERROR(K238+K240+K241+K242+K243+K244+K245+K246+K247+K248+K249+K250+K251+K252+K253+K254+K255+K256+K257+K258+K259+K260+K261, "NA")</f>
        <v>0</v>
      </c>
      <c r="L263" s="15" t="str">
        <f>IFERROR(K263/K444, "NA")</f>
        <v>NA</v>
      </c>
      <c r="M263" s="2"/>
      <c r="N263" s="14">
        <f t="shared" si="65"/>
        <v>0</v>
      </c>
      <c r="O263" s="15" t="str">
        <f>IFERROR(N263/N444, "NA")</f>
        <v>NA</v>
      </c>
      <c r="P263" s="2"/>
      <c r="Q263" s="14">
        <f>IFERROR(Q238+Q240+Q241+Q242+Q243+Q244+Q245+Q246+Q247+Q248+Q249+Q250+Q251+Q252+Q253+Q254+Q255+Q256+Q257+Q258+Q259+Q260+Q261, "NA")</f>
        <v>0</v>
      </c>
      <c r="R263" s="15" t="str">
        <f>IFERROR(Q263/Q444, "NA")</f>
        <v>NA</v>
      </c>
      <c r="S263" s="2"/>
      <c r="T263" s="14">
        <f>IFERROR(T238+T240+T241+T242+T243+T244+T245+T246+T247+T248+T249+T250+T251+T252+T253+T254+T255+T256+T257+T258+T259+T260+T261, "NA")</f>
        <v>0</v>
      </c>
      <c r="U263" s="15" t="str">
        <f>IFERROR(T263/T444, "NA")</f>
        <v>NA</v>
      </c>
      <c r="V263" s="2"/>
      <c r="W263" s="14">
        <f t="shared" si="66"/>
        <v>0</v>
      </c>
      <c r="X263" s="15" t="str">
        <f>IFERROR(W263/W444, "NA")</f>
        <v>NA</v>
      </c>
      <c r="Y263" s="2"/>
      <c r="Z263" s="14">
        <f>IFERROR(Z238+Z240+Z241+Z242+Z243+Z244+Z245+Z246+Z247+Z248+Z249+Z250+Z251+Z252+Z253+Z254+Z255+Z256+Z257+Z258+Z259+Z260+Z261, "NA")</f>
        <v>0</v>
      </c>
      <c r="AA263" s="15" t="str">
        <f>IFERROR(Z263/Z444, "NA")</f>
        <v>NA</v>
      </c>
      <c r="AB263" s="2"/>
      <c r="AC263" s="14">
        <f t="shared" si="67"/>
        <v>0</v>
      </c>
      <c r="AD263" s="15" t="str">
        <f>IFERROR(AC263/AC444, "NA")</f>
        <v>NA</v>
      </c>
    </row>
    <row r="264" spans="1:30" ht="16.5" customHeight="1" x14ac:dyDescent="0.45">
      <c r="A264" s="5" t="s">
        <v>241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  <c r="Y264" s="4"/>
      <c r="Z264" s="2"/>
      <c r="AA264" s="3"/>
      <c r="AB264" s="4"/>
      <c r="AC264" s="2"/>
      <c r="AD264" s="3"/>
    </row>
    <row r="265" spans="1:30" ht="16.5" hidden="1" customHeight="1" x14ac:dyDescent="0.45">
      <c r="A265" s="6" t="s">
        <v>241</v>
      </c>
      <c r="B265" s="7">
        <v>0</v>
      </c>
      <c r="C265" s="8" t="str">
        <f>IFERROR(B265/B444, "NA")</f>
        <v>NA</v>
      </c>
      <c r="D265" s="9"/>
      <c r="E265" s="7">
        <v>0</v>
      </c>
      <c r="F265" s="8" t="str">
        <f>IFERROR(E265/E444, "NA")</f>
        <v>NA</v>
      </c>
      <c r="G265" s="9"/>
      <c r="H265" s="10">
        <f>IFERROR(-(B265-E265), "NA")</f>
        <v>0</v>
      </c>
      <c r="I265" s="8" t="str">
        <f>IFERROR(H265/H444, "NA")</f>
        <v>NA</v>
      </c>
      <c r="J265" s="9"/>
      <c r="K265" s="7">
        <v>0</v>
      </c>
      <c r="L265" s="8" t="str">
        <f>IFERROR(K265/K444, "NA")</f>
        <v>NA</v>
      </c>
      <c r="M265" s="9"/>
      <c r="N265" s="10">
        <f>IFERROR(-(B265-K265), "NA")</f>
        <v>0</v>
      </c>
      <c r="O265" s="8" t="str">
        <f>IFERROR(N265/N444, "NA")</f>
        <v>NA</v>
      </c>
      <c r="P265" s="9"/>
      <c r="Q265" s="7">
        <v>0</v>
      </c>
      <c r="R265" s="8" t="str">
        <f>IFERROR(Q265/Q444, "NA")</f>
        <v>NA</v>
      </c>
      <c r="S265" s="9"/>
      <c r="T265" s="7">
        <v>0</v>
      </c>
      <c r="U265" s="8" t="str">
        <f>IFERROR(T265/T444, "NA")</f>
        <v>NA</v>
      </c>
      <c r="V265" s="9"/>
      <c r="W265" s="10">
        <f>IFERROR(-(Q265-T265), "NA")</f>
        <v>0</v>
      </c>
      <c r="X265" s="8" t="str">
        <f>IFERROR(W265/W444, "NA")</f>
        <v>NA</v>
      </c>
      <c r="Y265" s="9"/>
      <c r="Z265" s="7">
        <v>0</v>
      </c>
      <c r="AA265" s="8" t="str">
        <f>IFERROR(Z265/Z444, "NA")</f>
        <v>NA</v>
      </c>
      <c r="AB265" s="9"/>
      <c r="AC265" s="10">
        <f>IFERROR(-(Q265-Z265), "NA")</f>
        <v>0</v>
      </c>
      <c r="AD265" s="8" t="str">
        <f>IFERROR(AC265/AC444, "NA")</f>
        <v>NA</v>
      </c>
    </row>
    <row r="266" spans="1:30" ht="16.5" hidden="1" customHeight="1" x14ac:dyDescent="0.45">
      <c r="A266" s="6" t="s">
        <v>242</v>
      </c>
      <c r="B266" s="7">
        <v>0</v>
      </c>
      <c r="C266" s="8" t="str">
        <f>IFERROR(B266/B444, "NA")</f>
        <v>NA</v>
      </c>
      <c r="D266" s="9"/>
      <c r="E266" s="7">
        <v>0</v>
      </c>
      <c r="F266" s="8" t="str">
        <f>IFERROR(E266/E444, "NA")</f>
        <v>NA</v>
      </c>
      <c r="G266" s="9"/>
      <c r="H266" s="10">
        <f>IFERROR(-(B266-E266), "NA")</f>
        <v>0</v>
      </c>
      <c r="I266" s="8" t="str">
        <f>IFERROR(H266/H444, "NA")</f>
        <v>NA</v>
      </c>
      <c r="J266" s="9"/>
      <c r="K266" s="7">
        <v>0</v>
      </c>
      <c r="L266" s="8" t="str">
        <f>IFERROR(K266/K444, "NA")</f>
        <v>NA</v>
      </c>
      <c r="M266" s="9"/>
      <c r="N266" s="10">
        <f>IFERROR(-(B266-K266), "NA")</f>
        <v>0</v>
      </c>
      <c r="O266" s="8" t="str">
        <f>IFERROR(N266/N444, "NA")</f>
        <v>NA</v>
      </c>
      <c r="P266" s="9"/>
      <c r="Q266" s="7">
        <v>0</v>
      </c>
      <c r="R266" s="8" t="str">
        <f>IFERROR(Q266/Q444, "NA")</f>
        <v>NA</v>
      </c>
      <c r="S266" s="9"/>
      <c r="T266" s="7">
        <v>0</v>
      </c>
      <c r="U266" s="8" t="str">
        <f>IFERROR(T266/T444, "NA")</f>
        <v>NA</v>
      </c>
      <c r="V266" s="9"/>
      <c r="W266" s="10">
        <f>IFERROR(-(Q266-T266), "NA")</f>
        <v>0</v>
      </c>
      <c r="X266" s="8" t="str">
        <f>IFERROR(W266/W444, "NA")</f>
        <v>NA</v>
      </c>
      <c r="Y266" s="9"/>
      <c r="Z266" s="7">
        <v>0</v>
      </c>
      <c r="AA266" s="8" t="str">
        <f>IFERROR(Z266/Z444, "NA")</f>
        <v>NA</v>
      </c>
      <c r="AB266" s="9"/>
      <c r="AC266" s="10">
        <f>IFERROR(-(Q266-Z266), "NA")</f>
        <v>0</v>
      </c>
      <c r="AD266" s="8" t="str">
        <f>IFERROR(AC266/AC444, "NA")</f>
        <v>NA</v>
      </c>
    </row>
    <row r="267" spans="1:30" ht="16.5" customHeight="1" x14ac:dyDescent="0.45">
      <c r="A267" s="19" t="s">
        <v>243</v>
      </c>
      <c r="B267" s="14">
        <f>IFERROR(B265+B266, "NA")</f>
        <v>0</v>
      </c>
      <c r="C267" s="15" t="str">
        <f>IFERROR(B267/B444, "NA")</f>
        <v>NA</v>
      </c>
      <c r="D267" s="2"/>
      <c r="E267" s="14">
        <f>IFERROR(E265+E266, "NA")</f>
        <v>0</v>
      </c>
      <c r="F267" s="15" t="str">
        <f>IFERROR(E267/E444, "NA")</f>
        <v>NA</v>
      </c>
      <c r="G267" s="2"/>
      <c r="H267" s="14">
        <f>IFERROR(-(B267-E267), "NA")</f>
        <v>0</v>
      </c>
      <c r="I267" s="15" t="str">
        <f>IFERROR(H267/H444, "NA")</f>
        <v>NA</v>
      </c>
      <c r="J267" s="2"/>
      <c r="K267" s="14">
        <f>IFERROR(K265+K266, "NA")</f>
        <v>0</v>
      </c>
      <c r="L267" s="15" t="str">
        <f>IFERROR(K267/K444, "NA")</f>
        <v>NA</v>
      </c>
      <c r="M267" s="2"/>
      <c r="N267" s="14">
        <f>IFERROR(-(B267-K267), "NA")</f>
        <v>0</v>
      </c>
      <c r="O267" s="15" t="str">
        <f>IFERROR(N267/N444, "NA")</f>
        <v>NA</v>
      </c>
      <c r="P267" s="2"/>
      <c r="Q267" s="14">
        <f>IFERROR(Q265+Q266, "NA")</f>
        <v>0</v>
      </c>
      <c r="R267" s="15" t="str">
        <f>IFERROR(Q267/Q444, "NA")</f>
        <v>NA</v>
      </c>
      <c r="S267" s="2"/>
      <c r="T267" s="14">
        <f>IFERROR(T265+T266, "NA")</f>
        <v>0</v>
      </c>
      <c r="U267" s="15" t="str">
        <f>IFERROR(T267/T444, "NA")</f>
        <v>NA</v>
      </c>
      <c r="V267" s="2"/>
      <c r="W267" s="14">
        <f>IFERROR(-(Q267-T267), "NA")</f>
        <v>0</v>
      </c>
      <c r="X267" s="15" t="str">
        <f>IFERROR(W267/W444, "NA")</f>
        <v>NA</v>
      </c>
      <c r="Y267" s="2"/>
      <c r="Z267" s="14">
        <f>IFERROR(Z265+Z266, "NA")</f>
        <v>0</v>
      </c>
      <c r="AA267" s="15" t="str">
        <f>IFERROR(Z267/Z444, "NA")</f>
        <v>NA</v>
      </c>
      <c r="AB267" s="2"/>
      <c r="AC267" s="14">
        <f>IFERROR(-(Q267-Z267), "NA")</f>
        <v>0</v>
      </c>
      <c r="AD267" s="15" t="str">
        <f>IFERROR(AC267/AC444, "NA")</f>
        <v>NA</v>
      </c>
    </row>
    <row r="268" spans="1:30" ht="16.5" customHeight="1" x14ac:dyDescent="0.45">
      <c r="A268" s="5" t="s">
        <v>244</v>
      </c>
      <c r="B268" s="2"/>
      <c r="C268" s="3"/>
      <c r="D268" s="4"/>
      <c r="E268" s="2"/>
      <c r="F268" s="3"/>
      <c r="G268" s="4"/>
      <c r="H268" s="2"/>
      <c r="I268" s="3"/>
      <c r="J268" s="4"/>
      <c r="K268" s="2"/>
      <c r="L268" s="3"/>
      <c r="M268" s="4"/>
      <c r="N268" s="2"/>
      <c r="O268" s="3"/>
      <c r="P268" s="4"/>
      <c r="Q268" s="2"/>
      <c r="R268" s="3"/>
      <c r="S268" s="4"/>
      <c r="T268" s="2"/>
      <c r="U268" s="3"/>
      <c r="V268" s="4"/>
      <c r="W268" s="2"/>
      <c r="X268" s="3"/>
      <c r="Y268" s="4"/>
      <c r="Z268" s="2"/>
      <c r="AA268" s="3"/>
      <c r="AB268" s="4"/>
      <c r="AC268" s="2"/>
      <c r="AD268" s="3"/>
    </row>
    <row r="269" spans="1:30" ht="16.5" hidden="1" customHeight="1" x14ac:dyDescent="0.45">
      <c r="A269" s="6" t="s">
        <v>244</v>
      </c>
      <c r="B269" s="7">
        <v>0</v>
      </c>
      <c r="C269" s="8" t="str">
        <f>IFERROR(B269/B444, "NA")</f>
        <v>NA</v>
      </c>
      <c r="D269" s="9"/>
      <c r="E269" s="7">
        <v>0</v>
      </c>
      <c r="F269" s="8" t="str">
        <f>IFERROR(E269/E444, "NA")</f>
        <v>NA</v>
      </c>
      <c r="G269" s="9"/>
      <c r="H269" s="10">
        <f>IFERROR(-(B269-E269), "NA")</f>
        <v>0</v>
      </c>
      <c r="I269" s="8" t="str">
        <f>IFERROR(H269/H444, "NA")</f>
        <v>NA</v>
      </c>
      <c r="J269" s="9"/>
      <c r="K269" s="7">
        <v>0</v>
      </c>
      <c r="L269" s="8" t="str">
        <f>IFERROR(K269/K444, "NA")</f>
        <v>NA</v>
      </c>
      <c r="M269" s="9"/>
      <c r="N269" s="10">
        <f>IFERROR(-(B269-K269), "NA")</f>
        <v>0</v>
      </c>
      <c r="O269" s="8" t="str">
        <f>IFERROR(N269/N444, "NA")</f>
        <v>NA</v>
      </c>
      <c r="P269" s="9"/>
      <c r="Q269" s="7">
        <v>0</v>
      </c>
      <c r="R269" s="8" t="str">
        <f>IFERROR(Q269/Q444, "NA")</f>
        <v>NA</v>
      </c>
      <c r="S269" s="9"/>
      <c r="T269" s="7">
        <v>0</v>
      </c>
      <c r="U269" s="8" t="str">
        <f>IFERROR(T269/T444, "NA")</f>
        <v>NA</v>
      </c>
      <c r="V269" s="9"/>
      <c r="W269" s="10">
        <f>IFERROR(-(Q269-T269), "NA")</f>
        <v>0</v>
      </c>
      <c r="X269" s="8" t="str">
        <f>IFERROR(W269/W444, "NA")</f>
        <v>NA</v>
      </c>
      <c r="Y269" s="9"/>
      <c r="Z269" s="7">
        <v>0</v>
      </c>
      <c r="AA269" s="8" t="str">
        <f>IFERROR(Z269/Z444, "NA")</f>
        <v>NA</v>
      </c>
      <c r="AB269" s="9"/>
      <c r="AC269" s="10">
        <f>IFERROR(-(Q269-Z269), "NA")</f>
        <v>0</v>
      </c>
      <c r="AD269" s="8" t="str">
        <f>IFERROR(AC269/AC444, "NA")</f>
        <v>NA</v>
      </c>
    </row>
    <row r="270" spans="1:30" ht="16.5" hidden="1" customHeight="1" x14ac:dyDescent="0.45">
      <c r="A270" s="6" t="s">
        <v>245</v>
      </c>
      <c r="B270" s="7">
        <v>0</v>
      </c>
      <c r="C270" s="8" t="str">
        <f>IFERROR(B270/B444, "NA")</f>
        <v>NA</v>
      </c>
      <c r="D270" s="9"/>
      <c r="E270" s="7">
        <v>0</v>
      </c>
      <c r="F270" s="8" t="str">
        <f>IFERROR(E270/E444, "NA")</f>
        <v>NA</v>
      </c>
      <c r="G270" s="9"/>
      <c r="H270" s="10">
        <f>IFERROR(-(B270-E270), "NA")</f>
        <v>0</v>
      </c>
      <c r="I270" s="8" t="str">
        <f>IFERROR(H270/H444, "NA")</f>
        <v>NA</v>
      </c>
      <c r="J270" s="9"/>
      <c r="K270" s="7">
        <v>0</v>
      </c>
      <c r="L270" s="8" t="str">
        <f>IFERROR(K270/K444, "NA")</f>
        <v>NA</v>
      </c>
      <c r="M270" s="9"/>
      <c r="N270" s="10">
        <f>IFERROR(-(B270-K270), "NA")</f>
        <v>0</v>
      </c>
      <c r="O270" s="8" t="str">
        <f>IFERROR(N270/N444, "NA")</f>
        <v>NA</v>
      </c>
      <c r="P270" s="9"/>
      <c r="Q270" s="7">
        <v>0</v>
      </c>
      <c r="R270" s="8" t="str">
        <f>IFERROR(Q270/Q444, "NA")</f>
        <v>NA</v>
      </c>
      <c r="S270" s="9"/>
      <c r="T270" s="7">
        <v>0</v>
      </c>
      <c r="U270" s="8" t="str">
        <f>IFERROR(T270/T444, "NA")</f>
        <v>NA</v>
      </c>
      <c r="V270" s="9"/>
      <c r="W270" s="10">
        <f>IFERROR(-(Q270-T270), "NA")</f>
        <v>0</v>
      </c>
      <c r="X270" s="8" t="str">
        <f>IFERROR(W270/W444, "NA")</f>
        <v>NA</v>
      </c>
      <c r="Y270" s="9"/>
      <c r="Z270" s="7">
        <v>0</v>
      </c>
      <c r="AA270" s="8" t="str">
        <f>IFERROR(Z270/Z444, "NA")</f>
        <v>NA</v>
      </c>
      <c r="AB270" s="9"/>
      <c r="AC270" s="10">
        <f>IFERROR(-(Q270-Z270), "NA")</f>
        <v>0</v>
      </c>
      <c r="AD270" s="8" t="str">
        <f>IFERROR(AC270/AC444, "NA")</f>
        <v>NA</v>
      </c>
    </row>
    <row r="271" spans="1:30" ht="16.5" hidden="1" customHeight="1" x14ac:dyDescent="0.45">
      <c r="A271" s="6" t="s">
        <v>246</v>
      </c>
      <c r="B271" s="7">
        <v>0</v>
      </c>
      <c r="C271" s="8" t="str">
        <f>IFERROR(B271/B444, "NA")</f>
        <v>NA</v>
      </c>
      <c r="D271" s="9"/>
      <c r="E271" s="7">
        <v>0</v>
      </c>
      <c r="F271" s="8" t="str">
        <f>IFERROR(E271/E444, "NA")</f>
        <v>NA</v>
      </c>
      <c r="G271" s="9"/>
      <c r="H271" s="10">
        <f>IFERROR(-(B271-E271), "NA")</f>
        <v>0</v>
      </c>
      <c r="I271" s="8" t="str">
        <f>IFERROR(H271/H444, "NA")</f>
        <v>NA</v>
      </c>
      <c r="J271" s="9"/>
      <c r="K271" s="7">
        <v>0</v>
      </c>
      <c r="L271" s="8" t="str">
        <f>IFERROR(K271/K444, "NA")</f>
        <v>NA</v>
      </c>
      <c r="M271" s="9"/>
      <c r="N271" s="10">
        <f>IFERROR(-(B271-K271), "NA")</f>
        <v>0</v>
      </c>
      <c r="O271" s="8" t="str">
        <f>IFERROR(N271/N444, "NA")</f>
        <v>NA</v>
      </c>
      <c r="P271" s="9"/>
      <c r="Q271" s="7">
        <v>0</v>
      </c>
      <c r="R271" s="8" t="str">
        <f>IFERROR(Q271/Q444, "NA")</f>
        <v>NA</v>
      </c>
      <c r="S271" s="9"/>
      <c r="T271" s="7">
        <v>0</v>
      </c>
      <c r="U271" s="8" t="str">
        <f>IFERROR(T271/T444, "NA")</f>
        <v>NA</v>
      </c>
      <c r="V271" s="9"/>
      <c r="W271" s="10">
        <f>IFERROR(-(Q271-T271), "NA")</f>
        <v>0</v>
      </c>
      <c r="X271" s="8" t="str">
        <f>IFERROR(W271/W444, "NA")</f>
        <v>NA</v>
      </c>
      <c r="Y271" s="9"/>
      <c r="Z271" s="7">
        <v>0</v>
      </c>
      <c r="AA271" s="8" t="str">
        <f>IFERROR(Z271/Z444, "NA")</f>
        <v>NA</v>
      </c>
      <c r="AB271" s="9"/>
      <c r="AC271" s="10">
        <f>IFERROR(-(Q271-Z271), "NA")</f>
        <v>0</v>
      </c>
      <c r="AD271" s="8" t="str">
        <f>IFERROR(AC271/AC444, "NA")</f>
        <v>NA</v>
      </c>
    </row>
    <row r="272" spans="1:30" ht="16.5" hidden="1" customHeight="1" x14ac:dyDescent="0.45">
      <c r="A272" s="6" t="s">
        <v>247</v>
      </c>
      <c r="B272" s="7">
        <v>0</v>
      </c>
      <c r="C272" s="8" t="str">
        <f>IFERROR(B272/B444, "NA")</f>
        <v>NA</v>
      </c>
      <c r="D272" s="9"/>
      <c r="E272" s="7">
        <v>0</v>
      </c>
      <c r="F272" s="8" t="str">
        <f>IFERROR(E272/E444, "NA")</f>
        <v>NA</v>
      </c>
      <c r="G272" s="9"/>
      <c r="H272" s="10">
        <f>IFERROR(-(B272-E272), "NA")</f>
        <v>0</v>
      </c>
      <c r="I272" s="8" t="str">
        <f>IFERROR(H272/H444, "NA")</f>
        <v>NA</v>
      </c>
      <c r="J272" s="9"/>
      <c r="K272" s="7">
        <v>0</v>
      </c>
      <c r="L272" s="8" t="str">
        <f>IFERROR(K272/K444, "NA")</f>
        <v>NA</v>
      </c>
      <c r="M272" s="9"/>
      <c r="N272" s="10">
        <f>IFERROR(-(B272-K272), "NA")</f>
        <v>0</v>
      </c>
      <c r="O272" s="8" t="str">
        <f>IFERROR(N272/N444, "NA")</f>
        <v>NA</v>
      </c>
      <c r="P272" s="9"/>
      <c r="Q272" s="7">
        <v>0</v>
      </c>
      <c r="R272" s="8" t="str">
        <f>IFERROR(Q272/Q444, "NA")</f>
        <v>NA</v>
      </c>
      <c r="S272" s="9"/>
      <c r="T272" s="7">
        <v>0</v>
      </c>
      <c r="U272" s="8" t="str">
        <f>IFERROR(T272/T444, "NA")</f>
        <v>NA</v>
      </c>
      <c r="V272" s="9"/>
      <c r="W272" s="10">
        <f>IFERROR(-(Q272-T272), "NA")</f>
        <v>0</v>
      </c>
      <c r="X272" s="8" t="str">
        <f>IFERROR(W272/W444, "NA")</f>
        <v>NA</v>
      </c>
      <c r="Y272" s="9"/>
      <c r="Z272" s="7">
        <v>0</v>
      </c>
      <c r="AA272" s="8" t="str">
        <f>IFERROR(Z272/Z444, "NA")</f>
        <v>NA</v>
      </c>
      <c r="AB272" s="9"/>
      <c r="AC272" s="10">
        <f>IFERROR(-(Q272-Z272), "NA")</f>
        <v>0</v>
      </c>
      <c r="AD272" s="8" t="str">
        <f>IFERROR(AC272/AC444, "NA")</f>
        <v>NA</v>
      </c>
    </row>
    <row r="273" spans="1:30" ht="16.5" customHeight="1" x14ac:dyDescent="0.45">
      <c r="A273" s="19" t="s">
        <v>248</v>
      </c>
      <c r="B273" s="14">
        <f>IFERROR(B269+B270+B271+B272, "NA")</f>
        <v>0</v>
      </c>
      <c r="C273" s="15" t="str">
        <f>IFERROR(B273/B444, "NA")</f>
        <v>NA</v>
      </c>
      <c r="D273" s="2"/>
      <c r="E273" s="14">
        <f>IFERROR(E269+E270+E271+E272, "NA")</f>
        <v>0</v>
      </c>
      <c r="F273" s="15" t="str">
        <f>IFERROR(E273/E444, "NA")</f>
        <v>NA</v>
      </c>
      <c r="G273" s="2"/>
      <c r="H273" s="14">
        <f>IFERROR(-(B273-E273), "NA")</f>
        <v>0</v>
      </c>
      <c r="I273" s="15" t="str">
        <f>IFERROR(H273/H444, "NA")</f>
        <v>NA</v>
      </c>
      <c r="J273" s="2"/>
      <c r="K273" s="14">
        <f>IFERROR(K269+K270+K271+K272, "NA")</f>
        <v>0</v>
      </c>
      <c r="L273" s="15" t="str">
        <f>IFERROR(K273/K444, "NA")</f>
        <v>NA</v>
      </c>
      <c r="M273" s="2"/>
      <c r="N273" s="14">
        <f>IFERROR(-(B273-K273), "NA")</f>
        <v>0</v>
      </c>
      <c r="O273" s="15" t="str">
        <f>IFERROR(N273/N444, "NA")</f>
        <v>NA</v>
      </c>
      <c r="P273" s="2"/>
      <c r="Q273" s="14">
        <f>IFERROR(Q269+Q270+Q271+Q272, "NA")</f>
        <v>0</v>
      </c>
      <c r="R273" s="15" t="str">
        <f>IFERROR(Q273/Q444, "NA")</f>
        <v>NA</v>
      </c>
      <c r="S273" s="2"/>
      <c r="T273" s="14">
        <f>IFERROR(T269+T270+T271+T272, "NA")</f>
        <v>0</v>
      </c>
      <c r="U273" s="15" t="str">
        <f>IFERROR(T273/T444, "NA")</f>
        <v>NA</v>
      </c>
      <c r="V273" s="2"/>
      <c r="W273" s="14">
        <f>IFERROR(-(Q273-T273), "NA")</f>
        <v>0</v>
      </c>
      <c r="X273" s="15" t="str">
        <f>IFERROR(W273/W444, "NA")</f>
        <v>NA</v>
      </c>
      <c r="Y273" s="2"/>
      <c r="Z273" s="14">
        <f>IFERROR(Z269+Z270+Z271+Z272, "NA")</f>
        <v>0</v>
      </c>
      <c r="AA273" s="15" t="str">
        <f>IFERROR(Z273/Z444, "NA")</f>
        <v>NA</v>
      </c>
      <c r="AB273" s="2"/>
      <c r="AC273" s="14">
        <f>IFERROR(-(Q273-Z273), "NA")</f>
        <v>0</v>
      </c>
      <c r="AD273" s="15" t="str">
        <f>IFERROR(AC273/AC444, "NA")</f>
        <v>NA</v>
      </c>
    </row>
    <row r="274" spans="1:30" ht="16.5" customHeight="1" x14ac:dyDescent="0.45">
      <c r="A274" s="5" t="s">
        <v>249</v>
      </c>
      <c r="B274" s="2"/>
      <c r="C274" s="3"/>
      <c r="D274" s="4"/>
      <c r="E274" s="2"/>
      <c r="F274" s="3"/>
      <c r="G274" s="4"/>
      <c r="H274" s="2"/>
      <c r="I274" s="3"/>
      <c r="J274" s="4"/>
      <c r="K274" s="2"/>
      <c r="L274" s="3"/>
      <c r="M274" s="4"/>
      <c r="N274" s="2"/>
      <c r="O274" s="3"/>
      <c r="P274" s="4"/>
      <c r="Q274" s="2"/>
      <c r="R274" s="3"/>
      <c r="S274" s="4"/>
      <c r="T274" s="2"/>
      <c r="U274" s="3"/>
      <c r="V274" s="4"/>
      <c r="W274" s="2"/>
      <c r="X274" s="3"/>
      <c r="Y274" s="4"/>
      <c r="Z274" s="2"/>
      <c r="AA274" s="3"/>
      <c r="AB274" s="4"/>
      <c r="AC274" s="2"/>
      <c r="AD274" s="3"/>
    </row>
    <row r="275" spans="1:30" ht="16.5" hidden="1" customHeight="1" x14ac:dyDescent="0.45">
      <c r="A275" s="6" t="s">
        <v>249</v>
      </c>
      <c r="B275" s="7">
        <v>0</v>
      </c>
      <c r="C275" s="8" t="str">
        <f>IFERROR(B275/B444, "NA")</f>
        <v>NA</v>
      </c>
      <c r="D275" s="9"/>
      <c r="E275" s="7">
        <v>0</v>
      </c>
      <c r="F275" s="8" t="str">
        <f>IFERROR(E275/E444, "NA")</f>
        <v>NA</v>
      </c>
      <c r="G275" s="9"/>
      <c r="H275" s="10">
        <f t="shared" ref="H275:H284" si="68">IFERROR(-(B275-E275), "NA")</f>
        <v>0</v>
      </c>
      <c r="I275" s="8" t="str">
        <f>IFERROR(H275/H444, "NA")</f>
        <v>NA</v>
      </c>
      <c r="J275" s="9"/>
      <c r="K275" s="7">
        <v>0</v>
      </c>
      <c r="L275" s="8" t="str">
        <f>IFERROR(K275/K444, "NA")</f>
        <v>NA</v>
      </c>
      <c r="M275" s="9"/>
      <c r="N275" s="10">
        <f t="shared" ref="N275:N284" si="69">IFERROR(-(B275-K275), "NA")</f>
        <v>0</v>
      </c>
      <c r="O275" s="8" t="str">
        <f>IFERROR(N275/N444, "NA")</f>
        <v>NA</v>
      </c>
      <c r="P275" s="9"/>
      <c r="Q275" s="7">
        <v>0</v>
      </c>
      <c r="R275" s="8" t="str">
        <f>IFERROR(Q275/Q444, "NA")</f>
        <v>NA</v>
      </c>
      <c r="S275" s="9"/>
      <c r="T275" s="7">
        <v>0</v>
      </c>
      <c r="U275" s="8" t="str">
        <f>IFERROR(T275/T444, "NA")</f>
        <v>NA</v>
      </c>
      <c r="V275" s="9"/>
      <c r="W275" s="10">
        <f t="shared" ref="W275:W284" si="70">IFERROR(-(Q275-T275), "NA")</f>
        <v>0</v>
      </c>
      <c r="X275" s="8" t="str">
        <f>IFERROR(W275/W444, "NA")</f>
        <v>NA</v>
      </c>
      <c r="Y275" s="9"/>
      <c r="Z275" s="7">
        <v>0</v>
      </c>
      <c r="AA275" s="8" t="str">
        <f>IFERROR(Z275/Z444, "NA")</f>
        <v>NA</v>
      </c>
      <c r="AB275" s="9"/>
      <c r="AC275" s="10">
        <f t="shared" ref="AC275:AC284" si="71">IFERROR(-(Q275-Z275), "NA")</f>
        <v>0</v>
      </c>
      <c r="AD275" s="8" t="str">
        <f>IFERROR(AC275/AC444, "NA")</f>
        <v>NA</v>
      </c>
    </row>
    <row r="276" spans="1:30" ht="16.5" hidden="1" customHeight="1" x14ac:dyDescent="0.45">
      <c r="A276" s="6" t="s">
        <v>250</v>
      </c>
      <c r="B276" s="7">
        <v>0</v>
      </c>
      <c r="C276" s="8" t="str">
        <f>IFERROR(B276/B444, "NA")</f>
        <v>NA</v>
      </c>
      <c r="D276" s="9"/>
      <c r="E276" s="7">
        <v>0</v>
      </c>
      <c r="F276" s="8" t="str">
        <f>IFERROR(E276/E444, "NA")</f>
        <v>NA</v>
      </c>
      <c r="G276" s="9"/>
      <c r="H276" s="10">
        <f t="shared" si="68"/>
        <v>0</v>
      </c>
      <c r="I276" s="8" t="str">
        <f>IFERROR(H276/H444, "NA")</f>
        <v>NA</v>
      </c>
      <c r="J276" s="9"/>
      <c r="K276" s="7">
        <v>0</v>
      </c>
      <c r="L276" s="8" t="str">
        <f>IFERROR(K276/K444, "NA")</f>
        <v>NA</v>
      </c>
      <c r="M276" s="9"/>
      <c r="N276" s="10">
        <f t="shared" si="69"/>
        <v>0</v>
      </c>
      <c r="O276" s="8" t="str">
        <f>IFERROR(N276/N444, "NA")</f>
        <v>NA</v>
      </c>
      <c r="P276" s="9"/>
      <c r="Q276" s="7">
        <v>0</v>
      </c>
      <c r="R276" s="8" t="str">
        <f>IFERROR(Q276/Q444, "NA")</f>
        <v>NA</v>
      </c>
      <c r="S276" s="9"/>
      <c r="T276" s="7">
        <v>0</v>
      </c>
      <c r="U276" s="8" t="str">
        <f>IFERROR(T276/T444, "NA")</f>
        <v>NA</v>
      </c>
      <c r="V276" s="9"/>
      <c r="W276" s="10">
        <f t="shared" si="70"/>
        <v>0</v>
      </c>
      <c r="X276" s="8" t="str">
        <f>IFERROR(W276/W444, "NA")</f>
        <v>NA</v>
      </c>
      <c r="Y276" s="9"/>
      <c r="Z276" s="7">
        <v>0</v>
      </c>
      <c r="AA276" s="8" t="str">
        <f>IFERROR(Z276/Z444, "NA")</f>
        <v>NA</v>
      </c>
      <c r="AB276" s="9"/>
      <c r="AC276" s="10">
        <f t="shared" si="71"/>
        <v>0</v>
      </c>
      <c r="AD276" s="8" t="str">
        <f>IFERROR(AC276/AC444, "NA")</f>
        <v>NA</v>
      </c>
    </row>
    <row r="277" spans="1:30" ht="16.5" hidden="1" customHeight="1" x14ac:dyDescent="0.45">
      <c r="A277" s="6" t="s">
        <v>251</v>
      </c>
      <c r="B277" s="7">
        <v>0</v>
      </c>
      <c r="C277" s="8" t="str">
        <f>IFERROR(B277/B444, "NA")</f>
        <v>NA</v>
      </c>
      <c r="D277" s="9"/>
      <c r="E277" s="7">
        <v>0</v>
      </c>
      <c r="F277" s="8" t="str">
        <f>IFERROR(E277/E444, "NA")</f>
        <v>NA</v>
      </c>
      <c r="G277" s="9"/>
      <c r="H277" s="10">
        <f t="shared" si="68"/>
        <v>0</v>
      </c>
      <c r="I277" s="8" t="str">
        <f>IFERROR(H277/H444, "NA")</f>
        <v>NA</v>
      </c>
      <c r="J277" s="9"/>
      <c r="K277" s="7">
        <v>0</v>
      </c>
      <c r="L277" s="8" t="str">
        <f>IFERROR(K277/K444, "NA")</f>
        <v>NA</v>
      </c>
      <c r="M277" s="9"/>
      <c r="N277" s="10">
        <f t="shared" si="69"/>
        <v>0</v>
      </c>
      <c r="O277" s="8" t="str">
        <f>IFERROR(N277/N444, "NA")</f>
        <v>NA</v>
      </c>
      <c r="P277" s="9"/>
      <c r="Q277" s="7">
        <v>0</v>
      </c>
      <c r="R277" s="8" t="str">
        <f>IFERROR(Q277/Q444, "NA")</f>
        <v>NA</v>
      </c>
      <c r="S277" s="9"/>
      <c r="T277" s="7">
        <v>0</v>
      </c>
      <c r="U277" s="8" t="str">
        <f>IFERROR(T277/T444, "NA")</f>
        <v>NA</v>
      </c>
      <c r="V277" s="9"/>
      <c r="W277" s="10">
        <f t="shared" si="70"/>
        <v>0</v>
      </c>
      <c r="X277" s="8" t="str">
        <f>IFERROR(W277/W444, "NA")</f>
        <v>NA</v>
      </c>
      <c r="Y277" s="9"/>
      <c r="Z277" s="7">
        <v>0</v>
      </c>
      <c r="AA277" s="8" t="str">
        <f>IFERROR(Z277/Z444, "NA")</f>
        <v>NA</v>
      </c>
      <c r="AB277" s="9"/>
      <c r="AC277" s="10">
        <f t="shared" si="71"/>
        <v>0</v>
      </c>
      <c r="AD277" s="8" t="str">
        <f>IFERROR(AC277/AC444, "NA")</f>
        <v>NA</v>
      </c>
    </row>
    <row r="278" spans="1:30" ht="16.5" hidden="1" customHeight="1" x14ac:dyDescent="0.45">
      <c r="A278" s="6" t="s">
        <v>252</v>
      </c>
      <c r="B278" s="7">
        <v>0</v>
      </c>
      <c r="C278" s="8" t="str">
        <f>IFERROR(B278/B444, "NA")</f>
        <v>NA</v>
      </c>
      <c r="D278" s="9"/>
      <c r="E278" s="7">
        <v>0</v>
      </c>
      <c r="F278" s="8" t="str">
        <f>IFERROR(E278/E444, "NA")</f>
        <v>NA</v>
      </c>
      <c r="G278" s="9"/>
      <c r="H278" s="10">
        <f t="shared" si="68"/>
        <v>0</v>
      </c>
      <c r="I278" s="8" t="str">
        <f>IFERROR(H278/H444, "NA")</f>
        <v>NA</v>
      </c>
      <c r="J278" s="9"/>
      <c r="K278" s="7">
        <v>0</v>
      </c>
      <c r="L278" s="8" t="str">
        <f>IFERROR(K278/K444, "NA")</f>
        <v>NA</v>
      </c>
      <c r="M278" s="9"/>
      <c r="N278" s="10">
        <f t="shared" si="69"/>
        <v>0</v>
      </c>
      <c r="O278" s="8" t="str">
        <f>IFERROR(N278/N444, "NA")</f>
        <v>NA</v>
      </c>
      <c r="P278" s="9"/>
      <c r="Q278" s="7">
        <v>0</v>
      </c>
      <c r="R278" s="8" t="str">
        <f>IFERROR(Q278/Q444, "NA")</f>
        <v>NA</v>
      </c>
      <c r="S278" s="9"/>
      <c r="T278" s="7">
        <v>0</v>
      </c>
      <c r="U278" s="8" t="str">
        <f>IFERROR(T278/T444, "NA")</f>
        <v>NA</v>
      </c>
      <c r="V278" s="9"/>
      <c r="W278" s="10">
        <f t="shared" si="70"/>
        <v>0</v>
      </c>
      <c r="X278" s="8" t="str">
        <f>IFERROR(W278/W444, "NA")</f>
        <v>NA</v>
      </c>
      <c r="Y278" s="9"/>
      <c r="Z278" s="7">
        <v>0</v>
      </c>
      <c r="AA278" s="8" t="str">
        <f>IFERROR(Z278/Z444, "NA")</f>
        <v>NA</v>
      </c>
      <c r="AB278" s="9"/>
      <c r="AC278" s="10">
        <f t="shared" si="71"/>
        <v>0</v>
      </c>
      <c r="AD278" s="8" t="str">
        <f>IFERROR(AC278/AC444, "NA")</f>
        <v>NA</v>
      </c>
    </row>
    <row r="279" spans="1:30" ht="16.5" hidden="1" customHeight="1" x14ac:dyDescent="0.45">
      <c r="A279" s="6" t="s">
        <v>253</v>
      </c>
      <c r="B279" s="7">
        <v>0</v>
      </c>
      <c r="C279" s="8" t="str">
        <f>IFERROR(B279/B444, "NA")</f>
        <v>NA</v>
      </c>
      <c r="D279" s="9"/>
      <c r="E279" s="7">
        <v>0</v>
      </c>
      <c r="F279" s="8" t="str">
        <f>IFERROR(E279/E444, "NA")</f>
        <v>NA</v>
      </c>
      <c r="G279" s="9"/>
      <c r="H279" s="10">
        <f t="shared" si="68"/>
        <v>0</v>
      </c>
      <c r="I279" s="8" t="str">
        <f>IFERROR(H279/H444, "NA")</f>
        <v>NA</v>
      </c>
      <c r="J279" s="9"/>
      <c r="K279" s="7">
        <v>0</v>
      </c>
      <c r="L279" s="8" t="str">
        <f>IFERROR(K279/K444, "NA")</f>
        <v>NA</v>
      </c>
      <c r="M279" s="9"/>
      <c r="N279" s="10">
        <f t="shared" si="69"/>
        <v>0</v>
      </c>
      <c r="O279" s="8" t="str">
        <f>IFERROR(N279/N444, "NA")</f>
        <v>NA</v>
      </c>
      <c r="P279" s="9"/>
      <c r="Q279" s="7">
        <v>0</v>
      </c>
      <c r="R279" s="8" t="str">
        <f>IFERROR(Q279/Q444, "NA")</f>
        <v>NA</v>
      </c>
      <c r="S279" s="9"/>
      <c r="T279" s="7">
        <v>0</v>
      </c>
      <c r="U279" s="8" t="str">
        <f>IFERROR(T279/T444, "NA")</f>
        <v>NA</v>
      </c>
      <c r="V279" s="9"/>
      <c r="W279" s="10">
        <f t="shared" si="70"/>
        <v>0</v>
      </c>
      <c r="X279" s="8" t="str">
        <f>IFERROR(W279/W444, "NA")</f>
        <v>NA</v>
      </c>
      <c r="Y279" s="9"/>
      <c r="Z279" s="7">
        <v>0</v>
      </c>
      <c r="AA279" s="8" t="str">
        <f>IFERROR(Z279/Z444, "NA")</f>
        <v>NA</v>
      </c>
      <c r="AB279" s="9"/>
      <c r="AC279" s="10">
        <f t="shared" si="71"/>
        <v>0</v>
      </c>
      <c r="AD279" s="8" t="str">
        <f>IFERROR(AC279/AC444, "NA")</f>
        <v>NA</v>
      </c>
    </row>
    <row r="280" spans="1:30" ht="16.5" hidden="1" customHeight="1" x14ac:dyDescent="0.45">
      <c r="A280" s="6" t="s">
        <v>254</v>
      </c>
      <c r="B280" s="7">
        <v>0</v>
      </c>
      <c r="C280" s="8" t="str">
        <f>IFERROR(B280/B444, "NA")</f>
        <v>NA</v>
      </c>
      <c r="D280" s="9"/>
      <c r="E280" s="7">
        <v>0</v>
      </c>
      <c r="F280" s="8" t="str">
        <f>IFERROR(E280/E444, "NA")</f>
        <v>NA</v>
      </c>
      <c r="G280" s="9"/>
      <c r="H280" s="10">
        <f t="shared" si="68"/>
        <v>0</v>
      </c>
      <c r="I280" s="8" t="str">
        <f>IFERROR(H280/H444, "NA")</f>
        <v>NA</v>
      </c>
      <c r="J280" s="9"/>
      <c r="K280" s="7">
        <v>0</v>
      </c>
      <c r="L280" s="8" t="str">
        <f>IFERROR(K280/K444, "NA")</f>
        <v>NA</v>
      </c>
      <c r="M280" s="9"/>
      <c r="N280" s="10">
        <f t="shared" si="69"/>
        <v>0</v>
      </c>
      <c r="O280" s="8" t="str">
        <f>IFERROR(N280/N444, "NA")</f>
        <v>NA</v>
      </c>
      <c r="P280" s="9"/>
      <c r="Q280" s="7">
        <v>0</v>
      </c>
      <c r="R280" s="8" t="str">
        <f>IFERROR(Q280/Q444, "NA")</f>
        <v>NA</v>
      </c>
      <c r="S280" s="9"/>
      <c r="T280" s="7">
        <v>0</v>
      </c>
      <c r="U280" s="8" t="str">
        <f>IFERROR(T280/T444, "NA")</f>
        <v>NA</v>
      </c>
      <c r="V280" s="9"/>
      <c r="W280" s="10">
        <f t="shared" si="70"/>
        <v>0</v>
      </c>
      <c r="X280" s="8" t="str">
        <f>IFERROR(W280/W444, "NA")</f>
        <v>NA</v>
      </c>
      <c r="Y280" s="9"/>
      <c r="Z280" s="7">
        <v>0</v>
      </c>
      <c r="AA280" s="8" t="str">
        <f>IFERROR(Z280/Z444, "NA")</f>
        <v>NA</v>
      </c>
      <c r="AB280" s="9"/>
      <c r="AC280" s="10">
        <f t="shared" si="71"/>
        <v>0</v>
      </c>
      <c r="AD280" s="8" t="str">
        <f>IFERROR(AC280/AC444, "NA")</f>
        <v>NA</v>
      </c>
    </row>
    <row r="281" spans="1:30" ht="16.5" hidden="1" customHeight="1" x14ac:dyDescent="0.45">
      <c r="A281" s="6" t="s">
        <v>255</v>
      </c>
      <c r="B281" s="7">
        <v>0</v>
      </c>
      <c r="C281" s="8" t="str">
        <f>IFERROR(B281/B444, "NA")</f>
        <v>NA</v>
      </c>
      <c r="D281" s="9"/>
      <c r="E281" s="7">
        <v>0</v>
      </c>
      <c r="F281" s="8" t="str">
        <f>IFERROR(E281/E444, "NA")</f>
        <v>NA</v>
      </c>
      <c r="G281" s="9"/>
      <c r="H281" s="10">
        <f t="shared" si="68"/>
        <v>0</v>
      </c>
      <c r="I281" s="8" t="str">
        <f>IFERROR(H281/H444, "NA")</f>
        <v>NA</v>
      </c>
      <c r="J281" s="9"/>
      <c r="K281" s="7">
        <v>0</v>
      </c>
      <c r="L281" s="8" t="str">
        <f>IFERROR(K281/K444, "NA")</f>
        <v>NA</v>
      </c>
      <c r="M281" s="9"/>
      <c r="N281" s="10">
        <f t="shared" si="69"/>
        <v>0</v>
      </c>
      <c r="O281" s="8" t="str">
        <f>IFERROR(N281/N444, "NA")</f>
        <v>NA</v>
      </c>
      <c r="P281" s="9"/>
      <c r="Q281" s="7">
        <v>0</v>
      </c>
      <c r="R281" s="8" t="str">
        <f>IFERROR(Q281/Q444, "NA")</f>
        <v>NA</v>
      </c>
      <c r="S281" s="9"/>
      <c r="T281" s="7">
        <v>0</v>
      </c>
      <c r="U281" s="8" t="str">
        <f>IFERROR(T281/T444, "NA")</f>
        <v>NA</v>
      </c>
      <c r="V281" s="9"/>
      <c r="W281" s="10">
        <f t="shared" si="70"/>
        <v>0</v>
      </c>
      <c r="X281" s="8" t="str">
        <f>IFERROR(W281/W444, "NA")</f>
        <v>NA</v>
      </c>
      <c r="Y281" s="9"/>
      <c r="Z281" s="7">
        <v>0</v>
      </c>
      <c r="AA281" s="8" t="str">
        <f>IFERROR(Z281/Z444, "NA")</f>
        <v>NA</v>
      </c>
      <c r="AB281" s="9"/>
      <c r="AC281" s="10">
        <f t="shared" si="71"/>
        <v>0</v>
      </c>
      <c r="AD281" s="8" t="str">
        <f>IFERROR(AC281/AC444, "NA")</f>
        <v>NA</v>
      </c>
    </row>
    <row r="282" spans="1:30" ht="16.5" hidden="1" customHeight="1" x14ac:dyDescent="0.45">
      <c r="A282" s="6" t="s">
        <v>256</v>
      </c>
      <c r="B282" s="7">
        <v>0</v>
      </c>
      <c r="C282" s="8" t="str">
        <f>IFERROR(B282/B444, "NA")</f>
        <v>NA</v>
      </c>
      <c r="D282" s="9"/>
      <c r="E282" s="7">
        <v>0</v>
      </c>
      <c r="F282" s="8" t="str">
        <f>IFERROR(E282/E444, "NA")</f>
        <v>NA</v>
      </c>
      <c r="G282" s="9"/>
      <c r="H282" s="10">
        <f t="shared" si="68"/>
        <v>0</v>
      </c>
      <c r="I282" s="8" t="str">
        <f>IFERROR(H282/H444, "NA")</f>
        <v>NA</v>
      </c>
      <c r="J282" s="9"/>
      <c r="K282" s="7">
        <v>0</v>
      </c>
      <c r="L282" s="8" t="str">
        <f>IFERROR(K282/K444, "NA")</f>
        <v>NA</v>
      </c>
      <c r="M282" s="9"/>
      <c r="N282" s="10">
        <f t="shared" si="69"/>
        <v>0</v>
      </c>
      <c r="O282" s="8" t="str">
        <f>IFERROR(N282/N444, "NA")</f>
        <v>NA</v>
      </c>
      <c r="P282" s="9"/>
      <c r="Q282" s="7">
        <v>0</v>
      </c>
      <c r="R282" s="8" t="str">
        <f>IFERROR(Q282/Q444, "NA")</f>
        <v>NA</v>
      </c>
      <c r="S282" s="9"/>
      <c r="T282" s="7">
        <v>0</v>
      </c>
      <c r="U282" s="8" t="str">
        <f>IFERROR(T282/T444, "NA")</f>
        <v>NA</v>
      </c>
      <c r="V282" s="9"/>
      <c r="W282" s="10">
        <f t="shared" si="70"/>
        <v>0</v>
      </c>
      <c r="X282" s="8" t="str">
        <f>IFERROR(W282/W444, "NA")</f>
        <v>NA</v>
      </c>
      <c r="Y282" s="9"/>
      <c r="Z282" s="7">
        <v>0</v>
      </c>
      <c r="AA282" s="8" t="str">
        <f>IFERROR(Z282/Z444, "NA")</f>
        <v>NA</v>
      </c>
      <c r="AB282" s="9"/>
      <c r="AC282" s="10">
        <f t="shared" si="71"/>
        <v>0</v>
      </c>
      <c r="AD282" s="8" t="str">
        <f>IFERROR(AC282/AC444, "NA")</f>
        <v>NA</v>
      </c>
    </row>
    <row r="283" spans="1:30" ht="16.5" hidden="1" customHeight="1" x14ac:dyDescent="0.45">
      <c r="A283" s="6" t="s">
        <v>257</v>
      </c>
      <c r="B283" s="7">
        <v>0</v>
      </c>
      <c r="C283" s="8" t="str">
        <f>IFERROR(B283/B444, "NA")</f>
        <v>NA</v>
      </c>
      <c r="D283" s="9"/>
      <c r="E283" s="7">
        <v>0</v>
      </c>
      <c r="F283" s="8" t="str">
        <f>IFERROR(E283/E444, "NA")</f>
        <v>NA</v>
      </c>
      <c r="G283" s="9"/>
      <c r="H283" s="10">
        <f t="shared" si="68"/>
        <v>0</v>
      </c>
      <c r="I283" s="8" t="str">
        <f>IFERROR(H283/H444, "NA")</f>
        <v>NA</v>
      </c>
      <c r="J283" s="9"/>
      <c r="K283" s="7">
        <v>0</v>
      </c>
      <c r="L283" s="8" t="str">
        <f>IFERROR(K283/K444, "NA")</f>
        <v>NA</v>
      </c>
      <c r="M283" s="9"/>
      <c r="N283" s="10">
        <f t="shared" si="69"/>
        <v>0</v>
      </c>
      <c r="O283" s="8" t="str">
        <f>IFERROR(N283/N444, "NA")</f>
        <v>NA</v>
      </c>
      <c r="P283" s="9"/>
      <c r="Q283" s="7">
        <v>0</v>
      </c>
      <c r="R283" s="8" t="str">
        <f>IFERROR(Q283/Q444, "NA")</f>
        <v>NA</v>
      </c>
      <c r="S283" s="9"/>
      <c r="T283" s="7">
        <v>0</v>
      </c>
      <c r="U283" s="8" t="str">
        <f>IFERROR(T283/T444, "NA")</f>
        <v>NA</v>
      </c>
      <c r="V283" s="9"/>
      <c r="W283" s="10">
        <f t="shared" si="70"/>
        <v>0</v>
      </c>
      <c r="X283" s="8" t="str">
        <f>IFERROR(W283/W444, "NA")</f>
        <v>NA</v>
      </c>
      <c r="Y283" s="9"/>
      <c r="Z283" s="7">
        <v>0</v>
      </c>
      <c r="AA283" s="8" t="str">
        <f>IFERROR(Z283/Z444, "NA")</f>
        <v>NA</v>
      </c>
      <c r="AB283" s="9"/>
      <c r="AC283" s="10">
        <f t="shared" si="71"/>
        <v>0</v>
      </c>
      <c r="AD283" s="8" t="str">
        <f>IFERROR(AC283/AC444, "NA")</f>
        <v>NA</v>
      </c>
    </row>
    <row r="284" spans="1:30" ht="16.5" customHeight="1" x14ac:dyDescent="0.45">
      <c r="A284" s="19" t="s">
        <v>258</v>
      </c>
      <c r="B284" s="14">
        <f>IFERROR(B275+B276+B277+B278+B279+B280+B281+B282+B283, "NA")</f>
        <v>0</v>
      </c>
      <c r="C284" s="15" t="str">
        <f>IFERROR(B284/B444, "NA")</f>
        <v>NA</v>
      </c>
      <c r="D284" s="2"/>
      <c r="E284" s="14">
        <f>IFERROR(E275+E276+E277+E278+E279+E280+E281+E282+E283, "NA")</f>
        <v>0</v>
      </c>
      <c r="F284" s="15" t="str">
        <f>IFERROR(E284/E444, "NA")</f>
        <v>NA</v>
      </c>
      <c r="G284" s="2"/>
      <c r="H284" s="14">
        <f t="shared" si="68"/>
        <v>0</v>
      </c>
      <c r="I284" s="15" t="str">
        <f>IFERROR(H284/H444, "NA")</f>
        <v>NA</v>
      </c>
      <c r="J284" s="2"/>
      <c r="K284" s="14">
        <f>IFERROR(K275+K276+K277+K278+K279+K280+K281+K282+K283, "NA")</f>
        <v>0</v>
      </c>
      <c r="L284" s="15" t="str">
        <f>IFERROR(K284/K444, "NA")</f>
        <v>NA</v>
      </c>
      <c r="M284" s="2"/>
      <c r="N284" s="14">
        <f t="shared" si="69"/>
        <v>0</v>
      </c>
      <c r="O284" s="15" t="str">
        <f>IFERROR(N284/N444, "NA")</f>
        <v>NA</v>
      </c>
      <c r="P284" s="2"/>
      <c r="Q284" s="14">
        <f>IFERROR(Q275+Q276+Q277+Q278+Q279+Q280+Q281+Q282+Q283, "NA")</f>
        <v>0</v>
      </c>
      <c r="R284" s="15" t="str">
        <f>IFERROR(Q284/Q444, "NA")</f>
        <v>NA</v>
      </c>
      <c r="S284" s="2"/>
      <c r="T284" s="14">
        <f>IFERROR(T275+T276+T277+T278+T279+T280+T281+T282+T283, "NA")</f>
        <v>0</v>
      </c>
      <c r="U284" s="15" t="str">
        <f>IFERROR(T284/T444, "NA")</f>
        <v>NA</v>
      </c>
      <c r="V284" s="2"/>
      <c r="W284" s="14">
        <f t="shared" si="70"/>
        <v>0</v>
      </c>
      <c r="X284" s="15" t="str">
        <f>IFERROR(W284/W444, "NA")</f>
        <v>NA</v>
      </c>
      <c r="Y284" s="2"/>
      <c r="Z284" s="14">
        <f>IFERROR(Z275+Z276+Z277+Z278+Z279+Z280+Z281+Z282+Z283, "NA")</f>
        <v>0</v>
      </c>
      <c r="AA284" s="15" t="str">
        <f>IFERROR(Z284/Z444, "NA")</f>
        <v>NA</v>
      </c>
      <c r="AB284" s="2"/>
      <c r="AC284" s="14">
        <f t="shared" si="71"/>
        <v>0</v>
      </c>
      <c r="AD284" s="15" t="str">
        <f>IFERROR(AC284/AC444, "NA")</f>
        <v>NA</v>
      </c>
    </row>
    <row r="285" spans="1:30" ht="16.5" customHeight="1" x14ac:dyDescent="0.45">
      <c r="A285" s="5" t="s">
        <v>259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  <c r="Y285" s="4"/>
      <c r="Z285" s="2"/>
      <c r="AA285" s="3"/>
      <c r="AB285" s="4"/>
      <c r="AC285" s="2"/>
      <c r="AD285" s="3"/>
    </row>
    <row r="286" spans="1:30" ht="16.5" hidden="1" customHeight="1" x14ac:dyDescent="0.45">
      <c r="A286" s="6" t="s">
        <v>259</v>
      </c>
      <c r="B286" s="7">
        <v>0</v>
      </c>
      <c r="C286" s="8" t="str">
        <f>IFERROR(B286/B444, "NA")</f>
        <v>NA</v>
      </c>
      <c r="D286" s="9"/>
      <c r="E286" s="7">
        <v>0</v>
      </c>
      <c r="F286" s="8" t="str">
        <f>IFERROR(E286/E444, "NA")</f>
        <v>NA</v>
      </c>
      <c r="G286" s="9"/>
      <c r="H286" s="10">
        <f t="shared" ref="H286:H295" si="72">IFERROR(-(B286-E286), "NA")</f>
        <v>0</v>
      </c>
      <c r="I286" s="8" t="str">
        <f>IFERROR(H286/H444, "NA")</f>
        <v>NA</v>
      </c>
      <c r="J286" s="9"/>
      <c r="K286" s="7">
        <v>0</v>
      </c>
      <c r="L286" s="8" t="str">
        <f>IFERROR(K286/K444, "NA")</f>
        <v>NA</v>
      </c>
      <c r="M286" s="9"/>
      <c r="N286" s="10">
        <f t="shared" ref="N286:N295" si="73">IFERROR(-(B286-K286), "NA")</f>
        <v>0</v>
      </c>
      <c r="O286" s="8" t="str">
        <f>IFERROR(N286/N444, "NA")</f>
        <v>NA</v>
      </c>
      <c r="P286" s="9"/>
      <c r="Q286" s="7">
        <v>0</v>
      </c>
      <c r="R286" s="8" t="str">
        <f>IFERROR(Q286/Q444, "NA")</f>
        <v>NA</v>
      </c>
      <c r="S286" s="9"/>
      <c r="T286" s="7">
        <v>0</v>
      </c>
      <c r="U286" s="8" t="str">
        <f>IFERROR(T286/T444, "NA")</f>
        <v>NA</v>
      </c>
      <c r="V286" s="9"/>
      <c r="W286" s="10">
        <f t="shared" ref="W286:W295" si="74">IFERROR(-(Q286-T286), "NA")</f>
        <v>0</v>
      </c>
      <c r="X286" s="8" t="str">
        <f>IFERROR(W286/W444, "NA")</f>
        <v>NA</v>
      </c>
      <c r="Y286" s="9"/>
      <c r="Z286" s="7">
        <v>0</v>
      </c>
      <c r="AA286" s="8" t="str">
        <f>IFERROR(Z286/Z444, "NA")</f>
        <v>NA</v>
      </c>
      <c r="AB286" s="9"/>
      <c r="AC286" s="10">
        <f t="shared" ref="AC286:AC295" si="75">IFERROR(-(Q286-Z286), "NA")</f>
        <v>0</v>
      </c>
      <c r="AD286" s="8" t="str">
        <f>IFERROR(AC286/AC444, "NA")</f>
        <v>NA</v>
      </c>
    </row>
    <row r="287" spans="1:30" ht="16.5" hidden="1" customHeight="1" x14ac:dyDescent="0.45">
      <c r="A287" s="6" t="s">
        <v>260</v>
      </c>
      <c r="B287" s="7">
        <v>0</v>
      </c>
      <c r="C287" s="8" t="str">
        <f>IFERROR(B287/B444, "NA")</f>
        <v>NA</v>
      </c>
      <c r="D287" s="9"/>
      <c r="E287" s="7">
        <v>0</v>
      </c>
      <c r="F287" s="8" t="str">
        <f>IFERROR(E287/E444, "NA")</f>
        <v>NA</v>
      </c>
      <c r="G287" s="9"/>
      <c r="H287" s="10">
        <f t="shared" si="72"/>
        <v>0</v>
      </c>
      <c r="I287" s="8" t="str">
        <f>IFERROR(H287/H444, "NA")</f>
        <v>NA</v>
      </c>
      <c r="J287" s="9"/>
      <c r="K287" s="7">
        <v>0</v>
      </c>
      <c r="L287" s="8" t="str">
        <f>IFERROR(K287/K444, "NA")</f>
        <v>NA</v>
      </c>
      <c r="M287" s="9"/>
      <c r="N287" s="10">
        <f t="shared" si="73"/>
        <v>0</v>
      </c>
      <c r="O287" s="8" t="str">
        <f>IFERROR(N287/N444, "NA")</f>
        <v>NA</v>
      </c>
      <c r="P287" s="9"/>
      <c r="Q287" s="7">
        <v>0</v>
      </c>
      <c r="R287" s="8" t="str">
        <f>IFERROR(Q287/Q444, "NA")</f>
        <v>NA</v>
      </c>
      <c r="S287" s="9"/>
      <c r="T287" s="7">
        <v>0</v>
      </c>
      <c r="U287" s="8" t="str">
        <f>IFERROR(T287/T444, "NA")</f>
        <v>NA</v>
      </c>
      <c r="V287" s="9"/>
      <c r="W287" s="10">
        <f t="shared" si="74"/>
        <v>0</v>
      </c>
      <c r="X287" s="8" t="str">
        <f>IFERROR(W287/W444, "NA")</f>
        <v>NA</v>
      </c>
      <c r="Y287" s="9"/>
      <c r="Z287" s="7">
        <v>0</v>
      </c>
      <c r="AA287" s="8" t="str">
        <f>IFERROR(Z287/Z444, "NA")</f>
        <v>NA</v>
      </c>
      <c r="AB287" s="9"/>
      <c r="AC287" s="10">
        <f t="shared" si="75"/>
        <v>0</v>
      </c>
      <c r="AD287" s="8" t="str">
        <f>IFERROR(AC287/AC444, "NA")</f>
        <v>NA</v>
      </c>
    </row>
    <row r="288" spans="1:30" ht="16.5" hidden="1" customHeight="1" x14ac:dyDescent="0.45">
      <c r="A288" s="6" t="s">
        <v>261</v>
      </c>
      <c r="B288" s="7">
        <v>0</v>
      </c>
      <c r="C288" s="8" t="str">
        <f>IFERROR(B288/B444, "NA")</f>
        <v>NA</v>
      </c>
      <c r="D288" s="9"/>
      <c r="E288" s="7">
        <v>0</v>
      </c>
      <c r="F288" s="8" t="str">
        <f>IFERROR(E288/E444, "NA")</f>
        <v>NA</v>
      </c>
      <c r="G288" s="9"/>
      <c r="H288" s="10">
        <f t="shared" si="72"/>
        <v>0</v>
      </c>
      <c r="I288" s="8" t="str">
        <f>IFERROR(H288/H444, "NA")</f>
        <v>NA</v>
      </c>
      <c r="J288" s="9"/>
      <c r="K288" s="7">
        <v>0</v>
      </c>
      <c r="L288" s="8" t="str">
        <f>IFERROR(K288/K444, "NA")</f>
        <v>NA</v>
      </c>
      <c r="M288" s="9"/>
      <c r="N288" s="10">
        <f t="shared" si="73"/>
        <v>0</v>
      </c>
      <c r="O288" s="8" t="str">
        <f>IFERROR(N288/N444, "NA")</f>
        <v>NA</v>
      </c>
      <c r="P288" s="9"/>
      <c r="Q288" s="7">
        <v>0</v>
      </c>
      <c r="R288" s="8" t="str">
        <f>IFERROR(Q288/Q444, "NA")</f>
        <v>NA</v>
      </c>
      <c r="S288" s="9"/>
      <c r="T288" s="7">
        <v>0</v>
      </c>
      <c r="U288" s="8" t="str">
        <f>IFERROR(T288/T444, "NA")</f>
        <v>NA</v>
      </c>
      <c r="V288" s="9"/>
      <c r="W288" s="10">
        <f t="shared" si="74"/>
        <v>0</v>
      </c>
      <c r="X288" s="8" t="str">
        <f>IFERROR(W288/W444, "NA")</f>
        <v>NA</v>
      </c>
      <c r="Y288" s="9"/>
      <c r="Z288" s="7">
        <v>0</v>
      </c>
      <c r="AA288" s="8" t="str">
        <f>IFERROR(Z288/Z444, "NA")</f>
        <v>NA</v>
      </c>
      <c r="AB288" s="9"/>
      <c r="AC288" s="10">
        <f t="shared" si="75"/>
        <v>0</v>
      </c>
      <c r="AD288" s="8" t="str">
        <f>IFERROR(AC288/AC444, "NA")</f>
        <v>NA</v>
      </c>
    </row>
    <row r="289" spans="1:30" ht="16.5" hidden="1" customHeight="1" x14ac:dyDescent="0.45">
      <c r="A289" s="6" t="s">
        <v>262</v>
      </c>
      <c r="B289" s="7">
        <v>0</v>
      </c>
      <c r="C289" s="8" t="str">
        <f>IFERROR(B289/B444, "NA")</f>
        <v>NA</v>
      </c>
      <c r="D289" s="9"/>
      <c r="E289" s="7">
        <v>0</v>
      </c>
      <c r="F289" s="8" t="str">
        <f>IFERROR(E289/E444, "NA")</f>
        <v>NA</v>
      </c>
      <c r="G289" s="9"/>
      <c r="H289" s="10">
        <f t="shared" si="72"/>
        <v>0</v>
      </c>
      <c r="I289" s="8" t="str">
        <f>IFERROR(H289/H444, "NA")</f>
        <v>NA</v>
      </c>
      <c r="J289" s="9"/>
      <c r="K289" s="7">
        <v>0</v>
      </c>
      <c r="L289" s="8" t="str">
        <f>IFERROR(K289/K444, "NA")</f>
        <v>NA</v>
      </c>
      <c r="M289" s="9"/>
      <c r="N289" s="10">
        <f t="shared" si="73"/>
        <v>0</v>
      </c>
      <c r="O289" s="8" t="str">
        <f>IFERROR(N289/N444, "NA")</f>
        <v>NA</v>
      </c>
      <c r="P289" s="9"/>
      <c r="Q289" s="7">
        <v>0</v>
      </c>
      <c r="R289" s="8" t="str">
        <f>IFERROR(Q289/Q444, "NA")</f>
        <v>NA</v>
      </c>
      <c r="S289" s="9"/>
      <c r="T289" s="7">
        <v>0</v>
      </c>
      <c r="U289" s="8" t="str">
        <f>IFERROR(T289/T444, "NA")</f>
        <v>NA</v>
      </c>
      <c r="V289" s="9"/>
      <c r="W289" s="10">
        <f t="shared" si="74"/>
        <v>0</v>
      </c>
      <c r="X289" s="8" t="str">
        <f>IFERROR(W289/W444, "NA")</f>
        <v>NA</v>
      </c>
      <c r="Y289" s="9"/>
      <c r="Z289" s="7">
        <v>0</v>
      </c>
      <c r="AA289" s="8" t="str">
        <f>IFERROR(Z289/Z444, "NA")</f>
        <v>NA</v>
      </c>
      <c r="AB289" s="9"/>
      <c r="AC289" s="10">
        <f t="shared" si="75"/>
        <v>0</v>
      </c>
      <c r="AD289" s="8" t="str">
        <f>IFERROR(AC289/AC444, "NA")</f>
        <v>NA</v>
      </c>
    </row>
    <row r="290" spans="1:30" ht="16.5" hidden="1" customHeight="1" x14ac:dyDescent="0.45">
      <c r="A290" s="6" t="s">
        <v>263</v>
      </c>
      <c r="B290" s="7">
        <v>0</v>
      </c>
      <c r="C290" s="8" t="str">
        <f>IFERROR(B290/B444, "NA")</f>
        <v>NA</v>
      </c>
      <c r="D290" s="9"/>
      <c r="E290" s="7">
        <v>0</v>
      </c>
      <c r="F290" s="8" t="str">
        <f>IFERROR(E290/E444, "NA")</f>
        <v>NA</v>
      </c>
      <c r="G290" s="9"/>
      <c r="H290" s="10">
        <f t="shared" si="72"/>
        <v>0</v>
      </c>
      <c r="I290" s="8" t="str">
        <f>IFERROR(H290/H444, "NA")</f>
        <v>NA</v>
      </c>
      <c r="J290" s="9"/>
      <c r="K290" s="7">
        <v>0</v>
      </c>
      <c r="L290" s="8" t="str">
        <f>IFERROR(K290/K444, "NA")</f>
        <v>NA</v>
      </c>
      <c r="M290" s="9"/>
      <c r="N290" s="10">
        <f t="shared" si="73"/>
        <v>0</v>
      </c>
      <c r="O290" s="8" t="str">
        <f>IFERROR(N290/N444, "NA")</f>
        <v>NA</v>
      </c>
      <c r="P290" s="9"/>
      <c r="Q290" s="7">
        <v>0</v>
      </c>
      <c r="R290" s="8" t="str">
        <f>IFERROR(Q290/Q444, "NA")</f>
        <v>NA</v>
      </c>
      <c r="S290" s="9"/>
      <c r="T290" s="7">
        <v>0</v>
      </c>
      <c r="U290" s="8" t="str">
        <f>IFERROR(T290/T444, "NA")</f>
        <v>NA</v>
      </c>
      <c r="V290" s="9"/>
      <c r="W290" s="10">
        <f t="shared" si="74"/>
        <v>0</v>
      </c>
      <c r="X290" s="8" t="str">
        <f>IFERROR(W290/W444, "NA")</f>
        <v>NA</v>
      </c>
      <c r="Y290" s="9"/>
      <c r="Z290" s="7">
        <v>0</v>
      </c>
      <c r="AA290" s="8" t="str">
        <f>IFERROR(Z290/Z444, "NA")</f>
        <v>NA</v>
      </c>
      <c r="AB290" s="9"/>
      <c r="AC290" s="10">
        <f t="shared" si="75"/>
        <v>0</v>
      </c>
      <c r="AD290" s="8" t="str">
        <f>IFERROR(AC290/AC444, "NA")</f>
        <v>NA</v>
      </c>
    </row>
    <row r="291" spans="1:30" ht="16.5" hidden="1" customHeight="1" x14ac:dyDescent="0.45">
      <c r="A291" s="6" t="s">
        <v>264</v>
      </c>
      <c r="B291" s="7">
        <v>0</v>
      </c>
      <c r="C291" s="8" t="str">
        <f>IFERROR(B291/B444, "NA")</f>
        <v>NA</v>
      </c>
      <c r="D291" s="9"/>
      <c r="E291" s="7">
        <v>0</v>
      </c>
      <c r="F291" s="8" t="str">
        <f>IFERROR(E291/E444, "NA")</f>
        <v>NA</v>
      </c>
      <c r="G291" s="9"/>
      <c r="H291" s="10">
        <f t="shared" si="72"/>
        <v>0</v>
      </c>
      <c r="I291" s="8" t="str">
        <f>IFERROR(H291/H444, "NA")</f>
        <v>NA</v>
      </c>
      <c r="J291" s="9"/>
      <c r="K291" s="7">
        <v>0</v>
      </c>
      <c r="L291" s="8" t="str">
        <f>IFERROR(K291/K444, "NA")</f>
        <v>NA</v>
      </c>
      <c r="M291" s="9"/>
      <c r="N291" s="10">
        <f t="shared" si="73"/>
        <v>0</v>
      </c>
      <c r="O291" s="8" t="str">
        <f>IFERROR(N291/N444, "NA")</f>
        <v>NA</v>
      </c>
      <c r="P291" s="9"/>
      <c r="Q291" s="7">
        <v>0</v>
      </c>
      <c r="R291" s="8" t="str">
        <f>IFERROR(Q291/Q444, "NA")</f>
        <v>NA</v>
      </c>
      <c r="S291" s="9"/>
      <c r="T291" s="7">
        <v>0</v>
      </c>
      <c r="U291" s="8" t="str">
        <f>IFERROR(T291/T444, "NA")</f>
        <v>NA</v>
      </c>
      <c r="V291" s="9"/>
      <c r="W291" s="10">
        <f t="shared" si="74"/>
        <v>0</v>
      </c>
      <c r="X291" s="8" t="str">
        <f>IFERROR(W291/W444, "NA")</f>
        <v>NA</v>
      </c>
      <c r="Y291" s="9"/>
      <c r="Z291" s="7">
        <v>0</v>
      </c>
      <c r="AA291" s="8" t="str">
        <f>IFERROR(Z291/Z444, "NA")</f>
        <v>NA</v>
      </c>
      <c r="AB291" s="9"/>
      <c r="AC291" s="10">
        <f t="shared" si="75"/>
        <v>0</v>
      </c>
      <c r="AD291" s="8" t="str">
        <f>IFERROR(AC291/AC444, "NA")</f>
        <v>NA</v>
      </c>
    </row>
    <row r="292" spans="1:30" ht="16.5" hidden="1" customHeight="1" x14ac:dyDescent="0.45">
      <c r="A292" s="6" t="s">
        <v>265</v>
      </c>
      <c r="B292" s="7">
        <v>0</v>
      </c>
      <c r="C292" s="8" t="str">
        <f>IFERROR(B292/B444, "NA")</f>
        <v>NA</v>
      </c>
      <c r="D292" s="9"/>
      <c r="E292" s="7">
        <v>0</v>
      </c>
      <c r="F292" s="8" t="str">
        <f>IFERROR(E292/E444, "NA")</f>
        <v>NA</v>
      </c>
      <c r="G292" s="9"/>
      <c r="H292" s="10">
        <f t="shared" si="72"/>
        <v>0</v>
      </c>
      <c r="I292" s="8" t="str">
        <f>IFERROR(H292/H444, "NA")</f>
        <v>NA</v>
      </c>
      <c r="J292" s="9"/>
      <c r="K292" s="7">
        <v>0</v>
      </c>
      <c r="L292" s="8" t="str">
        <f>IFERROR(K292/K444, "NA")</f>
        <v>NA</v>
      </c>
      <c r="M292" s="9"/>
      <c r="N292" s="10">
        <f t="shared" si="73"/>
        <v>0</v>
      </c>
      <c r="O292" s="8" t="str">
        <f>IFERROR(N292/N444, "NA")</f>
        <v>NA</v>
      </c>
      <c r="P292" s="9"/>
      <c r="Q292" s="7">
        <v>0</v>
      </c>
      <c r="R292" s="8" t="str">
        <f>IFERROR(Q292/Q444, "NA")</f>
        <v>NA</v>
      </c>
      <c r="S292" s="9"/>
      <c r="T292" s="7">
        <v>0</v>
      </c>
      <c r="U292" s="8" t="str">
        <f>IFERROR(T292/T444, "NA")</f>
        <v>NA</v>
      </c>
      <c r="V292" s="9"/>
      <c r="W292" s="10">
        <f t="shared" si="74"/>
        <v>0</v>
      </c>
      <c r="X292" s="8" t="str">
        <f>IFERROR(W292/W444, "NA")</f>
        <v>NA</v>
      </c>
      <c r="Y292" s="9"/>
      <c r="Z292" s="7">
        <v>0</v>
      </c>
      <c r="AA292" s="8" t="str">
        <f>IFERROR(Z292/Z444, "NA")</f>
        <v>NA</v>
      </c>
      <c r="AB292" s="9"/>
      <c r="AC292" s="10">
        <f t="shared" si="75"/>
        <v>0</v>
      </c>
      <c r="AD292" s="8" t="str">
        <f>IFERROR(AC292/AC444, "NA")</f>
        <v>NA</v>
      </c>
    </row>
    <row r="293" spans="1:30" ht="16.5" hidden="1" customHeight="1" x14ac:dyDescent="0.45">
      <c r="A293" s="6" t="s">
        <v>266</v>
      </c>
      <c r="B293" s="7">
        <v>0</v>
      </c>
      <c r="C293" s="8" t="str">
        <f>IFERROR(B293/B444, "NA")</f>
        <v>NA</v>
      </c>
      <c r="D293" s="9"/>
      <c r="E293" s="7">
        <v>0</v>
      </c>
      <c r="F293" s="8" t="str">
        <f>IFERROR(E293/E444, "NA")</f>
        <v>NA</v>
      </c>
      <c r="G293" s="9"/>
      <c r="H293" s="10">
        <f t="shared" si="72"/>
        <v>0</v>
      </c>
      <c r="I293" s="8" t="str">
        <f>IFERROR(H293/H444, "NA")</f>
        <v>NA</v>
      </c>
      <c r="J293" s="9"/>
      <c r="K293" s="7">
        <v>0</v>
      </c>
      <c r="L293" s="8" t="str">
        <f>IFERROR(K293/K444, "NA")</f>
        <v>NA</v>
      </c>
      <c r="M293" s="9"/>
      <c r="N293" s="10">
        <f t="shared" si="73"/>
        <v>0</v>
      </c>
      <c r="O293" s="8" t="str">
        <f>IFERROR(N293/N444, "NA")</f>
        <v>NA</v>
      </c>
      <c r="P293" s="9"/>
      <c r="Q293" s="7">
        <v>0</v>
      </c>
      <c r="R293" s="8" t="str">
        <f>IFERROR(Q293/Q444, "NA")</f>
        <v>NA</v>
      </c>
      <c r="S293" s="9"/>
      <c r="T293" s="7">
        <v>0</v>
      </c>
      <c r="U293" s="8" t="str">
        <f>IFERROR(T293/T444, "NA")</f>
        <v>NA</v>
      </c>
      <c r="V293" s="9"/>
      <c r="W293" s="10">
        <f t="shared" si="74"/>
        <v>0</v>
      </c>
      <c r="X293" s="8" t="str">
        <f>IFERROR(W293/W444, "NA")</f>
        <v>NA</v>
      </c>
      <c r="Y293" s="9"/>
      <c r="Z293" s="7">
        <v>0</v>
      </c>
      <c r="AA293" s="8" t="str">
        <f>IFERROR(Z293/Z444, "NA")</f>
        <v>NA</v>
      </c>
      <c r="AB293" s="9"/>
      <c r="AC293" s="10">
        <f t="shared" si="75"/>
        <v>0</v>
      </c>
      <c r="AD293" s="8" t="str">
        <f>IFERROR(AC293/AC444, "NA")</f>
        <v>NA</v>
      </c>
    </row>
    <row r="294" spans="1:30" ht="16.5" hidden="1" customHeight="1" x14ac:dyDescent="0.45">
      <c r="A294" s="6" t="s">
        <v>267</v>
      </c>
      <c r="B294" s="7">
        <v>0</v>
      </c>
      <c r="C294" s="8" t="str">
        <f>IFERROR(B294/B444, "NA")</f>
        <v>NA</v>
      </c>
      <c r="D294" s="9"/>
      <c r="E294" s="7">
        <v>0</v>
      </c>
      <c r="F294" s="8" t="str">
        <f>IFERROR(E294/E444, "NA")</f>
        <v>NA</v>
      </c>
      <c r="G294" s="9"/>
      <c r="H294" s="10">
        <f t="shared" si="72"/>
        <v>0</v>
      </c>
      <c r="I294" s="8" t="str">
        <f>IFERROR(H294/H444, "NA")</f>
        <v>NA</v>
      </c>
      <c r="J294" s="9"/>
      <c r="K294" s="7">
        <v>0</v>
      </c>
      <c r="L294" s="8" t="str">
        <f>IFERROR(K294/K444, "NA")</f>
        <v>NA</v>
      </c>
      <c r="M294" s="9"/>
      <c r="N294" s="10">
        <f t="shared" si="73"/>
        <v>0</v>
      </c>
      <c r="O294" s="8" t="str">
        <f>IFERROR(N294/N444, "NA")</f>
        <v>NA</v>
      </c>
      <c r="P294" s="9"/>
      <c r="Q294" s="7">
        <v>0</v>
      </c>
      <c r="R294" s="8" t="str">
        <f>IFERROR(Q294/Q444, "NA")</f>
        <v>NA</v>
      </c>
      <c r="S294" s="9"/>
      <c r="T294" s="7">
        <v>0</v>
      </c>
      <c r="U294" s="8" t="str">
        <f>IFERROR(T294/T444, "NA")</f>
        <v>NA</v>
      </c>
      <c r="V294" s="9"/>
      <c r="W294" s="10">
        <f t="shared" si="74"/>
        <v>0</v>
      </c>
      <c r="X294" s="8" t="str">
        <f>IFERROR(W294/W444, "NA")</f>
        <v>NA</v>
      </c>
      <c r="Y294" s="9"/>
      <c r="Z294" s="7">
        <v>0</v>
      </c>
      <c r="AA294" s="8" t="str">
        <f>IFERROR(Z294/Z444, "NA")</f>
        <v>NA</v>
      </c>
      <c r="AB294" s="9"/>
      <c r="AC294" s="10">
        <f t="shared" si="75"/>
        <v>0</v>
      </c>
      <c r="AD294" s="8" t="str">
        <f>IFERROR(AC294/AC444, "NA")</f>
        <v>NA</v>
      </c>
    </row>
    <row r="295" spans="1:30" ht="16.5" customHeight="1" x14ac:dyDescent="0.45">
      <c r="A295" s="19" t="s">
        <v>268</v>
      </c>
      <c r="B295" s="14">
        <f>IFERROR(B286+B287+B288+B289+B290+B291+B292+B293+B294, "NA")</f>
        <v>0</v>
      </c>
      <c r="C295" s="15" t="str">
        <f>IFERROR(B295/B444, "NA")</f>
        <v>NA</v>
      </c>
      <c r="D295" s="2"/>
      <c r="E295" s="14">
        <f>IFERROR(E286+E287+E288+E289+E290+E291+E292+E293+E294, "NA")</f>
        <v>0</v>
      </c>
      <c r="F295" s="15" t="str">
        <f>IFERROR(E295/E444, "NA")</f>
        <v>NA</v>
      </c>
      <c r="G295" s="2"/>
      <c r="H295" s="14">
        <f t="shared" si="72"/>
        <v>0</v>
      </c>
      <c r="I295" s="15" t="str">
        <f>IFERROR(H295/H444, "NA")</f>
        <v>NA</v>
      </c>
      <c r="J295" s="2"/>
      <c r="K295" s="14">
        <f>IFERROR(K286+K287+K288+K289+K290+K291+K292+K293+K294, "NA")</f>
        <v>0</v>
      </c>
      <c r="L295" s="15" t="str">
        <f>IFERROR(K295/K444, "NA")</f>
        <v>NA</v>
      </c>
      <c r="M295" s="2"/>
      <c r="N295" s="14">
        <f t="shared" si="73"/>
        <v>0</v>
      </c>
      <c r="O295" s="15" t="str">
        <f>IFERROR(N295/N444, "NA")</f>
        <v>NA</v>
      </c>
      <c r="P295" s="2"/>
      <c r="Q295" s="14">
        <f>IFERROR(Q286+Q287+Q288+Q289+Q290+Q291+Q292+Q293+Q294, "NA")</f>
        <v>0</v>
      </c>
      <c r="R295" s="15" t="str">
        <f>IFERROR(Q295/Q444, "NA")</f>
        <v>NA</v>
      </c>
      <c r="S295" s="2"/>
      <c r="T295" s="14">
        <f>IFERROR(T286+T287+T288+T289+T290+T291+T292+T293+T294, "NA")</f>
        <v>0</v>
      </c>
      <c r="U295" s="15" t="str">
        <f>IFERROR(T295/T444, "NA")</f>
        <v>NA</v>
      </c>
      <c r="V295" s="2"/>
      <c r="W295" s="14">
        <f t="shared" si="74"/>
        <v>0</v>
      </c>
      <c r="X295" s="15" t="str">
        <f>IFERROR(W295/W444, "NA")</f>
        <v>NA</v>
      </c>
      <c r="Y295" s="2"/>
      <c r="Z295" s="14">
        <f>IFERROR(Z286+Z287+Z288+Z289+Z290+Z291+Z292+Z293+Z294, "NA")</f>
        <v>0</v>
      </c>
      <c r="AA295" s="15" t="str">
        <f>IFERROR(Z295/Z444, "NA")</f>
        <v>NA</v>
      </c>
      <c r="AB295" s="2"/>
      <c r="AC295" s="14">
        <f t="shared" si="75"/>
        <v>0</v>
      </c>
      <c r="AD295" s="15" t="str">
        <f>IFERROR(AC295/AC444, "NA")</f>
        <v>NA</v>
      </c>
    </row>
    <row r="296" spans="1:30" ht="16.5" customHeight="1" x14ac:dyDescent="0.45">
      <c r="A296" s="5" t="s">
        <v>269</v>
      </c>
      <c r="B296" s="2"/>
      <c r="C296" s="3"/>
      <c r="D296" s="4"/>
      <c r="E296" s="2"/>
      <c r="F296" s="3"/>
      <c r="G296" s="4"/>
      <c r="H296" s="2"/>
      <c r="I296" s="3"/>
      <c r="J296" s="4"/>
      <c r="K296" s="2"/>
      <c r="L296" s="3"/>
      <c r="M296" s="4"/>
      <c r="N296" s="2"/>
      <c r="O296" s="3"/>
      <c r="P296" s="4"/>
      <c r="Q296" s="2"/>
      <c r="R296" s="3"/>
      <c r="S296" s="4"/>
      <c r="T296" s="2"/>
      <c r="U296" s="3"/>
      <c r="V296" s="4"/>
      <c r="W296" s="2"/>
      <c r="X296" s="3"/>
      <c r="Y296" s="4"/>
      <c r="Z296" s="2"/>
      <c r="AA296" s="3"/>
      <c r="AB296" s="4"/>
      <c r="AC296" s="2"/>
      <c r="AD296" s="3"/>
    </row>
    <row r="297" spans="1:30" ht="16.5" hidden="1" customHeight="1" x14ac:dyDescent="0.45">
      <c r="A297" s="6" t="s">
        <v>269</v>
      </c>
      <c r="B297" s="7">
        <v>0</v>
      </c>
      <c r="C297" s="8" t="str">
        <f>IFERROR(B297/B444, "NA")</f>
        <v>NA</v>
      </c>
      <c r="D297" s="9"/>
      <c r="E297" s="7">
        <v>0</v>
      </c>
      <c r="F297" s="8" t="str">
        <f>IFERROR(E297/E444, "NA")</f>
        <v>NA</v>
      </c>
      <c r="G297" s="9"/>
      <c r="H297" s="10">
        <f t="shared" ref="H297:H325" si="76">IFERROR(-(B297-E297), "NA")</f>
        <v>0</v>
      </c>
      <c r="I297" s="8" t="str">
        <f>IFERROR(H297/H444, "NA")</f>
        <v>NA</v>
      </c>
      <c r="J297" s="9"/>
      <c r="K297" s="7">
        <v>0</v>
      </c>
      <c r="L297" s="8" t="str">
        <f>IFERROR(K297/K444, "NA")</f>
        <v>NA</v>
      </c>
      <c r="M297" s="9"/>
      <c r="N297" s="10">
        <f t="shared" ref="N297:N325" si="77">IFERROR(-(B297-K297), "NA")</f>
        <v>0</v>
      </c>
      <c r="O297" s="8" t="str">
        <f>IFERROR(N297/N444, "NA")</f>
        <v>NA</v>
      </c>
      <c r="P297" s="9"/>
      <c r="Q297" s="7">
        <v>0</v>
      </c>
      <c r="R297" s="8" t="str">
        <f>IFERROR(Q297/Q444, "NA")</f>
        <v>NA</v>
      </c>
      <c r="S297" s="9"/>
      <c r="T297" s="7">
        <v>0</v>
      </c>
      <c r="U297" s="8" t="str">
        <f>IFERROR(T297/T444, "NA")</f>
        <v>NA</v>
      </c>
      <c r="V297" s="9"/>
      <c r="W297" s="10">
        <f t="shared" ref="W297:W325" si="78">IFERROR(-(Q297-T297), "NA")</f>
        <v>0</v>
      </c>
      <c r="X297" s="8" t="str">
        <f>IFERROR(W297/W444, "NA")</f>
        <v>NA</v>
      </c>
      <c r="Y297" s="9"/>
      <c r="Z297" s="7">
        <v>0</v>
      </c>
      <c r="AA297" s="8" t="str">
        <f>IFERROR(Z297/Z444, "NA")</f>
        <v>NA</v>
      </c>
      <c r="AB297" s="9"/>
      <c r="AC297" s="10">
        <f t="shared" ref="AC297:AC325" si="79">IFERROR(-(Q297-Z297), "NA")</f>
        <v>0</v>
      </c>
      <c r="AD297" s="8" t="str">
        <f>IFERROR(AC297/AC444, "NA")</f>
        <v>NA</v>
      </c>
    </row>
    <row r="298" spans="1:30" ht="16.5" hidden="1" customHeight="1" x14ac:dyDescent="0.45">
      <c r="A298" s="6" t="s">
        <v>270</v>
      </c>
      <c r="B298" s="7">
        <v>0</v>
      </c>
      <c r="C298" s="8" t="str">
        <f>IFERROR(B298/B444, "NA")</f>
        <v>NA</v>
      </c>
      <c r="D298" s="9"/>
      <c r="E298" s="7">
        <v>0</v>
      </c>
      <c r="F298" s="8" t="str">
        <f>IFERROR(E298/E444, "NA")</f>
        <v>NA</v>
      </c>
      <c r="G298" s="9"/>
      <c r="H298" s="10">
        <f t="shared" si="76"/>
        <v>0</v>
      </c>
      <c r="I298" s="8" t="str">
        <f>IFERROR(H298/H444, "NA")</f>
        <v>NA</v>
      </c>
      <c r="J298" s="9"/>
      <c r="K298" s="7">
        <v>0</v>
      </c>
      <c r="L298" s="8" t="str">
        <f>IFERROR(K298/K444, "NA")</f>
        <v>NA</v>
      </c>
      <c r="M298" s="9"/>
      <c r="N298" s="10">
        <f t="shared" si="77"/>
        <v>0</v>
      </c>
      <c r="O298" s="8" t="str">
        <f>IFERROR(N298/N444, "NA")</f>
        <v>NA</v>
      </c>
      <c r="P298" s="9"/>
      <c r="Q298" s="7">
        <v>0</v>
      </c>
      <c r="R298" s="8" t="str">
        <f>IFERROR(Q298/Q444, "NA")</f>
        <v>NA</v>
      </c>
      <c r="S298" s="9"/>
      <c r="T298" s="7">
        <v>0</v>
      </c>
      <c r="U298" s="8" t="str">
        <f>IFERROR(T298/T444, "NA")</f>
        <v>NA</v>
      </c>
      <c r="V298" s="9"/>
      <c r="W298" s="10">
        <f t="shared" si="78"/>
        <v>0</v>
      </c>
      <c r="X298" s="8" t="str">
        <f>IFERROR(W298/W444, "NA")</f>
        <v>NA</v>
      </c>
      <c r="Y298" s="9"/>
      <c r="Z298" s="7">
        <v>0</v>
      </c>
      <c r="AA298" s="8" t="str">
        <f>IFERROR(Z298/Z444, "NA")</f>
        <v>NA</v>
      </c>
      <c r="AB298" s="9"/>
      <c r="AC298" s="10">
        <f t="shared" si="79"/>
        <v>0</v>
      </c>
      <c r="AD298" s="8" t="str">
        <f>IFERROR(AC298/AC444, "NA")</f>
        <v>NA</v>
      </c>
    </row>
    <row r="299" spans="1:30" ht="16.5" hidden="1" customHeight="1" x14ac:dyDescent="0.45">
      <c r="A299" s="6" t="s">
        <v>271</v>
      </c>
      <c r="B299" s="7">
        <v>0</v>
      </c>
      <c r="C299" s="8" t="str">
        <f>IFERROR(B299/B444, "NA")</f>
        <v>NA</v>
      </c>
      <c r="D299" s="9"/>
      <c r="E299" s="7">
        <v>0</v>
      </c>
      <c r="F299" s="8" t="str">
        <f>IFERROR(E299/E444, "NA")</f>
        <v>NA</v>
      </c>
      <c r="G299" s="9"/>
      <c r="H299" s="10">
        <f t="shared" si="76"/>
        <v>0</v>
      </c>
      <c r="I299" s="8" t="str">
        <f>IFERROR(H299/H444, "NA")</f>
        <v>NA</v>
      </c>
      <c r="J299" s="9"/>
      <c r="K299" s="7">
        <v>0</v>
      </c>
      <c r="L299" s="8" t="str">
        <f>IFERROR(K299/K444, "NA")</f>
        <v>NA</v>
      </c>
      <c r="M299" s="9"/>
      <c r="N299" s="10">
        <f t="shared" si="77"/>
        <v>0</v>
      </c>
      <c r="O299" s="8" t="str">
        <f>IFERROR(N299/N444, "NA")</f>
        <v>NA</v>
      </c>
      <c r="P299" s="9"/>
      <c r="Q299" s="7">
        <v>0</v>
      </c>
      <c r="R299" s="8" t="str">
        <f>IFERROR(Q299/Q444, "NA")</f>
        <v>NA</v>
      </c>
      <c r="S299" s="9"/>
      <c r="T299" s="7">
        <v>0</v>
      </c>
      <c r="U299" s="8" t="str">
        <f>IFERROR(T299/T444, "NA")</f>
        <v>NA</v>
      </c>
      <c r="V299" s="9"/>
      <c r="W299" s="10">
        <f t="shared" si="78"/>
        <v>0</v>
      </c>
      <c r="X299" s="8" t="str">
        <f>IFERROR(W299/W444, "NA")</f>
        <v>NA</v>
      </c>
      <c r="Y299" s="9"/>
      <c r="Z299" s="7">
        <v>0</v>
      </c>
      <c r="AA299" s="8" t="str">
        <f>IFERROR(Z299/Z444, "NA")</f>
        <v>NA</v>
      </c>
      <c r="AB299" s="9"/>
      <c r="AC299" s="10">
        <f t="shared" si="79"/>
        <v>0</v>
      </c>
      <c r="AD299" s="8" t="str">
        <f>IFERROR(AC299/AC444, "NA")</f>
        <v>NA</v>
      </c>
    </row>
    <row r="300" spans="1:30" ht="16.5" hidden="1" customHeight="1" x14ac:dyDescent="0.45">
      <c r="A300" s="6" t="s">
        <v>272</v>
      </c>
      <c r="B300" s="7">
        <v>0</v>
      </c>
      <c r="C300" s="8" t="str">
        <f>IFERROR(B300/B444, "NA")</f>
        <v>NA</v>
      </c>
      <c r="D300" s="9"/>
      <c r="E300" s="7">
        <v>0</v>
      </c>
      <c r="F300" s="8" t="str">
        <f>IFERROR(E300/E444, "NA")</f>
        <v>NA</v>
      </c>
      <c r="G300" s="9"/>
      <c r="H300" s="10">
        <f t="shared" si="76"/>
        <v>0</v>
      </c>
      <c r="I300" s="8" t="str">
        <f>IFERROR(H300/H444, "NA")</f>
        <v>NA</v>
      </c>
      <c r="J300" s="9"/>
      <c r="K300" s="7">
        <v>0</v>
      </c>
      <c r="L300" s="8" t="str">
        <f>IFERROR(K300/K444, "NA")</f>
        <v>NA</v>
      </c>
      <c r="M300" s="9"/>
      <c r="N300" s="10">
        <f t="shared" si="77"/>
        <v>0</v>
      </c>
      <c r="O300" s="8" t="str">
        <f>IFERROR(N300/N444, "NA")</f>
        <v>NA</v>
      </c>
      <c r="P300" s="9"/>
      <c r="Q300" s="7">
        <v>0</v>
      </c>
      <c r="R300" s="8" t="str">
        <f>IFERROR(Q300/Q444, "NA")</f>
        <v>NA</v>
      </c>
      <c r="S300" s="9"/>
      <c r="T300" s="7">
        <v>0</v>
      </c>
      <c r="U300" s="8" t="str">
        <f>IFERROR(T300/T444, "NA")</f>
        <v>NA</v>
      </c>
      <c r="V300" s="9"/>
      <c r="W300" s="10">
        <f t="shared" si="78"/>
        <v>0</v>
      </c>
      <c r="X300" s="8" t="str">
        <f>IFERROR(W300/W444, "NA")</f>
        <v>NA</v>
      </c>
      <c r="Y300" s="9"/>
      <c r="Z300" s="7">
        <v>0</v>
      </c>
      <c r="AA300" s="8" t="str">
        <f>IFERROR(Z300/Z444, "NA")</f>
        <v>NA</v>
      </c>
      <c r="AB300" s="9"/>
      <c r="AC300" s="10">
        <f t="shared" si="79"/>
        <v>0</v>
      </c>
      <c r="AD300" s="8" t="str">
        <f>IFERROR(AC300/AC444, "NA")</f>
        <v>NA</v>
      </c>
    </row>
    <row r="301" spans="1:30" ht="16.5" hidden="1" customHeight="1" x14ac:dyDescent="0.45">
      <c r="A301" s="6" t="s">
        <v>273</v>
      </c>
      <c r="B301" s="7">
        <v>0</v>
      </c>
      <c r="C301" s="8" t="str">
        <f>IFERROR(B301/B444, "NA")</f>
        <v>NA</v>
      </c>
      <c r="D301" s="9"/>
      <c r="E301" s="7">
        <v>0</v>
      </c>
      <c r="F301" s="8" t="str">
        <f>IFERROR(E301/E444, "NA")</f>
        <v>NA</v>
      </c>
      <c r="G301" s="9"/>
      <c r="H301" s="10">
        <f t="shared" si="76"/>
        <v>0</v>
      </c>
      <c r="I301" s="8" t="str">
        <f>IFERROR(H301/H444, "NA")</f>
        <v>NA</v>
      </c>
      <c r="J301" s="9"/>
      <c r="K301" s="7">
        <v>0</v>
      </c>
      <c r="L301" s="8" t="str">
        <f>IFERROR(K301/K444, "NA")</f>
        <v>NA</v>
      </c>
      <c r="M301" s="9"/>
      <c r="N301" s="10">
        <f t="shared" si="77"/>
        <v>0</v>
      </c>
      <c r="O301" s="8" t="str">
        <f>IFERROR(N301/N444, "NA")</f>
        <v>NA</v>
      </c>
      <c r="P301" s="9"/>
      <c r="Q301" s="7">
        <v>0</v>
      </c>
      <c r="R301" s="8" t="str">
        <f>IFERROR(Q301/Q444, "NA")</f>
        <v>NA</v>
      </c>
      <c r="S301" s="9"/>
      <c r="T301" s="7">
        <v>0</v>
      </c>
      <c r="U301" s="8" t="str">
        <f>IFERROR(T301/T444, "NA")</f>
        <v>NA</v>
      </c>
      <c r="V301" s="9"/>
      <c r="W301" s="10">
        <f t="shared" si="78"/>
        <v>0</v>
      </c>
      <c r="X301" s="8" t="str">
        <f>IFERROR(W301/W444, "NA")</f>
        <v>NA</v>
      </c>
      <c r="Y301" s="9"/>
      <c r="Z301" s="7">
        <v>0</v>
      </c>
      <c r="AA301" s="8" t="str">
        <f>IFERROR(Z301/Z444, "NA")</f>
        <v>NA</v>
      </c>
      <c r="AB301" s="9"/>
      <c r="AC301" s="10">
        <f t="shared" si="79"/>
        <v>0</v>
      </c>
      <c r="AD301" s="8" t="str">
        <f>IFERROR(AC301/AC444, "NA")</f>
        <v>NA</v>
      </c>
    </row>
    <row r="302" spans="1:30" ht="16.5" hidden="1" customHeight="1" x14ac:dyDescent="0.45">
      <c r="A302" s="6" t="s">
        <v>274</v>
      </c>
      <c r="B302" s="7">
        <v>0</v>
      </c>
      <c r="C302" s="8" t="str">
        <f>IFERROR(B302/B444, "NA")</f>
        <v>NA</v>
      </c>
      <c r="D302" s="9"/>
      <c r="E302" s="7">
        <v>0</v>
      </c>
      <c r="F302" s="8" t="str">
        <f>IFERROR(E302/E444, "NA")</f>
        <v>NA</v>
      </c>
      <c r="G302" s="9"/>
      <c r="H302" s="10">
        <f t="shared" si="76"/>
        <v>0</v>
      </c>
      <c r="I302" s="8" t="str">
        <f>IFERROR(H302/H444, "NA")</f>
        <v>NA</v>
      </c>
      <c r="J302" s="9"/>
      <c r="K302" s="7">
        <v>0</v>
      </c>
      <c r="L302" s="8" t="str">
        <f>IFERROR(K302/K444, "NA")</f>
        <v>NA</v>
      </c>
      <c r="M302" s="9"/>
      <c r="N302" s="10">
        <f t="shared" si="77"/>
        <v>0</v>
      </c>
      <c r="O302" s="8" t="str">
        <f>IFERROR(N302/N444, "NA")</f>
        <v>NA</v>
      </c>
      <c r="P302" s="9"/>
      <c r="Q302" s="7">
        <v>0</v>
      </c>
      <c r="R302" s="8" t="str">
        <f>IFERROR(Q302/Q444, "NA")</f>
        <v>NA</v>
      </c>
      <c r="S302" s="9"/>
      <c r="T302" s="7">
        <v>0</v>
      </c>
      <c r="U302" s="8" t="str">
        <f>IFERROR(T302/T444, "NA")</f>
        <v>NA</v>
      </c>
      <c r="V302" s="9"/>
      <c r="W302" s="10">
        <f t="shared" si="78"/>
        <v>0</v>
      </c>
      <c r="X302" s="8" t="str">
        <f>IFERROR(W302/W444, "NA")</f>
        <v>NA</v>
      </c>
      <c r="Y302" s="9"/>
      <c r="Z302" s="7">
        <v>0</v>
      </c>
      <c r="AA302" s="8" t="str">
        <f>IFERROR(Z302/Z444, "NA")</f>
        <v>NA</v>
      </c>
      <c r="AB302" s="9"/>
      <c r="AC302" s="10">
        <f t="shared" si="79"/>
        <v>0</v>
      </c>
      <c r="AD302" s="8" t="str">
        <f>IFERROR(AC302/AC444, "NA")</f>
        <v>NA</v>
      </c>
    </row>
    <row r="303" spans="1:30" ht="16.5" hidden="1" customHeight="1" x14ac:dyDescent="0.45">
      <c r="A303" s="6" t="s">
        <v>275</v>
      </c>
      <c r="B303" s="7">
        <v>0</v>
      </c>
      <c r="C303" s="8" t="str">
        <f>IFERROR(B303/B444, "NA")</f>
        <v>NA</v>
      </c>
      <c r="D303" s="9"/>
      <c r="E303" s="7">
        <v>0</v>
      </c>
      <c r="F303" s="8" t="str">
        <f>IFERROR(E303/E444, "NA")</f>
        <v>NA</v>
      </c>
      <c r="G303" s="9"/>
      <c r="H303" s="10">
        <f t="shared" si="76"/>
        <v>0</v>
      </c>
      <c r="I303" s="8" t="str">
        <f>IFERROR(H303/H444, "NA")</f>
        <v>NA</v>
      </c>
      <c r="J303" s="9"/>
      <c r="K303" s="7">
        <v>0</v>
      </c>
      <c r="L303" s="8" t="str">
        <f>IFERROR(K303/K444, "NA")</f>
        <v>NA</v>
      </c>
      <c r="M303" s="9"/>
      <c r="N303" s="10">
        <f t="shared" si="77"/>
        <v>0</v>
      </c>
      <c r="O303" s="8" t="str">
        <f>IFERROR(N303/N444, "NA")</f>
        <v>NA</v>
      </c>
      <c r="P303" s="9"/>
      <c r="Q303" s="7">
        <v>0</v>
      </c>
      <c r="R303" s="8" t="str">
        <f>IFERROR(Q303/Q444, "NA")</f>
        <v>NA</v>
      </c>
      <c r="S303" s="9"/>
      <c r="T303" s="7">
        <v>0</v>
      </c>
      <c r="U303" s="8" t="str">
        <f>IFERROR(T303/T444, "NA")</f>
        <v>NA</v>
      </c>
      <c r="V303" s="9"/>
      <c r="W303" s="10">
        <f t="shared" si="78"/>
        <v>0</v>
      </c>
      <c r="X303" s="8" t="str">
        <f>IFERROR(W303/W444, "NA")</f>
        <v>NA</v>
      </c>
      <c r="Y303" s="9"/>
      <c r="Z303" s="7">
        <v>0</v>
      </c>
      <c r="AA303" s="8" t="str">
        <f>IFERROR(Z303/Z444, "NA")</f>
        <v>NA</v>
      </c>
      <c r="AB303" s="9"/>
      <c r="AC303" s="10">
        <f t="shared" si="79"/>
        <v>0</v>
      </c>
      <c r="AD303" s="8" t="str">
        <f>IFERROR(AC303/AC444, "NA")</f>
        <v>NA</v>
      </c>
    </row>
    <row r="304" spans="1:30" ht="16.5" hidden="1" customHeight="1" x14ac:dyDescent="0.45">
      <c r="A304" s="6" t="s">
        <v>276</v>
      </c>
      <c r="B304" s="7">
        <v>0</v>
      </c>
      <c r="C304" s="8" t="str">
        <f>IFERROR(B304/B444, "NA")</f>
        <v>NA</v>
      </c>
      <c r="D304" s="9"/>
      <c r="E304" s="7">
        <v>0</v>
      </c>
      <c r="F304" s="8" t="str">
        <f>IFERROR(E304/E444, "NA")</f>
        <v>NA</v>
      </c>
      <c r="G304" s="9"/>
      <c r="H304" s="10">
        <f t="shared" si="76"/>
        <v>0</v>
      </c>
      <c r="I304" s="8" t="str">
        <f>IFERROR(H304/H444, "NA")</f>
        <v>NA</v>
      </c>
      <c r="J304" s="9"/>
      <c r="K304" s="7">
        <v>0</v>
      </c>
      <c r="L304" s="8" t="str">
        <f>IFERROR(K304/K444, "NA")</f>
        <v>NA</v>
      </c>
      <c r="M304" s="9"/>
      <c r="N304" s="10">
        <f t="shared" si="77"/>
        <v>0</v>
      </c>
      <c r="O304" s="8" t="str">
        <f>IFERROR(N304/N444, "NA")</f>
        <v>NA</v>
      </c>
      <c r="P304" s="9"/>
      <c r="Q304" s="7">
        <v>0</v>
      </c>
      <c r="R304" s="8" t="str">
        <f>IFERROR(Q304/Q444, "NA")</f>
        <v>NA</v>
      </c>
      <c r="S304" s="9"/>
      <c r="T304" s="7">
        <v>0</v>
      </c>
      <c r="U304" s="8" t="str">
        <f>IFERROR(T304/T444, "NA")</f>
        <v>NA</v>
      </c>
      <c r="V304" s="9"/>
      <c r="W304" s="10">
        <f t="shared" si="78"/>
        <v>0</v>
      </c>
      <c r="X304" s="8" t="str">
        <f>IFERROR(W304/W444, "NA")</f>
        <v>NA</v>
      </c>
      <c r="Y304" s="9"/>
      <c r="Z304" s="7">
        <v>0</v>
      </c>
      <c r="AA304" s="8" t="str">
        <f>IFERROR(Z304/Z444, "NA")</f>
        <v>NA</v>
      </c>
      <c r="AB304" s="9"/>
      <c r="AC304" s="10">
        <f t="shared" si="79"/>
        <v>0</v>
      </c>
      <c r="AD304" s="8" t="str">
        <f>IFERROR(AC304/AC444, "NA")</f>
        <v>NA</v>
      </c>
    </row>
    <row r="305" spans="1:30" ht="16.5" hidden="1" customHeight="1" x14ac:dyDescent="0.45">
      <c r="A305" s="6" t="s">
        <v>277</v>
      </c>
      <c r="B305" s="7">
        <v>0</v>
      </c>
      <c r="C305" s="8" t="str">
        <f>IFERROR(B305/B444, "NA")</f>
        <v>NA</v>
      </c>
      <c r="D305" s="9"/>
      <c r="E305" s="7">
        <v>0</v>
      </c>
      <c r="F305" s="8" t="str">
        <f>IFERROR(E305/E444, "NA")</f>
        <v>NA</v>
      </c>
      <c r="G305" s="9"/>
      <c r="H305" s="10">
        <f t="shared" si="76"/>
        <v>0</v>
      </c>
      <c r="I305" s="8" t="str">
        <f>IFERROR(H305/H444, "NA")</f>
        <v>NA</v>
      </c>
      <c r="J305" s="9"/>
      <c r="K305" s="7">
        <v>0</v>
      </c>
      <c r="L305" s="8" t="str">
        <f>IFERROR(K305/K444, "NA")</f>
        <v>NA</v>
      </c>
      <c r="M305" s="9"/>
      <c r="N305" s="10">
        <f t="shared" si="77"/>
        <v>0</v>
      </c>
      <c r="O305" s="8" t="str">
        <f>IFERROR(N305/N444, "NA")</f>
        <v>NA</v>
      </c>
      <c r="P305" s="9"/>
      <c r="Q305" s="7">
        <v>0</v>
      </c>
      <c r="R305" s="8" t="str">
        <f>IFERROR(Q305/Q444, "NA")</f>
        <v>NA</v>
      </c>
      <c r="S305" s="9"/>
      <c r="T305" s="7">
        <v>0</v>
      </c>
      <c r="U305" s="8" t="str">
        <f>IFERROR(T305/T444, "NA")</f>
        <v>NA</v>
      </c>
      <c r="V305" s="9"/>
      <c r="W305" s="10">
        <f t="shared" si="78"/>
        <v>0</v>
      </c>
      <c r="X305" s="8" t="str">
        <f>IFERROR(W305/W444, "NA")</f>
        <v>NA</v>
      </c>
      <c r="Y305" s="9"/>
      <c r="Z305" s="7">
        <v>0</v>
      </c>
      <c r="AA305" s="8" t="str">
        <f>IFERROR(Z305/Z444, "NA")</f>
        <v>NA</v>
      </c>
      <c r="AB305" s="9"/>
      <c r="AC305" s="10">
        <f t="shared" si="79"/>
        <v>0</v>
      </c>
      <c r="AD305" s="8" t="str">
        <f>IFERROR(AC305/AC444, "NA")</f>
        <v>NA</v>
      </c>
    </row>
    <row r="306" spans="1:30" ht="16.5" hidden="1" customHeight="1" x14ac:dyDescent="0.45">
      <c r="A306" s="6" t="s">
        <v>278</v>
      </c>
      <c r="B306" s="7">
        <v>0</v>
      </c>
      <c r="C306" s="8" t="str">
        <f>IFERROR(B306/B444, "NA")</f>
        <v>NA</v>
      </c>
      <c r="D306" s="9"/>
      <c r="E306" s="7">
        <v>0</v>
      </c>
      <c r="F306" s="8" t="str">
        <f>IFERROR(E306/E444, "NA")</f>
        <v>NA</v>
      </c>
      <c r="G306" s="9"/>
      <c r="H306" s="10">
        <f t="shared" si="76"/>
        <v>0</v>
      </c>
      <c r="I306" s="8" t="str">
        <f>IFERROR(H306/H444, "NA")</f>
        <v>NA</v>
      </c>
      <c r="J306" s="9"/>
      <c r="K306" s="7">
        <v>0</v>
      </c>
      <c r="L306" s="8" t="str">
        <f>IFERROR(K306/K444, "NA")</f>
        <v>NA</v>
      </c>
      <c r="M306" s="9"/>
      <c r="N306" s="10">
        <f t="shared" si="77"/>
        <v>0</v>
      </c>
      <c r="O306" s="8" t="str">
        <f>IFERROR(N306/N444, "NA")</f>
        <v>NA</v>
      </c>
      <c r="P306" s="9"/>
      <c r="Q306" s="7">
        <v>0</v>
      </c>
      <c r="R306" s="8" t="str">
        <f>IFERROR(Q306/Q444, "NA")</f>
        <v>NA</v>
      </c>
      <c r="S306" s="9"/>
      <c r="T306" s="7">
        <v>0</v>
      </c>
      <c r="U306" s="8" t="str">
        <f>IFERROR(T306/T444, "NA")</f>
        <v>NA</v>
      </c>
      <c r="V306" s="9"/>
      <c r="W306" s="10">
        <f t="shared" si="78"/>
        <v>0</v>
      </c>
      <c r="X306" s="8" t="str">
        <f>IFERROR(W306/W444, "NA")</f>
        <v>NA</v>
      </c>
      <c r="Y306" s="9"/>
      <c r="Z306" s="7">
        <v>0</v>
      </c>
      <c r="AA306" s="8" t="str">
        <f>IFERROR(Z306/Z444, "NA")</f>
        <v>NA</v>
      </c>
      <c r="AB306" s="9"/>
      <c r="AC306" s="10">
        <f t="shared" si="79"/>
        <v>0</v>
      </c>
      <c r="AD306" s="8" t="str">
        <f>IFERROR(AC306/AC444, "NA")</f>
        <v>NA</v>
      </c>
    </row>
    <row r="307" spans="1:30" ht="16.5" hidden="1" customHeight="1" x14ac:dyDescent="0.45">
      <c r="A307" s="6" t="s">
        <v>279</v>
      </c>
      <c r="B307" s="7">
        <v>0</v>
      </c>
      <c r="C307" s="8" t="str">
        <f>IFERROR(B307/B444, "NA")</f>
        <v>NA</v>
      </c>
      <c r="D307" s="9"/>
      <c r="E307" s="7">
        <v>0</v>
      </c>
      <c r="F307" s="8" t="str">
        <f>IFERROR(E307/E444, "NA")</f>
        <v>NA</v>
      </c>
      <c r="G307" s="9"/>
      <c r="H307" s="10">
        <f t="shared" si="76"/>
        <v>0</v>
      </c>
      <c r="I307" s="8" t="str">
        <f>IFERROR(H307/H444, "NA")</f>
        <v>NA</v>
      </c>
      <c r="J307" s="9"/>
      <c r="K307" s="7">
        <v>0</v>
      </c>
      <c r="L307" s="8" t="str">
        <f>IFERROR(K307/K444, "NA")</f>
        <v>NA</v>
      </c>
      <c r="M307" s="9"/>
      <c r="N307" s="10">
        <f t="shared" si="77"/>
        <v>0</v>
      </c>
      <c r="O307" s="8" t="str">
        <f>IFERROR(N307/N444, "NA")</f>
        <v>NA</v>
      </c>
      <c r="P307" s="9"/>
      <c r="Q307" s="7">
        <v>0</v>
      </c>
      <c r="R307" s="8" t="str">
        <f>IFERROR(Q307/Q444, "NA")</f>
        <v>NA</v>
      </c>
      <c r="S307" s="9"/>
      <c r="T307" s="7">
        <v>0</v>
      </c>
      <c r="U307" s="8" t="str">
        <f>IFERROR(T307/T444, "NA")</f>
        <v>NA</v>
      </c>
      <c r="V307" s="9"/>
      <c r="W307" s="10">
        <f t="shared" si="78"/>
        <v>0</v>
      </c>
      <c r="X307" s="8" t="str">
        <f>IFERROR(W307/W444, "NA")</f>
        <v>NA</v>
      </c>
      <c r="Y307" s="9"/>
      <c r="Z307" s="7">
        <v>0</v>
      </c>
      <c r="AA307" s="8" t="str">
        <f>IFERROR(Z307/Z444, "NA")</f>
        <v>NA</v>
      </c>
      <c r="AB307" s="9"/>
      <c r="AC307" s="10">
        <f t="shared" si="79"/>
        <v>0</v>
      </c>
      <c r="AD307" s="8" t="str">
        <f>IFERROR(AC307/AC444, "NA")</f>
        <v>NA</v>
      </c>
    </row>
    <row r="308" spans="1:30" ht="16.5" hidden="1" customHeight="1" x14ac:dyDescent="0.45">
      <c r="A308" s="6" t="s">
        <v>280</v>
      </c>
      <c r="B308" s="7">
        <v>0</v>
      </c>
      <c r="C308" s="8" t="str">
        <f>IFERROR(B308/B444, "NA")</f>
        <v>NA</v>
      </c>
      <c r="D308" s="9"/>
      <c r="E308" s="7">
        <v>0</v>
      </c>
      <c r="F308" s="8" t="str">
        <f>IFERROR(E308/E444, "NA")</f>
        <v>NA</v>
      </c>
      <c r="G308" s="9"/>
      <c r="H308" s="10">
        <f t="shared" si="76"/>
        <v>0</v>
      </c>
      <c r="I308" s="8" t="str">
        <f>IFERROR(H308/H444, "NA")</f>
        <v>NA</v>
      </c>
      <c r="J308" s="9"/>
      <c r="K308" s="7">
        <v>0</v>
      </c>
      <c r="L308" s="8" t="str">
        <f>IFERROR(K308/K444, "NA")</f>
        <v>NA</v>
      </c>
      <c r="M308" s="9"/>
      <c r="N308" s="10">
        <f t="shared" si="77"/>
        <v>0</v>
      </c>
      <c r="O308" s="8" t="str">
        <f>IFERROR(N308/N444, "NA")</f>
        <v>NA</v>
      </c>
      <c r="P308" s="9"/>
      <c r="Q308" s="7">
        <v>0</v>
      </c>
      <c r="R308" s="8" t="str">
        <f>IFERROR(Q308/Q444, "NA")</f>
        <v>NA</v>
      </c>
      <c r="S308" s="9"/>
      <c r="T308" s="7">
        <v>0</v>
      </c>
      <c r="U308" s="8" t="str">
        <f>IFERROR(T308/T444, "NA")</f>
        <v>NA</v>
      </c>
      <c r="V308" s="9"/>
      <c r="W308" s="10">
        <f t="shared" si="78"/>
        <v>0</v>
      </c>
      <c r="X308" s="8" t="str">
        <f>IFERROR(W308/W444, "NA")</f>
        <v>NA</v>
      </c>
      <c r="Y308" s="9"/>
      <c r="Z308" s="7">
        <v>0</v>
      </c>
      <c r="AA308" s="8" t="str">
        <f>IFERROR(Z308/Z444, "NA")</f>
        <v>NA</v>
      </c>
      <c r="AB308" s="9"/>
      <c r="AC308" s="10">
        <f t="shared" si="79"/>
        <v>0</v>
      </c>
      <c r="AD308" s="8" t="str">
        <f>IFERROR(AC308/AC444, "NA")</f>
        <v>NA</v>
      </c>
    </row>
    <row r="309" spans="1:30" ht="16.5" hidden="1" customHeight="1" x14ac:dyDescent="0.45">
      <c r="A309" s="6" t="s">
        <v>281</v>
      </c>
      <c r="B309" s="7">
        <v>0</v>
      </c>
      <c r="C309" s="8" t="str">
        <f>IFERROR(B309/B444, "NA")</f>
        <v>NA</v>
      </c>
      <c r="D309" s="9"/>
      <c r="E309" s="7">
        <v>0</v>
      </c>
      <c r="F309" s="8" t="str">
        <f>IFERROR(E309/E444, "NA")</f>
        <v>NA</v>
      </c>
      <c r="G309" s="9"/>
      <c r="H309" s="10">
        <f t="shared" si="76"/>
        <v>0</v>
      </c>
      <c r="I309" s="8" t="str">
        <f>IFERROR(H309/H444, "NA")</f>
        <v>NA</v>
      </c>
      <c r="J309" s="9"/>
      <c r="K309" s="7">
        <v>0</v>
      </c>
      <c r="L309" s="8" t="str">
        <f>IFERROR(K309/K444, "NA")</f>
        <v>NA</v>
      </c>
      <c r="M309" s="9"/>
      <c r="N309" s="10">
        <f t="shared" si="77"/>
        <v>0</v>
      </c>
      <c r="O309" s="8" t="str">
        <f>IFERROR(N309/N444, "NA")</f>
        <v>NA</v>
      </c>
      <c r="P309" s="9"/>
      <c r="Q309" s="7">
        <v>0</v>
      </c>
      <c r="R309" s="8" t="str">
        <f>IFERROR(Q309/Q444, "NA")</f>
        <v>NA</v>
      </c>
      <c r="S309" s="9"/>
      <c r="T309" s="7">
        <v>0</v>
      </c>
      <c r="U309" s="8" t="str">
        <f>IFERROR(T309/T444, "NA")</f>
        <v>NA</v>
      </c>
      <c r="V309" s="9"/>
      <c r="W309" s="10">
        <f t="shared" si="78"/>
        <v>0</v>
      </c>
      <c r="X309" s="8" t="str">
        <f>IFERROR(W309/W444, "NA")</f>
        <v>NA</v>
      </c>
      <c r="Y309" s="9"/>
      <c r="Z309" s="7">
        <v>0</v>
      </c>
      <c r="AA309" s="8" t="str">
        <f>IFERROR(Z309/Z444, "NA")</f>
        <v>NA</v>
      </c>
      <c r="AB309" s="9"/>
      <c r="AC309" s="10">
        <f t="shared" si="79"/>
        <v>0</v>
      </c>
      <c r="AD309" s="8" t="str">
        <f>IFERROR(AC309/AC444, "NA")</f>
        <v>NA</v>
      </c>
    </row>
    <row r="310" spans="1:30" ht="16.5" hidden="1" customHeight="1" x14ac:dyDescent="0.45">
      <c r="A310" s="6" t="s">
        <v>282</v>
      </c>
      <c r="B310" s="7">
        <v>0</v>
      </c>
      <c r="C310" s="8" t="str">
        <f>IFERROR(B310/B444, "NA")</f>
        <v>NA</v>
      </c>
      <c r="D310" s="9"/>
      <c r="E310" s="7">
        <v>0</v>
      </c>
      <c r="F310" s="8" t="str">
        <f>IFERROR(E310/E444, "NA")</f>
        <v>NA</v>
      </c>
      <c r="G310" s="9"/>
      <c r="H310" s="10">
        <f t="shared" si="76"/>
        <v>0</v>
      </c>
      <c r="I310" s="8" t="str">
        <f>IFERROR(H310/H444, "NA")</f>
        <v>NA</v>
      </c>
      <c r="J310" s="9"/>
      <c r="K310" s="7">
        <v>0</v>
      </c>
      <c r="L310" s="8" t="str">
        <f>IFERROR(K310/K444, "NA")</f>
        <v>NA</v>
      </c>
      <c r="M310" s="9"/>
      <c r="N310" s="10">
        <f t="shared" si="77"/>
        <v>0</v>
      </c>
      <c r="O310" s="8" t="str">
        <f>IFERROR(N310/N444, "NA")</f>
        <v>NA</v>
      </c>
      <c r="P310" s="9"/>
      <c r="Q310" s="7">
        <v>0</v>
      </c>
      <c r="R310" s="8" t="str">
        <f>IFERROR(Q310/Q444, "NA")</f>
        <v>NA</v>
      </c>
      <c r="S310" s="9"/>
      <c r="T310" s="7">
        <v>0</v>
      </c>
      <c r="U310" s="8" t="str">
        <f>IFERROR(T310/T444, "NA")</f>
        <v>NA</v>
      </c>
      <c r="V310" s="9"/>
      <c r="W310" s="10">
        <f t="shared" si="78"/>
        <v>0</v>
      </c>
      <c r="X310" s="8" t="str">
        <f>IFERROR(W310/W444, "NA")</f>
        <v>NA</v>
      </c>
      <c r="Y310" s="9"/>
      <c r="Z310" s="7">
        <v>0</v>
      </c>
      <c r="AA310" s="8" t="str">
        <f>IFERROR(Z310/Z444, "NA")</f>
        <v>NA</v>
      </c>
      <c r="AB310" s="9"/>
      <c r="AC310" s="10">
        <f t="shared" si="79"/>
        <v>0</v>
      </c>
      <c r="AD310" s="8" t="str">
        <f>IFERROR(AC310/AC444, "NA")</f>
        <v>NA</v>
      </c>
    </row>
    <row r="311" spans="1:30" ht="16.5" hidden="1" customHeight="1" x14ac:dyDescent="0.45">
      <c r="A311" s="6" t="s">
        <v>283</v>
      </c>
      <c r="B311" s="7">
        <v>0</v>
      </c>
      <c r="C311" s="8" t="str">
        <f>IFERROR(B311/B444, "NA")</f>
        <v>NA</v>
      </c>
      <c r="D311" s="9"/>
      <c r="E311" s="7">
        <v>0</v>
      </c>
      <c r="F311" s="8" t="str">
        <f>IFERROR(E311/E444, "NA")</f>
        <v>NA</v>
      </c>
      <c r="G311" s="9"/>
      <c r="H311" s="10">
        <f t="shared" si="76"/>
        <v>0</v>
      </c>
      <c r="I311" s="8" t="str">
        <f>IFERROR(H311/H444, "NA")</f>
        <v>NA</v>
      </c>
      <c r="J311" s="9"/>
      <c r="K311" s="7">
        <v>0</v>
      </c>
      <c r="L311" s="8" t="str">
        <f>IFERROR(K311/K444, "NA")</f>
        <v>NA</v>
      </c>
      <c r="M311" s="9"/>
      <c r="N311" s="10">
        <f t="shared" si="77"/>
        <v>0</v>
      </c>
      <c r="O311" s="8" t="str">
        <f>IFERROR(N311/N444, "NA")</f>
        <v>NA</v>
      </c>
      <c r="P311" s="9"/>
      <c r="Q311" s="7">
        <v>0</v>
      </c>
      <c r="R311" s="8" t="str">
        <f>IFERROR(Q311/Q444, "NA")</f>
        <v>NA</v>
      </c>
      <c r="S311" s="9"/>
      <c r="T311" s="7">
        <v>0</v>
      </c>
      <c r="U311" s="8" t="str">
        <f>IFERROR(T311/T444, "NA")</f>
        <v>NA</v>
      </c>
      <c r="V311" s="9"/>
      <c r="W311" s="10">
        <f t="shared" si="78"/>
        <v>0</v>
      </c>
      <c r="X311" s="8" t="str">
        <f>IFERROR(W311/W444, "NA")</f>
        <v>NA</v>
      </c>
      <c r="Y311" s="9"/>
      <c r="Z311" s="7">
        <v>0</v>
      </c>
      <c r="AA311" s="8" t="str">
        <f>IFERROR(Z311/Z444, "NA")</f>
        <v>NA</v>
      </c>
      <c r="AB311" s="9"/>
      <c r="AC311" s="10">
        <f t="shared" si="79"/>
        <v>0</v>
      </c>
      <c r="AD311" s="8" t="str">
        <f>IFERROR(AC311/AC444, "NA")</f>
        <v>NA</v>
      </c>
    </row>
    <row r="312" spans="1:30" ht="16.5" hidden="1" customHeight="1" x14ac:dyDescent="0.45">
      <c r="A312" s="6" t="s">
        <v>284</v>
      </c>
      <c r="B312" s="7">
        <v>0</v>
      </c>
      <c r="C312" s="8" t="str">
        <f>IFERROR(B312/B444, "NA")</f>
        <v>NA</v>
      </c>
      <c r="D312" s="9"/>
      <c r="E312" s="7">
        <v>0</v>
      </c>
      <c r="F312" s="8" t="str">
        <f>IFERROR(E312/E444, "NA")</f>
        <v>NA</v>
      </c>
      <c r="G312" s="9"/>
      <c r="H312" s="10">
        <f t="shared" si="76"/>
        <v>0</v>
      </c>
      <c r="I312" s="8" t="str">
        <f>IFERROR(H312/H444, "NA")</f>
        <v>NA</v>
      </c>
      <c r="J312" s="9"/>
      <c r="K312" s="7">
        <v>0</v>
      </c>
      <c r="L312" s="8" t="str">
        <f>IFERROR(K312/K444, "NA")</f>
        <v>NA</v>
      </c>
      <c r="M312" s="9"/>
      <c r="N312" s="10">
        <f t="shared" si="77"/>
        <v>0</v>
      </c>
      <c r="O312" s="8" t="str">
        <f>IFERROR(N312/N444, "NA")</f>
        <v>NA</v>
      </c>
      <c r="P312" s="9"/>
      <c r="Q312" s="7">
        <v>0</v>
      </c>
      <c r="R312" s="8" t="str">
        <f>IFERROR(Q312/Q444, "NA")</f>
        <v>NA</v>
      </c>
      <c r="S312" s="9"/>
      <c r="T312" s="7">
        <v>0</v>
      </c>
      <c r="U312" s="8" t="str">
        <f>IFERROR(T312/T444, "NA")</f>
        <v>NA</v>
      </c>
      <c r="V312" s="9"/>
      <c r="W312" s="10">
        <f t="shared" si="78"/>
        <v>0</v>
      </c>
      <c r="X312" s="8" t="str">
        <f>IFERROR(W312/W444, "NA")</f>
        <v>NA</v>
      </c>
      <c r="Y312" s="9"/>
      <c r="Z312" s="7">
        <v>0</v>
      </c>
      <c r="AA312" s="8" t="str">
        <f>IFERROR(Z312/Z444, "NA")</f>
        <v>NA</v>
      </c>
      <c r="AB312" s="9"/>
      <c r="AC312" s="10">
        <f t="shared" si="79"/>
        <v>0</v>
      </c>
      <c r="AD312" s="8" t="str">
        <f>IFERROR(AC312/AC444, "NA")</f>
        <v>NA</v>
      </c>
    </row>
    <row r="313" spans="1:30" ht="16.5" hidden="1" customHeight="1" x14ac:dyDescent="0.45">
      <c r="A313" s="6" t="s">
        <v>285</v>
      </c>
      <c r="B313" s="7">
        <v>0</v>
      </c>
      <c r="C313" s="8" t="str">
        <f>IFERROR(B313/B444, "NA")</f>
        <v>NA</v>
      </c>
      <c r="D313" s="9"/>
      <c r="E313" s="7">
        <v>0</v>
      </c>
      <c r="F313" s="8" t="str">
        <f>IFERROR(E313/E444, "NA")</f>
        <v>NA</v>
      </c>
      <c r="G313" s="9"/>
      <c r="H313" s="10">
        <f t="shared" si="76"/>
        <v>0</v>
      </c>
      <c r="I313" s="8" t="str">
        <f>IFERROR(H313/H444, "NA")</f>
        <v>NA</v>
      </c>
      <c r="J313" s="9"/>
      <c r="K313" s="7">
        <v>0</v>
      </c>
      <c r="L313" s="8" t="str">
        <f>IFERROR(K313/K444, "NA")</f>
        <v>NA</v>
      </c>
      <c r="M313" s="9"/>
      <c r="N313" s="10">
        <f t="shared" si="77"/>
        <v>0</v>
      </c>
      <c r="O313" s="8" t="str">
        <f>IFERROR(N313/N444, "NA")</f>
        <v>NA</v>
      </c>
      <c r="P313" s="9"/>
      <c r="Q313" s="7">
        <v>0</v>
      </c>
      <c r="R313" s="8" t="str">
        <f>IFERROR(Q313/Q444, "NA")</f>
        <v>NA</v>
      </c>
      <c r="S313" s="9"/>
      <c r="T313" s="7">
        <v>0</v>
      </c>
      <c r="U313" s="8" t="str">
        <f>IFERROR(T313/T444, "NA")</f>
        <v>NA</v>
      </c>
      <c r="V313" s="9"/>
      <c r="W313" s="10">
        <f t="shared" si="78"/>
        <v>0</v>
      </c>
      <c r="X313" s="8" t="str">
        <f>IFERROR(W313/W444, "NA")</f>
        <v>NA</v>
      </c>
      <c r="Y313" s="9"/>
      <c r="Z313" s="7">
        <v>0</v>
      </c>
      <c r="AA313" s="8" t="str">
        <f>IFERROR(Z313/Z444, "NA")</f>
        <v>NA</v>
      </c>
      <c r="AB313" s="9"/>
      <c r="AC313" s="10">
        <f t="shared" si="79"/>
        <v>0</v>
      </c>
      <c r="AD313" s="8" t="str">
        <f>IFERROR(AC313/AC444, "NA")</f>
        <v>NA</v>
      </c>
    </row>
    <row r="314" spans="1:30" ht="16.5" hidden="1" customHeight="1" x14ac:dyDescent="0.45">
      <c r="A314" s="6" t="s">
        <v>286</v>
      </c>
      <c r="B314" s="7">
        <v>0</v>
      </c>
      <c r="C314" s="8" t="str">
        <f>IFERROR(B314/B444, "NA")</f>
        <v>NA</v>
      </c>
      <c r="D314" s="9"/>
      <c r="E314" s="7">
        <v>0</v>
      </c>
      <c r="F314" s="8" t="str">
        <f>IFERROR(E314/E444, "NA")</f>
        <v>NA</v>
      </c>
      <c r="G314" s="9"/>
      <c r="H314" s="10">
        <f t="shared" si="76"/>
        <v>0</v>
      </c>
      <c r="I314" s="8" t="str">
        <f>IFERROR(H314/H444, "NA")</f>
        <v>NA</v>
      </c>
      <c r="J314" s="9"/>
      <c r="K314" s="7">
        <v>0</v>
      </c>
      <c r="L314" s="8" t="str">
        <f>IFERROR(K314/K444, "NA")</f>
        <v>NA</v>
      </c>
      <c r="M314" s="9"/>
      <c r="N314" s="10">
        <f t="shared" si="77"/>
        <v>0</v>
      </c>
      <c r="O314" s="8" t="str">
        <f>IFERROR(N314/N444, "NA")</f>
        <v>NA</v>
      </c>
      <c r="P314" s="9"/>
      <c r="Q314" s="7">
        <v>0</v>
      </c>
      <c r="R314" s="8" t="str">
        <f>IFERROR(Q314/Q444, "NA")</f>
        <v>NA</v>
      </c>
      <c r="S314" s="9"/>
      <c r="T314" s="7">
        <v>0</v>
      </c>
      <c r="U314" s="8" t="str">
        <f>IFERROR(T314/T444, "NA")</f>
        <v>NA</v>
      </c>
      <c r="V314" s="9"/>
      <c r="W314" s="10">
        <f t="shared" si="78"/>
        <v>0</v>
      </c>
      <c r="X314" s="8" t="str">
        <f>IFERROR(W314/W444, "NA")</f>
        <v>NA</v>
      </c>
      <c r="Y314" s="9"/>
      <c r="Z314" s="7">
        <v>0</v>
      </c>
      <c r="AA314" s="8" t="str">
        <f>IFERROR(Z314/Z444, "NA")</f>
        <v>NA</v>
      </c>
      <c r="AB314" s="9"/>
      <c r="AC314" s="10">
        <f t="shared" si="79"/>
        <v>0</v>
      </c>
      <c r="AD314" s="8" t="str">
        <f>IFERROR(AC314/AC444, "NA")</f>
        <v>NA</v>
      </c>
    </row>
    <row r="315" spans="1:30" ht="16.5" hidden="1" customHeight="1" x14ac:dyDescent="0.45">
      <c r="A315" s="6" t="s">
        <v>287</v>
      </c>
      <c r="B315" s="7">
        <v>0</v>
      </c>
      <c r="C315" s="8" t="str">
        <f>IFERROR(B315/B444, "NA")</f>
        <v>NA</v>
      </c>
      <c r="D315" s="9"/>
      <c r="E315" s="7">
        <v>0</v>
      </c>
      <c r="F315" s="8" t="str">
        <f>IFERROR(E315/E444, "NA")</f>
        <v>NA</v>
      </c>
      <c r="G315" s="9"/>
      <c r="H315" s="10">
        <f t="shared" si="76"/>
        <v>0</v>
      </c>
      <c r="I315" s="8" t="str">
        <f>IFERROR(H315/H444, "NA")</f>
        <v>NA</v>
      </c>
      <c r="J315" s="9"/>
      <c r="K315" s="7">
        <v>0</v>
      </c>
      <c r="L315" s="8" t="str">
        <f>IFERROR(K315/K444, "NA")</f>
        <v>NA</v>
      </c>
      <c r="M315" s="9"/>
      <c r="N315" s="10">
        <f t="shared" si="77"/>
        <v>0</v>
      </c>
      <c r="O315" s="8" t="str">
        <f>IFERROR(N315/N444, "NA")</f>
        <v>NA</v>
      </c>
      <c r="P315" s="9"/>
      <c r="Q315" s="7">
        <v>0</v>
      </c>
      <c r="R315" s="8" t="str">
        <f>IFERROR(Q315/Q444, "NA")</f>
        <v>NA</v>
      </c>
      <c r="S315" s="9"/>
      <c r="T315" s="7">
        <v>0</v>
      </c>
      <c r="U315" s="8" t="str">
        <f>IFERROR(T315/T444, "NA")</f>
        <v>NA</v>
      </c>
      <c r="V315" s="9"/>
      <c r="W315" s="10">
        <f t="shared" si="78"/>
        <v>0</v>
      </c>
      <c r="X315" s="8" t="str">
        <f>IFERROR(W315/W444, "NA")</f>
        <v>NA</v>
      </c>
      <c r="Y315" s="9"/>
      <c r="Z315" s="7">
        <v>0</v>
      </c>
      <c r="AA315" s="8" t="str">
        <f>IFERROR(Z315/Z444, "NA")</f>
        <v>NA</v>
      </c>
      <c r="AB315" s="9"/>
      <c r="AC315" s="10">
        <f t="shared" si="79"/>
        <v>0</v>
      </c>
      <c r="AD315" s="8" t="str">
        <f>IFERROR(AC315/AC444, "NA")</f>
        <v>NA</v>
      </c>
    </row>
    <row r="316" spans="1:30" ht="16.5" hidden="1" customHeight="1" x14ac:dyDescent="0.45">
      <c r="A316" s="6" t="s">
        <v>288</v>
      </c>
      <c r="B316" s="7">
        <v>0</v>
      </c>
      <c r="C316" s="8" t="str">
        <f>IFERROR(B316/B444, "NA")</f>
        <v>NA</v>
      </c>
      <c r="D316" s="9"/>
      <c r="E316" s="7">
        <v>0</v>
      </c>
      <c r="F316" s="8" t="str">
        <f>IFERROR(E316/E444, "NA")</f>
        <v>NA</v>
      </c>
      <c r="G316" s="9"/>
      <c r="H316" s="10">
        <f t="shared" si="76"/>
        <v>0</v>
      </c>
      <c r="I316" s="8" t="str">
        <f>IFERROR(H316/H444, "NA")</f>
        <v>NA</v>
      </c>
      <c r="J316" s="9"/>
      <c r="K316" s="7">
        <v>0</v>
      </c>
      <c r="L316" s="8" t="str">
        <f>IFERROR(K316/K444, "NA")</f>
        <v>NA</v>
      </c>
      <c r="M316" s="9"/>
      <c r="N316" s="10">
        <f t="shared" si="77"/>
        <v>0</v>
      </c>
      <c r="O316" s="8" t="str">
        <f>IFERROR(N316/N444, "NA")</f>
        <v>NA</v>
      </c>
      <c r="P316" s="9"/>
      <c r="Q316" s="7">
        <v>0</v>
      </c>
      <c r="R316" s="8" t="str">
        <f>IFERROR(Q316/Q444, "NA")</f>
        <v>NA</v>
      </c>
      <c r="S316" s="9"/>
      <c r="T316" s="7">
        <v>0</v>
      </c>
      <c r="U316" s="8" t="str">
        <f>IFERROR(T316/T444, "NA")</f>
        <v>NA</v>
      </c>
      <c r="V316" s="9"/>
      <c r="W316" s="10">
        <f t="shared" si="78"/>
        <v>0</v>
      </c>
      <c r="X316" s="8" t="str">
        <f>IFERROR(W316/W444, "NA")</f>
        <v>NA</v>
      </c>
      <c r="Y316" s="9"/>
      <c r="Z316" s="7">
        <v>0</v>
      </c>
      <c r="AA316" s="8" t="str">
        <f>IFERROR(Z316/Z444, "NA")</f>
        <v>NA</v>
      </c>
      <c r="AB316" s="9"/>
      <c r="AC316" s="10">
        <f t="shared" si="79"/>
        <v>0</v>
      </c>
      <c r="AD316" s="8" t="str">
        <f>IFERROR(AC316/AC444, "NA")</f>
        <v>NA</v>
      </c>
    </row>
    <row r="317" spans="1:30" ht="16.5" hidden="1" customHeight="1" x14ac:dyDescent="0.45">
      <c r="A317" s="6" t="s">
        <v>289</v>
      </c>
      <c r="B317" s="7">
        <v>0</v>
      </c>
      <c r="C317" s="8" t="str">
        <f>IFERROR(B317/B444, "NA")</f>
        <v>NA</v>
      </c>
      <c r="D317" s="9"/>
      <c r="E317" s="7">
        <v>0</v>
      </c>
      <c r="F317" s="8" t="str">
        <f>IFERROR(E317/E444, "NA")</f>
        <v>NA</v>
      </c>
      <c r="G317" s="9"/>
      <c r="H317" s="10">
        <f t="shared" si="76"/>
        <v>0</v>
      </c>
      <c r="I317" s="8" t="str">
        <f>IFERROR(H317/H444, "NA")</f>
        <v>NA</v>
      </c>
      <c r="J317" s="9"/>
      <c r="K317" s="7">
        <v>0</v>
      </c>
      <c r="L317" s="8" t="str">
        <f>IFERROR(K317/K444, "NA")</f>
        <v>NA</v>
      </c>
      <c r="M317" s="9"/>
      <c r="N317" s="10">
        <f t="shared" si="77"/>
        <v>0</v>
      </c>
      <c r="O317" s="8" t="str">
        <f>IFERROR(N317/N444, "NA")</f>
        <v>NA</v>
      </c>
      <c r="P317" s="9"/>
      <c r="Q317" s="7">
        <v>0</v>
      </c>
      <c r="R317" s="8" t="str">
        <f>IFERROR(Q317/Q444, "NA")</f>
        <v>NA</v>
      </c>
      <c r="S317" s="9"/>
      <c r="T317" s="7">
        <v>0</v>
      </c>
      <c r="U317" s="8" t="str">
        <f>IFERROR(T317/T444, "NA")</f>
        <v>NA</v>
      </c>
      <c r="V317" s="9"/>
      <c r="W317" s="10">
        <f t="shared" si="78"/>
        <v>0</v>
      </c>
      <c r="X317" s="8" t="str">
        <f>IFERROR(W317/W444, "NA")</f>
        <v>NA</v>
      </c>
      <c r="Y317" s="9"/>
      <c r="Z317" s="7">
        <v>0</v>
      </c>
      <c r="AA317" s="8" t="str">
        <f>IFERROR(Z317/Z444, "NA")</f>
        <v>NA</v>
      </c>
      <c r="AB317" s="9"/>
      <c r="AC317" s="10">
        <f t="shared" si="79"/>
        <v>0</v>
      </c>
      <c r="AD317" s="8" t="str">
        <f>IFERROR(AC317/AC444, "NA")</f>
        <v>NA</v>
      </c>
    </row>
    <row r="318" spans="1:30" ht="16.5" hidden="1" customHeight="1" x14ac:dyDescent="0.45">
      <c r="A318" s="6" t="s">
        <v>290</v>
      </c>
      <c r="B318" s="7">
        <v>0</v>
      </c>
      <c r="C318" s="8" t="str">
        <f>IFERROR(B318/B444, "NA")</f>
        <v>NA</v>
      </c>
      <c r="D318" s="9"/>
      <c r="E318" s="7">
        <v>0</v>
      </c>
      <c r="F318" s="8" t="str">
        <f>IFERROR(E318/E444, "NA")</f>
        <v>NA</v>
      </c>
      <c r="G318" s="9"/>
      <c r="H318" s="10">
        <f t="shared" si="76"/>
        <v>0</v>
      </c>
      <c r="I318" s="8" t="str">
        <f>IFERROR(H318/H444, "NA")</f>
        <v>NA</v>
      </c>
      <c r="J318" s="9"/>
      <c r="K318" s="7">
        <v>0</v>
      </c>
      <c r="L318" s="8" t="str">
        <f>IFERROR(K318/K444, "NA")</f>
        <v>NA</v>
      </c>
      <c r="M318" s="9"/>
      <c r="N318" s="10">
        <f t="shared" si="77"/>
        <v>0</v>
      </c>
      <c r="O318" s="8" t="str">
        <f>IFERROR(N318/N444, "NA")</f>
        <v>NA</v>
      </c>
      <c r="P318" s="9"/>
      <c r="Q318" s="7">
        <v>0</v>
      </c>
      <c r="R318" s="8" t="str">
        <f>IFERROR(Q318/Q444, "NA")</f>
        <v>NA</v>
      </c>
      <c r="S318" s="9"/>
      <c r="T318" s="7">
        <v>0</v>
      </c>
      <c r="U318" s="8" t="str">
        <f>IFERROR(T318/T444, "NA")</f>
        <v>NA</v>
      </c>
      <c r="V318" s="9"/>
      <c r="W318" s="10">
        <f t="shared" si="78"/>
        <v>0</v>
      </c>
      <c r="X318" s="8" t="str">
        <f>IFERROR(W318/W444, "NA")</f>
        <v>NA</v>
      </c>
      <c r="Y318" s="9"/>
      <c r="Z318" s="7">
        <v>0</v>
      </c>
      <c r="AA318" s="8" t="str">
        <f>IFERROR(Z318/Z444, "NA")</f>
        <v>NA</v>
      </c>
      <c r="AB318" s="9"/>
      <c r="AC318" s="10">
        <f t="shared" si="79"/>
        <v>0</v>
      </c>
      <c r="AD318" s="8" t="str">
        <f>IFERROR(AC318/AC444, "NA")</f>
        <v>NA</v>
      </c>
    </row>
    <row r="319" spans="1:30" ht="16.5" hidden="1" customHeight="1" x14ac:dyDescent="0.45">
      <c r="A319" s="6" t="s">
        <v>291</v>
      </c>
      <c r="B319" s="7">
        <v>0</v>
      </c>
      <c r="C319" s="8" t="str">
        <f>IFERROR(B319/B444, "NA")</f>
        <v>NA</v>
      </c>
      <c r="D319" s="9"/>
      <c r="E319" s="7">
        <v>0</v>
      </c>
      <c r="F319" s="8" t="str">
        <f>IFERROR(E319/E444, "NA")</f>
        <v>NA</v>
      </c>
      <c r="G319" s="9"/>
      <c r="H319" s="10">
        <f t="shared" si="76"/>
        <v>0</v>
      </c>
      <c r="I319" s="8" t="str">
        <f>IFERROR(H319/H444, "NA")</f>
        <v>NA</v>
      </c>
      <c r="J319" s="9"/>
      <c r="K319" s="7">
        <v>0</v>
      </c>
      <c r="L319" s="8" t="str">
        <f>IFERROR(K319/K444, "NA")</f>
        <v>NA</v>
      </c>
      <c r="M319" s="9"/>
      <c r="N319" s="10">
        <f t="shared" si="77"/>
        <v>0</v>
      </c>
      <c r="O319" s="8" t="str">
        <f>IFERROR(N319/N444, "NA")</f>
        <v>NA</v>
      </c>
      <c r="P319" s="9"/>
      <c r="Q319" s="7">
        <v>0</v>
      </c>
      <c r="R319" s="8" t="str">
        <f>IFERROR(Q319/Q444, "NA")</f>
        <v>NA</v>
      </c>
      <c r="S319" s="9"/>
      <c r="T319" s="7">
        <v>0</v>
      </c>
      <c r="U319" s="8" t="str">
        <f>IFERROR(T319/T444, "NA")</f>
        <v>NA</v>
      </c>
      <c r="V319" s="9"/>
      <c r="W319" s="10">
        <f t="shared" si="78"/>
        <v>0</v>
      </c>
      <c r="X319" s="8" t="str">
        <f>IFERROR(W319/W444, "NA")</f>
        <v>NA</v>
      </c>
      <c r="Y319" s="9"/>
      <c r="Z319" s="7">
        <v>0</v>
      </c>
      <c r="AA319" s="8" t="str">
        <f>IFERROR(Z319/Z444, "NA")</f>
        <v>NA</v>
      </c>
      <c r="AB319" s="9"/>
      <c r="AC319" s="10">
        <f t="shared" si="79"/>
        <v>0</v>
      </c>
      <c r="AD319" s="8" t="str">
        <f>IFERROR(AC319/AC444, "NA")</f>
        <v>NA</v>
      </c>
    </row>
    <row r="320" spans="1:30" ht="16.5" hidden="1" customHeight="1" x14ac:dyDescent="0.45">
      <c r="A320" s="6" t="s">
        <v>292</v>
      </c>
      <c r="B320" s="7">
        <v>0</v>
      </c>
      <c r="C320" s="8" t="str">
        <f>IFERROR(B320/B444, "NA")</f>
        <v>NA</v>
      </c>
      <c r="D320" s="9"/>
      <c r="E320" s="7">
        <v>0</v>
      </c>
      <c r="F320" s="8" t="str">
        <f>IFERROR(E320/E444, "NA")</f>
        <v>NA</v>
      </c>
      <c r="G320" s="9"/>
      <c r="H320" s="10">
        <f t="shared" si="76"/>
        <v>0</v>
      </c>
      <c r="I320" s="8" t="str">
        <f>IFERROR(H320/H444, "NA")</f>
        <v>NA</v>
      </c>
      <c r="J320" s="9"/>
      <c r="K320" s="7">
        <v>0</v>
      </c>
      <c r="L320" s="8" t="str">
        <f>IFERROR(K320/K444, "NA")</f>
        <v>NA</v>
      </c>
      <c r="M320" s="9"/>
      <c r="N320" s="10">
        <f t="shared" si="77"/>
        <v>0</v>
      </c>
      <c r="O320" s="8" t="str">
        <f>IFERROR(N320/N444, "NA")</f>
        <v>NA</v>
      </c>
      <c r="P320" s="9"/>
      <c r="Q320" s="7">
        <v>0</v>
      </c>
      <c r="R320" s="8" t="str">
        <f>IFERROR(Q320/Q444, "NA")</f>
        <v>NA</v>
      </c>
      <c r="S320" s="9"/>
      <c r="T320" s="7">
        <v>0</v>
      </c>
      <c r="U320" s="8" t="str">
        <f>IFERROR(T320/T444, "NA")</f>
        <v>NA</v>
      </c>
      <c r="V320" s="9"/>
      <c r="W320" s="10">
        <f t="shared" si="78"/>
        <v>0</v>
      </c>
      <c r="X320" s="8" t="str">
        <f>IFERROR(W320/W444, "NA")</f>
        <v>NA</v>
      </c>
      <c r="Y320" s="9"/>
      <c r="Z320" s="7">
        <v>0</v>
      </c>
      <c r="AA320" s="8" t="str">
        <f>IFERROR(Z320/Z444, "NA")</f>
        <v>NA</v>
      </c>
      <c r="AB320" s="9"/>
      <c r="AC320" s="10">
        <f t="shared" si="79"/>
        <v>0</v>
      </c>
      <c r="AD320" s="8" t="str">
        <f>IFERROR(AC320/AC444, "NA")</f>
        <v>NA</v>
      </c>
    </row>
    <row r="321" spans="1:30" ht="16.5" hidden="1" customHeight="1" x14ac:dyDescent="0.45">
      <c r="A321" s="6" t="s">
        <v>293</v>
      </c>
      <c r="B321" s="7">
        <v>0</v>
      </c>
      <c r="C321" s="8" t="str">
        <f>IFERROR(B321/B444, "NA")</f>
        <v>NA</v>
      </c>
      <c r="D321" s="9"/>
      <c r="E321" s="7">
        <v>0</v>
      </c>
      <c r="F321" s="8" t="str">
        <f>IFERROR(E321/E444, "NA")</f>
        <v>NA</v>
      </c>
      <c r="G321" s="9"/>
      <c r="H321" s="10">
        <f t="shared" si="76"/>
        <v>0</v>
      </c>
      <c r="I321" s="8" t="str">
        <f>IFERROR(H321/H444, "NA")</f>
        <v>NA</v>
      </c>
      <c r="J321" s="9"/>
      <c r="K321" s="7">
        <v>0</v>
      </c>
      <c r="L321" s="8" t="str">
        <f>IFERROR(K321/K444, "NA")</f>
        <v>NA</v>
      </c>
      <c r="M321" s="9"/>
      <c r="N321" s="10">
        <f t="shared" si="77"/>
        <v>0</v>
      </c>
      <c r="O321" s="8" t="str">
        <f>IFERROR(N321/N444, "NA")</f>
        <v>NA</v>
      </c>
      <c r="P321" s="9"/>
      <c r="Q321" s="7">
        <v>0</v>
      </c>
      <c r="R321" s="8" t="str">
        <f>IFERROR(Q321/Q444, "NA")</f>
        <v>NA</v>
      </c>
      <c r="S321" s="9"/>
      <c r="T321" s="7">
        <v>0</v>
      </c>
      <c r="U321" s="8" t="str">
        <f>IFERROR(T321/T444, "NA")</f>
        <v>NA</v>
      </c>
      <c r="V321" s="9"/>
      <c r="W321" s="10">
        <f t="shared" si="78"/>
        <v>0</v>
      </c>
      <c r="X321" s="8" t="str">
        <f>IFERROR(W321/W444, "NA")</f>
        <v>NA</v>
      </c>
      <c r="Y321" s="9"/>
      <c r="Z321" s="7">
        <v>0</v>
      </c>
      <c r="AA321" s="8" t="str">
        <f>IFERROR(Z321/Z444, "NA")</f>
        <v>NA</v>
      </c>
      <c r="AB321" s="9"/>
      <c r="AC321" s="10">
        <f t="shared" si="79"/>
        <v>0</v>
      </c>
      <c r="AD321" s="8" t="str">
        <f>IFERROR(AC321/AC444, "NA")</f>
        <v>NA</v>
      </c>
    </row>
    <row r="322" spans="1:30" ht="16.5" hidden="1" customHeight="1" x14ac:dyDescent="0.45">
      <c r="A322" s="6" t="s">
        <v>294</v>
      </c>
      <c r="B322" s="7">
        <v>0</v>
      </c>
      <c r="C322" s="8" t="str">
        <f>IFERROR(B322/B444, "NA")</f>
        <v>NA</v>
      </c>
      <c r="D322" s="9"/>
      <c r="E322" s="7">
        <v>0</v>
      </c>
      <c r="F322" s="8" t="str">
        <f>IFERROR(E322/E444, "NA")</f>
        <v>NA</v>
      </c>
      <c r="G322" s="9"/>
      <c r="H322" s="10">
        <f t="shared" si="76"/>
        <v>0</v>
      </c>
      <c r="I322" s="8" t="str">
        <f>IFERROR(H322/H444, "NA")</f>
        <v>NA</v>
      </c>
      <c r="J322" s="9"/>
      <c r="K322" s="7">
        <v>0</v>
      </c>
      <c r="L322" s="8" t="str">
        <f>IFERROR(K322/K444, "NA")</f>
        <v>NA</v>
      </c>
      <c r="M322" s="9"/>
      <c r="N322" s="10">
        <f t="shared" si="77"/>
        <v>0</v>
      </c>
      <c r="O322" s="8" t="str">
        <f>IFERROR(N322/N444, "NA")</f>
        <v>NA</v>
      </c>
      <c r="P322" s="9"/>
      <c r="Q322" s="7">
        <v>0</v>
      </c>
      <c r="R322" s="8" t="str">
        <f>IFERROR(Q322/Q444, "NA")</f>
        <v>NA</v>
      </c>
      <c r="S322" s="9"/>
      <c r="T322" s="7">
        <v>0</v>
      </c>
      <c r="U322" s="8" t="str">
        <f>IFERROR(T322/T444, "NA")</f>
        <v>NA</v>
      </c>
      <c r="V322" s="9"/>
      <c r="W322" s="10">
        <f t="shared" si="78"/>
        <v>0</v>
      </c>
      <c r="X322" s="8" t="str">
        <f>IFERROR(W322/W444, "NA")</f>
        <v>NA</v>
      </c>
      <c r="Y322" s="9"/>
      <c r="Z322" s="7">
        <v>0</v>
      </c>
      <c r="AA322" s="8" t="str">
        <f>IFERROR(Z322/Z444, "NA")</f>
        <v>NA</v>
      </c>
      <c r="AB322" s="9"/>
      <c r="AC322" s="10">
        <f t="shared" si="79"/>
        <v>0</v>
      </c>
      <c r="AD322" s="8" t="str">
        <f>IFERROR(AC322/AC444, "NA")</f>
        <v>NA</v>
      </c>
    </row>
    <row r="323" spans="1:30" ht="16.5" hidden="1" customHeight="1" x14ac:dyDescent="0.45">
      <c r="A323" s="6" t="s">
        <v>295</v>
      </c>
      <c r="B323" s="7">
        <v>0</v>
      </c>
      <c r="C323" s="8" t="str">
        <f>IFERROR(B323/B444, "NA")</f>
        <v>NA</v>
      </c>
      <c r="D323" s="9"/>
      <c r="E323" s="7">
        <v>0</v>
      </c>
      <c r="F323" s="8" t="str">
        <f>IFERROR(E323/E444, "NA")</f>
        <v>NA</v>
      </c>
      <c r="G323" s="9"/>
      <c r="H323" s="10">
        <f t="shared" si="76"/>
        <v>0</v>
      </c>
      <c r="I323" s="8" t="str">
        <f>IFERROR(H323/H444, "NA")</f>
        <v>NA</v>
      </c>
      <c r="J323" s="9"/>
      <c r="K323" s="7">
        <v>0</v>
      </c>
      <c r="L323" s="8" t="str">
        <f>IFERROR(K323/K444, "NA")</f>
        <v>NA</v>
      </c>
      <c r="M323" s="9"/>
      <c r="N323" s="10">
        <f t="shared" si="77"/>
        <v>0</v>
      </c>
      <c r="O323" s="8" t="str">
        <f>IFERROR(N323/N444, "NA")</f>
        <v>NA</v>
      </c>
      <c r="P323" s="9"/>
      <c r="Q323" s="7">
        <v>0</v>
      </c>
      <c r="R323" s="8" t="str">
        <f>IFERROR(Q323/Q444, "NA")</f>
        <v>NA</v>
      </c>
      <c r="S323" s="9"/>
      <c r="T323" s="7">
        <v>0</v>
      </c>
      <c r="U323" s="8" t="str">
        <f>IFERROR(T323/T444, "NA")</f>
        <v>NA</v>
      </c>
      <c r="V323" s="9"/>
      <c r="W323" s="10">
        <f t="shared" si="78"/>
        <v>0</v>
      </c>
      <c r="X323" s="8" t="str">
        <f>IFERROR(W323/W444, "NA")</f>
        <v>NA</v>
      </c>
      <c r="Y323" s="9"/>
      <c r="Z323" s="7">
        <v>0</v>
      </c>
      <c r="AA323" s="8" t="str">
        <f>IFERROR(Z323/Z444, "NA")</f>
        <v>NA</v>
      </c>
      <c r="AB323" s="9"/>
      <c r="AC323" s="10">
        <f t="shared" si="79"/>
        <v>0</v>
      </c>
      <c r="AD323" s="8" t="str">
        <f>IFERROR(AC323/AC444, "NA")</f>
        <v>NA</v>
      </c>
    </row>
    <row r="324" spans="1:30" ht="16.5" customHeight="1" x14ac:dyDescent="0.45">
      <c r="A324" s="19" t="s">
        <v>296</v>
      </c>
      <c r="B324" s="14">
        <f>IFERROR(B297+B298+B299+B300+B301+B302+B303+B304+B305+B306+B307+B308+B309+B310+B311+B312+B313+B314+B315+B316+B317+B318+B319+B320+B321+B322+B323, "NA")</f>
        <v>0</v>
      </c>
      <c r="C324" s="15" t="str">
        <f>IFERROR(B324/B444, "NA")</f>
        <v>NA</v>
      </c>
      <c r="D324" s="2"/>
      <c r="E324" s="14">
        <f>IFERROR(E297+E298+E299+E300+E301+E302+E303+E304+E305+E306+E307+E308+E309+E310+E311+E312+E313+E314+E315+E316+E317+E318+E319+E320+E321+E322+E323, "NA")</f>
        <v>0</v>
      </c>
      <c r="F324" s="15" t="str">
        <f>IFERROR(E324/E444, "NA")</f>
        <v>NA</v>
      </c>
      <c r="G324" s="2"/>
      <c r="H324" s="14">
        <f t="shared" si="76"/>
        <v>0</v>
      </c>
      <c r="I324" s="15" t="str">
        <f>IFERROR(H324/H444, "NA")</f>
        <v>NA</v>
      </c>
      <c r="J324" s="2"/>
      <c r="K324" s="14">
        <f>IFERROR(K297+K298+K299+K300+K301+K302+K303+K304+K305+K306+K307+K308+K309+K310+K311+K312+K313+K314+K315+K316+K317+K318+K319+K320+K321+K322+K323, "NA")</f>
        <v>0</v>
      </c>
      <c r="L324" s="15" t="str">
        <f>IFERROR(K324/K444, "NA")</f>
        <v>NA</v>
      </c>
      <c r="M324" s="2"/>
      <c r="N324" s="14">
        <f t="shared" si="77"/>
        <v>0</v>
      </c>
      <c r="O324" s="15" t="str">
        <f>IFERROR(N324/N444, "NA")</f>
        <v>NA</v>
      </c>
      <c r="P324" s="2"/>
      <c r="Q324" s="14">
        <f>IFERROR(Q297+Q298+Q299+Q300+Q301+Q302+Q303+Q304+Q305+Q306+Q307+Q308+Q309+Q310+Q311+Q312+Q313+Q314+Q315+Q316+Q317+Q318+Q319+Q320+Q321+Q322+Q323, "NA")</f>
        <v>0</v>
      </c>
      <c r="R324" s="15" t="str">
        <f>IFERROR(Q324/Q444, "NA")</f>
        <v>NA</v>
      </c>
      <c r="S324" s="2"/>
      <c r="T324" s="14">
        <f>IFERROR(T297+T298+T299+T300+T301+T302+T303+T304+T305+T306+T307+T308+T309+T310+T311+T312+T313+T314+T315+T316+T317+T318+T319+T320+T321+T322+T323, "NA")</f>
        <v>0</v>
      </c>
      <c r="U324" s="15" t="str">
        <f>IFERROR(T324/T444, "NA")</f>
        <v>NA</v>
      </c>
      <c r="V324" s="2"/>
      <c r="W324" s="14">
        <f t="shared" si="78"/>
        <v>0</v>
      </c>
      <c r="X324" s="15" t="str">
        <f>IFERROR(W324/W444, "NA")</f>
        <v>NA</v>
      </c>
      <c r="Y324" s="2"/>
      <c r="Z324" s="14">
        <f>IFERROR(Z297+Z298+Z299+Z300+Z301+Z302+Z303+Z304+Z305+Z306+Z307+Z308+Z309+Z310+Z311+Z312+Z313+Z314+Z315+Z316+Z317+Z318+Z319+Z320+Z321+Z322+Z323, "NA")</f>
        <v>0</v>
      </c>
      <c r="AA324" s="15" t="str">
        <f>IFERROR(Z324/Z444, "NA")</f>
        <v>NA</v>
      </c>
      <c r="AB324" s="2"/>
      <c r="AC324" s="14">
        <f t="shared" si="79"/>
        <v>0</v>
      </c>
      <c r="AD324" s="15" t="str">
        <f>IFERROR(AC324/AC444, "NA")</f>
        <v>NA</v>
      </c>
    </row>
    <row r="325" spans="1:30" ht="16.5" customHeight="1" x14ac:dyDescent="0.45">
      <c r="A325" s="21" t="s">
        <v>297</v>
      </c>
      <c r="B325" s="14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265+B266+B269+B270+B271+B272+B275+B276+B277+B278+B279+B280+B281+B282+B283+B286+B287+B288+B289+B290+B291+B292+B293+B294+B297+B298+B299+B300+B301+B302+B303+B304+B305+B306+B307+B308+B309+B310+B311+B312+B313+B314+B315+B316+B317+B318+B319+B320+B321+B322+B323, "NA")</f>
        <v>0</v>
      </c>
      <c r="C325" s="15" t="str">
        <f>IFERROR(B325/B444, "NA")</f>
        <v>NA</v>
      </c>
      <c r="D325" s="2"/>
      <c r="E325" s="14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265+E266+E269+E270+E271+E272+E275+E276+E277+E278+E279+E280+E281+E282+E283+E286+E287+E288+E289+E290+E291+E292+E293+E294+E297+E298+E299+E300+E301+E302+E303+E304+E305+E306+E307+E308+E309+E310+E311+E312+E313+E314+E315+E316+E317+E318+E319+E320+E321+E322+E323, "NA")</f>
        <v>0</v>
      </c>
      <c r="F325" s="15" t="str">
        <f>IFERROR(E325/E444, "NA")</f>
        <v>NA</v>
      </c>
      <c r="G325" s="2"/>
      <c r="H325" s="14">
        <f t="shared" si="76"/>
        <v>0</v>
      </c>
      <c r="I325" s="15" t="str">
        <f>IFERROR(H325/H444, "NA")</f>
        <v>NA</v>
      </c>
      <c r="J325" s="2"/>
      <c r="K325" s="14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265+K266+K269+K270+K271+K272+K275+K276+K277+K278+K279+K280+K281+K282+K283+K286+K287+K288+K289+K290+K291+K292+K293+K294+K297+K298+K299+K300+K301+K302+K303+K304+K305+K306+K307+K308+K309+K310+K311+K312+K313+K314+K315+K316+K317+K318+K319+K320+K321+K322+K323, "NA")</f>
        <v>0</v>
      </c>
      <c r="L325" s="15" t="str">
        <f>IFERROR(K325/K444, "NA")</f>
        <v>NA</v>
      </c>
      <c r="M325" s="2"/>
      <c r="N325" s="14">
        <f t="shared" si="77"/>
        <v>0</v>
      </c>
      <c r="O325" s="15" t="str">
        <f>IFERROR(N325/N444, "NA")</f>
        <v>NA</v>
      </c>
      <c r="P325" s="2"/>
      <c r="Q325" s="14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265+Q266+Q269+Q270+Q271+Q272+Q275+Q276+Q277+Q278+Q279+Q280+Q281+Q282+Q283+Q286+Q287+Q288+Q289+Q290+Q291+Q292+Q293+Q294+Q297+Q298+Q299+Q300+Q301+Q302+Q303+Q304+Q305+Q306+Q307+Q308+Q309+Q310+Q311+Q312+Q313+Q314+Q315+Q316+Q317+Q318+Q319+Q320+Q321+Q322+Q323, "NA")</f>
        <v>0</v>
      </c>
      <c r="R325" s="15" t="str">
        <f>IFERROR(Q325/Q444, "NA")</f>
        <v>NA</v>
      </c>
      <c r="S325" s="2"/>
      <c r="T325" s="14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265+T266+T269+T270+T271+T272+T275+T276+T277+T278+T279+T280+T281+T282+T283+T286+T287+T288+T289+T290+T291+T292+T293+T294+T297+T298+T299+T300+T301+T302+T303+T304+T305+T306+T307+T308+T309+T310+T311+T312+T313+T314+T315+T316+T317+T318+T319+T320+T321+T322+T323, "NA")</f>
        <v>0</v>
      </c>
      <c r="U325" s="15" t="str">
        <f>IFERROR(T325/T444, "NA")</f>
        <v>NA</v>
      </c>
      <c r="V325" s="2"/>
      <c r="W325" s="14">
        <f t="shared" si="78"/>
        <v>0</v>
      </c>
      <c r="X325" s="15" t="str">
        <f>IFERROR(W325/W444, "NA")</f>
        <v>NA</v>
      </c>
      <c r="Y325" s="2"/>
      <c r="Z325" s="14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265+Z266+Z269+Z270+Z271+Z272+Z275+Z276+Z277+Z278+Z279+Z280+Z281+Z282+Z283+Z286+Z287+Z288+Z289+Z290+Z291+Z292+Z293+Z294+Z297+Z298+Z299+Z300+Z301+Z302+Z303+Z304+Z305+Z306+Z307+Z308+Z309+Z310+Z311+Z312+Z313+Z314+Z315+Z316+Z317+Z318+Z319+Z320+Z321+Z322+Z323, "NA")</f>
        <v>0</v>
      </c>
      <c r="AA325" s="15" t="str">
        <f>IFERROR(Z325/Z444, "NA")</f>
        <v>NA</v>
      </c>
      <c r="AB325" s="2"/>
      <c r="AC325" s="14">
        <f t="shared" si="79"/>
        <v>0</v>
      </c>
      <c r="AD325" s="15" t="str">
        <f>IFERROR(AC325/AC444, "NA")</f>
        <v>NA</v>
      </c>
    </row>
    <row r="326" spans="1:30" ht="16.5" customHeight="1" x14ac:dyDescent="0.45">
      <c r="A326" s="1" t="s">
        <v>298</v>
      </c>
      <c r="B326" s="2"/>
      <c r="C326" s="3"/>
      <c r="D326" s="4"/>
      <c r="E326" s="2"/>
      <c r="F326" s="3"/>
      <c r="G326" s="4"/>
      <c r="H326" s="2"/>
      <c r="I326" s="3"/>
      <c r="J326" s="4"/>
      <c r="K326" s="2"/>
      <c r="L326" s="3"/>
      <c r="M326" s="4"/>
      <c r="N326" s="2"/>
      <c r="O326" s="3"/>
      <c r="P326" s="4"/>
      <c r="Q326" s="2"/>
      <c r="R326" s="3"/>
      <c r="S326" s="4"/>
      <c r="T326" s="2"/>
      <c r="U326" s="3"/>
      <c r="V326" s="4"/>
      <c r="W326" s="2"/>
      <c r="X326" s="3"/>
      <c r="Y326" s="4"/>
      <c r="Z326" s="2"/>
      <c r="AA326" s="3"/>
      <c r="AB326" s="4"/>
      <c r="AC326" s="2"/>
      <c r="AD326" s="3"/>
    </row>
    <row r="327" spans="1:30" ht="16.5" customHeight="1" x14ac:dyDescent="0.45">
      <c r="A327" s="5" t="s">
        <v>299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hidden="1" customHeight="1" x14ac:dyDescent="0.45">
      <c r="A328" s="6" t="s">
        <v>299</v>
      </c>
      <c r="B328" s="7">
        <v>0</v>
      </c>
      <c r="C328" s="8" t="str">
        <f>IFERROR(B328/B444, "NA")</f>
        <v>NA</v>
      </c>
      <c r="D328" s="9"/>
      <c r="E328" s="7">
        <v>0</v>
      </c>
      <c r="F328" s="8" t="str">
        <f>IFERROR(E328/E444, "NA")</f>
        <v>NA</v>
      </c>
      <c r="G328" s="9"/>
      <c r="H328" s="10">
        <f t="shared" ref="H328:H335" si="80">IFERROR(-(B328-E328), "NA")</f>
        <v>0</v>
      </c>
      <c r="I328" s="8" t="str">
        <f>IFERROR(H328/H444, "NA")</f>
        <v>NA</v>
      </c>
      <c r="J328" s="9"/>
      <c r="K328" s="7">
        <v>0</v>
      </c>
      <c r="L328" s="8" t="str">
        <f>IFERROR(K328/K444, "NA")</f>
        <v>NA</v>
      </c>
      <c r="M328" s="9"/>
      <c r="N328" s="10">
        <f t="shared" ref="N328:N335" si="81">IFERROR(-(B328-K328), "NA")</f>
        <v>0</v>
      </c>
      <c r="O328" s="8" t="str">
        <f>IFERROR(N328/N444, "NA")</f>
        <v>NA</v>
      </c>
      <c r="P328" s="9"/>
      <c r="Q328" s="7">
        <v>0</v>
      </c>
      <c r="R328" s="8" t="str">
        <f>IFERROR(Q328/Q444, "NA")</f>
        <v>NA</v>
      </c>
      <c r="S328" s="9"/>
      <c r="T328" s="7">
        <v>0</v>
      </c>
      <c r="U328" s="8" t="str">
        <f>IFERROR(T328/T444, "NA")</f>
        <v>NA</v>
      </c>
      <c r="V328" s="9"/>
      <c r="W328" s="10">
        <f t="shared" ref="W328:W335" si="82">IFERROR(-(Q328-T328), "NA")</f>
        <v>0</v>
      </c>
      <c r="X328" s="8" t="str">
        <f>IFERROR(W328/W444, "NA")</f>
        <v>NA</v>
      </c>
      <c r="Y328" s="9"/>
      <c r="Z328" s="7">
        <v>0</v>
      </c>
      <c r="AA328" s="8" t="str">
        <f>IFERROR(Z328/Z444, "NA")</f>
        <v>NA</v>
      </c>
      <c r="AB328" s="9"/>
      <c r="AC328" s="10">
        <f t="shared" ref="AC328:AC335" si="83">IFERROR(-(Q328-Z328), "NA")</f>
        <v>0</v>
      </c>
      <c r="AD328" s="8" t="str">
        <f>IFERROR(AC328/AC444, "NA")</f>
        <v>NA</v>
      </c>
    </row>
    <row r="329" spans="1:30" ht="16.5" hidden="1" customHeight="1" x14ac:dyDescent="0.45">
      <c r="A329" s="6" t="s">
        <v>300</v>
      </c>
      <c r="B329" s="7">
        <v>0</v>
      </c>
      <c r="C329" s="8" t="str">
        <f>IFERROR(B329/B444, "NA")</f>
        <v>NA</v>
      </c>
      <c r="D329" s="9"/>
      <c r="E329" s="7">
        <v>0</v>
      </c>
      <c r="F329" s="8" t="str">
        <f>IFERROR(E329/E444, "NA")</f>
        <v>NA</v>
      </c>
      <c r="G329" s="9"/>
      <c r="H329" s="10">
        <f t="shared" si="80"/>
        <v>0</v>
      </c>
      <c r="I329" s="8" t="str">
        <f>IFERROR(H329/H444, "NA")</f>
        <v>NA</v>
      </c>
      <c r="J329" s="9"/>
      <c r="K329" s="7">
        <v>0</v>
      </c>
      <c r="L329" s="8" t="str">
        <f>IFERROR(K329/K444, "NA")</f>
        <v>NA</v>
      </c>
      <c r="M329" s="9"/>
      <c r="N329" s="10">
        <f t="shared" si="81"/>
        <v>0</v>
      </c>
      <c r="O329" s="8" t="str">
        <f>IFERROR(N329/N444, "NA")</f>
        <v>NA</v>
      </c>
      <c r="P329" s="9"/>
      <c r="Q329" s="7">
        <v>0</v>
      </c>
      <c r="R329" s="8" t="str">
        <f>IFERROR(Q329/Q444, "NA")</f>
        <v>NA</v>
      </c>
      <c r="S329" s="9"/>
      <c r="T329" s="7">
        <v>0</v>
      </c>
      <c r="U329" s="8" t="str">
        <f>IFERROR(T329/T444, "NA")</f>
        <v>NA</v>
      </c>
      <c r="V329" s="9"/>
      <c r="W329" s="10">
        <f t="shared" si="82"/>
        <v>0</v>
      </c>
      <c r="X329" s="8" t="str">
        <f>IFERROR(W329/W444, "NA")</f>
        <v>NA</v>
      </c>
      <c r="Y329" s="9"/>
      <c r="Z329" s="7">
        <v>0</v>
      </c>
      <c r="AA329" s="8" t="str">
        <f>IFERROR(Z329/Z444, "NA")</f>
        <v>NA</v>
      </c>
      <c r="AB329" s="9"/>
      <c r="AC329" s="10">
        <f t="shared" si="83"/>
        <v>0</v>
      </c>
      <c r="AD329" s="8" t="str">
        <f>IFERROR(AC329/AC444, "NA")</f>
        <v>NA</v>
      </c>
    </row>
    <row r="330" spans="1:30" ht="16.5" hidden="1" customHeight="1" x14ac:dyDescent="0.45">
      <c r="A330" s="6" t="s">
        <v>301</v>
      </c>
      <c r="B330" s="7">
        <v>0</v>
      </c>
      <c r="C330" s="8" t="str">
        <f>IFERROR(B330/B444, "NA")</f>
        <v>NA</v>
      </c>
      <c r="D330" s="9"/>
      <c r="E330" s="7">
        <v>0</v>
      </c>
      <c r="F330" s="8" t="str">
        <f>IFERROR(E330/E444, "NA")</f>
        <v>NA</v>
      </c>
      <c r="G330" s="9"/>
      <c r="H330" s="10">
        <f t="shared" si="80"/>
        <v>0</v>
      </c>
      <c r="I330" s="8" t="str">
        <f>IFERROR(H330/H444, "NA")</f>
        <v>NA</v>
      </c>
      <c r="J330" s="9"/>
      <c r="K330" s="7">
        <v>0</v>
      </c>
      <c r="L330" s="8" t="str">
        <f>IFERROR(K330/K444, "NA")</f>
        <v>NA</v>
      </c>
      <c r="M330" s="9"/>
      <c r="N330" s="10">
        <f t="shared" si="81"/>
        <v>0</v>
      </c>
      <c r="O330" s="8" t="str">
        <f>IFERROR(N330/N444, "NA")</f>
        <v>NA</v>
      </c>
      <c r="P330" s="9"/>
      <c r="Q330" s="7">
        <v>0</v>
      </c>
      <c r="R330" s="8" t="str">
        <f>IFERROR(Q330/Q444, "NA")</f>
        <v>NA</v>
      </c>
      <c r="S330" s="9"/>
      <c r="T330" s="7">
        <v>0</v>
      </c>
      <c r="U330" s="8" t="str">
        <f>IFERROR(T330/T444, "NA")</f>
        <v>NA</v>
      </c>
      <c r="V330" s="9"/>
      <c r="W330" s="10">
        <f t="shared" si="82"/>
        <v>0</v>
      </c>
      <c r="X330" s="8" t="str">
        <f>IFERROR(W330/W444, "NA")</f>
        <v>NA</v>
      </c>
      <c r="Y330" s="9"/>
      <c r="Z330" s="7">
        <v>0</v>
      </c>
      <c r="AA330" s="8" t="str">
        <f>IFERROR(Z330/Z444, "NA")</f>
        <v>NA</v>
      </c>
      <c r="AB330" s="9"/>
      <c r="AC330" s="10">
        <f t="shared" si="83"/>
        <v>0</v>
      </c>
      <c r="AD330" s="8" t="str">
        <f>IFERROR(AC330/AC444, "NA")</f>
        <v>NA</v>
      </c>
    </row>
    <row r="331" spans="1:30" ht="16.5" hidden="1" customHeight="1" x14ac:dyDescent="0.45">
      <c r="A331" s="6" t="s">
        <v>302</v>
      </c>
      <c r="B331" s="7">
        <v>0</v>
      </c>
      <c r="C331" s="8" t="str">
        <f>IFERROR(B331/B444, "NA")</f>
        <v>NA</v>
      </c>
      <c r="D331" s="9"/>
      <c r="E331" s="7">
        <v>0</v>
      </c>
      <c r="F331" s="8" t="str">
        <f>IFERROR(E331/E444, "NA")</f>
        <v>NA</v>
      </c>
      <c r="G331" s="9"/>
      <c r="H331" s="10">
        <f t="shared" si="80"/>
        <v>0</v>
      </c>
      <c r="I331" s="8" t="str">
        <f>IFERROR(H331/H444, "NA")</f>
        <v>NA</v>
      </c>
      <c r="J331" s="9"/>
      <c r="K331" s="7">
        <v>0</v>
      </c>
      <c r="L331" s="8" t="str">
        <f>IFERROR(K331/K444, "NA")</f>
        <v>NA</v>
      </c>
      <c r="M331" s="9"/>
      <c r="N331" s="10">
        <f t="shared" si="81"/>
        <v>0</v>
      </c>
      <c r="O331" s="8" t="str">
        <f>IFERROR(N331/N444, "NA")</f>
        <v>NA</v>
      </c>
      <c r="P331" s="9"/>
      <c r="Q331" s="7">
        <v>0</v>
      </c>
      <c r="R331" s="8" t="str">
        <f>IFERROR(Q331/Q444, "NA")</f>
        <v>NA</v>
      </c>
      <c r="S331" s="9"/>
      <c r="T331" s="7">
        <v>0</v>
      </c>
      <c r="U331" s="8" t="str">
        <f>IFERROR(T331/T444, "NA")</f>
        <v>NA</v>
      </c>
      <c r="V331" s="9"/>
      <c r="W331" s="10">
        <f t="shared" si="82"/>
        <v>0</v>
      </c>
      <c r="X331" s="8" t="str">
        <f>IFERROR(W331/W444, "NA")</f>
        <v>NA</v>
      </c>
      <c r="Y331" s="9"/>
      <c r="Z331" s="7">
        <v>0</v>
      </c>
      <c r="AA331" s="8" t="str">
        <f>IFERROR(Z331/Z444, "NA")</f>
        <v>NA</v>
      </c>
      <c r="AB331" s="9"/>
      <c r="AC331" s="10">
        <f t="shared" si="83"/>
        <v>0</v>
      </c>
      <c r="AD331" s="8" t="str">
        <f>IFERROR(AC331/AC444, "NA")</f>
        <v>NA</v>
      </c>
    </row>
    <row r="332" spans="1:30" ht="16.5" hidden="1" customHeight="1" x14ac:dyDescent="0.45">
      <c r="A332" s="6" t="s">
        <v>303</v>
      </c>
      <c r="B332" s="7">
        <v>0</v>
      </c>
      <c r="C332" s="8" t="str">
        <f>IFERROR(B332/B444, "NA")</f>
        <v>NA</v>
      </c>
      <c r="D332" s="9"/>
      <c r="E332" s="7">
        <v>0</v>
      </c>
      <c r="F332" s="8" t="str">
        <f>IFERROR(E332/E444, "NA")</f>
        <v>NA</v>
      </c>
      <c r="G332" s="9"/>
      <c r="H332" s="10">
        <f t="shared" si="80"/>
        <v>0</v>
      </c>
      <c r="I332" s="8" t="str">
        <f>IFERROR(H332/H444, "NA")</f>
        <v>NA</v>
      </c>
      <c r="J332" s="9"/>
      <c r="K332" s="7">
        <v>0</v>
      </c>
      <c r="L332" s="8" t="str">
        <f>IFERROR(K332/K444, "NA")</f>
        <v>NA</v>
      </c>
      <c r="M332" s="9"/>
      <c r="N332" s="10">
        <f t="shared" si="81"/>
        <v>0</v>
      </c>
      <c r="O332" s="8" t="str">
        <f>IFERROR(N332/N444, "NA")</f>
        <v>NA</v>
      </c>
      <c r="P332" s="9"/>
      <c r="Q332" s="7">
        <v>0</v>
      </c>
      <c r="R332" s="8" t="str">
        <f>IFERROR(Q332/Q444, "NA")</f>
        <v>NA</v>
      </c>
      <c r="S332" s="9"/>
      <c r="T332" s="7">
        <v>0</v>
      </c>
      <c r="U332" s="8" t="str">
        <f>IFERROR(T332/T444, "NA")</f>
        <v>NA</v>
      </c>
      <c r="V332" s="9"/>
      <c r="W332" s="10">
        <f t="shared" si="82"/>
        <v>0</v>
      </c>
      <c r="X332" s="8" t="str">
        <f>IFERROR(W332/W444, "NA")</f>
        <v>NA</v>
      </c>
      <c r="Y332" s="9"/>
      <c r="Z332" s="7">
        <v>0</v>
      </c>
      <c r="AA332" s="8" t="str">
        <f>IFERROR(Z332/Z444, "NA")</f>
        <v>NA</v>
      </c>
      <c r="AB332" s="9"/>
      <c r="AC332" s="10">
        <f t="shared" si="83"/>
        <v>0</v>
      </c>
      <c r="AD332" s="8" t="str">
        <f>IFERROR(AC332/AC444, "NA")</f>
        <v>NA</v>
      </c>
    </row>
    <row r="333" spans="1:30" ht="16.5" hidden="1" customHeight="1" x14ac:dyDescent="0.45">
      <c r="A333" s="6" t="s">
        <v>304</v>
      </c>
      <c r="B333" s="7">
        <v>0</v>
      </c>
      <c r="C333" s="8" t="str">
        <f>IFERROR(B333/B444, "NA")</f>
        <v>NA</v>
      </c>
      <c r="D333" s="9"/>
      <c r="E333" s="7">
        <v>0</v>
      </c>
      <c r="F333" s="8" t="str">
        <f>IFERROR(E333/E444, "NA")</f>
        <v>NA</v>
      </c>
      <c r="G333" s="9"/>
      <c r="H333" s="10">
        <f t="shared" si="80"/>
        <v>0</v>
      </c>
      <c r="I333" s="8" t="str">
        <f>IFERROR(H333/H444, "NA")</f>
        <v>NA</v>
      </c>
      <c r="J333" s="9"/>
      <c r="K333" s="7">
        <v>0</v>
      </c>
      <c r="L333" s="8" t="str">
        <f>IFERROR(K333/K444, "NA")</f>
        <v>NA</v>
      </c>
      <c r="M333" s="9"/>
      <c r="N333" s="10">
        <f t="shared" si="81"/>
        <v>0</v>
      </c>
      <c r="O333" s="8" t="str">
        <f>IFERROR(N333/N444, "NA")</f>
        <v>NA</v>
      </c>
      <c r="P333" s="9"/>
      <c r="Q333" s="7">
        <v>0</v>
      </c>
      <c r="R333" s="8" t="str">
        <f>IFERROR(Q333/Q444, "NA")</f>
        <v>NA</v>
      </c>
      <c r="S333" s="9"/>
      <c r="T333" s="7">
        <v>0</v>
      </c>
      <c r="U333" s="8" t="str">
        <f>IFERROR(T333/T444, "NA")</f>
        <v>NA</v>
      </c>
      <c r="V333" s="9"/>
      <c r="W333" s="10">
        <f t="shared" si="82"/>
        <v>0</v>
      </c>
      <c r="X333" s="8" t="str">
        <f>IFERROR(W333/W444, "NA")</f>
        <v>NA</v>
      </c>
      <c r="Y333" s="9"/>
      <c r="Z333" s="7">
        <v>0</v>
      </c>
      <c r="AA333" s="8" t="str">
        <f>IFERROR(Z333/Z444, "NA")</f>
        <v>NA</v>
      </c>
      <c r="AB333" s="9"/>
      <c r="AC333" s="10">
        <f t="shared" si="83"/>
        <v>0</v>
      </c>
      <c r="AD333" s="8" t="str">
        <f>IFERROR(AC333/AC444, "NA")</f>
        <v>NA</v>
      </c>
    </row>
    <row r="334" spans="1:30" ht="16.5" hidden="1" customHeight="1" x14ac:dyDescent="0.45">
      <c r="A334" s="6" t="s">
        <v>305</v>
      </c>
      <c r="B334" s="7">
        <v>0</v>
      </c>
      <c r="C334" s="8" t="str">
        <f>IFERROR(B334/B444, "NA")</f>
        <v>NA</v>
      </c>
      <c r="D334" s="9"/>
      <c r="E334" s="7">
        <v>0</v>
      </c>
      <c r="F334" s="8" t="str">
        <f>IFERROR(E334/E444, "NA")</f>
        <v>NA</v>
      </c>
      <c r="G334" s="9"/>
      <c r="H334" s="10">
        <f t="shared" si="80"/>
        <v>0</v>
      </c>
      <c r="I334" s="8" t="str">
        <f>IFERROR(H334/H444, "NA")</f>
        <v>NA</v>
      </c>
      <c r="J334" s="9"/>
      <c r="K334" s="7">
        <v>0</v>
      </c>
      <c r="L334" s="8" t="str">
        <f>IFERROR(K334/K444, "NA")</f>
        <v>NA</v>
      </c>
      <c r="M334" s="9"/>
      <c r="N334" s="10">
        <f t="shared" si="81"/>
        <v>0</v>
      </c>
      <c r="O334" s="8" t="str">
        <f>IFERROR(N334/N444, "NA")</f>
        <v>NA</v>
      </c>
      <c r="P334" s="9"/>
      <c r="Q334" s="7">
        <v>0</v>
      </c>
      <c r="R334" s="8" t="str">
        <f>IFERROR(Q334/Q444, "NA")</f>
        <v>NA</v>
      </c>
      <c r="S334" s="9"/>
      <c r="T334" s="7">
        <v>0</v>
      </c>
      <c r="U334" s="8" t="str">
        <f>IFERROR(T334/T444, "NA")</f>
        <v>NA</v>
      </c>
      <c r="V334" s="9"/>
      <c r="W334" s="10">
        <f t="shared" si="82"/>
        <v>0</v>
      </c>
      <c r="X334" s="8" t="str">
        <f>IFERROR(W334/W444, "NA")</f>
        <v>NA</v>
      </c>
      <c r="Y334" s="9"/>
      <c r="Z334" s="7">
        <v>0</v>
      </c>
      <c r="AA334" s="8" t="str">
        <f>IFERROR(Z334/Z444, "NA")</f>
        <v>NA</v>
      </c>
      <c r="AB334" s="9"/>
      <c r="AC334" s="10">
        <f t="shared" si="83"/>
        <v>0</v>
      </c>
      <c r="AD334" s="8" t="str">
        <f>IFERROR(AC334/AC444, "NA")</f>
        <v>NA</v>
      </c>
    </row>
    <row r="335" spans="1:30" ht="16.5" hidden="1" customHeight="1" x14ac:dyDescent="0.45">
      <c r="A335" s="6" t="s">
        <v>306</v>
      </c>
      <c r="B335" s="7">
        <v>0</v>
      </c>
      <c r="C335" s="8" t="str">
        <f>IFERROR(B335/B444, "NA")</f>
        <v>NA</v>
      </c>
      <c r="D335" s="9"/>
      <c r="E335" s="7">
        <v>0</v>
      </c>
      <c r="F335" s="8" t="str">
        <f>IFERROR(E335/E444, "NA")</f>
        <v>NA</v>
      </c>
      <c r="G335" s="9"/>
      <c r="H335" s="10">
        <f t="shared" si="80"/>
        <v>0</v>
      </c>
      <c r="I335" s="8" t="str">
        <f>IFERROR(H335/H444, "NA")</f>
        <v>NA</v>
      </c>
      <c r="J335" s="9"/>
      <c r="K335" s="7">
        <v>0</v>
      </c>
      <c r="L335" s="8" t="str">
        <f>IFERROR(K335/K444, "NA")</f>
        <v>NA</v>
      </c>
      <c r="M335" s="9"/>
      <c r="N335" s="10">
        <f t="shared" si="81"/>
        <v>0</v>
      </c>
      <c r="O335" s="8" t="str">
        <f>IFERROR(N335/N444, "NA")</f>
        <v>NA</v>
      </c>
      <c r="P335" s="9"/>
      <c r="Q335" s="7">
        <v>0</v>
      </c>
      <c r="R335" s="8" t="str">
        <f>IFERROR(Q335/Q444, "NA")</f>
        <v>NA</v>
      </c>
      <c r="S335" s="9"/>
      <c r="T335" s="7">
        <v>0</v>
      </c>
      <c r="U335" s="8" t="str">
        <f>IFERROR(T335/T444, "NA")</f>
        <v>NA</v>
      </c>
      <c r="V335" s="9"/>
      <c r="W335" s="10">
        <f t="shared" si="82"/>
        <v>0</v>
      </c>
      <c r="X335" s="8" t="str">
        <f>IFERROR(W335/W444, "NA")</f>
        <v>NA</v>
      </c>
      <c r="Y335" s="9"/>
      <c r="Z335" s="7">
        <v>0</v>
      </c>
      <c r="AA335" s="8" t="str">
        <f>IFERROR(Z335/Z444, "NA")</f>
        <v>NA</v>
      </c>
      <c r="AB335" s="9"/>
      <c r="AC335" s="10">
        <f t="shared" si="83"/>
        <v>0</v>
      </c>
      <c r="AD335" s="8" t="str">
        <f>IFERROR(AC335/AC444, "NA")</f>
        <v>NA</v>
      </c>
    </row>
    <row r="336" spans="1:30" ht="16.5" customHeight="1" x14ac:dyDescent="0.45">
      <c r="A336" s="11" t="s">
        <v>307</v>
      </c>
      <c r="B336" s="2"/>
      <c r="C336" s="3"/>
      <c r="D336" s="4"/>
      <c r="E336" s="2"/>
      <c r="F336" s="3"/>
      <c r="G336" s="4"/>
      <c r="H336" s="2"/>
      <c r="I336" s="3"/>
      <c r="J336" s="4"/>
      <c r="K336" s="2"/>
      <c r="L336" s="3"/>
      <c r="M336" s="4"/>
      <c r="N336" s="2"/>
      <c r="O336" s="3"/>
      <c r="P336" s="4"/>
      <c r="Q336" s="2"/>
      <c r="R336" s="3"/>
      <c r="S336" s="4"/>
      <c r="T336" s="2"/>
      <c r="U336" s="3"/>
      <c r="V336" s="4"/>
      <c r="W336" s="2"/>
      <c r="X336" s="3"/>
      <c r="Y336" s="4"/>
      <c r="Z336" s="2"/>
      <c r="AA336" s="3"/>
      <c r="AB336" s="4"/>
      <c r="AC336" s="2"/>
      <c r="AD336" s="3"/>
    </row>
    <row r="337" spans="1:30" ht="16.5" hidden="1" customHeight="1" x14ac:dyDescent="0.45">
      <c r="A337" s="12" t="s">
        <v>307</v>
      </c>
      <c r="B337" s="7">
        <v>0</v>
      </c>
      <c r="C337" s="8" t="str">
        <f>IFERROR(B337/B444, "NA")</f>
        <v>NA</v>
      </c>
      <c r="D337" s="9"/>
      <c r="E337" s="7">
        <v>0</v>
      </c>
      <c r="F337" s="8" t="str">
        <f>IFERROR(E337/E444, "NA")</f>
        <v>NA</v>
      </c>
      <c r="G337" s="9"/>
      <c r="H337" s="10">
        <f t="shared" ref="H337:H344" si="84">IFERROR(-(B337-E337), "NA")</f>
        <v>0</v>
      </c>
      <c r="I337" s="8" t="str">
        <f>IFERROR(H337/H444, "NA")</f>
        <v>NA</v>
      </c>
      <c r="J337" s="9"/>
      <c r="K337" s="7">
        <v>0</v>
      </c>
      <c r="L337" s="8" t="str">
        <f>IFERROR(K337/K444, "NA")</f>
        <v>NA</v>
      </c>
      <c r="M337" s="9"/>
      <c r="N337" s="10">
        <f t="shared" ref="N337:N344" si="85">IFERROR(-(B337-K337), "NA")</f>
        <v>0</v>
      </c>
      <c r="O337" s="8" t="str">
        <f>IFERROR(N337/N444, "NA")</f>
        <v>NA</v>
      </c>
      <c r="P337" s="9"/>
      <c r="Q337" s="7">
        <v>0</v>
      </c>
      <c r="R337" s="8" t="str">
        <f>IFERROR(Q337/Q444, "NA")</f>
        <v>NA</v>
      </c>
      <c r="S337" s="9"/>
      <c r="T337" s="7">
        <v>0</v>
      </c>
      <c r="U337" s="8" t="str">
        <f>IFERROR(T337/T444, "NA")</f>
        <v>NA</v>
      </c>
      <c r="V337" s="9"/>
      <c r="W337" s="10">
        <f t="shared" ref="W337:W344" si="86">IFERROR(-(Q337-T337), "NA")</f>
        <v>0</v>
      </c>
      <c r="X337" s="8" t="str">
        <f>IFERROR(W337/W444, "NA")</f>
        <v>NA</v>
      </c>
      <c r="Y337" s="9"/>
      <c r="Z337" s="7">
        <v>0</v>
      </c>
      <c r="AA337" s="8" t="str">
        <f>IFERROR(Z337/Z444, "NA")</f>
        <v>NA</v>
      </c>
      <c r="AB337" s="9"/>
      <c r="AC337" s="10">
        <f t="shared" ref="AC337:AC344" si="87">IFERROR(-(Q337-Z337), "NA")</f>
        <v>0</v>
      </c>
      <c r="AD337" s="8" t="str">
        <f>IFERROR(AC337/AC444, "NA")</f>
        <v>NA</v>
      </c>
    </row>
    <row r="338" spans="1:30" ht="16.5" hidden="1" customHeight="1" x14ac:dyDescent="0.45">
      <c r="A338" s="12" t="s">
        <v>308</v>
      </c>
      <c r="B338" s="7">
        <v>0</v>
      </c>
      <c r="C338" s="8" t="str">
        <f>IFERROR(B338/B444, "NA")</f>
        <v>NA</v>
      </c>
      <c r="D338" s="9"/>
      <c r="E338" s="7">
        <v>0</v>
      </c>
      <c r="F338" s="8" t="str">
        <f>IFERROR(E338/E444, "NA")</f>
        <v>NA</v>
      </c>
      <c r="G338" s="9"/>
      <c r="H338" s="10">
        <f t="shared" si="84"/>
        <v>0</v>
      </c>
      <c r="I338" s="8" t="str">
        <f>IFERROR(H338/H444, "NA")</f>
        <v>NA</v>
      </c>
      <c r="J338" s="9"/>
      <c r="K338" s="7">
        <v>0</v>
      </c>
      <c r="L338" s="8" t="str">
        <f>IFERROR(K338/K444, "NA")</f>
        <v>NA</v>
      </c>
      <c r="M338" s="9"/>
      <c r="N338" s="10">
        <f t="shared" si="85"/>
        <v>0</v>
      </c>
      <c r="O338" s="8" t="str">
        <f>IFERROR(N338/N444, "NA")</f>
        <v>NA</v>
      </c>
      <c r="P338" s="9"/>
      <c r="Q338" s="7">
        <v>0</v>
      </c>
      <c r="R338" s="8" t="str">
        <f>IFERROR(Q338/Q444, "NA")</f>
        <v>NA</v>
      </c>
      <c r="S338" s="9"/>
      <c r="T338" s="7">
        <v>0</v>
      </c>
      <c r="U338" s="8" t="str">
        <f>IFERROR(T338/T444, "NA")</f>
        <v>NA</v>
      </c>
      <c r="V338" s="9"/>
      <c r="W338" s="10">
        <f t="shared" si="86"/>
        <v>0</v>
      </c>
      <c r="X338" s="8" t="str">
        <f>IFERROR(W338/W444, "NA")</f>
        <v>NA</v>
      </c>
      <c r="Y338" s="9"/>
      <c r="Z338" s="7">
        <v>0</v>
      </c>
      <c r="AA338" s="8" t="str">
        <f>IFERROR(Z338/Z444, "NA")</f>
        <v>NA</v>
      </c>
      <c r="AB338" s="9"/>
      <c r="AC338" s="10">
        <f t="shared" si="87"/>
        <v>0</v>
      </c>
      <c r="AD338" s="8" t="str">
        <f>IFERROR(AC338/AC444, "NA")</f>
        <v>NA</v>
      </c>
    </row>
    <row r="339" spans="1:30" ht="16.5" hidden="1" customHeight="1" x14ac:dyDescent="0.45">
      <c r="A339" s="12" t="s">
        <v>309</v>
      </c>
      <c r="B339" s="7">
        <v>0</v>
      </c>
      <c r="C339" s="8" t="str">
        <f>IFERROR(B339/B444, "NA")</f>
        <v>NA</v>
      </c>
      <c r="D339" s="9"/>
      <c r="E339" s="7">
        <v>0</v>
      </c>
      <c r="F339" s="8" t="str">
        <f>IFERROR(E339/E444, "NA")</f>
        <v>NA</v>
      </c>
      <c r="G339" s="9"/>
      <c r="H339" s="10">
        <f t="shared" si="84"/>
        <v>0</v>
      </c>
      <c r="I339" s="8" t="str">
        <f>IFERROR(H339/H444, "NA")</f>
        <v>NA</v>
      </c>
      <c r="J339" s="9"/>
      <c r="K339" s="7">
        <v>0</v>
      </c>
      <c r="L339" s="8" t="str">
        <f>IFERROR(K339/K444, "NA")</f>
        <v>NA</v>
      </c>
      <c r="M339" s="9"/>
      <c r="N339" s="10">
        <f t="shared" si="85"/>
        <v>0</v>
      </c>
      <c r="O339" s="8" t="str">
        <f>IFERROR(N339/N444, "NA")</f>
        <v>NA</v>
      </c>
      <c r="P339" s="9"/>
      <c r="Q339" s="7">
        <v>0</v>
      </c>
      <c r="R339" s="8" t="str">
        <f>IFERROR(Q339/Q444, "NA")</f>
        <v>NA</v>
      </c>
      <c r="S339" s="9"/>
      <c r="T339" s="7">
        <v>0</v>
      </c>
      <c r="U339" s="8" t="str">
        <f>IFERROR(T339/T444, "NA")</f>
        <v>NA</v>
      </c>
      <c r="V339" s="9"/>
      <c r="W339" s="10">
        <f t="shared" si="86"/>
        <v>0</v>
      </c>
      <c r="X339" s="8" t="str">
        <f>IFERROR(W339/W444, "NA")</f>
        <v>NA</v>
      </c>
      <c r="Y339" s="9"/>
      <c r="Z339" s="7">
        <v>0</v>
      </c>
      <c r="AA339" s="8" t="str">
        <f>IFERROR(Z339/Z444, "NA")</f>
        <v>NA</v>
      </c>
      <c r="AB339" s="9"/>
      <c r="AC339" s="10">
        <f t="shared" si="87"/>
        <v>0</v>
      </c>
      <c r="AD339" s="8" t="str">
        <f>IFERROR(AC339/AC444, "NA")</f>
        <v>NA</v>
      </c>
    </row>
    <row r="340" spans="1:30" ht="16.5" hidden="1" customHeight="1" x14ac:dyDescent="0.45">
      <c r="A340" s="12" t="s">
        <v>310</v>
      </c>
      <c r="B340" s="7">
        <v>0</v>
      </c>
      <c r="C340" s="8" t="str">
        <f>IFERROR(B340/B444, "NA")</f>
        <v>NA</v>
      </c>
      <c r="D340" s="9"/>
      <c r="E340" s="7">
        <v>0</v>
      </c>
      <c r="F340" s="8" t="str">
        <f>IFERROR(E340/E444, "NA")</f>
        <v>NA</v>
      </c>
      <c r="G340" s="9"/>
      <c r="H340" s="10">
        <f t="shared" si="84"/>
        <v>0</v>
      </c>
      <c r="I340" s="8" t="str">
        <f>IFERROR(H340/H444, "NA")</f>
        <v>NA</v>
      </c>
      <c r="J340" s="9"/>
      <c r="K340" s="7">
        <v>0</v>
      </c>
      <c r="L340" s="8" t="str">
        <f>IFERROR(K340/K444, "NA")</f>
        <v>NA</v>
      </c>
      <c r="M340" s="9"/>
      <c r="N340" s="10">
        <f t="shared" si="85"/>
        <v>0</v>
      </c>
      <c r="O340" s="8" t="str">
        <f>IFERROR(N340/N444, "NA")</f>
        <v>NA</v>
      </c>
      <c r="P340" s="9"/>
      <c r="Q340" s="7">
        <v>0</v>
      </c>
      <c r="R340" s="8" t="str">
        <f>IFERROR(Q340/Q444, "NA")</f>
        <v>NA</v>
      </c>
      <c r="S340" s="9"/>
      <c r="T340" s="7">
        <v>0</v>
      </c>
      <c r="U340" s="8" t="str">
        <f>IFERROR(T340/T444, "NA")</f>
        <v>NA</v>
      </c>
      <c r="V340" s="9"/>
      <c r="W340" s="10">
        <f t="shared" si="86"/>
        <v>0</v>
      </c>
      <c r="X340" s="8" t="str">
        <f>IFERROR(W340/W444, "NA")</f>
        <v>NA</v>
      </c>
      <c r="Y340" s="9"/>
      <c r="Z340" s="7">
        <v>0</v>
      </c>
      <c r="AA340" s="8" t="str">
        <f>IFERROR(Z340/Z444, "NA")</f>
        <v>NA</v>
      </c>
      <c r="AB340" s="9"/>
      <c r="AC340" s="10">
        <f t="shared" si="87"/>
        <v>0</v>
      </c>
      <c r="AD340" s="8" t="str">
        <f>IFERROR(AC340/AC444, "NA")</f>
        <v>NA</v>
      </c>
    </row>
    <row r="341" spans="1:30" ht="16.5" hidden="1" customHeight="1" x14ac:dyDescent="0.45">
      <c r="A341" s="12" t="s">
        <v>311</v>
      </c>
      <c r="B341" s="7">
        <v>0</v>
      </c>
      <c r="C341" s="8" t="str">
        <f>IFERROR(B341/B444, "NA")</f>
        <v>NA</v>
      </c>
      <c r="D341" s="9"/>
      <c r="E341" s="7">
        <v>0</v>
      </c>
      <c r="F341" s="8" t="str">
        <f>IFERROR(E341/E444, "NA")</f>
        <v>NA</v>
      </c>
      <c r="G341" s="9"/>
      <c r="H341" s="10">
        <f t="shared" si="84"/>
        <v>0</v>
      </c>
      <c r="I341" s="8" t="str">
        <f>IFERROR(H341/H444, "NA")</f>
        <v>NA</v>
      </c>
      <c r="J341" s="9"/>
      <c r="K341" s="7">
        <v>0</v>
      </c>
      <c r="L341" s="8" t="str">
        <f>IFERROR(K341/K444, "NA")</f>
        <v>NA</v>
      </c>
      <c r="M341" s="9"/>
      <c r="N341" s="10">
        <f t="shared" si="85"/>
        <v>0</v>
      </c>
      <c r="O341" s="8" t="str">
        <f>IFERROR(N341/N444, "NA")</f>
        <v>NA</v>
      </c>
      <c r="P341" s="9"/>
      <c r="Q341" s="7">
        <v>0</v>
      </c>
      <c r="R341" s="8" t="str">
        <f>IFERROR(Q341/Q444, "NA")</f>
        <v>NA</v>
      </c>
      <c r="S341" s="9"/>
      <c r="T341" s="7">
        <v>0</v>
      </c>
      <c r="U341" s="8" t="str">
        <f>IFERROR(T341/T444, "NA")</f>
        <v>NA</v>
      </c>
      <c r="V341" s="9"/>
      <c r="W341" s="10">
        <f t="shared" si="86"/>
        <v>0</v>
      </c>
      <c r="X341" s="8" t="str">
        <f>IFERROR(W341/W444, "NA")</f>
        <v>NA</v>
      </c>
      <c r="Y341" s="9"/>
      <c r="Z341" s="7">
        <v>0</v>
      </c>
      <c r="AA341" s="8" t="str">
        <f>IFERROR(Z341/Z444, "NA")</f>
        <v>NA</v>
      </c>
      <c r="AB341" s="9"/>
      <c r="AC341" s="10">
        <f t="shared" si="87"/>
        <v>0</v>
      </c>
      <c r="AD341" s="8" t="str">
        <f>IFERROR(AC341/AC444, "NA")</f>
        <v>NA</v>
      </c>
    </row>
    <row r="342" spans="1:30" ht="16.5" customHeight="1" x14ac:dyDescent="0.45">
      <c r="A342" s="13" t="s">
        <v>312</v>
      </c>
      <c r="B342" s="14">
        <f>IFERROR(B337+B338+B339+B340+B341, "NA")</f>
        <v>0</v>
      </c>
      <c r="C342" s="15" t="str">
        <f>IFERROR(B342/B444, "NA")</f>
        <v>NA</v>
      </c>
      <c r="D342" s="2"/>
      <c r="E342" s="14">
        <f>IFERROR(E337+E338+E339+E340+E341, "NA")</f>
        <v>0</v>
      </c>
      <c r="F342" s="15" t="str">
        <f>IFERROR(E342/E444, "NA")</f>
        <v>NA</v>
      </c>
      <c r="G342" s="2"/>
      <c r="H342" s="14">
        <f t="shared" si="84"/>
        <v>0</v>
      </c>
      <c r="I342" s="15" t="str">
        <f>IFERROR(H342/H444, "NA")</f>
        <v>NA</v>
      </c>
      <c r="J342" s="2"/>
      <c r="K342" s="14">
        <f>IFERROR(K337+K338+K339+K340+K341, "NA")</f>
        <v>0</v>
      </c>
      <c r="L342" s="15" t="str">
        <f>IFERROR(K342/K444, "NA")</f>
        <v>NA</v>
      </c>
      <c r="M342" s="2"/>
      <c r="N342" s="14">
        <f t="shared" si="85"/>
        <v>0</v>
      </c>
      <c r="O342" s="15" t="str">
        <f>IFERROR(N342/N444, "NA")</f>
        <v>NA</v>
      </c>
      <c r="P342" s="2"/>
      <c r="Q342" s="14">
        <f>IFERROR(Q337+Q338+Q339+Q340+Q341, "NA")</f>
        <v>0</v>
      </c>
      <c r="R342" s="15" t="str">
        <f>IFERROR(Q342/Q444, "NA")</f>
        <v>NA</v>
      </c>
      <c r="S342" s="2"/>
      <c r="T342" s="14">
        <f>IFERROR(T337+T338+T339+T340+T341, "NA")</f>
        <v>0</v>
      </c>
      <c r="U342" s="15" t="str">
        <f>IFERROR(T342/T444, "NA")</f>
        <v>NA</v>
      </c>
      <c r="V342" s="2"/>
      <c r="W342" s="14">
        <f t="shared" si="86"/>
        <v>0</v>
      </c>
      <c r="X342" s="15" t="str">
        <f>IFERROR(W342/W444, "NA")</f>
        <v>NA</v>
      </c>
      <c r="Y342" s="2"/>
      <c r="Z342" s="14">
        <f>IFERROR(Z337+Z338+Z339+Z340+Z341, "NA")</f>
        <v>0</v>
      </c>
      <c r="AA342" s="15" t="str">
        <f>IFERROR(Z342/Z444, "NA")</f>
        <v>NA</v>
      </c>
      <c r="AB342" s="2"/>
      <c r="AC342" s="14">
        <f t="shared" si="87"/>
        <v>0</v>
      </c>
      <c r="AD342" s="15" t="str">
        <f>IFERROR(AC342/AC444, "NA")</f>
        <v>NA</v>
      </c>
    </row>
    <row r="343" spans="1:30" ht="16.5" customHeight="1" x14ac:dyDescent="0.45">
      <c r="A343" s="19" t="s">
        <v>313</v>
      </c>
      <c r="B343" s="14">
        <f>IFERROR(B328+B329+B330+B331+B332+B333+B334+B335+B337+B338+B339+B340+B341, "NA")</f>
        <v>0</v>
      </c>
      <c r="C343" s="15" t="str">
        <f>IFERROR(B343/B444, "NA")</f>
        <v>NA</v>
      </c>
      <c r="D343" s="2"/>
      <c r="E343" s="14">
        <f>IFERROR(E328+E329+E330+E331+E332+E333+E334+E335+E337+E338+E339+E340+E341, "NA")</f>
        <v>0</v>
      </c>
      <c r="F343" s="15" t="str">
        <f>IFERROR(E343/E444, "NA")</f>
        <v>NA</v>
      </c>
      <c r="G343" s="2"/>
      <c r="H343" s="14">
        <f t="shared" si="84"/>
        <v>0</v>
      </c>
      <c r="I343" s="15" t="str">
        <f>IFERROR(H343/H444, "NA")</f>
        <v>NA</v>
      </c>
      <c r="J343" s="2"/>
      <c r="K343" s="14">
        <f>IFERROR(K328+K329+K330+K331+K332+K333+K334+K335+K337+K338+K339+K340+K341, "NA")</f>
        <v>0</v>
      </c>
      <c r="L343" s="15" t="str">
        <f>IFERROR(K343/K444, "NA")</f>
        <v>NA</v>
      </c>
      <c r="M343" s="2"/>
      <c r="N343" s="14">
        <f t="shared" si="85"/>
        <v>0</v>
      </c>
      <c r="O343" s="15" t="str">
        <f>IFERROR(N343/N444, "NA")</f>
        <v>NA</v>
      </c>
      <c r="P343" s="2"/>
      <c r="Q343" s="14">
        <f>IFERROR(Q328+Q329+Q330+Q331+Q332+Q333+Q334+Q335+Q337+Q338+Q339+Q340+Q341, "NA")</f>
        <v>0</v>
      </c>
      <c r="R343" s="15" t="str">
        <f>IFERROR(Q343/Q444, "NA")</f>
        <v>NA</v>
      </c>
      <c r="S343" s="2"/>
      <c r="T343" s="14">
        <f>IFERROR(T328+T329+T330+T331+T332+T333+T334+T335+T337+T338+T339+T340+T341, "NA")</f>
        <v>0</v>
      </c>
      <c r="U343" s="15" t="str">
        <f>IFERROR(T343/T444, "NA")</f>
        <v>NA</v>
      </c>
      <c r="V343" s="2"/>
      <c r="W343" s="14">
        <f t="shared" si="86"/>
        <v>0</v>
      </c>
      <c r="X343" s="15" t="str">
        <f>IFERROR(W343/W444, "NA")</f>
        <v>NA</v>
      </c>
      <c r="Y343" s="2"/>
      <c r="Z343" s="14">
        <f>IFERROR(Z328+Z329+Z330+Z331+Z332+Z333+Z334+Z335+Z337+Z338+Z339+Z340+Z341, "NA")</f>
        <v>0</v>
      </c>
      <c r="AA343" s="15" t="str">
        <f>IFERROR(Z343/Z444, "NA")</f>
        <v>NA</v>
      </c>
      <c r="AB343" s="2"/>
      <c r="AC343" s="14">
        <f t="shared" si="87"/>
        <v>0</v>
      </c>
      <c r="AD343" s="15" t="str">
        <f>IFERROR(AC343/AC444, "NA")</f>
        <v>NA</v>
      </c>
    </row>
    <row r="344" spans="1:30" ht="16.5" customHeight="1" x14ac:dyDescent="0.45">
      <c r="A344" s="21" t="s">
        <v>314</v>
      </c>
      <c r="B344" s="14">
        <f>IFERROR(B328+B329+B330+B331+B332+B333+B334+B335+B337+B338+B339+B340+B341, "NA")</f>
        <v>0</v>
      </c>
      <c r="C344" s="15" t="str">
        <f>IFERROR(B344/B444, "NA")</f>
        <v>NA</v>
      </c>
      <c r="D344" s="2"/>
      <c r="E344" s="14">
        <f>IFERROR(E328+E329+E330+E331+E332+E333+E334+E335+E337+E338+E339+E340+E341, "NA")</f>
        <v>0</v>
      </c>
      <c r="F344" s="15" t="str">
        <f>IFERROR(E344/E444, "NA")</f>
        <v>NA</v>
      </c>
      <c r="G344" s="2"/>
      <c r="H344" s="14">
        <f t="shared" si="84"/>
        <v>0</v>
      </c>
      <c r="I344" s="15" t="str">
        <f>IFERROR(H344/H444, "NA")</f>
        <v>NA</v>
      </c>
      <c r="J344" s="2"/>
      <c r="K344" s="14">
        <f>IFERROR(K328+K329+K330+K331+K332+K333+K334+K335+K337+K338+K339+K340+K341, "NA")</f>
        <v>0</v>
      </c>
      <c r="L344" s="15" t="str">
        <f>IFERROR(K344/K444, "NA")</f>
        <v>NA</v>
      </c>
      <c r="M344" s="2"/>
      <c r="N344" s="14">
        <f t="shared" si="85"/>
        <v>0</v>
      </c>
      <c r="O344" s="15" t="str">
        <f>IFERROR(N344/N444, "NA")</f>
        <v>NA</v>
      </c>
      <c r="P344" s="2"/>
      <c r="Q344" s="14">
        <f>IFERROR(Q328+Q329+Q330+Q331+Q332+Q333+Q334+Q335+Q337+Q338+Q339+Q340+Q341, "NA")</f>
        <v>0</v>
      </c>
      <c r="R344" s="15" t="str">
        <f>IFERROR(Q344/Q444, "NA")</f>
        <v>NA</v>
      </c>
      <c r="S344" s="2"/>
      <c r="T344" s="14">
        <f>IFERROR(T328+T329+T330+T331+T332+T333+T334+T335+T337+T338+T339+T340+T341, "NA")</f>
        <v>0</v>
      </c>
      <c r="U344" s="15" t="str">
        <f>IFERROR(T344/T444, "NA")</f>
        <v>NA</v>
      </c>
      <c r="V344" s="2"/>
      <c r="W344" s="14">
        <f t="shared" si="86"/>
        <v>0</v>
      </c>
      <c r="X344" s="15" t="str">
        <f>IFERROR(W344/W444, "NA")</f>
        <v>NA</v>
      </c>
      <c r="Y344" s="2"/>
      <c r="Z344" s="14">
        <f>IFERROR(Z328+Z329+Z330+Z331+Z332+Z333+Z334+Z335+Z337+Z338+Z339+Z340+Z341, "NA")</f>
        <v>0</v>
      </c>
      <c r="AA344" s="15" t="str">
        <f>IFERROR(Z344/Z444, "NA")</f>
        <v>NA</v>
      </c>
      <c r="AB344" s="2"/>
      <c r="AC344" s="14">
        <f t="shared" si="87"/>
        <v>0</v>
      </c>
      <c r="AD344" s="15" t="str">
        <f>IFERROR(AC344/AC444, "NA")</f>
        <v>NA</v>
      </c>
    </row>
    <row r="345" spans="1:30" ht="16.5" customHeight="1" x14ac:dyDescent="0.45">
      <c r="A345" s="22" t="s">
        <v>315</v>
      </c>
      <c r="B345" s="23">
        <f>IFERROR(B198-B325-B344, "NA")</f>
        <v>0</v>
      </c>
      <c r="C345" s="24" t="str">
        <f>IFERROR(B345/B444, "NA")</f>
        <v>NA</v>
      </c>
      <c r="D345" s="25"/>
      <c r="E345" s="23">
        <f>IFERROR(E198-E325-E344, "NA")</f>
        <v>0</v>
      </c>
      <c r="F345" s="24" t="str">
        <f>IFERROR(E345/E444, "NA")</f>
        <v>NA</v>
      </c>
      <c r="G345" s="25"/>
      <c r="H345" s="23">
        <f>IFERROR(B345-E345, "NA")</f>
        <v>0</v>
      </c>
      <c r="I345" s="24" t="str">
        <f>IFERROR(H345/H444, "NA")</f>
        <v>NA</v>
      </c>
      <c r="J345" s="25"/>
      <c r="K345" s="23">
        <f>IFERROR(K198-K325-K344, "NA")</f>
        <v>0</v>
      </c>
      <c r="L345" s="24" t="str">
        <f>IFERROR(K345/K444, "NA")</f>
        <v>NA</v>
      </c>
      <c r="M345" s="25"/>
      <c r="N345" s="23">
        <f>IFERROR(B345-K345, "NA")</f>
        <v>0</v>
      </c>
      <c r="O345" s="24" t="str">
        <f>IFERROR(N345/N444, "NA")</f>
        <v>NA</v>
      </c>
      <c r="P345" s="25"/>
      <c r="Q345" s="23">
        <f>IFERROR(Q198-Q325-Q344, "NA")</f>
        <v>0</v>
      </c>
      <c r="R345" s="24" t="str">
        <f>IFERROR(Q345/Q444, "NA")</f>
        <v>NA</v>
      </c>
      <c r="S345" s="25"/>
      <c r="T345" s="23">
        <f>IFERROR(T198-T325-T344, "NA")</f>
        <v>0</v>
      </c>
      <c r="U345" s="24" t="str">
        <f>IFERROR(T345/T444, "NA")</f>
        <v>NA</v>
      </c>
      <c r="V345" s="25"/>
      <c r="W345" s="23">
        <f>IFERROR(Q345-T345, "NA")</f>
        <v>0</v>
      </c>
      <c r="X345" s="24" t="str">
        <f>IFERROR(W345/W444, "NA")</f>
        <v>NA</v>
      </c>
      <c r="Y345" s="25"/>
      <c r="Z345" s="23">
        <f>IFERROR(Z198-Z325-Z344, "NA")</f>
        <v>0</v>
      </c>
      <c r="AA345" s="24" t="str">
        <f>IFERROR(Z345/Z444, "NA")</f>
        <v>NA</v>
      </c>
      <c r="AB345" s="25"/>
      <c r="AC345" s="23">
        <f>IFERROR(Q345-Z345, "NA")</f>
        <v>0</v>
      </c>
      <c r="AD345" s="24" t="str">
        <f>IFERROR(AC345/AC444, "NA")</f>
        <v>NA</v>
      </c>
    </row>
    <row r="346" spans="1:30" ht="16.5" customHeight="1" x14ac:dyDescent="0.45">
      <c r="A346" s="1" t="s">
        <v>316</v>
      </c>
      <c r="B346" s="2"/>
      <c r="C346" s="3"/>
      <c r="D346" s="4"/>
      <c r="E346" s="2"/>
      <c r="F346" s="3"/>
      <c r="G346" s="4"/>
      <c r="H346" s="2"/>
      <c r="I346" s="3"/>
      <c r="J346" s="4"/>
      <c r="K346" s="2"/>
      <c r="L346" s="3"/>
      <c r="M346" s="4"/>
      <c r="N346" s="2"/>
      <c r="O346" s="3"/>
      <c r="P346" s="4"/>
      <c r="Q346" s="2"/>
      <c r="R346" s="3"/>
      <c r="S346" s="4"/>
      <c r="T346" s="2"/>
      <c r="U346" s="3"/>
      <c r="V346" s="4"/>
      <c r="W346" s="2"/>
      <c r="X346" s="3"/>
      <c r="Y346" s="4"/>
      <c r="Z346" s="2"/>
      <c r="AA346" s="3"/>
      <c r="AB346" s="4"/>
      <c r="AC346" s="2"/>
      <c r="AD346" s="3"/>
    </row>
    <row r="347" spans="1:30" ht="16.5" hidden="1" customHeight="1" x14ac:dyDescent="0.45">
      <c r="A347" s="20" t="s">
        <v>317</v>
      </c>
      <c r="B347" s="7">
        <v>0</v>
      </c>
      <c r="C347" s="8" t="str">
        <f>IFERROR(B347/B444, "NA")</f>
        <v>NA</v>
      </c>
      <c r="D347" s="9"/>
      <c r="E347" s="7">
        <v>0</v>
      </c>
      <c r="F347" s="8" t="str">
        <f>IFERROR(E347/E444, "NA")</f>
        <v>NA</v>
      </c>
      <c r="G347" s="9"/>
      <c r="H347" s="10">
        <f>IFERROR(-(B347-E347), "NA")</f>
        <v>0</v>
      </c>
      <c r="I347" s="8" t="str">
        <f>IFERROR(H347/H444, "NA")</f>
        <v>NA</v>
      </c>
      <c r="J347" s="9"/>
      <c r="K347" s="7">
        <v>0</v>
      </c>
      <c r="L347" s="8" t="str">
        <f>IFERROR(K347/K444, "NA")</f>
        <v>NA</v>
      </c>
      <c r="M347" s="9"/>
      <c r="N347" s="10">
        <f>IFERROR(-(B347-K347), "NA")</f>
        <v>0</v>
      </c>
      <c r="O347" s="8" t="str">
        <f>IFERROR(N347/N444, "NA")</f>
        <v>NA</v>
      </c>
      <c r="P347" s="9"/>
      <c r="Q347" s="7">
        <v>0</v>
      </c>
      <c r="R347" s="8" t="str">
        <f>IFERROR(Q347/Q444, "NA")</f>
        <v>NA</v>
      </c>
      <c r="S347" s="9"/>
      <c r="T347" s="7">
        <v>0</v>
      </c>
      <c r="U347" s="8" t="str">
        <f>IFERROR(T347/T444, "NA")</f>
        <v>NA</v>
      </c>
      <c r="V347" s="9"/>
      <c r="W347" s="10">
        <f>IFERROR(-(Q347-T347), "NA")</f>
        <v>0</v>
      </c>
      <c r="X347" s="8" t="str">
        <f>IFERROR(W347/W444, "NA")</f>
        <v>NA</v>
      </c>
      <c r="Y347" s="9"/>
      <c r="Z347" s="7">
        <v>0</v>
      </c>
      <c r="AA347" s="8" t="str">
        <f>IFERROR(Z347/Z444, "NA")</f>
        <v>NA</v>
      </c>
      <c r="AB347" s="9"/>
      <c r="AC347" s="10">
        <f>IFERROR(-(Q347-Z347), "NA")</f>
        <v>0</v>
      </c>
      <c r="AD347" s="8" t="str">
        <f>IFERROR(AC347/AC444, "NA")</f>
        <v>NA</v>
      </c>
    </row>
    <row r="348" spans="1:30" ht="16.5" customHeight="1" x14ac:dyDescent="0.45">
      <c r="A348" s="5" t="s">
        <v>318</v>
      </c>
      <c r="B348" s="2"/>
      <c r="C348" s="3"/>
      <c r="D348" s="4"/>
      <c r="E348" s="2"/>
      <c r="F348" s="3"/>
      <c r="G348" s="4"/>
      <c r="H348" s="2"/>
      <c r="I348" s="3"/>
      <c r="J348" s="4"/>
      <c r="K348" s="2"/>
      <c r="L348" s="3"/>
      <c r="M348" s="4"/>
      <c r="N348" s="2"/>
      <c r="O348" s="3"/>
      <c r="P348" s="4"/>
      <c r="Q348" s="2"/>
      <c r="R348" s="3"/>
      <c r="S348" s="4"/>
      <c r="T348" s="2"/>
      <c r="U348" s="3"/>
      <c r="V348" s="4"/>
      <c r="W348" s="2"/>
      <c r="X348" s="3"/>
      <c r="Y348" s="4"/>
      <c r="Z348" s="2"/>
      <c r="AA348" s="3"/>
      <c r="AB348" s="4"/>
      <c r="AC348" s="2"/>
      <c r="AD348" s="3"/>
    </row>
    <row r="349" spans="1:30" ht="16.5" hidden="1" customHeight="1" x14ac:dyDescent="0.45">
      <c r="A349" s="6" t="s">
        <v>318</v>
      </c>
      <c r="B349" s="7">
        <v>0</v>
      </c>
      <c r="C349" s="8" t="str">
        <f>IFERROR(B349/B444, "NA")</f>
        <v>NA</v>
      </c>
      <c r="D349" s="9"/>
      <c r="E349" s="7">
        <v>0</v>
      </c>
      <c r="F349" s="8" t="str">
        <f>IFERROR(E349/E444, "NA")</f>
        <v>NA</v>
      </c>
      <c r="G349" s="9"/>
      <c r="H349" s="10">
        <f t="shared" ref="H349:H358" si="88">IFERROR(-(B349-E349), "NA")</f>
        <v>0</v>
      </c>
      <c r="I349" s="8" t="str">
        <f>IFERROR(H349/H444, "NA")</f>
        <v>NA</v>
      </c>
      <c r="J349" s="9"/>
      <c r="K349" s="7">
        <v>0</v>
      </c>
      <c r="L349" s="8" t="str">
        <f>IFERROR(K349/K444, "NA")</f>
        <v>NA</v>
      </c>
      <c r="M349" s="9"/>
      <c r="N349" s="10">
        <f t="shared" ref="N349:N358" si="89">IFERROR(-(B349-K349), "NA")</f>
        <v>0</v>
      </c>
      <c r="O349" s="8" t="str">
        <f>IFERROR(N349/N444, "NA")</f>
        <v>NA</v>
      </c>
      <c r="P349" s="9"/>
      <c r="Q349" s="7">
        <v>0</v>
      </c>
      <c r="R349" s="8" t="str">
        <f>IFERROR(Q349/Q444, "NA")</f>
        <v>NA</v>
      </c>
      <c r="S349" s="9"/>
      <c r="T349" s="7">
        <v>0</v>
      </c>
      <c r="U349" s="8" t="str">
        <f>IFERROR(T349/T444, "NA")</f>
        <v>NA</v>
      </c>
      <c r="V349" s="9"/>
      <c r="W349" s="10">
        <f t="shared" ref="W349:W358" si="90">IFERROR(-(Q349-T349), "NA")</f>
        <v>0</v>
      </c>
      <c r="X349" s="8" t="str">
        <f>IFERROR(W349/W444, "NA")</f>
        <v>NA</v>
      </c>
      <c r="Y349" s="9"/>
      <c r="Z349" s="7">
        <v>0</v>
      </c>
      <c r="AA349" s="8" t="str">
        <f>IFERROR(Z349/Z444, "NA")</f>
        <v>NA</v>
      </c>
      <c r="AB349" s="9"/>
      <c r="AC349" s="10">
        <f t="shared" ref="AC349:AC358" si="91">IFERROR(-(Q349-Z349), "NA")</f>
        <v>0</v>
      </c>
      <c r="AD349" s="8" t="str">
        <f>IFERROR(AC349/AC444, "NA")</f>
        <v>NA</v>
      </c>
    </row>
    <row r="350" spans="1:30" ht="16.5" customHeight="1" x14ac:dyDescent="0.45">
      <c r="A350" s="6" t="s">
        <v>319</v>
      </c>
      <c r="B350" s="7">
        <v>35403.839999999997</v>
      </c>
      <c r="C350" s="8" t="str">
        <f>IFERROR(B350/B444, "NA")</f>
        <v>NA</v>
      </c>
      <c r="D350" s="9"/>
      <c r="E350" s="7">
        <v>36000</v>
      </c>
      <c r="F350" s="8" t="str">
        <f>IFERROR(E350/E444, "NA")</f>
        <v>NA</v>
      </c>
      <c r="G350" s="9"/>
      <c r="H350" s="10">
        <f t="shared" si="88"/>
        <v>596.16000000000349</v>
      </c>
      <c r="I350" s="8" t="str">
        <f>IFERROR(H350/H444, "NA")</f>
        <v>NA</v>
      </c>
      <c r="J350" s="9"/>
      <c r="K350" s="7">
        <v>60610.54</v>
      </c>
      <c r="L350" s="8" t="str">
        <f>IFERROR(K350/K444, "NA")</f>
        <v>NA</v>
      </c>
      <c r="M350" s="9"/>
      <c r="N350" s="10">
        <f t="shared" si="89"/>
        <v>25206.700000000004</v>
      </c>
      <c r="O350" s="8" t="str">
        <f>IFERROR(N350/N444, "NA")</f>
        <v>NA</v>
      </c>
      <c r="P350" s="9"/>
      <c r="Q350" s="7">
        <v>35403.839999999997</v>
      </c>
      <c r="R350" s="8" t="str">
        <f>IFERROR(Q350/Q444, "NA")</f>
        <v>NA</v>
      </c>
      <c r="S350" s="9"/>
      <c r="T350" s="7">
        <v>36000</v>
      </c>
      <c r="U350" s="8" t="str">
        <f>IFERROR(T350/T444, "NA")</f>
        <v>NA</v>
      </c>
      <c r="V350" s="9"/>
      <c r="W350" s="10">
        <f t="shared" si="90"/>
        <v>596.16000000000349</v>
      </c>
      <c r="X350" s="8" t="str">
        <f>IFERROR(W350/W444, "NA")</f>
        <v>NA</v>
      </c>
      <c r="Y350" s="9"/>
      <c r="Z350" s="7">
        <v>60610.54</v>
      </c>
      <c r="AA350" s="8" t="str">
        <f>IFERROR(Z350/Z444, "NA")</f>
        <v>NA</v>
      </c>
      <c r="AB350" s="9"/>
      <c r="AC350" s="10">
        <f t="shared" si="91"/>
        <v>25206.700000000004</v>
      </c>
      <c r="AD350" s="8" t="str">
        <f>IFERROR(AC350/AC444, "NA")</f>
        <v>NA</v>
      </c>
    </row>
    <row r="351" spans="1:30" ht="16.5" hidden="1" customHeight="1" x14ac:dyDescent="0.45">
      <c r="A351" s="6" t="s">
        <v>320</v>
      </c>
      <c r="B351" s="7">
        <v>0</v>
      </c>
      <c r="C351" s="8" t="str">
        <f>IFERROR(B351/B444, "NA")</f>
        <v>NA</v>
      </c>
      <c r="D351" s="9"/>
      <c r="E351" s="7">
        <v>0</v>
      </c>
      <c r="F351" s="8" t="str">
        <f>IFERROR(E351/E444, "NA")</f>
        <v>NA</v>
      </c>
      <c r="G351" s="9"/>
      <c r="H351" s="10">
        <f t="shared" si="88"/>
        <v>0</v>
      </c>
      <c r="I351" s="8" t="str">
        <f>IFERROR(H351/H444, "NA")</f>
        <v>NA</v>
      </c>
      <c r="J351" s="9"/>
      <c r="K351" s="7">
        <v>0</v>
      </c>
      <c r="L351" s="8" t="str">
        <f>IFERROR(K351/K444, "NA")</f>
        <v>NA</v>
      </c>
      <c r="M351" s="9"/>
      <c r="N351" s="10">
        <f t="shared" si="89"/>
        <v>0</v>
      </c>
      <c r="O351" s="8" t="str">
        <f>IFERROR(N351/N444, "NA")</f>
        <v>NA</v>
      </c>
      <c r="P351" s="9"/>
      <c r="Q351" s="7">
        <v>0</v>
      </c>
      <c r="R351" s="8" t="str">
        <f>IFERROR(Q351/Q444, "NA")</f>
        <v>NA</v>
      </c>
      <c r="S351" s="9"/>
      <c r="T351" s="7">
        <v>0</v>
      </c>
      <c r="U351" s="8" t="str">
        <f>IFERROR(T351/T444, "NA")</f>
        <v>NA</v>
      </c>
      <c r="V351" s="9"/>
      <c r="W351" s="10">
        <f t="shared" si="90"/>
        <v>0</v>
      </c>
      <c r="X351" s="8" t="str">
        <f>IFERROR(W351/W444, "NA")</f>
        <v>NA</v>
      </c>
      <c r="Y351" s="9"/>
      <c r="Z351" s="7">
        <v>0</v>
      </c>
      <c r="AA351" s="8" t="str">
        <f>IFERROR(Z351/Z444, "NA")</f>
        <v>NA</v>
      </c>
      <c r="AB351" s="9"/>
      <c r="AC351" s="10">
        <f t="shared" si="91"/>
        <v>0</v>
      </c>
      <c r="AD351" s="8" t="str">
        <f>IFERROR(AC351/AC444, "NA")</f>
        <v>NA</v>
      </c>
    </row>
    <row r="352" spans="1:30" ht="16.5" hidden="1" customHeight="1" x14ac:dyDescent="0.45">
      <c r="A352" s="6" t="s">
        <v>321</v>
      </c>
      <c r="B352" s="7">
        <v>0</v>
      </c>
      <c r="C352" s="8" t="str">
        <f>IFERROR(B352/B444, "NA")</f>
        <v>NA</v>
      </c>
      <c r="D352" s="9"/>
      <c r="E352" s="7">
        <v>0</v>
      </c>
      <c r="F352" s="8" t="str">
        <f>IFERROR(E352/E444, "NA")</f>
        <v>NA</v>
      </c>
      <c r="G352" s="9"/>
      <c r="H352" s="10">
        <f t="shared" si="88"/>
        <v>0</v>
      </c>
      <c r="I352" s="8" t="str">
        <f>IFERROR(H352/H444, "NA")</f>
        <v>NA</v>
      </c>
      <c r="J352" s="9"/>
      <c r="K352" s="7">
        <v>0</v>
      </c>
      <c r="L352" s="8" t="str">
        <f>IFERROR(K352/K444, "NA")</f>
        <v>NA</v>
      </c>
      <c r="M352" s="9"/>
      <c r="N352" s="10">
        <f t="shared" si="89"/>
        <v>0</v>
      </c>
      <c r="O352" s="8" t="str">
        <f>IFERROR(N352/N444, "NA")</f>
        <v>NA</v>
      </c>
      <c r="P352" s="9"/>
      <c r="Q352" s="7">
        <v>0</v>
      </c>
      <c r="R352" s="8" t="str">
        <f>IFERROR(Q352/Q444, "NA")</f>
        <v>NA</v>
      </c>
      <c r="S352" s="9"/>
      <c r="T352" s="7">
        <v>0</v>
      </c>
      <c r="U352" s="8" t="str">
        <f>IFERROR(T352/T444, "NA")</f>
        <v>NA</v>
      </c>
      <c r="V352" s="9"/>
      <c r="W352" s="10">
        <f t="shared" si="90"/>
        <v>0</v>
      </c>
      <c r="X352" s="8" t="str">
        <f>IFERROR(W352/W444, "NA")</f>
        <v>NA</v>
      </c>
      <c r="Y352" s="9"/>
      <c r="Z352" s="7">
        <v>0</v>
      </c>
      <c r="AA352" s="8" t="str">
        <f>IFERROR(Z352/Z444, "NA")</f>
        <v>NA</v>
      </c>
      <c r="AB352" s="9"/>
      <c r="AC352" s="10">
        <f t="shared" si="91"/>
        <v>0</v>
      </c>
      <c r="AD352" s="8" t="str">
        <f>IFERROR(AC352/AC444, "NA")</f>
        <v>NA</v>
      </c>
    </row>
    <row r="353" spans="1:30" ht="16.5" customHeight="1" x14ac:dyDescent="0.45">
      <c r="A353" s="6" t="s">
        <v>322</v>
      </c>
      <c r="B353" s="7">
        <v>0</v>
      </c>
      <c r="C353" s="8" t="str">
        <f>IFERROR(B353/B444, "NA")</f>
        <v>NA</v>
      </c>
      <c r="D353" s="9"/>
      <c r="E353" s="7">
        <v>0</v>
      </c>
      <c r="F353" s="8" t="str">
        <f>IFERROR(E353/E444, "NA")</f>
        <v>NA</v>
      </c>
      <c r="G353" s="9"/>
      <c r="H353" s="10">
        <f t="shared" si="88"/>
        <v>0</v>
      </c>
      <c r="I353" s="8" t="str">
        <f>IFERROR(H353/H444, "NA")</f>
        <v>NA</v>
      </c>
      <c r="J353" s="9"/>
      <c r="K353" s="7">
        <v>4192.95</v>
      </c>
      <c r="L353" s="8" t="str">
        <f>IFERROR(K353/K444, "NA")</f>
        <v>NA</v>
      </c>
      <c r="M353" s="9"/>
      <c r="N353" s="10">
        <f t="shared" si="89"/>
        <v>4192.95</v>
      </c>
      <c r="O353" s="8" t="str">
        <f>IFERROR(N353/N444, "NA")</f>
        <v>NA</v>
      </c>
      <c r="P353" s="9"/>
      <c r="Q353" s="7">
        <v>0</v>
      </c>
      <c r="R353" s="8" t="str">
        <f>IFERROR(Q353/Q444, "NA")</f>
        <v>NA</v>
      </c>
      <c r="S353" s="9"/>
      <c r="T353" s="7">
        <v>0</v>
      </c>
      <c r="U353" s="8" t="str">
        <f>IFERROR(T353/T444, "NA")</f>
        <v>NA</v>
      </c>
      <c r="V353" s="9"/>
      <c r="W353" s="10">
        <f t="shared" si="90"/>
        <v>0</v>
      </c>
      <c r="X353" s="8" t="str">
        <f>IFERROR(W353/W444, "NA")</f>
        <v>NA</v>
      </c>
      <c r="Y353" s="9"/>
      <c r="Z353" s="7">
        <v>4192.95</v>
      </c>
      <c r="AA353" s="8" t="str">
        <f>IFERROR(Z353/Z444, "NA")</f>
        <v>NA</v>
      </c>
      <c r="AB353" s="9"/>
      <c r="AC353" s="10">
        <f t="shared" si="91"/>
        <v>4192.95</v>
      </c>
      <c r="AD353" s="8" t="str">
        <f>IFERROR(AC353/AC444, "NA")</f>
        <v>NA</v>
      </c>
    </row>
    <row r="354" spans="1:30" ht="16.5" customHeight="1" x14ac:dyDescent="0.45">
      <c r="A354" s="6" t="s">
        <v>323</v>
      </c>
      <c r="B354" s="7">
        <v>3301.2</v>
      </c>
      <c r="C354" s="8" t="str">
        <f>IFERROR(B354/B444, "NA")</f>
        <v>NA</v>
      </c>
      <c r="D354" s="9"/>
      <c r="E354" s="7">
        <v>2988</v>
      </c>
      <c r="F354" s="8" t="str">
        <f>IFERROR(E354/E444, "NA")</f>
        <v>NA</v>
      </c>
      <c r="G354" s="9"/>
      <c r="H354" s="10">
        <f t="shared" si="88"/>
        <v>-313.19999999999982</v>
      </c>
      <c r="I354" s="8" t="str">
        <f>IFERROR(H354/H444, "NA")</f>
        <v>NA</v>
      </c>
      <c r="J354" s="9"/>
      <c r="K354" s="7">
        <v>6790.24</v>
      </c>
      <c r="L354" s="8" t="str">
        <f>IFERROR(K354/K444, "NA")</f>
        <v>NA</v>
      </c>
      <c r="M354" s="9"/>
      <c r="N354" s="10">
        <f t="shared" si="89"/>
        <v>3489.04</v>
      </c>
      <c r="O354" s="8" t="str">
        <f>IFERROR(N354/N444, "NA")</f>
        <v>NA</v>
      </c>
      <c r="P354" s="9"/>
      <c r="Q354" s="7">
        <v>3301.2</v>
      </c>
      <c r="R354" s="8" t="str">
        <f>IFERROR(Q354/Q444, "NA")</f>
        <v>NA</v>
      </c>
      <c r="S354" s="9"/>
      <c r="T354" s="7">
        <v>2988</v>
      </c>
      <c r="U354" s="8" t="str">
        <f>IFERROR(T354/T444, "NA")</f>
        <v>NA</v>
      </c>
      <c r="V354" s="9"/>
      <c r="W354" s="10">
        <f t="shared" si="90"/>
        <v>-313.19999999999982</v>
      </c>
      <c r="X354" s="8" t="str">
        <f>IFERROR(W354/W444, "NA")</f>
        <v>NA</v>
      </c>
      <c r="Y354" s="9"/>
      <c r="Z354" s="7">
        <v>6790.24</v>
      </c>
      <c r="AA354" s="8" t="str">
        <f>IFERROR(Z354/Z444, "NA")</f>
        <v>NA</v>
      </c>
      <c r="AB354" s="9"/>
      <c r="AC354" s="10">
        <f t="shared" si="91"/>
        <v>3489.04</v>
      </c>
      <c r="AD354" s="8" t="str">
        <f>IFERROR(AC354/AC444, "NA")</f>
        <v>NA</v>
      </c>
    </row>
    <row r="355" spans="1:30" ht="16.5" customHeight="1" x14ac:dyDescent="0.45">
      <c r="A355" s="6" t="s">
        <v>324</v>
      </c>
      <c r="B355" s="7">
        <v>169.6</v>
      </c>
      <c r="C355" s="8" t="str">
        <f>IFERROR(B355/B444, "NA")</f>
        <v>NA</v>
      </c>
      <c r="D355" s="9"/>
      <c r="E355" s="7">
        <v>212</v>
      </c>
      <c r="F355" s="8" t="str">
        <f>IFERROR(E355/E444, "NA")</f>
        <v>NA</v>
      </c>
      <c r="G355" s="9"/>
      <c r="H355" s="10">
        <f t="shared" si="88"/>
        <v>42.400000000000006</v>
      </c>
      <c r="I355" s="8" t="str">
        <f>IFERROR(H355/H444, "NA")</f>
        <v>NA</v>
      </c>
      <c r="J355" s="9"/>
      <c r="K355" s="7">
        <v>233.2</v>
      </c>
      <c r="L355" s="8" t="str">
        <f>IFERROR(K355/K444, "NA")</f>
        <v>NA</v>
      </c>
      <c r="M355" s="9"/>
      <c r="N355" s="10">
        <f t="shared" si="89"/>
        <v>63.599999999999994</v>
      </c>
      <c r="O355" s="8" t="str">
        <f>IFERROR(N355/N444, "NA")</f>
        <v>NA</v>
      </c>
      <c r="P355" s="9"/>
      <c r="Q355" s="7">
        <v>169.6</v>
      </c>
      <c r="R355" s="8" t="str">
        <f>IFERROR(Q355/Q444, "NA")</f>
        <v>NA</v>
      </c>
      <c r="S355" s="9"/>
      <c r="T355" s="7">
        <v>212</v>
      </c>
      <c r="U355" s="8" t="str">
        <f>IFERROR(T355/T444, "NA")</f>
        <v>NA</v>
      </c>
      <c r="V355" s="9"/>
      <c r="W355" s="10">
        <f t="shared" si="90"/>
        <v>42.400000000000006</v>
      </c>
      <c r="X355" s="8" t="str">
        <f>IFERROR(W355/W444, "NA")</f>
        <v>NA</v>
      </c>
      <c r="Y355" s="9"/>
      <c r="Z355" s="7">
        <v>233.2</v>
      </c>
      <c r="AA355" s="8" t="str">
        <f>IFERROR(Z355/Z444, "NA")</f>
        <v>NA</v>
      </c>
      <c r="AB355" s="9"/>
      <c r="AC355" s="10">
        <f t="shared" si="91"/>
        <v>63.599999999999994</v>
      </c>
      <c r="AD355" s="8" t="str">
        <f>IFERROR(AC355/AC444, "NA")</f>
        <v>NA</v>
      </c>
    </row>
    <row r="356" spans="1:30" ht="16.5" customHeight="1" x14ac:dyDescent="0.45">
      <c r="A356" s="6" t="s">
        <v>325</v>
      </c>
      <c r="B356" s="7">
        <v>4500</v>
      </c>
      <c r="C356" s="8" t="str">
        <f>IFERROR(B356/B444, "NA")</f>
        <v>NA</v>
      </c>
      <c r="D356" s="9"/>
      <c r="E356" s="7">
        <v>4500</v>
      </c>
      <c r="F356" s="8" t="str">
        <f>IFERROR(E356/E444, "NA")</f>
        <v>NA</v>
      </c>
      <c r="G356" s="9"/>
      <c r="H356" s="10">
        <f t="shared" si="88"/>
        <v>0</v>
      </c>
      <c r="I356" s="8" t="str">
        <f>IFERROR(H356/H444, "NA")</f>
        <v>NA</v>
      </c>
      <c r="J356" s="9"/>
      <c r="K356" s="7">
        <v>6187.5</v>
      </c>
      <c r="L356" s="8" t="str">
        <f>IFERROR(K356/K444, "NA")</f>
        <v>NA</v>
      </c>
      <c r="M356" s="9"/>
      <c r="N356" s="10">
        <f t="shared" si="89"/>
        <v>1687.5</v>
      </c>
      <c r="O356" s="8" t="str">
        <f>IFERROR(N356/N444, "NA")</f>
        <v>NA</v>
      </c>
      <c r="P356" s="9"/>
      <c r="Q356" s="7">
        <v>4500</v>
      </c>
      <c r="R356" s="8" t="str">
        <f>IFERROR(Q356/Q444, "NA")</f>
        <v>NA</v>
      </c>
      <c r="S356" s="9"/>
      <c r="T356" s="7">
        <v>4500</v>
      </c>
      <c r="U356" s="8" t="str">
        <f>IFERROR(T356/T444, "NA")</f>
        <v>NA</v>
      </c>
      <c r="V356" s="9"/>
      <c r="W356" s="10">
        <f t="shared" si="90"/>
        <v>0</v>
      </c>
      <c r="X356" s="8" t="str">
        <f>IFERROR(W356/W444, "NA")</f>
        <v>NA</v>
      </c>
      <c r="Y356" s="9"/>
      <c r="Z356" s="7">
        <v>6187.5</v>
      </c>
      <c r="AA356" s="8" t="str">
        <f>IFERROR(Z356/Z444, "NA")</f>
        <v>NA</v>
      </c>
      <c r="AB356" s="9"/>
      <c r="AC356" s="10">
        <f t="shared" si="91"/>
        <v>1687.5</v>
      </c>
      <c r="AD356" s="8" t="str">
        <f>IFERROR(AC356/AC444, "NA")</f>
        <v>NA</v>
      </c>
    </row>
    <row r="357" spans="1:30" ht="16.5" customHeight="1" x14ac:dyDescent="0.45">
      <c r="A357" s="6" t="s">
        <v>326</v>
      </c>
      <c r="B357" s="7">
        <v>3319.24</v>
      </c>
      <c r="C357" s="8" t="str">
        <f>IFERROR(B357/B444, "NA")</f>
        <v>NA</v>
      </c>
      <c r="D357" s="9"/>
      <c r="E357" s="7">
        <v>3680</v>
      </c>
      <c r="F357" s="8" t="str">
        <f>IFERROR(E357/E444, "NA")</f>
        <v>NA</v>
      </c>
      <c r="G357" s="9"/>
      <c r="H357" s="10">
        <f t="shared" si="88"/>
        <v>360.76000000000022</v>
      </c>
      <c r="I357" s="8" t="str">
        <f>IFERROR(H357/H444, "NA")</f>
        <v>NA</v>
      </c>
      <c r="J357" s="9"/>
      <c r="K357" s="7">
        <v>3469.35</v>
      </c>
      <c r="L357" s="8" t="str">
        <f>IFERROR(K357/K444, "NA")</f>
        <v>NA</v>
      </c>
      <c r="M357" s="9"/>
      <c r="N357" s="10">
        <f t="shared" si="89"/>
        <v>150.11000000000013</v>
      </c>
      <c r="O357" s="8" t="str">
        <f>IFERROR(N357/N444, "NA")</f>
        <v>NA</v>
      </c>
      <c r="P357" s="9"/>
      <c r="Q357" s="7">
        <v>3319.24</v>
      </c>
      <c r="R357" s="8" t="str">
        <f>IFERROR(Q357/Q444, "NA")</f>
        <v>NA</v>
      </c>
      <c r="S357" s="9"/>
      <c r="T357" s="7">
        <v>3680</v>
      </c>
      <c r="U357" s="8" t="str">
        <f>IFERROR(T357/T444, "NA")</f>
        <v>NA</v>
      </c>
      <c r="V357" s="9"/>
      <c r="W357" s="10">
        <f t="shared" si="90"/>
        <v>360.76000000000022</v>
      </c>
      <c r="X357" s="8" t="str">
        <f>IFERROR(W357/W444, "NA")</f>
        <v>NA</v>
      </c>
      <c r="Y357" s="9"/>
      <c r="Z357" s="7">
        <v>3469.35</v>
      </c>
      <c r="AA357" s="8" t="str">
        <f>IFERROR(Z357/Z444, "NA")</f>
        <v>NA</v>
      </c>
      <c r="AB357" s="9"/>
      <c r="AC357" s="10">
        <f t="shared" si="91"/>
        <v>150.11000000000013</v>
      </c>
      <c r="AD357" s="8" t="str">
        <f>IFERROR(AC357/AC444, "NA")</f>
        <v>NA</v>
      </c>
    </row>
    <row r="358" spans="1:30" ht="16.5" customHeight="1" x14ac:dyDescent="0.45">
      <c r="A358" s="19" t="s">
        <v>327</v>
      </c>
      <c r="B358" s="14">
        <f>IFERROR(B349+B350+B351+B352+B353+B354+B355+B356+B357, "NA")</f>
        <v>46693.87999999999</v>
      </c>
      <c r="C358" s="15" t="str">
        <f>IFERROR(B358/B444, "NA")</f>
        <v>NA</v>
      </c>
      <c r="D358" s="2"/>
      <c r="E358" s="14">
        <f>IFERROR(E349+E350+E351+E352+E353+E354+E355+E356+E357, "NA")</f>
        <v>47380</v>
      </c>
      <c r="F358" s="15" t="str">
        <f>IFERROR(E358/E444, "NA")</f>
        <v>NA</v>
      </c>
      <c r="G358" s="2"/>
      <c r="H358" s="14">
        <f t="shared" si="88"/>
        <v>686.1200000000099</v>
      </c>
      <c r="I358" s="15" t="str">
        <f>IFERROR(H358/H444, "NA")</f>
        <v>NA</v>
      </c>
      <c r="J358" s="2"/>
      <c r="K358" s="14">
        <f>IFERROR(K349+K350+K351+K352+K353+K354+K355+K356+K357, "NA")</f>
        <v>81483.78</v>
      </c>
      <c r="L358" s="15" t="str">
        <f>IFERROR(K358/K444, "NA")</f>
        <v>NA</v>
      </c>
      <c r="M358" s="2"/>
      <c r="N358" s="14">
        <f t="shared" si="89"/>
        <v>34789.900000000009</v>
      </c>
      <c r="O358" s="15" t="str">
        <f>IFERROR(N358/N444, "NA")</f>
        <v>NA</v>
      </c>
      <c r="P358" s="2"/>
      <c r="Q358" s="14">
        <f>IFERROR(Q349+Q350+Q351+Q352+Q353+Q354+Q355+Q356+Q357, "NA")</f>
        <v>46693.87999999999</v>
      </c>
      <c r="R358" s="15" t="str">
        <f>IFERROR(Q358/Q444, "NA")</f>
        <v>NA</v>
      </c>
      <c r="S358" s="2"/>
      <c r="T358" s="14">
        <f>IFERROR(T349+T350+T351+T352+T353+T354+T355+T356+T357, "NA")</f>
        <v>47380</v>
      </c>
      <c r="U358" s="15" t="str">
        <f>IFERROR(T358/T444, "NA")</f>
        <v>NA</v>
      </c>
      <c r="V358" s="2"/>
      <c r="W358" s="14">
        <f t="shared" si="90"/>
        <v>686.1200000000099</v>
      </c>
      <c r="X358" s="15" t="str">
        <f>IFERROR(W358/W444, "NA")</f>
        <v>NA</v>
      </c>
      <c r="Y358" s="2"/>
      <c r="Z358" s="14">
        <f>IFERROR(Z349+Z350+Z351+Z352+Z353+Z354+Z355+Z356+Z357, "NA")</f>
        <v>81483.78</v>
      </c>
      <c r="AA358" s="15" t="str">
        <f>IFERROR(Z358/Z444, "NA")</f>
        <v>NA</v>
      </c>
      <c r="AB358" s="2"/>
      <c r="AC358" s="14">
        <f t="shared" si="91"/>
        <v>34789.900000000009</v>
      </c>
      <c r="AD358" s="15" t="str">
        <f>IFERROR(AC358/AC444, "NA")</f>
        <v>NA</v>
      </c>
    </row>
    <row r="359" spans="1:30" ht="16.5" customHeight="1" x14ac:dyDescent="0.45">
      <c r="A359" s="5" t="s">
        <v>328</v>
      </c>
      <c r="B359" s="2"/>
      <c r="C359" s="3"/>
      <c r="D359" s="4"/>
      <c r="E359" s="2"/>
      <c r="F359" s="3"/>
      <c r="G359" s="4"/>
      <c r="H359" s="2"/>
      <c r="I359" s="3"/>
      <c r="J359" s="4"/>
      <c r="K359" s="2"/>
      <c r="L359" s="3"/>
      <c r="M359" s="4"/>
      <c r="N359" s="2"/>
      <c r="O359" s="3"/>
      <c r="P359" s="4"/>
      <c r="Q359" s="2"/>
      <c r="R359" s="3"/>
      <c r="S359" s="4"/>
      <c r="T359" s="2"/>
      <c r="U359" s="3"/>
      <c r="V359" s="4"/>
      <c r="W359" s="2"/>
      <c r="X359" s="3"/>
      <c r="Y359" s="4"/>
      <c r="Z359" s="2"/>
      <c r="AA359" s="3"/>
      <c r="AB359" s="4"/>
      <c r="AC359" s="2"/>
      <c r="AD359" s="3"/>
    </row>
    <row r="360" spans="1:30" ht="16.5" hidden="1" customHeight="1" x14ac:dyDescent="0.45">
      <c r="A360" s="6" t="s">
        <v>328</v>
      </c>
      <c r="B360" s="7">
        <v>0</v>
      </c>
      <c r="C360" s="8" t="str">
        <f>IFERROR(B360/B444, "NA")</f>
        <v>NA</v>
      </c>
      <c r="D360" s="9"/>
      <c r="E360" s="7">
        <v>0</v>
      </c>
      <c r="F360" s="8" t="str">
        <f>IFERROR(E360/E444, "NA")</f>
        <v>NA</v>
      </c>
      <c r="G360" s="9"/>
      <c r="H360" s="10">
        <f t="shared" ref="H360:H383" si="92">IFERROR(-(B360-E360), "NA")</f>
        <v>0</v>
      </c>
      <c r="I360" s="8" t="str">
        <f>IFERROR(H360/H444, "NA")</f>
        <v>NA</v>
      </c>
      <c r="J360" s="9"/>
      <c r="K360" s="7">
        <v>0</v>
      </c>
      <c r="L360" s="8" t="str">
        <f>IFERROR(K360/K444, "NA")</f>
        <v>NA</v>
      </c>
      <c r="M360" s="9"/>
      <c r="N360" s="10">
        <f t="shared" ref="N360:N383" si="93">IFERROR(-(B360-K360), "NA")</f>
        <v>0</v>
      </c>
      <c r="O360" s="8" t="str">
        <f>IFERROR(N360/N444, "NA")</f>
        <v>NA</v>
      </c>
      <c r="P360" s="9"/>
      <c r="Q360" s="7">
        <v>0</v>
      </c>
      <c r="R360" s="8" t="str">
        <f>IFERROR(Q360/Q444, "NA")</f>
        <v>NA</v>
      </c>
      <c r="S360" s="9"/>
      <c r="T360" s="7">
        <v>0</v>
      </c>
      <c r="U360" s="8" t="str">
        <f>IFERROR(T360/T444, "NA")</f>
        <v>NA</v>
      </c>
      <c r="V360" s="9"/>
      <c r="W360" s="10">
        <f t="shared" ref="W360:W383" si="94">IFERROR(-(Q360-T360), "NA")</f>
        <v>0</v>
      </c>
      <c r="X360" s="8" t="str">
        <f>IFERROR(W360/W444, "NA")</f>
        <v>NA</v>
      </c>
      <c r="Y360" s="9"/>
      <c r="Z360" s="7">
        <v>0</v>
      </c>
      <c r="AA360" s="8" t="str">
        <f>IFERROR(Z360/Z444, "NA")</f>
        <v>NA</v>
      </c>
      <c r="AB360" s="9"/>
      <c r="AC360" s="10">
        <f t="shared" ref="AC360:AC383" si="95">IFERROR(-(Q360-Z360), "NA")</f>
        <v>0</v>
      </c>
      <c r="AD360" s="8" t="str">
        <f>IFERROR(AC360/AC444, "NA")</f>
        <v>NA</v>
      </c>
    </row>
    <row r="361" spans="1:30" ht="16.5" hidden="1" customHeight="1" x14ac:dyDescent="0.45">
      <c r="A361" s="6" t="s">
        <v>329</v>
      </c>
      <c r="B361" s="7">
        <v>0</v>
      </c>
      <c r="C361" s="8" t="str">
        <f>IFERROR(B361/B444, "NA")</f>
        <v>NA</v>
      </c>
      <c r="D361" s="9"/>
      <c r="E361" s="7">
        <v>0</v>
      </c>
      <c r="F361" s="8" t="str">
        <f>IFERROR(E361/E444, "NA")</f>
        <v>NA</v>
      </c>
      <c r="G361" s="9"/>
      <c r="H361" s="10">
        <f t="shared" si="92"/>
        <v>0</v>
      </c>
      <c r="I361" s="8" t="str">
        <f>IFERROR(H361/H444, "NA")</f>
        <v>NA</v>
      </c>
      <c r="J361" s="9"/>
      <c r="K361" s="7">
        <v>0</v>
      </c>
      <c r="L361" s="8" t="str">
        <f>IFERROR(K361/K444, "NA")</f>
        <v>NA</v>
      </c>
      <c r="M361" s="9"/>
      <c r="N361" s="10">
        <f t="shared" si="93"/>
        <v>0</v>
      </c>
      <c r="O361" s="8" t="str">
        <f>IFERROR(N361/N444, "NA")</f>
        <v>NA</v>
      </c>
      <c r="P361" s="9"/>
      <c r="Q361" s="7">
        <v>0</v>
      </c>
      <c r="R361" s="8" t="str">
        <f>IFERROR(Q361/Q444, "NA")</f>
        <v>NA</v>
      </c>
      <c r="S361" s="9"/>
      <c r="T361" s="7">
        <v>0</v>
      </c>
      <c r="U361" s="8" t="str">
        <f>IFERROR(T361/T444, "NA")</f>
        <v>NA</v>
      </c>
      <c r="V361" s="9"/>
      <c r="W361" s="10">
        <f t="shared" si="94"/>
        <v>0</v>
      </c>
      <c r="X361" s="8" t="str">
        <f>IFERROR(W361/W444, "NA")</f>
        <v>NA</v>
      </c>
      <c r="Y361" s="9"/>
      <c r="Z361" s="7">
        <v>0</v>
      </c>
      <c r="AA361" s="8" t="str">
        <f>IFERROR(Z361/Z444, "NA")</f>
        <v>NA</v>
      </c>
      <c r="AB361" s="9"/>
      <c r="AC361" s="10">
        <f t="shared" si="95"/>
        <v>0</v>
      </c>
      <c r="AD361" s="8" t="str">
        <f>IFERROR(AC361/AC444, "NA")</f>
        <v>NA</v>
      </c>
    </row>
    <row r="362" spans="1:30" ht="16.5" customHeight="1" x14ac:dyDescent="0.45">
      <c r="A362" s="6" t="s">
        <v>330</v>
      </c>
      <c r="B362" s="7">
        <v>250.95</v>
      </c>
      <c r="C362" s="8" t="str">
        <f>IFERROR(B362/B444, "NA")</f>
        <v>NA</v>
      </c>
      <c r="D362" s="9"/>
      <c r="E362" s="7">
        <v>864</v>
      </c>
      <c r="F362" s="8" t="str">
        <f>IFERROR(E362/E444, "NA")</f>
        <v>NA</v>
      </c>
      <c r="G362" s="9"/>
      <c r="H362" s="10">
        <f t="shared" si="92"/>
        <v>613.04999999999995</v>
      </c>
      <c r="I362" s="8" t="str">
        <f>IFERROR(H362/H444, "NA")</f>
        <v>NA</v>
      </c>
      <c r="J362" s="9"/>
      <c r="K362" s="7">
        <v>726.28</v>
      </c>
      <c r="L362" s="8" t="str">
        <f>IFERROR(K362/K444, "NA")</f>
        <v>NA</v>
      </c>
      <c r="M362" s="9"/>
      <c r="N362" s="10">
        <f t="shared" si="93"/>
        <v>475.33</v>
      </c>
      <c r="O362" s="8" t="str">
        <f>IFERROR(N362/N444, "NA")</f>
        <v>NA</v>
      </c>
      <c r="P362" s="9"/>
      <c r="Q362" s="7">
        <v>250.95</v>
      </c>
      <c r="R362" s="8" t="str">
        <f>IFERROR(Q362/Q444, "NA")</f>
        <v>NA</v>
      </c>
      <c r="S362" s="9"/>
      <c r="T362" s="7">
        <v>864</v>
      </c>
      <c r="U362" s="8" t="str">
        <f>IFERROR(T362/T444, "NA")</f>
        <v>NA</v>
      </c>
      <c r="V362" s="9"/>
      <c r="W362" s="10">
        <f t="shared" si="94"/>
        <v>613.04999999999995</v>
      </c>
      <c r="X362" s="8" t="str">
        <f>IFERROR(W362/W444, "NA")</f>
        <v>NA</v>
      </c>
      <c r="Y362" s="9"/>
      <c r="Z362" s="7">
        <v>726.28</v>
      </c>
      <c r="AA362" s="8" t="str">
        <f>IFERROR(Z362/Z444, "NA")</f>
        <v>NA</v>
      </c>
      <c r="AB362" s="9"/>
      <c r="AC362" s="10">
        <f t="shared" si="95"/>
        <v>475.33</v>
      </c>
      <c r="AD362" s="8" t="str">
        <f>IFERROR(AC362/AC444, "NA")</f>
        <v>NA</v>
      </c>
    </row>
    <row r="363" spans="1:30" ht="16.5" customHeight="1" x14ac:dyDescent="0.45">
      <c r="A363" s="6" t="s">
        <v>331</v>
      </c>
      <c r="B363" s="7">
        <v>811.94</v>
      </c>
      <c r="C363" s="8" t="str">
        <f>IFERROR(B363/B444, "NA")</f>
        <v>NA</v>
      </c>
      <c r="D363" s="9"/>
      <c r="E363" s="7">
        <v>150</v>
      </c>
      <c r="F363" s="8" t="str">
        <f>IFERROR(E363/E444, "NA")</f>
        <v>NA</v>
      </c>
      <c r="G363" s="9"/>
      <c r="H363" s="10">
        <f t="shared" si="92"/>
        <v>-661.94</v>
      </c>
      <c r="I363" s="8" t="str">
        <f>IFERROR(H363/H444, "NA")</f>
        <v>NA</v>
      </c>
      <c r="J363" s="9"/>
      <c r="K363" s="7">
        <v>326.55</v>
      </c>
      <c r="L363" s="8" t="str">
        <f>IFERROR(K363/K444, "NA")</f>
        <v>NA</v>
      </c>
      <c r="M363" s="9"/>
      <c r="N363" s="10">
        <f t="shared" si="93"/>
        <v>-485.39000000000004</v>
      </c>
      <c r="O363" s="8" t="str">
        <f>IFERROR(N363/N444, "NA")</f>
        <v>NA</v>
      </c>
      <c r="P363" s="9"/>
      <c r="Q363" s="7">
        <v>811.94</v>
      </c>
      <c r="R363" s="8" t="str">
        <f>IFERROR(Q363/Q444, "NA")</f>
        <v>NA</v>
      </c>
      <c r="S363" s="9"/>
      <c r="T363" s="7">
        <v>150</v>
      </c>
      <c r="U363" s="8" t="str">
        <f>IFERROR(T363/T444, "NA")</f>
        <v>NA</v>
      </c>
      <c r="V363" s="9"/>
      <c r="W363" s="10">
        <f t="shared" si="94"/>
        <v>-661.94</v>
      </c>
      <c r="X363" s="8" t="str">
        <f>IFERROR(W363/W444, "NA")</f>
        <v>NA</v>
      </c>
      <c r="Y363" s="9"/>
      <c r="Z363" s="7">
        <v>326.55</v>
      </c>
      <c r="AA363" s="8" t="str">
        <f>IFERROR(Z363/Z444, "NA")</f>
        <v>NA</v>
      </c>
      <c r="AB363" s="9"/>
      <c r="AC363" s="10">
        <f t="shared" si="95"/>
        <v>-485.39000000000004</v>
      </c>
      <c r="AD363" s="8" t="str">
        <f>IFERROR(AC363/AC444, "NA")</f>
        <v>NA</v>
      </c>
    </row>
    <row r="364" spans="1:30" ht="16.5" customHeight="1" x14ac:dyDescent="0.45">
      <c r="A364" s="6" t="s">
        <v>332</v>
      </c>
      <c r="B364" s="7">
        <v>54.63</v>
      </c>
      <c r="C364" s="8" t="str">
        <f>IFERROR(B364/B444, "NA")</f>
        <v>NA</v>
      </c>
      <c r="D364" s="9"/>
      <c r="E364" s="7">
        <v>400</v>
      </c>
      <c r="F364" s="8" t="str">
        <f>IFERROR(E364/E444, "NA")</f>
        <v>NA</v>
      </c>
      <c r="G364" s="9"/>
      <c r="H364" s="10">
        <f t="shared" si="92"/>
        <v>345.37</v>
      </c>
      <c r="I364" s="8" t="str">
        <f>IFERROR(H364/H444, "NA")</f>
        <v>NA</v>
      </c>
      <c r="J364" s="9"/>
      <c r="K364" s="7">
        <v>45.26</v>
      </c>
      <c r="L364" s="8" t="str">
        <f>IFERROR(K364/K444, "NA")</f>
        <v>NA</v>
      </c>
      <c r="M364" s="9"/>
      <c r="N364" s="10">
        <f t="shared" si="93"/>
        <v>-9.3700000000000045</v>
      </c>
      <c r="O364" s="8" t="str">
        <f>IFERROR(N364/N444, "NA")</f>
        <v>NA</v>
      </c>
      <c r="P364" s="9"/>
      <c r="Q364" s="7">
        <v>54.63</v>
      </c>
      <c r="R364" s="8" t="str">
        <f>IFERROR(Q364/Q444, "NA")</f>
        <v>NA</v>
      </c>
      <c r="S364" s="9"/>
      <c r="T364" s="7">
        <v>400</v>
      </c>
      <c r="U364" s="8" t="str">
        <f>IFERROR(T364/T444, "NA")</f>
        <v>NA</v>
      </c>
      <c r="V364" s="9"/>
      <c r="W364" s="10">
        <f t="shared" si="94"/>
        <v>345.37</v>
      </c>
      <c r="X364" s="8" t="str">
        <f>IFERROR(W364/W444, "NA")</f>
        <v>NA</v>
      </c>
      <c r="Y364" s="9"/>
      <c r="Z364" s="7">
        <v>45.26</v>
      </c>
      <c r="AA364" s="8" t="str">
        <f>IFERROR(Z364/Z444, "NA")</f>
        <v>NA</v>
      </c>
      <c r="AB364" s="9"/>
      <c r="AC364" s="10">
        <f t="shared" si="95"/>
        <v>-9.3700000000000045</v>
      </c>
      <c r="AD364" s="8" t="str">
        <f>IFERROR(AC364/AC444, "NA")</f>
        <v>NA</v>
      </c>
    </row>
    <row r="365" spans="1:30" ht="16.5" customHeight="1" x14ac:dyDescent="0.45">
      <c r="A365" s="6" t="s">
        <v>333</v>
      </c>
      <c r="B365" s="7">
        <v>0</v>
      </c>
      <c r="C365" s="8" t="str">
        <f>IFERROR(B365/B444, "NA")</f>
        <v>NA</v>
      </c>
      <c r="D365" s="9"/>
      <c r="E365" s="7">
        <v>900</v>
      </c>
      <c r="F365" s="8" t="str">
        <f>IFERROR(E365/E444, "NA")</f>
        <v>NA</v>
      </c>
      <c r="G365" s="9"/>
      <c r="H365" s="10">
        <f t="shared" si="92"/>
        <v>900</v>
      </c>
      <c r="I365" s="8" t="str">
        <f>IFERROR(H365/H444, "NA")</f>
        <v>NA</v>
      </c>
      <c r="J365" s="9"/>
      <c r="K365" s="7">
        <v>0</v>
      </c>
      <c r="L365" s="8" t="str">
        <f>IFERROR(K365/K444, "NA")</f>
        <v>NA</v>
      </c>
      <c r="M365" s="9"/>
      <c r="N365" s="10">
        <f t="shared" si="93"/>
        <v>0</v>
      </c>
      <c r="O365" s="8" t="str">
        <f>IFERROR(N365/N444, "NA")</f>
        <v>NA</v>
      </c>
      <c r="P365" s="9"/>
      <c r="Q365" s="7">
        <v>0</v>
      </c>
      <c r="R365" s="8" t="str">
        <f>IFERROR(Q365/Q444, "NA")</f>
        <v>NA</v>
      </c>
      <c r="S365" s="9"/>
      <c r="T365" s="7">
        <v>900</v>
      </c>
      <c r="U365" s="8" t="str">
        <f>IFERROR(T365/T444, "NA")</f>
        <v>NA</v>
      </c>
      <c r="V365" s="9"/>
      <c r="W365" s="10">
        <f t="shared" si="94"/>
        <v>900</v>
      </c>
      <c r="X365" s="8" t="str">
        <f>IFERROR(W365/W444, "NA")</f>
        <v>NA</v>
      </c>
      <c r="Y365" s="9"/>
      <c r="Z365" s="7">
        <v>0</v>
      </c>
      <c r="AA365" s="8" t="str">
        <f>IFERROR(Z365/Z444, "NA")</f>
        <v>NA</v>
      </c>
      <c r="AB365" s="9"/>
      <c r="AC365" s="10">
        <f t="shared" si="95"/>
        <v>0</v>
      </c>
      <c r="AD365" s="8" t="str">
        <f>IFERROR(AC365/AC444, "NA")</f>
        <v>NA</v>
      </c>
    </row>
    <row r="366" spans="1:30" ht="16.5" customHeight="1" x14ac:dyDescent="0.45">
      <c r="A366" s="6" t="s">
        <v>334</v>
      </c>
      <c r="B366" s="7">
        <v>0</v>
      </c>
      <c r="C366" s="8" t="str">
        <f>IFERROR(B366/B444, "NA")</f>
        <v>NA</v>
      </c>
      <c r="D366" s="9"/>
      <c r="E366" s="7">
        <v>450</v>
      </c>
      <c r="F366" s="8" t="str">
        <f>IFERROR(E366/E444, "NA")</f>
        <v>NA</v>
      </c>
      <c r="G366" s="9"/>
      <c r="H366" s="10">
        <f t="shared" si="92"/>
        <v>450</v>
      </c>
      <c r="I366" s="8" t="str">
        <f>IFERROR(H366/H444, "NA")</f>
        <v>NA</v>
      </c>
      <c r="J366" s="9"/>
      <c r="K366" s="7">
        <v>0</v>
      </c>
      <c r="L366" s="8" t="str">
        <f>IFERROR(K366/K444, "NA")</f>
        <v>NA</v>
      </c>
      <c r="M366" s="9"/>
      <c r="N366" s="10">
        <f t="shared" si="93"/>
        <v>0</v>
      </c>
      <c r="O366" s="8" t="str">
        <f>IFERROR(N366/N444, "NA")</f>
        <v>NA</v>
      </c>
      <c r="P366" s="9"/>
      <c r="Q366" s="7">
        <v>0</v>
      </c>
      <c r="R366" s="8" t="str">
        <f>IFERROR(Q366/Q444, "NA")</f>
        <v>NA</v>
      </c>
      <c r="S366" s="9"/>
      <c r="T366" s="7">
        <v>450</v>
      </c>
      <c r="U366" s="8" t="str">
        <f>IFERROR(T366/T444, "NA")</f>
        <v>NA</v>
      </c>
      <c r="V366" s="9"/>
      <c r="W366" s="10">
        <f t="shared" si="94"/>
        <v>450</v>
      </c>
      <c r="X366" s="8" t="str">
        <f>IFERROR(W366/W444, "NA")</f>
        <v>NA</v>
      </c>
      <c r="Y366" s="9"/>
      <c r="Z366" s="7">
        <v>0</v>
      </c>
      <c r="AA366" s="8" t="str">
        <f>IFERROR(Z366/Z444, "NA")</f>
        <v>NA</v>
      </c>
      <c r="AB366" s="9"/>
      <c r="AC366" s="10">
        <f t="shared" si="95"/>
        <v>0</v>
      </c>
      <c r="AD366" s="8" t="str">
        <f>IFERROR(AC366/AC444, "NA")</f>
        <v>NA</v>
      </c>
    </row>
    <row r="367" spans="1:30" ht="16.5" customHeight="1" x14ac:dyDescent="0.45">
      <c r="A367" s="6" t="s">
        <v>335</v>
      </c>
      <c r="B367" s="7">
        <v>1667.61</v>
      </c>
      <c r="C367" s="8" t="str">
        <f>IFERROR(B367/B444, "NA")</f>
        <v>NA</v>
      </c>
      <c r="D367" s="9"/>
      <c r="E367" s="7">
        <v>0</v>
      </c>
      <c r="F367" s="8" t="str">
        <f>IFERROR(E367/E444, "NA")</f>
        <v>NA</v>
      </c>
      <c r="G367" s="9"/>
      <c r="H367" s="10">
        <f t="shared" si="92"/>
        <v>-1667.61</v>
      </c>
      <c r="I367" s="8" t="str">
        <f>IFERROR(H367/H444, "NA")</f>
        <v>NA</v>
      </c>
      <c r="J367" s="9"/>
      <c r="K367" s="7">
        <v>0</v>
      </c>
      <c r="L367" s="8" t="str">
        <f>IFERROR(K367/K444, "NA")</f>
        <v>NA</v>
      </c>
      <c r="M367" s="9"/>
      <c r="N367" s="10">
        <f t="shared" si="93"/>
        <v>-1667.61</v>
      </c>
      <c r="O367" s="8" t="str">
        <f>IFERROR(N367/N444, "NA")</f>
        <v>NA</v>
      </c>
      <c r="P367" s="9"/>
      <c r="Q367" s="7">
        <v>1667.61</v>
      </c>
      <c r="R367" s="8" t="str">
        <f>IFERROR(Q367/Q444, "NA")</f>
        <v>NA</v>
      </c>
      <c r="S367" s="9"/>
      <c r="T367" s="7">
        <v>0</v>
      </c>
      <c r="U367" s="8" t="str">
        <f>IFERROR(T367/T444, "NA")</f>
        <v>NA</v>
      </c>
      <c r="V367" s="9"/>
      <c r="W367" s="10">
        <f t="shared" si="94"/>
        <v>-1667.61</v>
      </c>
      <c r="X367" s="8" t="str">
        <f>IFERROR(W367/W444, "NA")</f>
        <v>NA</v>
      </c>
      <c r="Y367" s="9"/>
      <c r="Z367" s="7">
        <v>0</v>
      </c>
      <c r="AA367" s="8" t="str">
        <f>IFERROR(Z367/Z444, "NA")</f>
        <v>NA</v>
      </c>
      <c r="AB367" s="9"/>
      <c r="AC367" s="10">
        <f t="shared" si="95"/>
        <v>-1667.61</v>
      </c>
      <c r="AD367" s="8" t="str">
        <f>IFERROR(AC367/AC444, "NA")</f>
        <v>NA</v>
      </c>
    </row>
    <row r="368" spans="1:30" ht="16.5" customHeight="1" x14ac:dyDescent="0.45">
      <c r="A368" s="19" t="s">
        <v>336</v>
      </c>
      <c r="B368" s="14">
        <f>IFERROR(B360+B361+B362+B363+B364+B365+B366+B367, "NA")</f>
        <v>2785.13</v>
      </c>
      <c r="C368" s="15" t="str">
        <f>IFERROR(B368/B444, "NA")</f>
        <v>NA</v>
      </c>
      <c r="D368" s="2"/>
      <c r="E368" s="14">
        <f>IFERROR(E360+E361+E362+E363+E364+E365+E366+E367, "NA")</f>
        <v>2764</v>
      </c>
      <c r="F368" s="15" t="str">
        <f>IFERROR(E368/E444, "NA")</f>
        <v>NA</v>
      </c>
      <c r="G368" s="2"/>
      <c r="H368" s="14">
        <f t="shared" si="92"/>
        <v>-21.130000000000109</v>
      </c>
      <c r="I368" s="15" t="str">
        <f>IFERROR(H368/H444, "NA")</f>
        <v>NA</v>
      </c>
      <c r="J368" s="2"/>
      <c r="K368" s="14">
        <f>IFERROR(K360+K361+K362+K363+K364+K365+K366+K367, "NA")</f>
        <v>1098.0899999999999</v>
      </c>
      <c r="L368" s="15" t="str">
        <f>IFERROR(K368/K444, "NA")</f>
        <v>NA</v>
      </c>
      <c r="M368" s="2"/>
      <c r="N368" s="14">
        <f t="shared" si="93"/>
        <v>-1687.0400000000002</v>
      </c>
      <c r="O368" s="15" t="str">
        <f>IFERROR(N368/N444, "NA")</f>
        <v>NA</v>
      </c>
      <c r="P368" s="2"/>
      <c r="Q368" s="14">
        <f>IFERROR(Q360+Q361+Q362+Q363+Q364+Q365+Q366+Q367, "NA")</f>
        <v>2785.13</v>
      </c>
      <c r="R368" s="15" t="str">
        <f>IFERROR(Q368/Q444, "NA")</f>
        <v>NA</v>
      </c>
      <c r="S368" s="2"/>
      <c r="T368" s="14">
        <f>IFERROR(T360+T361+T362+T363+T364+T365+T366+T367, "NA")</f>
        <v>2764</v>
      </c>
      <c r="U368" s="15" t="str">
        <f>IFERROR(T368/T444, "NA")</f>
        <v>NA</v>
      </c>
      <c r="V368" s="2"/>
      <c r="W368" s="14">
        <f t="shared" si="94"/>
        <v>-21.130000000000109</v>
      </c>
      <c r="X368" s="15" t="str">
        <f>IFERROR(W368/W444, "NA")</f>
        <v>NA</v>
      </c>
      <c r="Y368" s="2"/>
      <c r="Z368" s="14">
        <f>IFERROR(Z360+Z361+Z362+Z363+Z364+Z365+Z366+Z367, "NA")</f>
        <v>1098.0899999999999</v>
      </c>
      <c r="AA368" s="15" t="str">
        <f>IFERROR(Z368/Z444, "NA")</f>
        <v>NA</v>
      </c>
      <c r="AB368" s="2"/>
      <c r="AC368" s="14">
        <f t="shared" si="95"/>
        <v>-1687.0400000000002</v>
      </c>
      <c r="AD368" s="15" t="str">
        <f>IFERROR(AC368/AC444, "NA")</f>
        <v>NA</v>
      </c>
    </row>
    <row r="369" spans="1:30" ht="16.5" hidden="1" customHeight="1" x14ac:dyDescent="0.45">
      <c r="A369" s="20" t="s">
        <v>337</v>
      </c>
      <c r="B369" s="7">
        <v>0</v>
      </c>
      <c r="C369" s="8" t="str">
        <f>IFERROR(B369/B444, "NA")</f>
        <v>NA</v>
      </c>
      <c r="D369" s="9"/>
      <c r="E369" s="7">
        <v>0</v>
      </c>
      <c r="F369" s="8" t="str">
        <f>IFERROR(E369/E444, "NA")</f>
        <v>NA</v>
      </c>
      <c r="G369" s="9"/>
      <c r="H369" s="10">
        <f t="shared" si="92"/>
        <v>0</v>
      </c>
      <c r="I369" s="8" t="str">
        <f>IFERROR(H369/H444, "NA")</f>
        <v>NA</v>
      </c>
      <c r="J369" s="9"/>
      <c r="K369" s="7">
        <v>0</v>
      </c>
      <c r="L369" s="8" t="str">
        <f>IFERROR(K369/K444, "NA")</f>
        <v>NA</v>
      </c>
      <c r="M369" s="9"/>
      <c r="N369" s="10">
        <f t="shared" si="93"/>
        <v>0</v>
      </c>
      <c r="O369" s="8" t="str">
        <f>IFERROR(N369/N444, "NA")</f>
        <v>NA</v>
      </c>
      <c r="P369" s="9"/>
      <c r="Q369" s="7">
        <v>0</v>
      </c>
      <c r="R369" s="8" t="str">
        <f>IFERROR(Q369/Q444, "NA")</f>
        <v>NA</v>
      </c>
      <c r="S369" s="9"/>
      <c r="T369" s="7">
        <v>0</v>
      </c>
      <c r="U369" s="8" t="str">
        <f>IFERROR(T369/T444, "NA")</f>
        <v>NA</v>
      </c>
      <c r="V369" s="9"/>
      <c r="W369" s="10">
        <f t="shared" si="94"/>
        <v>0</v>
      </c>
      <c r="X369" s="8" t="str">
        <f>IFERROR(W369/W444, "NA")</f>
        <v>NA</v>
      </c>
      <c r="Y369" s="9"/>
      <c r="Z369" s="7">
        <v>0</v>
      </c>
      <c r="AA369" s="8" t="str">
        <f>IFERROR(Z369/Z444, "NA")</f>
        <v>NA</v>
      </c>
      <c r="AB369" s="9"/>
      <c r="AC369" s="10">
        <f t="shared" si="95"/>
        <v>0</v>
      </c>
      <c r="AD369" s="8" t="str">
        <f>IFERROR(AC369/AC444, "NA")</f>
        <v>NA</v>
      </c>
    </row>
    <row r="370" spans="1:30" ht="16.5" customHeight="1" x14ac:dyDescent="0.45">
      <c r="A370" s="20" t="s">
        <v>338</v>
      </c>
      <c r="B370" s="7">
        <v>98</v>
      </c>
      <c r="C370" s="8" t="str">
        <f>IFERROR(B370/B444, "NA")</f>
        <v>NA</v>
      </c>
      <c r="D370" s="9"/>
      <c r="E370" s="7">
        <v>100</v>
      </c>
      <c r="F370" s="8" t="str">
        <f>IFERROR(E370/E444, "NA")</f>
        <v>NA</v>
      </c>
      <c r="G370" s="9"/>
      <c r="H370" s="10">
        <f t="shared" si="92"/>
        <v>2</v>
      </c>
      <c r="I370" s="8" t="str">
        <f>IFERROR(H370/H444, "NA")</f>
        <v>NA</v>
      </c>
      <c r="J370" s="9"/>
      <c r="K370" s="7">
        <v>103</v>
      </c>
      <c r="L370" s="8" t="str">
        <f>IFERROR(K370/K444, "NA")</f>
        <v>NA</v>
      </c>
      <c r="M370" s="9"/>
      <c r="N370" s="10">
        <f t="shared" si="93"/>
        <v>5</v>
      </c>
      <c r="O370" s="8" t="str">
        <f>IFERROR(N370/N444, "NA")</f>
        <v>NA</v>
      </c>
      <c r="P370" s="9"/>
      <c r="Q370" s="7">
        <v>98</v>
      </c>
      <c r="R370" s="8" t="str">
        <f>IFERROR(Q370/Q444, "NA")</f>
        <v>NA</v>
      </c>
      <c r="S370" s="9"/>
      <c r="T370" s="7">
        <v>100</v>
      </c>
      <c r="U370" s="8" t="str">
        <f>IFERROR(T370/T444, "NA")</f>
        <v>NA</v>
      </c>
      <c r="V370" s="9"/>
      <c r="W370" s="10">
        <f t="shared" si="94"/>
        <v>2</v>
      </c>
      <c r="X370" s="8" t="str">
        <f>IFERROR(W370/W444, "NA")</f>
        <v>NA</v>
      </c>
      <c r="Y370" s="9"/>
      <c r="Z370" s="7">
        <v>103</v>
      </c>
      <c r="AA370" s="8" t="str">
        <f>IFERROR(Z370/Z444, "NA")</f>
        <v>NA</v>
      </c>
      <c r="AB370" s="9"/>
      <c r="AC370" s="10">
        <f t="shared" si="95"/>
        <v>5</v>
      </c>
      <c r="AD370" s="8" t="str">
        <f>IFERROR(AC370/AC444, "NA")</f>
        <v>NA</v>
      </c>
    </row>
    <row r="371" spans="1:30" ht="16.5" customHeight="1" x14ac:dyDescent="0.45">
      <c r="A371" s="20" t="s">
        <v>339</v>
      </c>
      <c r="B371" s="7">
        <v>89.6</v>
      </c>
      <c r="C371" s="8" t="str">
        <f>IFERROR(B371/B444, "NA")</f>
        <v>NA</v>
      </c>
      <c r="D371" s="9"/>
      <c r="E371" s="7">
        <v>125</v>
      </c>
      <c r="F371" s="8" t="str">
        <f>IFERROR(E371/E444, "NA")</f>
        <v>NA</v>
      </c>
      <c r="G371" s="9"/>
      <c r="H371" s="10">
        <f t="shared" si="92"/>
        <v>35.400000000000006</v>
      </c>
      <c r="I371" s="8" t="str">
        <f>IFERROR(H371/H444, "NA")</f>
        <v>NA</v>
      </c>
      <c r="J371" s="9"/>
      <c r="K371" s="7">
        <v>110.07</v>
      </c>
      <c r="L371" s="8" t="str">
        <f>IFERROR(K371/K444, "NA")</f>
        <v>NA</v>
      </c>
      <c r="M371" s="9"/>
      <c r="N371" s="10">
        <f t="shared" si="93"/>
        <v>20.47</v>
      </c>
      <c r="O371" s="8" t="str">
        <f>IFERROR(N371/N444, "NA")</f>
        <v>NA</v>
      </c>
      <c r="P371" s="9"/>
      <c r="Q371" s="7">
        <v>89.6</v>
      </c>
      <c r="R371" s="8" t="str">
        <f>IFERROR(Q371/Q444, "NA")</f>
        <v>NA</v>
      </c>
      <c r="S371" s="9"/>
      <c r="T371" s="7">
        <v>125</v>
      </c>
      <c r="U371" s="8" t="str">
        <f>IFERROR(T371/T444, "NA")</f>
        <v>NA</v>
      </c>
      <c r="V371" s="9"/>
      <c r="W371" s="10">
        <f t="shared" si="94"/>
        <v>35.400000000000006</v>
      </c>
      <c r="X371" s="8" t="str">
        <f>IFERROR(W371/W444, "NA")</f>
        <v>NA</v>
      </c>
      <c r="Y371" s="9"/>
      <c r="Z371" s="7">
        <v>110.07</v>
      </c>
      <c r="AA371" s="8" t="str">
        <f>IFERROR(Z371/Z444, "NA")</f>
        <v>NA</v>
      </c>
      <c r="AB371" s="9"/>
      <c r="AC371" s="10">
        <f t="shared" si="95"/>
        <v>20.47</v>
      </c>
      <c r="AD371" s="8" t="str">
        <f>IFERROR(AC371/AC444, "NA")</f>
        <v>NA</v>
      </c>
    </row>
    <row r="372" spans="1:30" ht="16.5" customHeight="1" x14ac:dyDescent="0.45">
      <c r="A372" s="20" t="s">
        <v>340</v>
      </c>
      <c r="B372" s="7">
        <v>254.08</v>
      </c>
      <c r="C372" s="8" t="str">
        <f>IFERROR(B372/B444, "NA")</f>
        <v>NA</v>
      </c>
      <c r="D372" s="9"/>
      <c r="E372" s="7">
        <v>0</v>
      </c>
      <c r="F372" s="8" t="str">
        <f>IFERROR(E372/E444, "NA")</f>
        <v>NA</v>
      </c>
      <c r="G372" s="9"/>
      <c r="H372" s="10">
        <f t="shared" si="92"/>
        <v>-254.08</v>
      </c>
      <c r="I372" s="8" t="str">
        <f>IFERROR(H372/H444, "NA")</f>
        <v>NA</v>
      </c>
      <c r="J372" s="9"/>
      <c r="K372" s="7">
        <v>0</v>
      </c>
      <c r="L372" s="8" t="str">
        <f>IFERROR(K372/K444, "NA")</f>
        <v>NA</v>
      </c>
      <c r="M372" s="9"/>
      <c r="N372" s="10">
        <f t="shared" si="93"/>
        <v>-254.08</v>
      </c>
      <c r="O372" s="8" t="str">
        <f>IFERROR(N372/N444, "NA")</f>
        <v>NA</v>
      </c>
      <c r="P372" s="9"/>
      <c r="Q372" s="7">
        <v>254.08</v>
      </c>
      <c r="R372" s="8" t="str">
        <f>IFERROR(Q372/Q444, "NA")</f>
        <v>NA</v>
      </c>
      <c r="S372" s="9"/>
      <c r="T372" s="7">
        <v>0</v>
      </c>
      <c r="U372" s="8" t="str">
        <f>IFERROR(T372/T444, "NA")</f>
        <v>NA</v>
      </c>
      <c r="V372" s="9"/>
      <c r="W372" s="10">
        <f t="shared" si="94"/>
        <v>-254.08</v>
      </c>
      <c r="X372" s="8" t="str">
        <f>IFERROR(W372/W444, "NA")</f>
        <v>NA</v>
      </c>
      <c r="Y372" s="9"/>
      <c r="Z372" s="7">
        <v>0</v>
      </c>
      <c r="AA372" s="8" t="str">
        <f>IFERROR(Z372/Z444, "NA")</f>
        <v>NA</v>
      </c>
      <c r="AB372" s="9"/>
      <c r="AC372" s="10">
        <f t="shared" si="95"/>
        <v>-254.08</v>
      </c>
      <c r="AD372" s="8" t="str">
        <f>IFERROR(AC372/AC444, "NA")</f>
        <v>NA</v>
      </c>
    </row>
    <row r="373" spans="1:30" ht="16.5" customHeight="1" x14ac:dyDescent="0.45">
      <c r="A373" s="20" t="s">
        <v>341</v>
      </c>
      <c r="B373" s="7">
        <v>667.13</v>
      </c>
      <c r="C373" s="8" t="str">
        <f>IFERROR(B373/B444, "NA")</f>
        <v>NA</v>
      </c>
      <c r="D373" s="9"/>
      <c r="E373" s="7">
        <v>629</v>
      </c>
      <c r="F373" s="8" t="str">
        <f>IFERROR(E373/E444, "NA")</f>
        <v>NA</v>
      </c>
      <c r="G373" s="9"/>
      <c r="H373" s="10">
        <f t="shared" si="92"/>
        <v>-38.129999999999995</v>
      </c>
      <c r="I373" s="8" t="str">
        <f>IFERROR(H373/H444, "NA")</f>
        <v>NA</v>
      </c>
      <c r="J373" s="9"/>
      <c r="K373" s="7">
        <v>454.89</v>
      </c>
      <c r="L373" s="8" t="str">
        <f>IFERROR(K373/K444, "NA")</f>
        <v>NA</v>
      </c>
      <c r="M373" s="9"/>
      <c r="N373" s="10">
        <f t="shared" si="93"/>
        <v>-212.24</v>
      </c>
      <c r="O373" s="8" t="str">
        <f>IFERROR(N373/N444, "NA")</f>
        <v>NA</v>
      </c>
      <c r="P373" s="9"/>
      <c r="Q373" s="7">
        <v>667.13</v>
      </c>
      <c r="R373" s="8" t="str">
        <f>IFERROR(Q373/Q444, "NA")</f>
        <v>NA</v>
      </c>
      <c r="S373" s="9"/>
      <c r="T373" s="7">
        <v>629</v>
      </c>
      <c r="U373" s="8" t="str">
        <f>IFERROR(T373/T444, "NA")</f>
        <v>NA</v>
      </c>
      <c r="V373" s="9"/>
      <c r="W373" s="10">
        <f t="shared" si="94"/>
        <v>-38.129999999999995</v>
      </c>
      <c r="X373" s="8" t="str">
        <f>IFERROR(W373/W444, "NA")</f>
        <v>NA</v>
      </c>
      <c r="Y373" s="9"/>
      <c r="Z373" s="7">
        <v>454.89</v>
      </c>
      <c r="AA373" s="8" t="str">
        <f>IFERROR(Z373/Z444, "NA")</f>
        <v>NA</v>
      </c>
      <c r="AB373" s="9"/>
      <c r="AC373" s="10">
        <f t="shared" si="95"/>
        <v>-212.24</v>
      </c>
      <c r="AD373" s="8" t="str">
        <f>IFERROR(AC373/AC444, "NA")</f>
        <v>NA</v>
      </c>
    </row>
    <row r="374" spans="1:30" ht="16.5" customHeight="1" x14ac:dyDescent="0.45">
      <c r="A374" s="20" t="s">
        <v>342</v>
      </c>
      <c r="B374" s="7">
        <v>2114.1</v>
      </c>
      <c r="C374" s="8" t="str">
        <f>IFERROR(B374/B444, "NA")</f>
        <v>NA</v>
      </c>
      <c r="D374" s="9"/>
      <c r="E374" s="7">
        <v>2150</v>
      </c>
      <c r="F374" s="8" t="str">
        <f>IFERROR(E374/E444, "NA")</f>
        <v>NA</v>
      </c>
      <c r="G374" s="9"/>
      <c r="H374" s="10">
        <f t="shared" si="92"/>
        <v>35.900000000000091</v>
      </c>
      <c r="I374" s="8" t="str">
        <f>IFERROR(H374/H444, "NA")</f>
        <v>NA</v>
      </c>
      <c r="J374" s="9"/>
      <c r="K374" s="7">
        <v>1897.01</v>
      </c>
      <c r="L374" s="8" t="str">
        <f>IFERROR(K374/K444, "NA")</f>
        <v>NA</v>
      </c>
      <c r="M374" s="9"/>
      <c r="N374" s="10">
        <f t="shared" si="93"/>
        <v>-217.08999999999992</v>
      </c>
      <c r="O374" s="8" t="str">
        <f>IFERROR(N374/N444, "NA")</f>
        <v>NA</v>
      </c>
      <c r="P374" s="9"/>
      <c r="Q374" s="7">
        <v>2114.1</v>
      </c>
      <c r="R374" s="8" t="str">
        <f>IFERROR(Q374/Q444, "NA")</f>
        <v>NA</v>
      </c>
      <c r="S374" s="9"/>
      <c r="T374" s="7">
        <v>2150</v>
      </c>
      <c r="U374" s="8" t="str">
        <f>IFERROR(T374/T444, "NA")</f>
        <v>NA</v>
      </c>
      <c r="V374" s="9"/>
      <c r="W374" s="10">
        <f t="shared" si="94"/>
        <v>35.900000000000091</v>
      </c>
      <c r="X374" s="8" t="str">
        <f>IFERROR(W374/W444, "NA")</f>
        <v>NA</v>
      </c>
      <c r="Y374" s="9"/>
      <c r="Z374" s="7">
        <v>1897.01</v>
      </c>
      <c r="AA374" s="8" t="str">
        <f>IFERROR(Z374/Z444, "NA")</f>
        <v>NA</v>
      </c>
      <c r="AB374" s="9"/>
      <c r="AC374" s="10">
        <f t="shared" si="95"/>
        <v>-217.08999999999992</v>
      </c>
      <c r="AD374" s="8" t="str">
        <f>IFERROR(AC374/AC444, "NA")</f>
        <v>NA</v>
      </c>
    </row>
    <row r="375" spans="1:30" ht="16.5" customHeight="1" x14ac:dyDescent="0.45">
      <c r="A375" s="20" t="s">
        <v>343</v>
      </c>
      <c r="B375" s="7">
        <v>0</v>
      </c>
      <c r="C375" s="8" t="str">
        <f>IFERROR(B375/B444, "NA")</f>
        <v>NA</v>
      </c>
      <c r="D375" s="9"/>
      <c r="E375" s="7">
        <v>0</v>
      </c>
      <c r="F375" s="8" t="str">
        <f>IFERROR(E375/E444, "NA")</f>
        <v>NA</v>
      </c>
      <c r="G375" s="9"/>
      <c r="H375" s="10">
        <f t="shared" si="92"/>
        <v>0</v>
      </c>
      <c r="I375" s="8" t="str">
        <f>IFERROR(H375/H444, "NA")</f>
        <v>NA</v>
      </c>
      <c r="J375" s="9"/>
      <c r="K375" s="7">
        <v>205.26</v>
      </c>
      <c r="L375" s="8" t="str">
        <f>IFERROR(K375/K444, "NA")</f>
        <v>NA</v>
      </c>
      <c r="M375" s="9"/>
      <c r="N375" s="10">
        <f t="shared" si="93"/>
        <v>205.26</v>
      </c>
      <c r="O375" s="8" t="str">
        <f>IFERROR(N375/N444, "NA")</f>
        <v>NA</v>
      </c>
      <c r="P375" s="9"/>
      <c r="Q375" s="7">
        <v>0</v>
      </c>
      <c r="R375" s="8" t="str">
        <f>IFERROR(Q375/Q444, "NA")</f>
        <v>NA</v>
      </c>
      <c r="S375" s="9"/>
      <c r="T375" s="7">
        <v>0</v>
      </c>
      <c r="U375" s="8" t="str">
        <f>IFERROR(T375/T444, "NA")</f>
        <v>NA</v>
      </c>
      <c r="V375" s="9"/>
      <c r="W375" s="10">
        <f t="shared" si="94"/>
        <v>0</v>
      </c>
      <c r="X375" s="8" t="str">
        <f>IFERROR(W375/W444, "NA")</f>
        <v>NA</v>
      </c>
      <c r="Y375" s="9"/>
      <c r="Z375" s="7">
        <v>205.26</v>
      </c>
      <c r="AA375" s="8" t="str">
        <f>IFERROR(Z375/Z444, "NA")</f>
        <v>NA</v>
      </c>
      <c r="AB375" s="9"/>
      <c r="AC375" s="10">
        <f t="shared" si="95"/>
        <v>205.26</v>
      </c>
      <c r="AD375" s="8" t="str">
        <f>IFERROR(AC375/AC444, "NA")</f>
        <v>NA</v>
      </c>
    </row>
    <row r="376" spans="1:30" ht="16.5" customHeight="1" x14ac:dyDescent="0.45">
      <c r="A376" s="20" t="s">
        <v>344</v>
      </c>
      <c r="B376" s="7">
        <v>0</v>
      </c>
      <c r="C376" s="8" t="str">
        <f>IFERROR(B376/B444, "NA")</f>
        <v>NA</v>
      </c>
      <c r="D376" s="9"/>
      <c r="E376" s="7">
        <v>0</v>
      </c>
      <c r="F376" s="8" t="str">
        <f>IFERROR(E376/E444, "NA")</f>
        <v>NA</v>
      </c>
      <c r="G376" s="9"/>
      <c r="H376" s="10">
        <f t="shared" si="92"/>
        <v>0</v>
      </c>
      <c r="I376" s="8" t="str">
        <f>IFERROR(H376/H444, "NA")</f>
        <v>NA</v>
      </c>
      <c r="J376" s="9"/>
      <c r="K376" s="7">
        <v>-2413</v>
      </c>
      <c r="L376" s="8" t="str">
        <f>IFERROR(K376/K444, "NA")</f>
        <v>NA</v>
      </c>
      <c r="M376" s="9"/>
      <c r="N376" s="10">
        <f t="shared" si="93"/>
        <v>-2413</v>
      </c>
      <c r="O376" s="8" t="str">
        <f>IFERROR(N376/N444, "NA")</f>
        <v>NA</v>
      </c>
      <c r="P376" s="9"/>
      <c r="Q376" s="7">
        <v>0</v>
      </c>
      <c r="R376" s="8" t="str">
        <f>IFERROR(Q376/Q444, "NA")</f>
        <v>NA</v>
      </c>
      <c r="S376" s="9"/>
      <c r="T376" s="7">
        <v>0</v>
      </c>
      <c r="U376" s="8" t="str">
        <f>IFERROR(T376/T444, "NA")</f>
        <v>NA</v>
      </c>
      <c r="V376" s="9"/>
      <c r="W376" s="10">
        <f t="shared" si="94"/>
        <v>0</v>
      </c>
      <c r="X376" s="8" t="str">
        <f>IFERROR(W376/W444, "NA")</f>
        <v>NA</v>
      </c>
      <c r="Y376" s="9"/>
      <c r="Z376" s="7">
        <v>-2413</v>
      </c>
      <c r="AA376" s="8" t="str">
        <f>IFERROR(Z376/Z444, "NA")</f>
        <v>NA</v>
      </c>
      <c r="AB376" s="9"/>
      <c r="AC376" s="10">
        <f t="shared" si="95"/>
        <v>-2413</v>
      </c>
      <c r="AD376" s="8" t="str">
        <f>IFERROR(AC376/AC444, "NA")</f>
        <v>NA</v>
      </c>
    </row>
    <row r="377" spans="1:30" ht="16.5" hidden="1" customHeight="1" x14ac:dyDescent="0.45">
      <c r="A377" s="20" t="s">
        <v>345</v>
      </c>
      <c r="B377" s="7">
        <v>0</v>
      </c>
      <c r="C377" s="8" t="str">
        <f>IFERROR(B377/B444, "NA")</f>
        <v>NA</v>
      </c>
      <c r="D377" s="9"/>
      <c r="E377" s="7">
        <v>0</v>
      </c>
      <c r="F377" s="8" t="str">
        <f>IFERROR(E377/E444, "NA")</f>
        <v>NA</v>
      </c>
      <c r="G377" s="9"/>
      <c r="H377" s="10">
        <f t="shared" si="92"/>
        <v>0</v>
      </c>
      <c r="I377" s="8" t="str">
        <f>IFERROR(H377/H444, "NA")</f>
        <v>NA</v>
      </c>
      <c r="J377" s="9"/>
      <c r="K377" s="7">
        <v>0</v>
      </c>
      <c r="L377" s="8" t="str">
        <f>IFERROR(K377/K444, "NA")</f>
        <v>NA</v>
      </c>
      <c r="M377" s="9"/>
      <c r="N377" s="10">
        <f t="shared" si="93"/>
        <v>0</v>
      </c>
      <c r="O377" s="8" t="str">
        <f>IFERROR(N377/N444, "NA")</f>
        <v>NA</v>
      </c>
      <c r="P377" s="9"/>
      <c r="Q377" s="7">
        <v>0</v>
      </c>
      <c r="R377" s="8" t="str">
        <f>IFERROR(Q377/Q444, "NA")</f>
        <v>NA</v>
      </c>
      <c r="S377" s="9"/>
      <c r="T377" s="7">
        <v>0</v>
      </c>
      <c r="U377" s="8" t="str">
        <f>IFERROR(T377/T444, "NA")</f>
        <v>NA</v>
      </c>
      <c r="V377" s="9"/>
      <c r="W377" s="10">
        <f t="shared" si="94"/>
        <v>0</v>
      </c>
      <c r="X377" s="8" t="str">
        <f>IFERROR(W377/W444, "NA")</f>
        <v>NA</v>
      </c>
      <c r="Y377" s="9"/>
      <c r="Z377" s="7">
        <v>0</v>
      </c>
      <c r="AA377" s="8" t="str">
        <f>IFERROR(Z377/Z444, "NA")</f>
        <v>NA</v>
      </c>
      <c r="AB377" s="9"/>
      <c r="AC377" s="10">
        <f t="shared" si="95"/>
        <v>0</v>
      </c>
      <c r="AD377" s="8" t="str">
        <f>IFERROR(AC377/AC444, "NA")</f>
        <v>NA</v>
      </c>
    </row>
    <row r="378" spans="1:30" ht="16.5" customHeight="1" x14ac:dyDescent="0.45">
      <c r="A378" s="20" t="s">
        <v>346</v>
      </c>
      <c r="B378" s="7">
        <v>6574.18</v>
      </c>
      <c r="C378" s="8" t="str">
        <f>IFERROR(B378/B444, "NA")</f>
        <v>NA</v>
      </c>
      <c r="D378" s="9"/>
      <c r="E378" s="7">
        <v>9484</v>
      </c>
      <c r="F378" s="8" t="str">
        <f>IFERROR(E378/E444, "NA")</f>
        <v>NA</v>
      </c>
      <c r="G378" s="9"/>
      <c r="H378" s="10">
        <f t="shared" si="92"/>
        <v>2909.8199999999997</v>
      </c>
      <c r="I378" s="8" t="str">
        <f>IFERROR(H378/H444, "NA")</f>
        <v>NA</v>
      </c>
      <c r="J378" s="9"/>
      <c r="K378" s="7">
        <v>7928.96</v>
      </c>
      <c r="L378" s="8" t="str">
        <f>IFERROR(K378/K444, "NA")</f>
        <v>NA</v>
      </c>
      <c r="M378" s="9"/>
      <c r="N378" s="10">
        <f t="shared" si="93"/>
        <v>1354.7799999999997</v>
      </c>
      <c r="O378" s="8" t="str">
        <f>IFERROR(N378/N444, "NA")</f>
        <v>NA</v>
      </c>
      <c r="P378" s="9"/>
      <c r="Q378" s="7">
        <v>6574.18</v>
      </c>
      <c r="R378" s="8" t="str">
        <f>IFERROR(Q378/Q444, "NA")</f>
        <v>NA</v>
      </c>
      <c r="S378" s="9"/>
      <c r="T378" s="7">
        <v>9484</v>
      </c>
      <c r="U378" s="8" t="str">
        <f>IFERROR(T378/T444, "NA")</f>
        <v>NA</v>
      </c>
      <c r="V378" s="9"/>
      <c r="W378" s="10">
        <f t="shared" si="94"/>
        <v>2909.8199999999997</v>
      </c>
      <c r="X378" s="8" t="str">
        <f>IFERROR(W378/W444, "NA")</f>
        <v>NA</v>
      </c>
      <c r="Y378" s="9"/>
      <c r="Z378" s="7">
        <v>7928.96</v>
      </c>
      <c r="AA378" s="8" t="str">
        <f>IFERROR(Z378/Z444, "NA")</f>
        <v>NA</v>
      </c>
      <c r="AB378" s="9"/>
      <c r="AC378" s="10">
        <f t="shared" si="95"/>
        <v>1354.7799999999997</v>
      </c>
      <c r="AD378" s="8" t="str">
        <f>IFERROR(AC378/AC444, "NA")</f>
        <v>NA</v>
      </c>
    </row>
    <row r="379" spans="1:30" ht="16.5" customHeight="1" x14ac:dyDescent="0.45">
      <c r="A379" s="20" t="s">
        <v>347</v>
      </c>
      <c r="B379" s="7">
        <v>740.52</v>
      </c>
      <c r="C379" s="8" t="str">
        <f>IFERROR(B379/B444, "NA")</f>
        <v>NA</v>
      </c>
      <c r="D379" s="9"/>
      <c r="E379" s="7">
        <v>0</v>
      </c>
      <c r="F379" s="8" t="str">
        <f>IFERROR(E379/E444, "NA")</f>
        <v>NA</v>
      </c>
      <c r="G379" s="9"/>
      <c r="H379" s="10">
        <f t="shared" si="92"/>
        <v>-740.52</v>
      </c>
      <c r="I379" s="8" t="str">
        <f>IFERROR(H379/H444, "NA")</f>
        <v>NA</v>
      </c>
      <c r="J379" s="9"/>
      <c r="K379" s="7">
        <v>18.41</v>
      </c>
      <c r="L379" s="8" t="str">
        <f>IFERROR(K379/K444, "NA")</f>
        <v>NA</v>
      </c>
      <c r="M379" s="9"/>
      <c r="N379" s="10">
        <f t="shared" si="93"/>
        <v>-722.11</v>
      </c>
      <c r="O379" s="8" t="str">
        <f>IFERROR(N379/N444, "NA")</f>
        <v>NA</v>
      </c>
      <c r="P379" s="9"/>
      <c r="Q379" s="7">
        <v>740.52</v>
      </c>
      <c r="R379" s="8" t="str">
        <f>IFERROR(Q379/Q444, "NA")</f>
        <v>NA</v>
      </c>
      <c r="S379" s="9"/>
      <c r="T379" s="7">
        <v>0</v>
      </c>
      <c r="U379" s="8" t="str">
        <f>IFERROR(T379/T444, "NA")</f>
        <v>NA</v>
      </c>
      <c r="V379" s="9"/>
      <c r="W379" s="10">
        <f t="shared" si="94"/>
        <v>-740.52</v>
      </c>
      <c r="X379" s="8" t="str">
        <f>IFERROR(W379/W444, "NA")</f>
        <v>NA</v>
      </c>
      <c r="Y379" s="9"/>
      <c r="Z379" s="7">
        <v>18.41</v>
      </c>
      <c r="AA379" s="8" t="str">
        <f>IFERROR(Z379/Z444, "NA")</f>
        <v>NA</v>
      </c>
      <c r="AB379" s="9"/>
      <c r="AC379" s="10">
        <f t="shared" si="95"/>
        <v>-722.11</v>
      </c>
      <c r="AD379" s="8" t="str">
        <f>IFERROR(AC379/AC444, "NA")</f>
        <v>NA</v>
      </c>
    </row>
    <row r="380" spans="1:30" ht="16.5" customHeight="1" x14ac:dyDescent="0.45">
      <c r="A380" s="20" t="s">
        <v>348</v>
      </c>
      <c r="B380" s="7">
        <v>11800</v>
      </c>
      <c r="C380" s="8" t="str">
        <f>IFERROR(B380/B444, "NA")</f>
        <v>NA</v>
      </c>
      <c r="D380" s="9"/>
      <c r="E380" s="7">
        <v>11800</v>
      </c>
      <c r="F380" s="8" t="str">
        <f>IFERROR(E380/E444, "NA")</f>
        <v>NA</v>
      </c>
      <c r="G380" s="9"/>
      <c r="H380" s="10">
        <f t="shared" si="92"/>
        <v>0</v>
      </c>
      <c r="I380" s="8" t="str">
        <f>IFERROR(H380/H444, "NA")</f>
        <v>NA</v>
      </c>
      <c r="J380" s="9"/>
      <c r="K380" s="7">
        <v>11500</v>
      </c>
      <c r="L380" s="8" t="str">
        <f>IFERROR(K380/K444, "NA")</f>
        <v>NA</v>
      </c>
      <c r="M380" s="9"/>
      <c r="N380" s="10">
        <f t="shared" si="93"/>
        <v>-300</v>
      </c>
      <c r="O380" s="8" t="str">
        <f>IFERROR(N380/N444, "NA")</f>
        <v>NA</v>
      </c>
      <c r="P380" s="9"/>
      <c r="Q380" s="7">
        <v>11800</v>
      </c>
      <c r="R380" s="8" t="str">
        <f>IFERROR(Q380/Q444, "NA")</f>
        <v>NA</v>
      </c>
      <c r="S380" s="9"/>
      <c r="T380" s="7">
        <v>11800</v>
      </c>
      <c r="U380" s="8" t="str">
        <f>IFERROR(T380/T444, "NA")</f>
        <v>NA</v>
      </c>
      <c r="V380" s="9"/>
      <c r="W380" s="10">
        <f t="shared" si="94"/>
        <v>0</v>
      </c>
      <c r="X380" s="8" t="str">
        <f>IFERROR(W380/W444, "NA")</f>
        <v>NA</v>
      </c>
      <c r="Y380" s="9"/>
      <c r="Z380" s="7">
        <v>11500</v>
      </c>
      <c r="AA380" s="8" t="str">
        <f>IFERROR(Z380/Z444, "NA")</f>
        <v>NA</v>
      </c>
      <c r="AB380" s="9"/>
      <c r="AC380" s="10">
        <f t="shared" si="95"/>
        <v>-300</v>
      </c>
      <c r="AD380" s="8" t="str">
        <f>IFERROR(AC380/AC444, "NA")</f>
        <v>NA</v>
      </c>
    </row>
    <row r="381" spans="1:30" ht="16.5" customHeight="1" x14ac:dyDescent="0.45">
      <c r="A381" s="20" t="s">
        <v>349</v>
      </c>
      <c r="B381" s="7">
        <v>3547.5</v>
      </c>
      <c r="C381" s="8" t="str">
        <f>IFERROR(B381/B444, "NA")</f>
        <v>NA</v>
      </c>
      <c r="D381" s="9"/>
      <c r="E381" s="7">
        <v>2500</v>
      </c>
      <c r="F381" s="8" t="str">
        <f>IFERROR(E381/E444, "NA")</f>
        <v>NA</v>
      </c>
      <c r="G381" s="9"/>
      <c r="H381" s="10">
        <f t="shared" si="92"/>
        <v>-1047.5</v>
      </c>
      <c r="I381" s="8" t="str">
        <f>IFERROR(H381/H444, "NA")</f>
        <v>NA</v>
      </c>
      <c r="J381" s="9"/>
      <c r="K381" s="7">
        <v>4000</v>
      </c>
      <c r="L381" s="8" t="str">
        <f>IFERROR(K381/K444, "NA")</f>
        <v>NA</v>
      </c>
      <c r="M381" s="9"/>
      <c r="N381" s="10">
        <f t="shared" si="93"/>
        <v>452.5</v>
      </c>
      <c r="O381" s="8" t="str">
        <f>IFERROR(N381/N444, "NA")</f>
        <v>NA</v>
      </c>
      <c r="P381" s="9"/>
      <c r="Q381" s="7">
        <v>3547.5</v>
      </c>
      <c r="R381" s="8" t="str">
        <f>IFERROR(Q381/Q444, "NA")</f>
        <v>NA</v>
      </c>
      <c r="S381" s="9"/>
      <c r="T381" s="7">
        <v>2500</v>
      </c>
      <c r="U381" s="8" t="str">
        <f>IFERROR(T381/T444, "NA")</f>
        <v>NA</v>
      </c>
      <c r="V381" s="9"/>
      <c r="W381" s="10">
        <f t="shared" si="94"/>
        <v>-1047.5</v>
      </c>
      <c r="X381" s="8" t="str">
        <f>IFERROR(W381/W444, "NA")</f>
        <v>NA</v>
      </c>
      <c r="Y381" s="9"/>
      <c r="Z381" s="7">
        <v>4000</v>
      </c>
      <c r="AA381" s="8" t="str">
        <f>IFERROR(Z381/Z444, "NA")</f>
        <v>NA</v>
      </c>
      <c r="AB381" s="9"/>
      <c r="AC381" s="10">
        <f t="shared" si="95"/>
        <v>452.5</v>
      </c>
      <c r="AD381" s="8" t="str">
        <f>IFERROR(AC381/AC444, "NA")</f>
        <v>NA</v>
      </c>
    </row>
    <row r="382" spans="1:30" ht="16.5" customHeight="1" x14ac:dyDescent="0.45">
      <c r="A382" s="20" t="s">
        <v>350</v>
      </c>
      <c r="B382" s="7">
        <v>674.16</v>
      </c>
      <c r="C382" s="8" t="str">
        <f>IFERROR(B382/B444, "NA")</f>
        <v>NA</v>
      </c>
      <c r="D382" s="9"/>
      <c r="E382" s="7">
        <v>506</v>
      </c>
      <c r="F382" s="8" t="str">
        <f>IFERROR(E382/E444, "NA")</f>
        <v>NA</v>
      </c>
      <c r="G382" s="9"/>
      <c r="H382" s="10">
        <f t="shared" si="92"/>
        <v>-168.15999999999997</v>
      </c>
      <c r="I382" s="8" t="str">
        <f>IFERROR(H382/H444, "NA")</f>
        <v>NA</v>
      </c>
      <c r="J382" s="9"/>
      <c r="K382" s="7">
        <v>505.62</v>
      </c>
      <c r="L382" s="8" t="str">
        <f>IFERROR(K382/K444, "NA")</f>
        <v>NA</v>
      </c>
      <c r="M382" s="9"/>
      <c r="N382" s="10">
        <f t="shared" si="93"/>
        <v>-168.53999999999996</v>
      </c>
      <c r="O382" s="8" t="str">
        <f>IFERROR(N382/N444, "NA")</f>
        <v>NA</v>
      </c>
      <c r="P382" s="9"/>
      <c r="Q382" s="7">
        <v>674.16</v>
      </c>
      <c r="R382" s="8" t="str">
        <f>IFERROR(Q382/Q444, "NA")</f>
        <v>NA</v>
      </c>
      <c r="S382" s="9"/>
      <c r="T382" s="7">
        <v>506</v>
      </c>
      <c r="U382" s="8" t="str">
        <f>IFERROR(T382/T444, "NA")</f>
        <v>NA</v>
      </c>
      <c r="V382" s="9"/>
      <c r="W382" s="10">
        <f t="shared" si="94"/>
        <v>-168.15999999999997</v>
      </c>
      <c r="X382" s="8" t="str">
        <f>IFERROR(W382/W444, "NA")</f>
        <v>NA</v>
      </c>
      <c r="Y382" s="9"/>
      <c r="Z382" s="7">
        <v>505.62</v>
      </c>
      <c r="AA382" s="8" t="str">
        <f>IFERROR(Z382/Z444, "NA")</f>
        <v>NA</v>
      </c>
      <c r="AB382" s="9"/>
      <c r="AC382" s="10">
        <f t="shared" si="95"/>
        <v>-168.53999999999996</v>
      </c>
      <c r="AD382" s="8" t="str">
        <f>IFERROR(AC382/AC444, "NA")</f>
        <v>NA</v>
      </c>
    </row>
    <row r="383" spans="1:30" ht="16.5" hidden="1" customHeight="1" x14ac:dyDescent="0.45">
      <c r="A383" s="20" t="s">
        <v>351</v>
      </c>
      <c r="B383" s="7">
        <v>0</v>
      </c>
      <c r="C383" s="8" t="str">
        <f>IFERROR(B383/B444, "NA")</f>
        <v>NA</v>
      </c>
      <c r="D383" s="9"/>
      <c r="E383" s="7">
        <v>0</v>
      </c>
      <c r="F383" s="8" t="str">
        <f>IFERROR(E383/E444, "NA")</f>
        <v>NA</v>
      </c>
      <c r="G383" s="9"/>
      <c r="H383" s="10">
        <f t="shared" si="92"/>
        <v>0</v>
      </c>
      <c r="I383" s="8" t="str">
        <f>IFERROR(H383/H444, "NA")</f>
        <v>NA</v>
      </c>
      <c r="J383" s="9"/>
      <c r="K383" s="7">
        <v>0</v>
      </c>
      <c r="L383" s="8" t="str">
        <f>IFERROR(K383/K444, "NA")</f>
        <v>NA</v>
      </c>
      <c r="M383" s="9"/>
      <c r="N383" s="10">
        <f t="shared" si="93"/>
        <v>0</v>
      </c>
      <c r="O383" s="8" t="str">
        <f>IFERROR(N383/N444, "NA")</f>
        <v>NA</v>
      </c>
      <c r="P383" s="9"/>
      <c r="Q383" s="7">
        <v>0</v>
      </c>
      <c r="R383" s="8" t="str">
        <f>IFERROR(Q383/Q444, "NA")</f>
        <v>NA</v>
      </c>
      <c r="S383" s="9"/>
      <c r="T383" s="7">
        <v>0</v>
      </c>
      <c r="U383" s="8" t="str">
        <f>IFERROR(T383/T444, "NA")</f>
        <v>NA</v>
      </c>
      <c r="V383" s="9"/>
      <c r="W383" s="10">
        <f t="shared" si="94"/>
        <v>0</v>
      </c>
      <c r="X383" s="8" t="str">
        <f>IFERROR(W383/W444, "NA")</f>
        <v>NA</v>
      </c>
      <c r="Y383" s="9"/>
      <c r="Z383" s="7">
        <v>0</v>
      </c>
      <c r="AA383" s="8" t="str">
        <f>IFERROR(Z383/Z444, "NA")</f>
        <v>NA</v>
      </c>
      <c r="AB383" s="9"/>
      <c r="AC383" s="10">
        <f t="shared" si="95"/>
        <v>0</v>
      </c>
      <c r="AD383" s="8" t="str">
        <f>IFERROR(AC383/AC444, "NA")</f>
        <v>NA</v>
      </c>
    </row>
    <row r="384" spans="1:30" ht="16.5" customHeight="1" x14ac:dyDescent="0.45">
      <c r="A384" s="5" t="s">
        <v>352</v>
      </c>
      <c r="B384" s="2"/>
      <c r="C384" s="3"/>
      <c r="D384" s="4"/>
      <c r="E384" s="2"/>
      <c r="F384" s="3"/>
      <c r="G384" s="4"/>
      <c r="H384" s="2"/>
      <c r="I384" s="3"/>
      <c r="J384" s="4"/>
      <c r="K384" s="2"/>
      <c r="L384" s="3"/>
      <c r="M384" s="4"/>
      <c r="N384" s="2"/>
      <c r="O384" s="3"/>
      <c r="P384" s="4"/>
      <c r="Q384" s="2"/>
      <c r="R384" s="3"/>
      <c r="S384" s="4"/>
      <c r="T384" s="2"/>
      <c r="U384" s="3"/>
      <c r="V384" s="4"/>
      <c r="W384" s="2"/>
      <c r="X384" s="3"/>
      <c r="Y384" s="4"/>
      <c r="Z384" s="2"/>
      <c r="AA384" s="3"/>
      <c r="AB384" s="4"/>
      <c r="AC384" s="2"/>
      <c r="AD384" s="3"/>
    </row>
    <row r="385" spans="1:30" ht="16.5" customHeight="1" x14ac:dyDescent="0.45">
      <c r="A385" s="6" t="s">
        <v>352</v>
      </c>
      <c r="B385" s="7">
        <v>2222.3000000000002</v>
      </c>
      <c r="C385" s="8" t="str">
        <f>IFERROR(B385/B444, "NA")</f>
        <v>NA</v>
      </c>
      <c r="D385" s="9"/>
      <c r="E385" s="7">
        <v>750</v>
      </c>
      <c r="F385" s="8" t="str">
        <f>IFERROR(E385/E444, "NA")</f>
        <v>NA</v>
      </c>
      <c r="G385" s="9"/>
      <c r="H385" s="10">
        <f>IFERROR(-(B385-E385), "NA")</f>
        <v>-1472.3000000000002</v>
      </c>
      <c r="I385" s="8" t="str">
        <f>IFERROR(H385/H444, "NA")</f>
        <v>NA</v>
      </c>
      <c r="J385" s="9"/>
      <c r="K385" s="7">
        <v>2197.23</v>
      </c>
      <c r="L385" s="8" t="str">
        <f>IFERROR(K385/K444, "NA")</f>
        <v>NA</v>
      </c>
      <c r="M385" s="9"/>
      <c r="N385" s="10">
        <f>IFERROR(-(B385-K385), "NA")</f>
        <v>-25.070000000000164</v>
      </c>
      <c r="O385" s="8" t="str">
        <f>IFERROR(N385/N444, "NA")</f>
        <v>NA</v>
      </c>
      <c r="P385" s="9"/>
      <c r="Q385" s="7">
        <v>2222.3000000000002</v>
      </c>
      <c r="R385" s="8" t="str">
        <f>IFERROR(Q385/Q444, "NA")</f>
        <v>NA</v>
      </c>
      <c r="S385" s="9"/>
      <c r="T385" s="7">
        <v>750</v>
      </c>
      <c r="U385" s="8" t="str">
        <f>IFERROR(T385/T444, "NA")</f>
        <v>NA</v>
      </c>
      <c r="V385" s="9"/>
      <c r="W385" s="10">
        <f>IFERROR(-(Q385-T385), "NA")</f>
        <v>-1472.3000000000002</v>
      </c>
      <c r="X385" s="8" t="str">
        <f>IFERROR(W385/W444, "NA")</f>
        <v>NA</v>
      </c>
      <c r="Y385" s="9"/>
      <c r="Z385" s="7">
        <v>2197.23</v>
      </c>
      <c r="AA385" s="8" t="str">
        <f>IFERROR(Z385/Z444, "NA")</f>
        <v>NA</v>
      </c>
      <c r="AB385" s="9"/>
      <c r="AC385" s="10">
        <f>IFERROR(-(Q385-Z385), "NA")</f>
        <v>-25.070000000000164</v>
      </c>
      <c r="AD385" s="8" t="str">
        <f>IFERROR(AC385/AC444, "NA")</f>
        <v>NA</v>
      </c>
    </row>
    <row r="386" spans="1:30" ht="16.5" hidden="1" customHeight="1" x14ac:dyDescent="0.45">
      <c r="A386" s="6" t="s">
        <v>353</v>
      </c>
      <c r="B386" s="7">
        <v>0</v>
      </c>
      <c r="C386" s="8" t="str">
        <f>IFERROR(B386/B444, "NA")</f>
        <v>NA</v>
      </c>
      <c r="D386" s="9"/>
      <c r="E386" s="7">
        <v>0</v>
      </c>
      <c r="F386" s="8" t="str">
        <f>IFERROR(E386/E444, "NA")</f>
        <v>NA</v>
      </c>
      <c r="G386" s="9"/>
      <c r="H386" s="10">
        <f>IFERROR(-(B386-E386), "NA")</f>
        <v>0</v>
      </c>
      <c r="I386" s="8" t="str">
        <f>IFERROR(H386/H444, "NA")</f>
        <v>NA</v>
      </c>
      <c r="J386" s="9"/>
      <c r="K386" s="7">
        <v>0</v>
      </c>
      <c r="L386" s="8" t="str">
        <f>IFERROR(K386/K444, "NA")</f>
        <v>NA</v>
      </c>
      <c r="M386" s="9"/>
      <c r="N386" s="10">
        <f>IFERROR(-(B386-K386), "NA")</f>
        <v>0</v>
      </c>
      <c r="O386" s="8" t="str">
        <f>IFERROR(N386/N444, "NA")</f>
        <v>NA</v>
      </c>
      <c r="P386" s="9"/>
      <c r="Q386" s="7">
        <v>0</v>
      </c>
      <c r="R386" s="8" t="str">
        <f>IFERROR(Q386/Q444, "NA")</f>
        <v>NA</v>
      </c>
      <c r="S386" s="9"/>
      <c r="T386" s="7">
        <v>0</v>
      </c>
      <c r="U386" s="8" t="str">
        <f>IFERROR(T386/T444, "NA")</f>
        <v>NA</v>
      </c>
      <c r="V386" s="9"/>
      <c r="W386" s="10">
        <f>IFERROR(-(Q386-T386), "NA")</f>
        <v>0</v>
      </c>
      <c r="X386" s="8" t="str">
        <f>IFERROR(W386/W444, "NA")</f>
        <v>NA</v>
      </c>
      <c r="Y386" s="9"/>
      <c r="Z386" s="7">
        <v>0</v>
      </c>
      <c r="AA386" s="8" t="str">
        <f>IFERROR(Z386/Z444, "NA")</f>
        <v>NA</v>
      </c>
      <c r="AB386" s="9"/>
      <c r="AC386" s="10">
        <f>IFERROR(-(Q386-Z386), "NA")</f>
        <v>0</v>
      </c>
      <c r="AD386" s="8" t="str">
        <f>IFERROR(AC386/AC444, "NA")</f>
        <v>NA</v>
      </c>
    </row>
    <row r="387" spans="1:30" ht="16.5" customHeight="1" x14ac:dyDescent="0.45">
      <c r="A387" s="11" t="s">
        <v>354</v>
      </c>
      <c r="B387" s="2"/>
      <c r="C387" s="3"/>
      <c r="D387" s="4"/>
      <c r="E387" s="2"/>
      <c r="F387" s="3"/>
      <c r="G387" s="4"/>
      <c r="H387" s="2"/>
      <c r="I387" s="3"/>
      <c r="J387" s="4"/>
      <c r="K387" s="2"/>
      <c r="L387" s="3"/>
      <c r="M387" s="4"/>
      <c r="N387" s="2"/>
      <c r="O387" s="3"/>
      <c r="P387" s="4"/>
      <c r="Q387" s="2"/>
      <c r="R387" s="3"/>
      <c r="S387" s="4"/>
      <c r="T387" s="2"/>
      <c r="U387" s="3"/>
      <c r="V387" s="4"/>
      <c r="W387" s="2"/>
      <c r="X387" s="3"/>
      <c r="Y387" s="4"/>
      <c r="Z387" s="2"/>
      <c r="AA387" s="3"/>
      <c r="AB387" s="4"/>
      <c r="AC387" s="2"/>
      <c r="AD387" s="3"/>
    </row>
    <row r="388" spans="1:30" ht="16.5" customHeight="1" x14ac:dyDescent="0.45">
      <c r="A388" s="12" t="s">
        <v>354</v>
      </c>
      <c r="B388" s="7">
        <v>0</v>
      </c>
      <c r="C388" s="8" t="str">
        <f>IFERROR(B388/B444, "NA")</f>
        <v>NA</v>
      </c>
      <c r="D388" s="9"/>
      <c r="E388" s="7">
        <v>9422.8700000000008</v>
      </c>
      <c r="F388" s="8" t="str">
        <f>IFERROR(E388/E444, "NA")</f>
        <v>NA</v>
      </c>
      <c r="G388" s="9"/>
      <c r="H388" s="10">
        <f t="shared" ref="H388:H403" si="96">IFERROR(-(B388-E388), "NA")</f>
        <v>9422.8700000000008</v>
      </c>
      <c r="I388" s="8" t="str">
        <f>IFERROR(H388/H444, "NA")</f>
        <v>NA</v>
      </c>
      <c r="J388" s="9"/>
      <c r="K388" s="7">
        <v>0</v>
      </c>
      <c r="L388" s="8" t="str">
        <f>IFERROR(K388/K444, "NA")</f>
        <v>NA</v>
      </c>
      <c r="M388" s="9"/>
      <c r="N388" s="10">
        <f t="shared" ref="N388:N403" si="97">IFERROR(-(B388-K388), "NA")</f>
        <v>0</v>
      </c>
      <c r="O388" s="8" t="str">
        <f>IFERROR(N388/N444, "NA")</f>
        <v>NA</v>
      </c>
      <c r="P388" s="9"/>
      <c r="Q388" s="7">
        <v>0</v>
      </c>
      <c r="R388" s="8" t="str">
        <f>IFERROR(Q388/Q444, "NA")</f>
        <v>NA</v>
      </c>
      <c r="S388" s="9"/>
      <c r="T388" s="7">
        <v>9422.8700000000008</v>
      </c>
      <c r="U388" s="8" t="str">
        <f>IFERROR(T388/T444, "NA")</f>
        <v>NA</v>
      </c>
      <c r="V388" s="9"/>
      <c r="W388" s="10">
        <f t="shared" ref="W388:W403" si="98">IFERROR(-(Q388-T388), "NA")</f>
        <v>9422.8700000000008</v>
      </c>
      <c r="X388" s="8" t="str">
        <f>IFERROR(W388/W444, "NA")</f>
        <v>NA</v>
      </c>
      <c r="Y388" s="9"/>
      <c r="Z388" s="7">
        <v>0</v>
      </c>
      <c r="AA388" s="8" t="str">
        <f>IFERROR(Z388/Z444, "NA")</f>
        <v>NA</v>
      </c>
      <c r="AB388" s="9"/>
      <c r="AC388" s="10">
        <f t="shared" ref="AC388:AC403" si="99">IFERROR(-(Q388-Z388), "NA")</f>
        <v>0</v>
      </c>
      <c r="AD388" s="8" t="str">
        <f>IFERROR(AC388/AC444, "NA")</f>
        <v>NA</v>
      </c>
    </row>
    <row r="389" spans="1:30" ht="16.5" customHeight="1" x14ac:dyDescent="0.45">
      <c r="A389" s="12" t="s">
        <v>355</v>
      </c>
      <c r="B389" s="7">
        <v>6900.42</v>
      </c>
      <c r="C389" s="8" t="str">
        <f>IFERROR(B389/B444, "NA")</f>
        <v>NA</v>
      </c>
      <c r="D389" s="9"/>
      <c r="E389" s="7">
        <v>0</v>
      </c>
      <c r="F389" s="8" t="str">
        <f>IFERROR(E389/E444, "NA")</f>
        <v>NA</v>
      </c>
      <c r="G389" s="9"/>
      <c r="H389" s="10">
        <f t="shared" si="96"/>
        <v>-6900.42</v>
      </c>
      <c r="I389" s="8" t="str">
        <f>IFERROR(H389/H444, "NA")</f>
        <v>NA</v>
      </c>
      <c r="J389" s="9"/>
      <c r="K389" s="7">
        <v>3194.75</v>
      </c>
      <c r="L389" s="8" t="str">
        <f>IFERROR(K389/K444, "NA")</f>
        <v>NA</v>
      </c>
      <c r="M389" s="9"/>
      <c r="N389" s="10">
        <f t="shared" si="97"/>
        <v>-3705.67</v>
      </c>
      <c r="O389" s="8" t="str">
        <f>IFERROR(N389/N444, "NA")</f>
        <v>NA</v>
      </c>
      <c r="P389" s="9"/>
      <c r="Q389" s="7">
        <v>6900.42</v>
      </c>
      <c r="R389" s="8" t="str">
        <f>IFERROR(Q389/Q444, "NA")</f>
        <v>NA</v>
      </c>
      <c r="S389" s="9"/>
      <c r="T389" s="7">
        <v>0</v>
      </c>
      <c r="U389" s="8" t="str">
        <f>IFERROR(T389/T444, "NA")</f>
        <v>NA</v>
      </c>
      <c r="V389" s="9"/>
      <c r="W389" s="10">
        <f t="shared" si="98"/>
        <v>-6900.42</v>
      </c>
      <c r="X389" s="8" t="str">
        <f>IFERROR(W389/W444, "NA")</f>
        <v>NA</v>
      </c>
      <c r="Y389" s="9"/>
      <c r="Z389" s="7">
        <v>3194.75</v>
      </c>
      <c r="AA389" s="8" t="str">
        <f>IFERROR(Z389/Z444, "NA")</f>
        <v>NA</v>
      </c>
      <c r="AB389" s="9"/>
      <c r="AC389" s="10">
        <f t="shared" si="99"/>
        <v>-3705.67</v>
      </c>
      <c r="AD389" s="8" t="str">
        <f>IFERROR(AC389/AC444, "NA")</f>
        <v>NA</v>
      </c>
    </row>
    <row r="390" spans="1:30" ht="16.5" customHeight="1" x14ac:dyDescent="0.45">
      <c r="A390" s="12" t="s">
        <v>356</v>
      </c>
      <c r="B390" s="7">
        <v>3202.36</v>
      </c>
      <c r="C390" s="8" t="str">
        <f>IFERROR(B390/B444, "NA")</f>
        <v>NA</v>
      </c>
      <c r="D390" s="9"/>
      <c r="E390" s="7">
        <v>0</v>
      </c>
      <c r="F390" s="8" t="str">
        <f>IFERROR(E390/E444, "NA")</f>
        <v>NA</v>
      </c>
      <c r="G390" s="9"/>
      <c r="H390" s="10">
        <f t="shared" si="96"/>
        <v>-3202.36</v>
      </c>
      <c r="I390" s="8" t="str">
        <f>IFERROR(H390/H444, "NA")</f>
        <v>NA</v>
      </c>
      <c r="J390" s="9"/>
      <c r="K390" s="7">
        <v>12806.2</v>
      </c>
      <c r="L390" s="8" t="str">
        <f>IFERROR(K390/K444, "NA")</f>
        <v>NA</v>
      </c>
      <c r="M390" s="9"/>
      <c r="N390" s="10">
        <f t="shared" si="97"/>
        <v>9603.84</v>
      </c>
      <c r="O390" s="8" t="str">
        <f>IFERROR(N390/N444, "NA")</f>
        <v>NA</v>
      </c>
      <c r="P390" s="9"/>
      <c r="Q390" s="7">
        <v>3202.36</v>
      </c>
      <c r="R390" s="8" t="str">
        <f>IFERROR(Q390/Q444, "NA")</f>
        <v>NA</v>
      </c>
      <c r="S390" s="9"/>
      <c r="T390" s="7">
        <v>0</v>
      </c>
      <c r="U390" s="8" t="str">
        <f>IFERROR(T390/T444, "NA")</f>
        <v>NA</v>
      </c>
      <c r="V390" s="9"/>
      <c r="W390" s="10">
        <f t="shared" si="98"/>
        <v>-3202.36</v>
      </c>
      <c r="X390" s="8" t="str">
        <f>IFERROR(W390/W444, "NA")</f>
        <v>NA</v>
      </c>
      <c r="Y390" s="9"/>
      <c r="Z390" s="7">
        <v>12806.2</v>
      </c>
      <c r="AA390" s="8" t="str">
        <f>IFERROR(Z390/Z444, "NA")</f>
        <v>NA</v>
      </c>
      <c r="AB390" s="9"/>
      <c r="AC390" s="10">
        <f t="shared" si="99"/>
        <v>9603.84</v>
      </c>
      <c r="AD390" s="8" t="str">
        <f>IFERROR(AC390/AC444, "NA")</f>
        <v>NA</v>
      </c>
    </row>
    <row r="391" spans="1:30" ht="16.5" hidden="1" customHeight="1" x14ac:dyDescent="0.45">
      <c r="A391" s="12" t="s">
        <v>357</v>
      </c>
      <c r="B391" s="7">
        <v>0</v>
      </c>
      <c r="C391" s="8" t="str">
        <f>IFERROR(B391/B444, "NA")</f>
        <v>NA</v>
      </c>
      <c r="D391" s="9"/>
      <c r="E391" s="7">
        <v>0</v>
      </c>
      <c r="F391" s="8" t="str">
        <f>IFERROR(E391/E444, "NA")</f>
        <v>NA</v>
      </c>
      <c r="G391" s="9"/>
      <c r="H391" s="10">
        <f t="shared" si="96"/>
        <v>0</v>
      </c>
      <c r="I391" s="8" t="str">
        <f>IFERROR(H391/H444, "NA")</f>
        <v>NA</v>
      </c>
      <c r="J391" s="9"/>
      <c r="K391" s="7">
        <v>0</v>
      </c>
      <c r="L391" s="8" t="str">
        <f>IFERROR(K391/K444, "NA")</f>
        <v>NA</v>
      </c>
      <c r="M391" s="9"/>
      <c r="N391" s="10">
        <f t="shared" si="97"/>
        <v>0</v>
      </c>
      <c r="O391" s="8" t="str">
        <f>IFERROR(N391/N444, "NA")</f>
        <v>NA</v>
      </c>
      <c r="P391" s="9"/>
      <c r="Q391" s="7">
        <v>0</v>
      </c>
      <c r="R391" s="8" t="str">
        <f>IFERROR(Q391/Q444, "NA")</f>
        <v>NA</v>
      </c>
      <c r="S391" s="9"/>
      <c r="T391" s="7">
        <v>0</v>
      </c>
      <c r="U391" s="8" t="str">
        <f>IFERROR(T391/T444, "NA")</f>
        <v>NA</v>
      </c>
      <c r="V391" s="9"/>
      <c r="W391" s="10">
        <f t="shared" si="98"/>
        <v>0</v>
      </c>
      <c r="X391" s="8" t="str">
        <f>IFERROR(W391/W444, "NA")</f>
        <v>NA</v>
      </c>
      <c r="Y391" s="9"/>
      <c r="Z391" s="7">
        <v>0</v>
      </c>
      <c r="AA391" s="8" t="str">
        <f>IFERROR(Z391/Z444, "NA")</f>
        <v>NA</v>
      </c>
      <c r="AB391" s="9"/>
      <c r="AC391" s="10">
        <f t="shared" si="99"/>
        <v>0</v>
      </c>
      <c r="AD391" s="8" t="str">
        <f>IFERROR(AC391/AC444, "NA")</f>
        <v>NA</v>
      </c>
    </row>
    <row r="392" spans="1:30" ht="16.5" customHeight="1" x14ac:dyDescent="0.45">
      <c r="A392" s="12" t="s">
        <v>358</v>
      </c>
      <c r="B392" s="7">
        <v>4837.55</v>
      </c>
      <c r="C392" s="8" t="str">
        <f>IFERROR(B392/B444, "NA")</f>
        <v>NA</v>
      </c>
      <c r="D392" s="9"/>
      <c r="E392" s="7">
        <v>0</v>
      </c>
      <c r="F392" s="8" t="str">
        <f>IFERROR(E392/E444, "NA")</f>
        <v>NA</v>
      </c>
      <c r="G392" s="9"/>
      <c r="H392" s="10">
        <f t="shared" si="96"/>
        <v>-4837.55</v>
      </c>
      <c r="I392" s="8" t="str">
        <f>IFERROR(H392/H444, "NA")</f>
        <v>NA</v>
      </c>
      <c r="J392" s="9"/>
      <c r="K392" s="7">
        <v>4344.72</v>
      </c>
      <c r="L392" s="8" t="str">
        <f>IFERROR(K392/K444, "NA")</f>
        <v>NA</v>
      </c>
      <c r="M392" s="9"/>
      <c r="N392" s="10">
        <f t="shared" si="97"/>
        <v>-492.82999999999993</v>
      </c>
      <c r="O392" s="8" t="str">
        <f>IFERROR(N392/N444, "NA")</f>
        <v>NA</v>
      </c>
      <c r="P392" s="9"/>
      <c r="Q392" s="7">
        <v>4837.55</v>
      </c>
      <c r="R392" s="8" t="str">
        <f>IFERROR(Q392/Q444, "NA")</f>
        <v>NA</v>
      </c>
      <c r="S392" s="9"/>
      <c r="T392" s="7">
        <v>0</v>
      </c>
      <c r="U392" s="8" t="str">
        <f>IFERROR(T392/T444, "NA")</f>
        <v>NA</v>
      </c>
      <c r="V392" s="9"/>
      <c r="W392" s="10">
        <f t="shared" si="98"/>
        <v>-4837.55</v>
      </c>
      <c r="X392" s="8" t="str">
        <f>IFERROR(W392/W444, "NA")</f>
        <v>NA</v>
      </c>
      <c r="Y392" s="9"/>
      <c r="Z392" s="7">
        <v>4344.72</v>
      </c>
      <c r="AA392" s="8" t="str">
        <f>IFERROR(Z392/Z444, "NA")</f>
        <v>NA</v>
      </c>
      <c r="AB392" s="9"/>
      <c r="AC392" s="10">
        <f t="shared" si="99"/>
        <v>-492.82999999999993</v>
      </c>
      <c r="AD392" s="8" t="str">
        <f>IFERROR(AC392/AC444, "NA")</f>
        <v>NA</v>
      </c>
    </row>
    <row r="393" spans="1:30" ht="16.5" customHeight="1" x14ac:dyDescent="0.45">
      <c r="A393" s="13" t="s">
        <v>359</v>
      </c>
      <c r="B393" s="14">
        <f>IFERROR(B388+B389+B390+B391+B392, "NA")</f>
        <v>14940.330000000002</v>
      </c>
      <c r="C393" s="15" t="str">
        <f>IFERROR(B393/B444, "NA")</f>
        <v>NA</v>
      </c>
      <c r="D393" s="2"/>
      <c r="E393" s="14">
        <f>IFERROR(E388+E389+E390+E391+E392, "NA")</f>
        <v>9422.8700000000008</v>
      </c>
      <c r="F393" s="15" t="str">
        <f>IFERROR(E393/E444, "NA")</f>
        <v>NA</v>
      </c>
      <c r="G393" s="2"/>
      <c r="H393" s="14">
        <f t="shared" si="96"/>
        <v>-5517.4600000000009</v>
      </c>
      <c r="I393" s="15" t="str">
        <f>IFERROR(H393/H444, "NA")</f>
        <v>NA</v>
      </c>
      <c r="J393" s="2"/>
      <c r="K393" s="14">
        <f>IFERROR(K388+K389+K390+K391+K392, "NA")</f>
        <v>20345.670000000002</v>
      </c>
      <c r="L393" s="15" t="str">
        <f>IFERROR(K393/K444, "NA")</f>
        <v>NA</v>
      </c>
      <c r="M393" s="2"/>
      <c r="N393" s="14">
        <f t="shared" si="97"/>
        <v>5405.34</v>
      </c>
      <c r="O393" s="15" t="str">
        <f>IFERROR(N393/N444, "NA")</f>
        <v>NA</v>
      </c>
      <c r="P393" s="2"/>
      <c r="Q393" s="14">
        <f>IFERROR(Q388+Q389+Q390+Q391+Q392, "NA")</f>
        <v>14940.330000000002</v>
      </c>
      <c r="R393" s="15" t="str">
        <f>IFERROR(Q393/Q444, "NA")</f>
        <v>NA</v>
      </c>
      <c r="S393" s="2"/>
      <c r="T393" s="14">
        <f>IFERROR(T388+T389+T390+T391+T392, "NA")</f>
        <v>9422.8700000000008</v>
      </c>
      <c r="U393" s="15" t="str">
        <f>IFERROR(T393/T444, "NA")</f>
        <v>NA</v>
      </c>
      <c r="V393" s="2"/>
      <c r="W393" s="14">
        <f t="shared" si="98"/>
        <v>-5517.4600000000009</v>
      </c>
      <c r="X393" s="15" t="str">
        <f>IFERROR(W393/W444, "NA")</f>
        <v>NA</v>
      </c>
      <c r="Y393" s="2"/>
      <c r="Z393" s="14">
        <f>IFERROR(Z388+Z389+Z390+Z391+Z392, "NA")</f>
        <v>20345.670000000002</v>
      </c>
      <c r="AA393" s="15" t="str">
        <f>IFERROR(Z393/Z444, "NA")</f>
        <v>NA</v>
      </c>
      <c r="AB393" s="2"/>
      <c r="AC393" s="14">
        <f t="shared" si="99"/>
        <v>5405.34</v>
      </c>
      <c r="AD393" s="15" t="str">
        <f>IFERROR(AC393/AC444, "NA")</f>
        <v>NA</v>
      </c>
    </row>
    <row r="394" spans="1:30" ht="16.5" customHeight="1" x14ac:dyDescent="0.45">
      <c r="A394" s="6" t="s">
        <v>360</v>
      </c>
      <c r="B394" s="7">
        <v>0</v>
      </c>
      <c r="C394" s="8" t="str">
        <f>IFERROR(B394/B444, "NA")</f>
        <v>NA</v>
      </c>
      <c r="D394" s="9"/>
      <c r="E394" s="7">
        <v>0</v>
      </c>
      <c r="F394" s="8" t="str">
        <f>IFERROR(E394/E444, "NA")</f>
        <v>NA</v>
      </c>
      <c r="G394" s="9"/>
      <c r="H394" s="10">
        <f t="shared" si="96"/>
        <v>0</v>
      </c>
      <c r="I394" s="8" t="str">
        <f>IFERROR(H394/H444, "NA")</f>
        <v>NA</v>
      </c>
      <c r="J394" s="9"/>
      <c r="K394" s="7">
        <v>3900.27</v>
      </c>
      <c r="L394" s="8" t="str">
        <f>IFERROR(K394/K444, "NA")</f>
        <v>NA</v>
      </c>
      <c r="M394" s="9"/>
      <c r="N394" s="10">
        <f t="shared" si="97"/>
        <v>3900.27</v>
      </c>
      <c r="O394" s="8" t="str">
        <f>IFERROR(N394/N444, "NA")</f>
        <v>NA</v>
      </c>
      <c r="P394" s="9"/>
      <c r="Q394" s="7">
        <v>0</v>
      </c>
      <c r="R394" s="8" t="str">
        <f>IFERROR(Q394/Q444, "NA")</f>
        <v>NA</v>
      </c>
      <c r="S394" s="9"/>
      <c r="T394" s="7">
        <v>0</v>
      </c>
      <c r="U394" s="8" t="str">
        <f>IFERROR(T394/T444, "NA")</f>
        <v>NA</v>
      </c>
      <c r="V394" s="9"/>
      <c r="W394" s="10">
        <f t="shared" si="98"/>
        <v>0</v>
      </c>
      <c r="X394" s="8" t="str">
        <f>IFERROR(W394/W444, "NA")</f>
        <v>NA</v>
      </c>
      <c r="Y394" s="9"/>
      <c r="Z394" s="7">
        <v>3900.27</v>
      </c>
      <c r="AA394" s="8" t="str">
        <f>IFERROR(Z394/Z444, "NA")</f>
        <v>NA</v>
      </c>
      <c r="AB394" s="9"/>
      <c r="AC394" s="10">
        <f t="shared" si="99"/>
        <v>3900.27</v>
      </c>
      <c r="AD394" s="8" t="str">
        <f>IFERROR(AC394/AC444, "NA")</f>
        <v>NA</v>
      </c>
    </row>
    <row r="395" spans="1:30" ht="16.5" customHeight="1" x14ac:dyDescent="0.45">
      <c r="A395" s="6" t="s">
        <v>361</v>
      </c>
      <c r="B395" s="7">
        <v>36.380000000000003</v>
      </c>
      <c r="C395" s="8" t="str">
        <f>IFERROR(B395/B444, "NA")</f>
        <v>NA</v>
      </c>
      <c r="D395" s="9"/>
      <c r="E395" s="7">
        <v>0</v>
      </c>
      <c r="F395" s="8" t="str">
        <f>IFERROR(E395/E444, "NA")</f>
        <v>NA</v>
      </c>
      <c r="G395" s="9"/>
      <c r="H395" s="10">
        <f t="shared" si="96"/>
        <v>-36.380000000000003</v>
      </c>
      <c r="I395" s="8" t="str">
        <f>IFERROR(H395/H444, "NA")</f>
        <v>NA</v>
      </c>
      <c r="J395" s="9"/>
      <c r="K395" s="7">
        <v>0</v>
      </c>
      <c r="L395" s="8" t="str">
        <f>IFERROR(K395/K444, "NA")</f>
        <v>NA</v>
      </c>
      <c r="M395" s="9"/>
      <c r="N395" s="10">
        <f t="shared" si="97"/>
        <v>-36.380000000000003</v>
      </c>
      <c r="O395" s="8" t="str">
        <f>IFERROR(N395/N444, "NA")</f>
        <v>NA</v>
      </c>
      <c r="P395" s="9"/>
      <c r="Q395" s="7">
        <v>36.380000000000003</v>
      </c>
      <c r="R395" s="8" t="str">
        <f>IFERROR(Q395/Q444, "NA")</f>
        <v>NA</v>
      </c>
      <c r="S395" s="9"/>
      <c r="T395" s="7">
        <v>0</v>
      </c>
      <c r="U395" s="8" t="str">
        <f>IFERROR(T395/T444, "NA")</f>
        <v>NA</v>
      </c>
      <c r="V395" s="9"/>
      <c r="W395" s="10">
        <f t="shared" si="98"/>
        <v>-36.380000000000003</v>
      </c>
      <c r="X395" s="8" t="str">
        <f>IFERROR(W395/W444, "NA")</f>
        <v>NA</v>
      </c>
      <c r="Y395" s="9"/>
      <c r="Z395" s="7">
        <v>0</v>
      </c>
      <c r="AA395" s="8" t="str">
        <f>IFERROR(Z395/Z444, "NA")</f>
        <v>NA</v>
      </c>
      <c r="AB395" s="9"/>
      <c r="AC395" s="10">
        <f t="shared" si="99"/>
        <v>-36.380000000000003</v>
      </c>
      <c r="AD395" s="8" t="str">
        <f>IFERROR(AC395/AC444, "NA")</f>
        <v>NA</v>
      </c>
    </row>
    <row r="396" spans="1:30" ht="16.5" customHeight="1" x14ac:dyDescent="0.45">
      <c r="A396" s="19" t="s">
        <v>362</v>
      </c>
      <c r="B396" s="14">
        <f>IFERROR(B385+B386+B388+B389+B390+B391+B392+B394+B395, "NA")</f>
        <v>17199.010000000002</v>
      </c>
      <c r="C396" s="15" t="str">
        <f>IFERROR(B396/B444, "NA")</f>
        <v>NA</v>
      </c>
      <c r="D396" s="2"/>
      <c r="E396" s="14">
        <f>IFERROR(E385+E386+E388+E389+E390+E391+E392+E394+E395, "NA")</f>
        <v>10172.870000000001</v>
      </c>
      <c r="F396" s="15" t="str">
        <f>IFERROR(E396/E444, "NA")</f>
        <v>NA</v>
      </c>
      <c r="G396" s="2"/>
      <c r="H396" s="14">
        <f t="shared" si="96"/>
        <v>-7026.1400000000012</v>
      </c>
      <c r="I396" s="15" t="str">
        <f>IFERROR(H396/H444, "NA")</f>
        <v>NA</v>
      </c>
      <c r="J396" s="2"/>
      <c r="K396" s="14">
        <f>IFERROR(K385+K386+K388+K389+K390+K391+K392+K394+K395, "NA")</f>
        <v>26443.170000000002</v>
      </c>
      <c r="L396" s="15" t="str">
        <f>IFERROR(K396/K444, "NA")</f>
        <v>NA</v>
      </c>
      <c r="M396" s="2"/>
      <c r="N396" s="14">
        <f t="shared" si="97"/>
        <v>9244.16</v>
      </c>
      <c r="O396" s="15" t="str">
        <f>IFERROR(N396/N444, "NA")</f>
        <v>NA</v>
      </c>
      <c r="P396" s="2"/>
      <c r="Q396" s="14">
        <f>IFERROR(Q385+Q386+Q388+Q389+Q390+Q391+Q392+Q394+Q395, "NA")</f>
        <v>17199.010000000002</v>
      </c>
      <c r="R396" s="15" t="str">
        <f>IFERROR(Q396/Q444, "NA")</f>
        <v>NA</v>
      </c>
      <c r="S396" s="2"/>
      <c r="T396" s="14">
        <f>IFERROR(T385+T386+T388+T389+T390+T391+T392+T394+T395, "NA")</f>
        <v>10172.870000000001</v>
      </c>
      <c r="U396" s="15" t="str">
        <f>IFERROR(T396/T444, "NA")</f>
        <v>NA</v>
      </c>
      <c r="V396" s="2"/>
      <c r="W396" s="14">
        <f t="shared" si="98"/>
        <v>-7026.1400000000012</v>
      </c>
      <c r="X396" s="15" t="str">
        <f>IFERROR(W396/W444, "NA")</f>
        <v>NA</v>
      </c>
      <c r="Y396" s="2"/>
      <c r="Z396" s="14">
        <f>IFERROR(Z385+Z386+Z388+Z389+Z390+Z391+Z392+Z394+Z395, "NA")</f>
        <v>26443.170000000002</v>
      </c>
      <c r="AA396" s="15" t="str">
        <f>IFERROR(Z396/Z444, "NA")</f>
        <v>NA</v>
      </c>
      <c r="AB396" s="2"/>
      <c r="AC396" s="14">
        <f t="shared" si="99"/>
        <v>9244.16</v>
      </c>
      <c r="AD396" s="15" t="str">
        <f>IFERROR(AC396/AC444, "NA")</f>
        <v>NA</v>
      </c>
    </row>
    <row r="397" spans="1:30" ht="16.5" customHeight="1" x14ac:dyDescent="0.45">
      <c r="A397" s="20" t="s">
        <v>363</v>
      </c>
      <c r="B397" s="7">
        <v>11256.25</v>
      </c>
      <c r="C397" s="8" t="str">
        <f>IFERROR(B397/B444, "NA")</f>
        <v>NA</v>
      </c>
      <c r="D397" s="9"/>
      <c r="E397" s="7">
        <v>7200</v>
      </c>
      <c r="F397" s="8" t="str">
        <f>IFERROR(E397/E444, "NA")</f>
        <v>NA</v>
      </c>
      <c r="G397" s="9"/>
      <c r="H397" s="10">
        <f t="shared" si="96"/>
        <v>-4056.25</v>
      </c>
      <c r="I397" s="8" t="str">
        <f>IFERROR(H397/H444, "NA")</f>
        <v>NA</v>
      </c>
      <c r="J397" s="9"/>
      <c r="K397" s="7">
        <v>1771.43</v>
      </c>
      <c r="L397" s="8" t="str">
        <f>IFERROR(K397/K444, "NA")</f>
        <v>NA</v>
      </c>
      <c r="M397" s="9"/>
      <c r="N397" s="10">
        <f t="shared" si="97"/>
        <v>-9484.82</v>
      </c>
      <c r="O397" s="8" t="str">
        <f>IFERROR(N397/N444, "NA")</f>
        <v>NA</v>
      </c>
      <c r="P397" s="9"/>
      <c r="Q397" s="7">
        <v>11256.25</v>
      </c>
      <c r="R397" s="8" t="str">
        <f>IFERROR(Q397/Q444, "NA")</f>
        <v>NA</v>
      </c>
      <c r="S397" s="9"/>
      <c r="T397" s="7">
        <v>7200</v>
      </c>
      <c r="U397" s="8" t="str">
        <f>IFERROR(T397/T444, "NA")</f>
        <v>NA</v>
      </c>
      <c r="V397" s="9"/>
      <c r="W397" s="10">
        <f t="shared" si="98"/>
        <v>-4056.25</v>
      </c>
      <c r="X397" s="8" t="str">
        <f>IFERROR(W397/W444, "NA")</f>
        <v>NA</v>
      </c>
      <c r="Y397" s="9"/>
      <c r="Z397" s="7">
        <v>1771.43</v>
      </c>
      <c r="AA397" s="8" t="str">
        <f>IFERROR(Z397/Z444, "NA")</f>
        <v>NA</v>
      </c>
      <c r="AB397" s="9"/>
      <c r="AC397" s="10">
        <f t="shared" si="99"/>
        <v>-9484.82</v>
      </c>
      <c r="AD397" s="8" t="str">
        <f>IFERROR(AC397/AC444, "NA")</f>
        <v>NA</v>
      </c>
    </row>
    <row r="398" spans="1:30" ht="16.5" customHeight="1" x14ac:dyDescent="0.45">
      <c r="A398" s="20" t="s">
        <v>364</v>
      </c>
      <c r="B398" s="7">
        <v>390.65</v>
      </c>
      <c r="C398" s="8" t="str">
        <f>IFERROR(B398/B444, "NA")</f>
        <v>NA</v>
      </c>
      <c r="D398" s="9"/>
      <c r="E398" s="7">
        <v>0</v>
      </c>
      <c r="F398" s="8" t="str">
        <f>IFERROR(E398/E444, "NA")</f>
        <v>NA</v>
      </c>
      <c r="G398" s="9"/>
      <c r="H398" s="10">
        <f t="shared" si="96"/>
        <v>-390.65</v>
      </c>
      <c r="I398" s="8" t="str">
        <f>IFERROR(H398/H444, "NA")</f>
        <v>NA</v>
      </c>
      <c r="J398" s="9"/>
      <c r="K398" s="7">
        <v>120.16</v>
      </c>
      <c r="L398" s="8" t="str">
        <f>IFERROR(K398/K444, "NA")</f>
        <v>NA</v>
      </c>
      <c r="M398" s="9"/>
      <c r="N398" s="10">
        <f t="shared" si="97"/>
        <v>-270.49</v>
      </c>
      <c r="O398" s="8" t="str">
        <f>IFERROR(N398/N444, "NA")</f>
        <v>NA</v>
      </c>
      <c r="P398" s="9"/>
      <c r="Q398" s="7">
        <v>390.65</v>
      </c>
      <c r="R398" s="8" t="str">
        <f>IFERROR(Q398/Q444, "NA")</f>
        <v>NA</v>
      </c>
      <c r="S398" s="9"/>
      <c r="T398" s="7">
        <v>0</v>
      </c>
      <c r="U398" s="8" t="str">
        <f>IFERROR(T398/T444, "NA")</f>
        <v>NA</v>
      </c>
      <c r="V398" s="9"/>
      <c r="W398" s="10">
        <f t="shared" si="98"/>
        <v>-390.65</v>
      </c>
      <c r="X398" s="8" t="str">
        <f>IFERROR(W398/W444, "NA")</f>
        <v>NA</v>
      </c>
      <c r="Y398" s="9"/>
      <c r="Z398" s="7">
        <v>120.16</v>
      </c>
      <c r="AA398" s="8" t="str">
        <f>IFERROR(Z398/Z444, "NA")</f>
        <v>NA</v>
      </c>
      <c r="AB398" s="9"/>
      <c r="AC398" s="10">
        <f t="shared" si="99"/>
        <v>-270.49</v>
      </c>
      <c r="AD398" s="8" t="str">
        <f>IFERROR(AC398/AC444, "NA")</f>
        <v>NA</v>
      </c>
    </row>
    <row r="399" spans="1:30" ht="16.5" customHeight="1" x14ac:dyDescent="0.45">
      <c r="A399" s="20" t="s">
        <v>365</v>
      </c>
      <c r="B399" s="7">
        <v>815.84</v>
      </c>
      <c r="C399" s="8" t="str">
        <f>IFERROR(B399/B444, "NA")</f>
        <v>NA</v>
      </c>
      <c r="D399" s="9"/>
      <c r="E399" s="7">
        <v>0</v>
      </c>
      <c r="F399" s="8" t="str">
        <f>IFERROR(E399/E444, "NA")</f>
        <v>NA</v>
      </c>
      <c r="G399" s="9"/>
      <c r="H399" s="10">
        <f t="shared" si="96"/>
        <v>-815.84</v>
      </c>
      <c r="I399" s="8" t="str">
        <f>IFERROR(H399/H444, "NA")</f>
        <v>NA</v>
      </c>
      <c r="J399" s="9"/>
      <c r="K399" s="7">
        <v>0</v>
      </c>
      <c r="L399" s="8" t="str">
        <f>IFERROR(K399/K444, "NA")</f>
        <v>NA</v>
      </c>
      <c r="M399" s="9"/>
      <c r="N399" s="10">
        <f t="shared" si="97"/>
        <v>-815.84</v>
      </c>
      <c r="O399" s="8" t="str">
        <f>IFERROR(N399/N444, "NA")</f>
        <v>NA</v>
      </c>
      <c r="P399" s="9"/>
      <c r="Q399" s="7">
        <v>815.84</v>
      </c>
      <c r="R399" s="8" t="str">
        <f>IFERROR(Q399/Q444, "NA")</f>
        <v>NA</v>
      </c>
      <c r="S399" s="9"/>
      <c r="T399" s="7">
        <v>0</v>
      </c>
      <c r="U399" s="8" t="str">
        <f>IFERROR(T399/T444, "NA")</f>
        <v>NA</v>
      </c>
      <c r="V399" s="9"/>
      <c r="W399" s="10">
        <f t="shared" si="98"/>
        <v>-815.84</v>
      </c>
      <c r="X399" s="8" t="str">
        <f>IFERROR(W399/W444, "NA")</f>
        <v>NA</v>
      </c>
      <c r="Y399" s="9"/>
      <c r="Z399" s="7">
        <v>0</v>
      </c>
      <c r="AA399" s="8" t="str">
        <f>IFERROR(Z399/Z444, "NA")</f>
        <v>NA</v>
      </c>
      <c r="AB399" s="9"/>
      <c r="AC399" s="10">
        <f t="shared" si="99"/>
        <v>-815.84</v>
      </c>
      <c r="AD399" s="8" t="str">
        <f>IFERROR(AC399/AC444, "NA")</f>
        <v>NA</v>
      </c>
    </row>
    <row r="400" spans="1:30" ht="16.5" hidden="1" customHeight="1" x14ac:dyDescent="0.45">
      <c r="A400" s="20" t="s">
        <v>366</v>
      </c>
      <c r="B400" s="7">
        <v>0</v>
      </c>
      <c r="C400" s="8" t="str">
        <f>IFERROR(B400/B444, "NA")</f>
        <v>NA</v>
      </c>
      <c r="D400" s="9"/>
      <c r="E400" s="7">
        <v>0</v>
      </c>
      <c r="F400" s="8" t="str">
        <f>IFERROR(E400/E444, "NA")</f>
        <v>NA</v>
      </c>
      <c r="G400" s="9"/>
      <c r="H400" s="10">
        <f t="shared" si="96"/>
        <v>0</v>
      </c>
      <c r="I400" s="8" t="str">
        <f>IFERROR(H400/H444, "NA")</f>
        <v>NA</v>
      </c>
      <c r="J400" s="9"/>
      <c r="K400" s="7">
        <v>0</v>
      </c>
      <c r="L400" s="8" t="str">
        <f>IFERROR(K400/K444, "NA")</f>
        <v>NA</v>
      </c>
      <c r="M400" s="9"/>
      <c r="N400" s="10">
        <f t="shared" si="97"/>
        <v>0</v>
      </c>
      <c r="O400" s="8" t="str">
        <f>IFERROR(N400/N444, "NA")</f>
        <v>NA</v>
      </c>
      <c r="P400" s="9"/>
      <c r="Q400" s="7">
        <v>0</v>
      </c>
      <c r="R400" s="8" t="str">
        <f>IFERROR(Q400/Q444, "NA")</f>
        <v>NA</v>
      </c>
      <c r="S400" s="9"/>
      <c r="T400" s="7">
        <v>0</v>
      </c>
      <c r="U400" s="8" t="str">
        <f>IFERROR(T400/T444, "NA")</f>
        <v>NA</v>
      </c>
      <c r="V400" s="9"/>
      <c r="W400" s="10">
        <f t="shared" si="98"/>
        <v>0</v>
      </c>
      <c r="X400" s="8" t="str">
        <f>IFERROR(W400/W444, "NA")</f>
        <v>NA</v>
      </c>
      <c r="Y400" s="9"/>
      <c r="Z400" s="7">
        <v>0</v>
      </c>
      <c r="AA400" s="8" t="str">
        <f>IFERROR(Z400/Z444, "NA")</f>
        <v>NA</v>
      </c>
      <c r="AB400" s="9"/>
      <c r="AC400" s="10">
        <f t="shared" si="99"/>
        <v>0</v>
      </c>
      <c r="AD400" s="8" t="str">
        <f>IFERROR(AC400/AC444, "NA")</f>
        <v>NA</v>
      </c>
    </row>
    <row r="401" spans="1:30" ht="16.5" hidden="1" customHeight="1" x14ac:dyDescent="0.45">
      <c r="A401" s="20" t="s">
        <v>367</v>
      </c>
      <c r="B401" s="7">
        <v>0</v>
      </c>
      <c r="C401" s="8" t="str">
        <f>IFERROR(B401/B444, "NA")</f>
        <v>NA</v>
      </c>
      <c r="D401" s="9"/>
      <c r="E401" s="7">
        <v>0</v>
      </c>
      <c r="F401" s="8" t="str">
        <f>IFERROR(E401/E444, "NA")</f>
        <v>NA</v>
      </c>
      <c r="G401" s="9"/>
      <c r="H401" s="10">
        <f t="shared" si="96"/>
        <v>0</v>
      </c>
      <c r="I401" s="8" t="str">
        <f>IFERROR(H401/H444, "NA")</f>
        <v>NA</v>
      </c>
      <c r="J401" s="9"/>
      <c r="K401" s="7">
        <v>0</v>
      </c>
      <c r="L401" s="8" t="str">
        <f>IFERROR(K401/K444, "NA")</f>
        <v>NA</v>
      </c>
      <c r="M401" s="9"/>
      <c r="N401" s="10">
        <f t="shared" si="97"/>
        <v>0</v>
      </c>
      <c r="O401" s="8" t="str">
        <f>IFERROR(N401/N444, "NA")</f>
        <v>NA</v>
      </c>
      <c r="P401" s="9"/>
      <c r="Q401" s="7">
        <v>0</v>
      </c>
      <c r="R401" s="8" t="str">
        <f>IFERROR(Q401/Q444, "NA")</f>
        <v>NA</v>
      </c>
      <c r="S401" s="9"/>
      <c r="T401" s="7">
        <v>0</v>
      </c>
      <c r="U401" s="8" t="str">
        <f>IFERROR(T401/T444, "NA")</f>
        <v>NA</v>
      </c>
      <c r="V401" s="9"/>
      <c r="W401" s="10">
        <f t="shared" si="98"/>
        <v>0</v>
      </c>
      <c r="X401" s="8" t="str">
        <f>IFERROR(W401/W444, "NA")</f>
        <v>NA</v>
      </c>
      <c r="Y401" s="9"/>
      <c r="Z401" s="7">
        <v>0</v>
      </c>
      <c r="AA401" s="8" t="str">
        <f>IFERROR(Z401/Z444, "NA")</f>
        <v>NA</v>
      </c>
      <c r="AB401" s="9"/>
      <c r="AC401" s="10">
        <f t="shared" si="99"/>
        <v>0</v>
      </c>
      <c r="AD401" s="8" t="str">
        <f>IFERROR(AC401/AC444, "NA")</f>
        <v>NA</v>
      </c>
    </row>
    <row r="402" spans="1:30" ht="16.5" hidden="1" customHeight="1" x14ac:dyDescent="0.45">
      <c r="A402" s="20" t="s">
        <v>368</v>
      </c>
      <c r="B402" s="7">
        <v>0</v>
      </c>
      <c r="C402" s="8" t="str">
        <f>IFERROR(B402/B444, "NA")</f>
        <v>NA</v>
      </c>
      <c r="D402" s="9"/>
      <c r="E402" s="7">
        <v>0</v>
      </c>
      <c r="F402" s="8" t="str">
        <f>IFERROR(E402/E444, "NA")</f>
        <v>NA</v>
      </c>
      <c r="G402" s="9"/>
      <c r="H402" s="10">
        <f t="shared" si="96"/>
        <v>0</v>
      </c>
      <c r="I402" s="8" t="str">
        <f>IFERROR(H402/H444, "NA")</f>
        <v>NA</v>
      </c>
      <c r="J402" s="9"/>
      <c r="K402" s="7">
        <v>0</v>
      </c>
      <c r="L402" s="8" t="str">
        <f>IFERROR(K402/K444, "NA")</f>
        <v>NA</v>
      </c>
      <c r="M402" s="9"/>
      <c r="N402" s="10">
        <f t="shared" si="97"/>
        <v>0</v>
      </c>
      <c r="O402" s="8" t="str">
        <f>IFERROR(N402/N444, "NA")</f>
        <v>NA</v>
      </c>
      <c r="P402" s="9"/>
      <c r="Q402" s="7">
        <v>0</v>
      </c>
      <c r="R402" s="8" t="str">
        <f>IFERROR(Q402/Q444, "NA")</f>
        <v>NA</v>
      </c>
      <c r="S402" s="9"/>
      <c r="T402" s="7">
        <v>0</v>
      </c>
      <c r="U402" s="8" t="str">
        <f>IFERROR(T402/T444, "NA")</f>
        <v>NA</v>
      </c>
      <c r="V402" s="9"/>
      <c r="W402" s="10">
        <f t="shared" si="98"/>
        <v>0</v>
      </c>
      <c r="X402" s="8" t="str">
        <f>IFERROR(W402/W444, "NA")</f>
        <v>NA</v>
      </c>
      <c r="Y402" s="9"/>
      <c r="Z402" s="7">
        <v>0</v>
      </c>
      <c r="AA402" s="8" t="str">
        <f>IFERROR(Z402/Z444, "NA")</f>
        <v>NA</v>
      </c>
      <c r="AB402" s="9"/>
      <c r="AC402" s="10">
        <f t="shared" si="99"/>
        <v>0</v>
      </c>
      <c r="AD402" s="8" t="str">
        <f>IFERROR(AC402/AC444, "NA")</f>
        <v>NA</v>
      </c>
    </row>
    <row r="403" spans="1:30" ht="16.5" customHeight="1" x14ac:dyDescent="0.45">
      <c r="A403" s="21" t="s">
        <v>369</v>
      </c>
      <c r="B403" s="14">
        <f>IFERROR(B347+B349+B350+B351+B352+B353+B354+B355+B356+B357+B360+B361+B362+B363+B364+B365+B366+B367+B369+B370+B371+B372+B373+B374+B375+B376+B377+B378+B379+B380+B381+B382+B383+B385+B386+B388+B389+B390+B391+B392+B394+B395+B397+B398+B399+B400+B401+B402, "NA")</f>
        <v>105700.02999999998</v>
      </c>
      <c r="C403" s="15" t="str">
        <f>IFERROR(B403/B444, "NA")</f>
        <v>NA</v>
      </c>
      <c r="D403" s="2"/>
      <c r="E403" s="14">
        <f>IFERROR(E347+E349+E350+E351+E352+E353+E354+E355+E356+E357+E360+E361+E362+E363+E364+E365+E366+E367+E369+E370+E371+E372+E373+E374+E375+E376+E377+E378+E379+E380+E381+E382+E383+E385+E386+E388+E389+E390+E391+E392+E394+E395+E397+E398+E399+E400+E401+E402, "NA")</f>
        <v>94810.87</v>
      </c>
      <c r="F403" s="15" t="str">
        <f>IFERROR(E403/E444, "NA")</f>
        <v>NA</v>
      </c>
      <c r="G403" s="2"/>
      <c r="H403" s="14">
        <f t="shared" si="96"/>
        <v>-10889.159999999989</v>
      </c>
      <c r="I403" s="15" t="str">
        <f>IFERROR(H403/H444, "NA")</f>
        <v>NA</v>
      </c>
      <c r="J403" s="2"/>
      <c r="K403" s="14">
        <f>IFERROR(K347+K349+K350+K351+K352+K353+K354+K355+K356+K357+K360+K361+K362+K363+K364+K365+K366+K367+K369+K370+K371+K372+K373+K374+K375+K376+K377+K378+K379+K380+K381+K382+K383+K385+K386+K388+K389+K390+K391+K392+K394+K395+K397+K398+K399+K400+K401+K402, "NA")</f>
        <v>135226.84999999998</v>
      </c>
      <c r="L403" s="15" t="str">
        <f>IFERROR(K403/K444, "NA")</f>
        <v>NA</v>
      </c>
      <c r="M403" s="2"/>
      <c r="N403" s="14">
        <f t="shared" si="97"/>
        <v>29526.819999999992</v>
      </c>
      <c r="O403" s="15" t="str">
        <f>IFERROR(N403/N444, "NA")</f>
        <v>NA</v>
      </c>
      <c r="P403" s="2"/>
      <c r="Q403" s="14">
        <f>IFERROR(Q347+Q349+Q350+Q351+Q352+Q353+Q354+Q355+Q356+Q357+Q360+Q361+Q362+Q363+Q364+Q365+Q366+Q367+Q369+Q370+Q371+Q372+Q373+Q374+Q375+Q376+Q377+Q378+Q379+Q380+Q381+Q382+Q383+Q385+Q386+Q388+Q389+Q390+Q391+Q392+Q394+Q395+Q397+Q398+Q399+Q400+Q401+Q402, "NA")</f>
        <v>105700.02999999998</v>
      </c>
      <c r="R403" s="15" t="str">
        <f>IFERROR(Q403/Q444, "NA")</f>
        <v>NA</v>
      </c>
      <c r="S403" s="2"/>
      <c r="T403" s="14">
        <f>IFERROR(T347+T349+T350+T351+T352+T353+T354+T355+T356+T357+T360+T361+T362+T363+T364+T365+T366+T367+T369+T370+T371+T372+T373+T374+T375+T376+T377+T378+T379+T380+T381+T382+T383+T385+T386+T388+T389+T390+T391+T392+T394+T395+T397+T398+T399+T400+T401+T402, "NA")</f>
        <v>94810.87</v>
      </c>
      <c r="U403" s="15" t="str">
        <f>IFERROR(T403/T444, "NA")</f>
        <v>NA</v>
      </c>
      <c r="V403" s="2"/>
      <c r="W403" s="14">
        <f t="shared" si="98"/>
        <v>-10889.159999999989</v>
      </c>
      <c r="X403" s="15" t="str">
        <f>IFERROR(W403/W444, "NA")</f>
        <v>NA</v>
      </c>
      <c r="Y403" s="2"/>
      <c r="Z403" s="14">
        <f>IFERROR(Z347+Z349+Z350+Z351+Z352+Z353+Z354+Z355+Z356+Z357+Z360+Z361+Z362+Z363+Z364+Z365+Z366+Z367+Z369+Z370+Z371+Z372+Z373+Z374+Z375+Z376+Z377+Z378+Z379+Z380+Z381+Z382+Z383+Z385+Z386+Z388+Z389+Z390+Z391+Z392+Z394+Z395+Z397+Z398+Z399+Z400+Z401+Z402, "NA")</f>
        <v>135226.84999999998</v>
      </c>
      <c r="AA403" s="15" t="str">
        <f>IFERROR(Z403/Z444, "NA")</f>
        <v>NA</v>
      </c>
      <c r="AB403" s="2"/>
      <c r="AC403" s="14">
        <f t="shared" si="99"/>
        <v>29526.819999999992</v>
      </c>
      <c r="AD403" s="15" t="str">
        <f>IFERROR(AC403/AC444, "NA")</f>
        <v>NA</v>
      </c>
    </row>
    <row r="404" spans="1:30" ht="16.5" customHeight="1" x14ac:dyDescent="0.45">
      <c r="A404" s="22" t="s">
        <v>370</v>
      </c>
      <c r="B404" s="23">
        <f>IFERROR(B345-B403, "NA")</f>
        <v>-105700.02999999998</v>
      </c>
      <c r="C404" s="24" t="str">
        <f>IFERROR(B404/B444, "NA")</f>
        <v>NA</v>
      </c>
      <c r="D404" s="25"/>
      <c r="E404" s="23">
        <f>IFERROR(E345-E403, "NA")</f>
        <v>-94810.87</v>
      </c>
      <c r="F404" s="24" t="str">
        <f>IFERROR(E404/E444, "NA")</f>
        <v>NA</v>
      </c>
      <c r="G404" s="25"/>
      <c r="H404" s="23">
        <f>IFERROR(B404-E404, "NA")</f>
        <v>-10889.159999999989</v>
      </c>
      <c r="I404" s="24" t="str">
        <f>IFERROR(H404/H444, "NA")</f>
        <v>NA</v>
      </c>
      <c r="J404" s="25"/>
      <c r="K404" s="23">
        <f>IFERROR(K345-K403, "NA")</f>
        <v>-135226.84999999998</v>
      </c>
      <c r="L404" s="24" t="str">
        <f>IFERROR(K404/K444, "NA")</f>
        <v>NA</v>
      </c>
      <c r="M404" s="25"/>
      <c r="N404" s="23">
        <f>IFERROR(B404-K404, "NA")</f>
        <v>29526.819999999992</v>
      </c>
      <c r="O404" s="24" t="str">
        <f>IFERROR(N404/N444, "NA")</f>
        <v>NA</v>
      </c>
      <c r="P404" s="25"/>
      <c r="Q404" s="23">
        <f>IFERROR(Q345-Q403, "NA")</f>
        <v>-105700.02999999998</v>
      </c>
      <c r="R404" s="24" t="str">
        <f>IFERROR(Q404/Q444, "NA")</f>
        <v>NA</v>
      </c>
      <c r="S404" s="25"/>
      <c r="T404" s="23">
        <f>IFERROR(T345-T403, "NA")</f>
        <v>-94810.87</v>
      </c>
      <c r="U404" s="24" t="str">
        <f>IFERROR(T404/T444, "NA")</f>
        <v>NA</v>
      </c>
      <c r="V404" s="25"/>
      <c r="W404" s="23">
        <f>IFERROR(Q404-T404, "NA")</f>
        <v>-10889.159999999989</v>
      </c>
      <c r="X404" s="24" t="str">
        <f>IFERROR(W404/W444, "NA")</f>
        <v>NA</v>
      </c>
      <c r="Y404" s="25"/>
      <c r="Z404" s="23">
        <f>IFERROR(Z345-Z403, "NA")</f>
        <v>-135226.84999999998</v>
      </c>
      <c r="AA404" s="24" t="str">
        <f>IFERROR(Z404/Z444, "NA")</f>
        <v>NA</v>
      </c>
      <c r="AB404" s="25"/>
      <c r="AC404" s="23">
        <f>IFERROR(Q404-Z404, "NA")</f>
        <v>29526.819999999992</v>
      </c>
      <c r="AD404" s="24" t="str">
        <f>IFERROR(AC404/AC444, "NA")</f>
        <v>NA</v>
      </c>
    </row>
    <row r="405" spans="1:30" ht="16.5" customHeight="1" x14ac:dyDescent="0.45">
      <c r="A405" s="1" t="s">
        <v>371</v>
      </c>
      <c r="B405" s="2"/>
      <c r="C405" s="3"/>
      <c r="D405" s="4"/>
      <c r="E405" s="2"/>
      <c r="F405" s="3"/>
      <c r="G405" s="4"/>
      <c r="H405" s="2"/>
      <c r="I405" s="3"/>
      <c r="J405" s="4"/>
      <c r="K405" s="2"/>
      <c r="L405" s="3"/>
      <c r="M405" s="4"/>
      <c r="N405" s="2"/>
      <c r="O405" s="3"/>
      <c r="P405" s="4"/>
      <c r="Q405" s="2"/>
      <c r="R405" s="3"/>
      <c r="S405" s="4"/>
      <c r="T405" s="2"/>
      <c r="U405" s="3"/>
      <c r="V405" s="4"/>
      <c r="W405" s="2"/>
      <c r="X405" s="3"/>
      <c r="Y405" s="4"/>
      <c r="Z405" s="2"/>
      <c r="AA405" s="3"/>
      <c r="AB405" s="4"/>
      <c r="AC405" s="2"/>
      <c r="AD405" s="3"/>
    </row>
    <row r="406" spans="1:30" ht="16.5" customHeight="1" x14ac:dyDescent="0.45">
      <c r="A406" s="5" t="s">
        <v>372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45">
      <c r="A407" s="6" t="s">
        <v>372</v>
      </c>
      <c r="B407" s="7">
        <v>0</v>
      </c>
      <c r="C407" s="8" t="str">
        <f>IFERROR(B407/B444, "NA")</f>
        <v>NA</v>
      </c>
      <c r="D407" s="9"/>
      <c r="E407" s="7">
        <v>-13500</v>
      </c>
      <c r="F407" s="8" t="str">
        <f>IFERROR(E407/E444, "NA")</f>
        <v>NA</v>
      </c>
      <c r="G407" s="9"/>
      <c r="H407" s="10">
        <f t="shared" ref="H407:H429" si="100">IFERROR(-(B407-E407), "NA")</f>
        <v>-13500</v>
      </c>
      <c r="I407" s="8" t="str">
        <f>IFERROR(H407/H444, "NA")</f>
        <v>NA</v>
      </c>
      <c r="J407" s="9"/>
      <c r="K407" s="7">
        <v>0</v>
      </c>
      <c r="L407" s="8" t="str">
        <f>IFERROR(K407/K444, "NA")</f>
        <v>NA</v>
      </c>
      <c r="M407" s="9"/>
      <c r="N407" s="10">
        <f t="shared" ref="N407:N429" si="101">IFERROR(-(B407-K407), "NA")</f>
        <v>0</v>
      </c>
      <c r="O407" s="8" t="str">
        <f>IFERROR(N407/N444, "NA")</f>
        <v>NA</v>
      </c>
      <c r="P407" s="9"/>
      <c r="Q407" s="7">
        <v>0</v>
      </c>
      <c r="R407" s="8" t="str">
        <f>IFERROR(Q407/Q444, "NA")</f>
        <v>NA</v>
      </c>
      <c r="S407" s="9"/>
      <c r="T407" s="7">
        <v>-13500</v>
      </c>
      <c r="U407" s="8" t="str">
        <f>IFERROR(T407/T444, "NA")</f>
        <v>NA</v>
      </c>
      <c r="V407" s="9"/>
      <c r="W407" s="10">
        <f t="shared" ref="W407:W429" si="102">IFERROR(-(Q407-T407), "NA")</f>
        <v>-13500</v>
      </c>
      <c r="X407" s="8" t="str">
        <f>IFERROR(W407/W444, "NA")</f>
        <v>NA</v>
      </c>
      <c r="Y407" s="9"/>
      <c r="Z407" s="7">
        <v>0</v>
      </c>
      <c r="AA407" s="8" t="str">
        <f>IFERROR(Z407/Z444, "NA")</f>
        <v>NA</v>
      </c>
      <c r="AB407" s="9"/>
      <c r="AC407" s="10">
        <f t="shared" ref="AC407:AC429" si="103">IFERROR(-(Q407-Z407), "NA")</f>
        <v>0</v>
      </c>
      <c r="AD407" s="8" t="str">
        <f>IFERROR(AC407/AC444, "NA")</f>
        <v>NA</v>
      </c>
    </row>
    <row r="408" spans="1:30" ht="16.5" hidden="1" customHeight="1" x14ac:dyDescent="0.45">
      <c r="A408" s="6" t="s">
        <v>373</v>
      </c>
      <c r="B408" s="7">
        <v>0</v>
      </c>
      <c r="C408" s="8" t="str">
        <f>IFERROR(B408/B444, "NA")</f>
        <v>NA</v>
      </c>
      <c r="D408" s="9"/>
      <c r="E408" s="7">
        <v>0</v>
      </c>
      <c r="F408" s="8" t="str">
        <f>IFERROR(E408/E444, "NA")</f>
        <v>NA</v>
      </c>
      <c r="G408" s="9"/>
      <c r="H408" s="10">
        <f t="shared" si="100"/>
        <v>0</v>
      </c>
      <c r="I408" s="8" t="str">
        <f>IFERROR(H408/H444, "NA")</f>
        <v>NA</v>
      </c>
      <c r="J408" s="9"/>
      <c r="K408" s="7">
        <v>0</v>
      </c>
      <c r="L408" s="8" t="str">
        <f>IFERROR(K408/K444, "NA")</f>
        <v>NA</v>
      </c>
      <c r="M408" s="9"/>
      <c r="N408" s="10">
        <f t="shared" si="101"/>
        <v>0</v>
      </c>
      <c r="O408" s="8" t="str">
        <f>IFERROR(N408/N444, "NA")</f>
        <v>NA</v>
      </c>
      <c r="P408" s="9"/>
      <c r="Q408" s="7">
        <v>0</v>
      </c>
      <c r="R408" s="8" t="str">
        <f>IFERROR(Q408/Q444, "NA")</f>
        <v>NA</v>
      </c>
      <c r="S408" s="9"/>
      <c r="T408" s="7">
        <v>0</v>
      </c>
      <c r="U408" s="8" t="str">
        <f>IFERROR(T408/T444, "NA")</f>
        <v>NA</v>
      </c>
      <c r="V408" s="9"/>
      <c r="W408" s="10">
        <f t="shared" si="102"/>
        <v>0</v>
      </c>
      <c r="X408" s="8" t="str">
        <f>IFERROR(W408/W444, "NA")</f>
        <v>NA</v>
      </c>
      <c r="Y408" s="9"/>
      <c r="Z408" s="7">
        <v>0</v>
      </c>
      <c r="AA408" s="8" t="str">
        <f>IFERROR(Z408/Z444, "NA")</f>
        <v>NA</v>
      </c>
      <c r="AB408" s="9"/>
      <c r="AC408" s="10">
        <f t="shared" si="103"/>
        <v>0</v>
      </c>
      <c r="AD408" s="8" t="str">
        <f>IFERROR(AC408/AC444, "NA")</f>
        <v>NA</v>
      </c>
    </row>
    <row r="409" spans="1:30" ht="16.5" hidden="1" customHeight="1" x14ac:dyDescent="0.45">
      <c r="A409" s="6" t="s">
        <v>374</v>
      </c>
      <c r="B409" s="7">
        <v>0</v>
      </c>
      <c r="C409" s="8" t="str">
        <f>IFERROR(B409/B444, "NA")</f>
        <v>NA</v>
      </c>
      <c r="D409" s="9"/>
      <c r="E409" s="7">
        <v>0</v>
      </c>
      <c r="F409" s="8" t="str">
        <f>IFERROR(E409/E444, "NA")</f>
        <v>NA</v>
      </c>
      <c r="G409" s="9"/>
      <c r="H409" s="10">
        <f t="shared" si="100"/>
        <v>0</v>
      </c>
      <c r="I409" s="8" t="str">
        <f>IFERROR(H409/H444, "NA")</f>
        <v>NA</v>
      </c>
      <c r="J409" s="9"/>
      <c r="K409" s="7">
        <v>0</v>
      </c>
      <c r="L409" s="8" t="str">
        <f>IFERROR(K409/K444, "NA")</f>
        <v>NA</v>
      </c>
      <c r="M409" s="9"/>
      <c r="N409" s="10">
        <f t="shared" si="101"/>
        <v>0</v>
      </c>
      <c r="O409" s="8" t="str">
        <f>IFERROR(N409/N444, "NA")</f>
        <v>NA</v>
      </c>
      <c r="P409" s="9"/>
      <c r="Q409" s="7">
        <v>0</v>
      </c>
      <c r="R409" s="8" t="str">
        <f>IFERROR(Q409/Q444, "NA")</f>
        <v>NA</v>
      </c>
      <c r="S409" s="9"/>
      <c r="T409" s="7">
        <v>0</v>
      </c>
      <c r="U409" s="8" t="str">
        <f>IFERROR(T409/T444, "NA")</f>
        <v>NA</v>
      </c>
      <c r="V409" s="9"/>
      <c r="W409" s="10">
        <f t="shared" si="102"/>
        <v>0</v>
      </c>
      <c r="X409" s="8" t="str">
        <f>IFERROR(W409/W444, "NA")</f>
        <v>NA</v>
      </c>
      <c r="Y409" s="9"/>
      <c r="Z409" s="7">
        <v>0</v>
      </c>
      <c r="AA409" s="8" t="str">
        <f>IFERROR(Z409/Z444, "NA")</f>
        <v>NA</v>
      </c>
      <c r="AB409" s="9"/>
      <c r="AC409" s="10">
        <f t="shared" si="103"/>
        <v>0</v>
      </c>
      <c r="AD409" s="8" t="str">
        <f>IFERROR(AC409/AC444, "NA")</f>
        <v>NA</v>
      </c>
    </row>
    <row r="410" spans="1:30" ht="16.5" customHeight="1" x14ac:dyDescent="0.45">
      <c r="A410" s="6" t="s">
        <v>375</v>
      </c>
      <c r="B410" s="7">
        <v>59.7</v>
      </c>
      <c r="C410" s="8" t="str">
        <f>IFERROR(B410/B444, "NA")</f>
        <v>NA</v>
      </c>
      <c r="D410" s="9"/>
      <c r="E410" s="7">
        <v>0</v>
      </c>
      <c r="F410" s="8" t="str">
        <f>IFERROR(E410/E444, "NA")</f>
        <v>NA</v>
      </c>
      <c r="G410" s="9"/>
      <c r="H410" s="10">
        <f t="shared" si="100"/>
        <v>-59.7</v>
      </c>
      <c r="I410" s="8" t="str">
        <f>IFERROR(H410/H444, "NA")</f>
        <v>NA</v>
      </c>
      <c r="J410" s="9"/>
      <c r="K410" s="7">
        <v>184.89</v>
      </c>
      <c r="L410" s="8" t="str">
        <f>IFERROR(K410/K444, "NA")</f>
        <v>NA</v>
      </c>
      <c r="M410" s="9"/>
      <c r="N410" s="10">
        <f t="shared" si="101"/>
        <v>125.18999999999998</v>
      </c>
      <c r="O410" s="8" t="str">
        <f>IFERROR(N410/N444, "NA")</f>
        <v>NA</v>
      </c>
      <c r="P410" s="9"/>
      <c r="Q410" s="7">
        <v>59.7</v>
      </c>
      <c r="R410" s="8" t="str">
        <f>IFERROR(Q410/Q444, "NA")</f>
        <v>NA</v>
      </c>
      <c r="S410" s="9"/>
      <c r="T410" s="7">
        <v>0</v>
      </c>
      <c r="U410" s="8" t="str">
        <f>IFERROR(T410/T444, "NA")</f>
        <v>NA</v>
      </c>
      <c r="V410" s="9"/>
      <c r="W410" s="10">
        <f t="shared" si="102"/>
        <v>-59.7</v>
      </c>
      <c r="X410" s="8" t="str">
        <f>IFERROR(W410/W444, "NA")</f>
        <v>NA</v>
      </c>
      <c r="Y410" s="9"/>
      <c r="Z410" s="7">
        <v>184.89</v>
      </c>
      <c r="AA410" s="8" t="str">
        <f>IFERROR(Z410/Z444, "NA")</f>
        <v>NA</v>
      </c>
      <c r="AB410" s="9"/>
      <c r="AC410" s="10">
        <f t="shared" si="103"/>
        <v>125.18999999999998</v>
      </c>
      <c r="AD410" s="8" t="str">
        <f>IFERROR(AC410/AC444, "NA")</f>
        <v>NA</v>
      </c>
    </row>
    <row r="411" spans="1:30" ht="16.5" customHeight="1" x14ac:dyDescent="0.45">
      <c r="A411" s="6" t="s">
        <v>376</v>
      </c>
      <c r="B411" s="7">
        <v>268.37</v>
      </c>
      <c r="C411" s="8" t="str">
        <f>IFERROR(B411/B444, "NA")</f>
        <v>NA</v>
      </c>
      <c r="D411" s="9"/>
      <c r="E411" s="7">
        <v>0</v>
      </c>
      <c r="F411" s="8" t="str">
        <f>IFERROR(E411/E444, "NA")</f>
        <v>NA</v>
      </c>
      <c r="G411" s="9"/>
      <c r="H411" s="10">
        <f t="shared" si="100"/>
        <v>-268.37</v>
      </c>
      <c r="I411" s="8" t="str">
        <f>IFERROR(H411/H444, "NA")</f>
        <v>NA</v>
      </c>
      <c r="J411" s="9"/>
      <c r="K411" s="7">
        <v>0</v>
      </c>
      <c r="L411" s="8" t="str">
        <f>IFERROR(K411/K444, "NA")</f>
        <v>NA</v>
      </c>
      <c r="M411" s="9"/>
      <c r="N411" s="10">
        <f t="shared" si="101"/>
        <v>-268.37</v>
      </c>
      <c r="O411" s="8" t="str">
        <f>IFERROR(N411/N444, "NA")</f>
        <v>NA</v>
      </c>
      <c r="P411" s="9"/>
      <c r="Q411" s="7">
        <v>268.37</v>
      </c>
      <c r="R411" s="8" t="str">
        <f>IFERROR(Q411/Q444, "NA")</f>
        <v>NA</v>
      </c>
      <c r="S411" s="9"/>
      <c r="T411" s="7">
        <v>0</v>
      </c>
      <c r="U411" s="8" t="str">
        <f>IFERROR(T411/T444, "NA")</f>
        <v>NA</v>
      </c>
      <c r="V411" s="9"/>
      <c r="W411" s="10">
        <f t="shared" si="102"/>
        <v>-268.37</v>
      </c>
      <c r="X411" s="8" t="str">
        <f>IFERROR(W411/W444, "NA")</f>
        <v>NA</v>
      </c>
      <c r="Y411" s="9"/>
      <c r="Z411" s="7">
        <v>0</v>
      </c>
      <c r="AA411" s="8" t="str">
        <f>IFERROR(Z411/Z444, "NA")</f>
        <v>NA</v>
      </c>
      <c r="AB411" s="9"/>
      <c r="AC411" s="10">
        <f t="shared" si="103"/>
        <v>-268.37</v>
      </c>
      <c r="AD411" s="8" t="str">
        <f>IFERROR(AC411/AC444, "NA")</f>
        <v>NA</v>
      </c>
    </row>
    <row r="412" spans="1:30" ht="16.5" hidden="1" customHeight="1" x14ac:dyDescent="0.45">
      <c r="A412" s="6" t="s">
        <v>377</v>
      </c>
      <c r="B412" s="7">
        <v>0</v>
      </c>
      <c r="C412" s="8" t="str">
        <f>IFERROR(B412/B444, "NA")</f>
        <v>NA</v>
      </c>
      <c r="D412" s="9"/>
      <c r="E412" s="7">
        <v>0</v>
      </c>
      <c r="F412" s="8" t="str">
        <f>IFERROR(E412/E444, "NA")</f>
        <v>NA</v>
      </c>
      <c r="G412" s="9"/>
      <c r="H412" s="10">
        <f t="shared" si="100"/>
        <v>0</v>
      </c>
      <c r="I412" s="8" t="str">
        <f>IFERROR(H412/H444, "NA")</f>
        <v>NA</v>
      </c>
      <c r="J412" s="9"/>
      <c r="K412" s="7">
        <v>0</v>
      </c>
      <c r="L412" s="8" t="str">
        <f>IFERROR(K412/K444, "NA")</f>
        <v>NA</v>
      </c>
      <c r="M412" s="9"/>
      <c r="N412" s="10">
        <f t="shared" si="101"/>
        <v>0</v>
      </c>
      <c r="O412" s="8" t="str">
        <f>IFERROR(N412/N444, "NA")</f>
        <v>NA</v>
      </c>
      <c r="P412" s="9"/>
      <c r="Q412" s="7">
        <v>0</v>
      </c>
      <c r="R412" s="8" t="str">
        <f>IFERROR(Q412/Q444, "NA")</f>
        <v>NA</v>
      </c>
      <c r="S412" s="9"/>
      <c r="T412" s="7">
        <v>0</v>
      </c>
      <c r="U412" s="8" t="str">
        <f>IFERROR(T412/T444, "NA")</f>
        <v>NA</v>
      </c>
      <c r="V412" s="9"/>
      <c r="W412" s="10">
        <f t="shared" si="102"/>
        <v>0</v>
      </c>
      <c r="X412" s="8" t="str">
        <f>IFERROR(W412/W444, "NA")</f>
        <v>NA</v>
      </c>
      <c r="Y412" s="9"/>
      <c r="Z412" s="7">
        <v>0</v>
      </c>
      <c r="AA412" s="8" t="str">
        <f>IFERROR(Z412/Z444, "NA")</f>
        <v>NA</v>
      </c>
      <c r="AB412" s="9"/>
      <c r="AC412" s="10">
        <f t="shared" si="103"/>
        <v>0</v>
      </c>
      <c r="AD412" s="8" t="str">
        <f>IFERROR(AC412/AC444, "NA")</f>
        <v>NA</v>
      </c>
    </row>
    <row r="413" spans="1:30" ht="16.5" hidden="1" customHeight="1" x14ac:dyDescent="0.45">
      <c r="A413" s="6" t="s">
        <v>378</v>
      </c>
      <c r="B413" s="7">
        <v>0</v>
      </c>
      <c r="C413" s="8" t="str">
        <f>IFERROR(B413/B444, "NA")</f>
        <v>NA</v>
      </c>
      <c r="D413" s="9"/>
      <c r="E413" s="7">
        <v>0</v>
      </c>
      <c r="F413" s="8" t="str">
        <f>IFERROR(E413/E444, "NA")</f>
        <v>NA</v>
      </c>
      <c r="G413" s="9"/>
      <c r="H413" s="10">
        <f t="shared" si="100"/>
        <v>0</v>
      </c>
      <c r="I413" s="8" t="str">
        <f>IFERROR(H413/H444, "NA")</f>
        <v>NA</v>
      </c>
      <c r="J413" s="9"/>
      <c r="K413" s="7">
        <v>0</v>
      </c>
      <c r="L413" s="8" t="str">
        <f>IFERROR(K413/K444, "NA")</f>
        <v>NA</v>
      </c>
      <c r="M413" s="9"/>
      <c r="N413" s="10">
        <f t="shared" si="101"/>
        <v>0</v>
      </c>
      <c r="O413" s="8" t="str">
        <f>IFERROR(N413/N444, "NA")</f>
        <v>NA</v>
      </c>
      <c r="P413" s="9"/>
      <c r="Q413" s="7">
        <v>0</v>
      </c>
      <c r="R413" s="8" t="str">
        <f>IFERROR(Q413/Q444, "NA")</f>
        <v>NA</v>
      </c>
      <c r="S413" s="9"/>
      <c r="T413" s="7">
        <v>0</v>
      </c>
      <c r="U413" s="8" t="str">
        <f>IFERROR(T413/T444, "NA")</f>
        <v>NA</v>
      </c>
      <c r="V413" s="9"/>
      <c r="W413" s="10">
        <f t="shared" si="102"/>
        <v>0</v>
      </c>
      <c r="X413" s="8" t="str">
        <f>IFERROR(W413/W444, "NA")</f>
        <v>NA</v>
      </c>
      <c r="Y413" s="9"/>
      <c r="Z413" s="7">
        <v>0</v>
      </c>
      <c r="AA413" s="8" t="str">
        <f>IFERROR(Z413/Z444, "NA")</f>
        <v>NA</v>
      </c>
      <c r="AB413" s="9"/>
      <c r="AC413" s="10">
        <f t="shared" si="103"/>
        <v>0</v>
      </c>
      <c r="AD413" s="8" t="str">
        <f>IFERROR(AC413/AC444, "NA")</f>
        <v>NA</v>
      </c>
    </row>
    <row r="414" spans="1:30" ht="16.5" hidden="1" customHeight="1" x14ac:dyDescent="0.45">
      <c r="A414" s="6" t="s">
        <v>379</v>
      </c>
      <c r="B414" s="7">
        <v>0</v>
      </c>
      <c r="C414" s="8" t="str">
        <f>IFERROR(B414/B444, "NA")</f>
        <v>NA</v>
      </c>
      <c r="D414" s="9"/>
      <c r="E414" s="7">
        <v>0</v>
      </c>
      <c r="F414" s="8" t="str">
        <f>IFERROR(E414/E444, "NA")</f>
        <v>NA</v>
      </c>
      <c r="G414" s="9"/>
      <c r="H414" s="10">
        <f t="shared" si="100"/>
        <v>0</v>
      </c>
      <c r="I414" s="8" t="str">
        <f>IFERROR(H414/H444, "NA")</f>
        <v>NA</v>
      </c>
      <c r="J414" s="9"/>
      <c r="K414" s="7">
        <v>0</v>
      </c>
      <c r="L414" s="8" t="str">
        <f>IFERROR(K414/K444, "NA")</f>
        <v>NA</v>
      </c>
      <c r="M414" s="9"/>
      <c r="N414" s="10">
        <f t="shared" si="101"/>
        <v>0</v>
      </c>
      <c r="O414" s="8" t="str">
        <f>IFERROR(N414/N444, "NA")</f>
        <v>NA</v>
      </c>
      <c r="P414" s="9"/>
      <c r="Q414" s="7">
        <v>0</v>
      </c>
      <c r="R414" s="8" t="str">
        <f>IFERROR(Q414/Q444, "NA")</f>
        <v>NA</v>
      </c>
      <c r="S414" s="9"/>
      <c r="T414" s="7">
        <v>0</v>
      </c>
      <c r="U414" s="8" t="str">
        <f>IFERROR(T414/T444, "NA")</f>
        <v>NA</v>
      </c>
      <c r="V414" s="9"/>
      <c r="W414" s="10">
        <f t="shared" si="102"/>
        <v>0</v>
      </c>
      <c r="X414" s="8" t="str">
        <f>IFERROR(W414/W444, "NA")</f>
        <v>NA</v>
      </c>
      <c r="Y414" s="9"/>
      <c r="Z414" s="7">
        <v>0</v>
      </c>
      <c r="AA414" s="8" t="str">
        <f>IFERROR(Z414/Z444, "NA")</f>
        <v>NA</v>
      </c>
      <c r="AB414" s="9"/>
      <c r="AC414" s="10">
        <f t="shared" si="103"/>
        <v>0</v>
      </c>
      <c r="AD414" s="8" t="str">
        <f>IFERROR(AC414/AC444, "NA")</f>
        <v>NA</v>
      </c>
    </row>
    <row r="415" spans="1:30" ht="16.5" hidden="1" customHeight="1" x14ac:dyDescent="0.45">
      <c r="A415" s="6" t="s">
        <v>380</v>
      </c>
      <c r="B415" s="7">
        <v>0</v>
      </c>
      <c r="C415" s="8" t="str">
        <f>IFERROR(B415/B444, "NA")</f>
        <v>NA</v>
      </c>
      <c r="D415" s="9"/>
      <c r="E415" s="7">
        <v>0</v>
      </c>
      <c r="F415" s="8" t="str">
        <f>IFERROR(E415/E444, "NA")</f>
        <v>NA</v>
      </c>
      <c r="G415" s="9"/>
      <c r="H415" s="10">
        <f t="shared" si="100"/>
        <v>0</v>
      </c>
      <c r="I415" s="8" t="str">
        <f>IFERROR(H415/H444, "NA")</f>
        <v>NA</v>
      </c>
      <c r="J415" s="9"/>
      <c r="K415" s="7">
        <v>0</v>
      </c>
      <c r="L415" s="8" t="str">
        <f>IFERROR(K415/K444, "NA")</f>
        <v>NA</v>
      </c>
      <c r="M415" s="9"/>
      <c r="N415" s="10">
        <f t="shared" si="101"/>
        <v>0</v>
      </c>
      <c r="O415" s="8" t="str">
        <f>IFERROR(N415/N444, "NA")</f>
        <v>NA</v>
      </c>
      <c r="P415" s="9"/>
      <c r="Q415" s="7">
        <v>0</v>
      </c>
      <c r="R415" s="8" t="str">
        <f>IFERROR(Q415/Q444, "NA")</f>
        <v>NA</v>
      </c>
      <c r="S415" s="9"/>
      <c r="T415" s="7">
        <v>0</v>
      </c>
      <c r="U415" s="8" t="str">
        <f>IFERROR(T415/T444, "NA")</f>
        <v>NA</v>
      </c>
      <c r="V415" s="9"/>
      <c r="W415" s="10">
        <f t="shared" si="102"/>
        <v>0</v>
      </c>
      <c r="X415" s="8" t="str">
        <f>IFERROR(W415/W444, "NA")</f>
        <v>NA</v>
      </c>
      <c r="Y415" s="9"/>
      <c r="Z415" s="7">
        <v>0</v>
      </c>
      <c r="AA415" s="8" t="str">
        <f>IFERROR(Z415/Z444, "NA")</f>
        <v>NA</v>
      </c>
      <c r="AB415" s="9"/>
      <c r="AC415" s="10">
        <f t="shared" si="103"/>
        <v>0</v>
      </c>
      <c r="AD415" s="8" t="str">
        <f>IFERROR(AC415/AC444, "NA")</f>
        <v>NA</v>
      </c>
    </row>
    <row r="416" spans="1:30" ht="16.5" hidden="1" customHeight="1" x14ac:dyDescent="0.45">
      <c r="A416" s="6" t="s">
        <v>381</v>
      </c>
      <c r="B416" s="7">
        <v>0</v>
      </c>
      <c r="C416" s="8" t="str">
        <f>IFERROR(B416/B444, "NA")</f>
        <v>NA</v>
      </c>
      <c r="D416" s="9"/>
      <c r="E416" s="7">
        <v>0</v>
      </c>
      <c r="F416" s="8" t="str">
        <f>IFERROR(E416/E444, "NA")</f>
        <v>NA</v>
      </c>
      <c r="G416" s="9"/>
      <c r="H416" s="10">
        <f t="shared" si="100"/>
        <v>0</v>
      </c>
      <c r="I416" s="8" t="str">
        <f>IFERROR(H416/H444, "NA")</f>
        <v>NA</v>
      </c>
      <c r="J416" s="9"/>
      <c r="K416" s="7">
        <v>0</v>
      </c>
      <c r="L416" s="8" t="str">
        <f>IFERROR(K416/K444, "NA")</f>
        <v>NA</v>
      </c>
      <c r="M416" s="9"/>
      <c r="N416" s="10">
        <f t="shared" si="101"/>
        <v>0</v>
      </c>
      <c r="O416" s="8" t="str">
        <f>IFERROR(N416/N444, "NA")</f>
        <v>NA</v>
      </c>
      <c r="P416" s="9"/>
      <c r="Q416" s="7">
        <v>0</v>
      </c>
      <c r="R416" s="8" t="str">
        <f>IFERROR(Q416/Q444, "NA")</f>
        <v>NA</v>
      </c>
      <c r="S416" s="9"/>
      <c r="T416" s="7">
        <v>0</v>
      </c>
      <c r="U416" s="8" t="str">
        <f>IFERROR(T416/T444, "NA")</f>
        <v>NA</v>
      </c>
      <c r="V416" s="9"/>
      <c r="W416" s="10">
        <f t="shared" si="102"/>
        <v>0</v>
      </c>
      <c r="X416" s="8" t="str">
        <f>IFERROR(W416/W444, "NA")</f>
        <v>NA</v>
      </c>
      <c r="Y416" s="9"/>
      <c r="Z416" s="7">
        <v>0</v>
      </c>
      <c r="AA416" s="8" t="str">
        <f>IFERROR(Z416/Z444, "NA")</f>
        <v>NA</v>
      </c>
      <c r="AB416" s="9"/>
      <c r="AC416" s="10">
        <f t="shared" si="103"/>
        <v>0</v>
      </c>
      <c r="AD416" s="8" t="str">
        <f>IFERROR(AC416/AC444, "NA")</f>
        <v>NA</v>
      </c>
    </row>
    <row r="417" spans="1:30" ht="16.5" hidden="1" customHeight="1" x14ac:dyDescent="0.45">
      <c r="A417" s="6" t="s">
        <v>382</v>
      </c>
      <c r="B417" s="7">
        <v>0</v>
      </c>
      <c r="C417" s="8" t="str">
        <f>IFERROR(B417/B444, "NA")</f>
        <v>NA</v>
      </c>
      <c r="D417" s="9"/>
      <c r="E417" s="7">
        <v>0</v>
      </c>
      <c r="F417" s="8" t="str">
        <f>IFERROR(E417/E444, "NA")</f>
        <v>NA</v>
      </c>
      <c r="G417" s="9"/>
      <c r="H417" s="10">
        <f t="shared" si="100"/>
        <v>0</v>
      </c>
      <c r="I417" s="8" t="str">
        <f>IFERROR(H417/H444, "NA")</f>
        <v>NA</v>
      </c>
      <c r="J417" s="9"/>
      <c r="K417" s="7">
        <v>0</v>
      </c>
      <c r="L417" s="8" t="str">
        <f>IFERROR(K417/K444, "NA")</f>
        <v>NA</v>
      </c>
      <c r="M417" s="9"/>
      <c r="N417" s="10">
        <f t="shared" si="101"/>
        <v>0</v>
      </c>
      <c r="O417" s="8" t="str">
        <f>IFERROR(N417/N444, "NA")</f>
        <v>NA</v>
      </c>
      <c r="P417" s="9"/>
      <c r="Q417" s="7">
        <v>0</v>
      </c>
      <c r="R417" s="8" t="str">
        <f>IFERROR(Q417/Q444, "NA")</f>
        <v>NA</v>
      </c>
      <c r="S417" s="9"/>
      <c r="T417" s="7">
        <v>0</v>
      </c>
      <c r="U417" s="8" t="str">
        <f>IFERROR(T417/T444, "NA")</f>
        <v>NA</v>
      </c>
      <c r="V417" s="9"/>
      <c r="W417" s="10">
        <f t="shared" si="102"/>
        <v>0</v>
      </c>
      <c r="X417" s="8" t="str">
        <f>IFERROR(W417/W444, "NA")</f>
        <v>NA</v>
      </c>
      <c r="Y417" s="9"/>
      <c r="Z417" s="7">
        <v>0</v>
      </c>
      <c r="AA417" s="8" t="str">
        <f>IFERROR(Z417/Z444, "NA")</f>
        <v>NA</v>
      </c>
      <c r="AB417" s="9"/>
      <c r="AC417" s="10">
        <f t="shared" si="103"/>
        <v>0</v>
      </c>
      <c r="AD417" s="8" t="str">
        <f>IFERROR(AC417/AC444, "NA")</f>
        <v>NA</v>
      </c>
    </row>
    <row r="418" spans="1:30" ht="16.5" hidden="1" customHeight="1" x14ac:dyDescent="0.45">
      <c r="A418" s="6" t="s">
        <v>383</v>
      </c>
      <c r="B418" s="7">
        <v>0</v>
      </c>
      <c r="C418" s="8" t="str">
        <f>IFERROR(B418/B444, "NA")</f>
        <v>NA</v>
      </c>
      <c r="D418" s="9"/>
      <c r="E418" s="7">
        <v>0</v>
      </c>
      <c r="F418" s="8" t="str">
        <f>IFERROR(E418/E444, "NA")</f>
        <v>NA</v>
      </c>
      <c r="G418" s="9"/>
      <c r="H418" s="10">
        <f t="shared" si="100"/>
        <v>0</v>
      </c>
      <c r="I418" s="8" t="str">
        <f>IFERROR(H418/H444, "NA")</f>
        <v>NA</v>
      </c>
      <c r="J418" s="9"/>
      <c r="K418" s="7">
        <v>0</v>
      </c>
      <c r="L418" s="8" t="str">
        <f>IFERROR(K418/K444, "NA")</f>
        <v>NA</v>
      </c>
      <c r="M418" s="9"/>
      <c r="N418" s="10">
        <f t="shared" si="101"/>
        <v>0</v>
      </c>
      <c r="O418" s="8" t="str">
        <f>IFERROR(N418/N444, "NA")</f>
        <v>NA</v>
      </c>
      <c r="P418" s="9"/>
      <c r="Q418" s="7">
        <v>0</v>
      </c>
      <c r="R418" s="8" t="str">
        <f>IFERROR(Q418/Q444, "NA")</f>
        <v>NA</v>
      </c>
      <c r="S418" s="9"/>
      <c r="T418" s="7">
        <v>0</v>
      </c>
      <c r="U418" s="8" t="str">
        <f>IFERROR(T418/T444, "NA")</f>
        <v>NA</v>
      </c>
      <c r="V418" s="9"/>
      <c r="W418" s="10">
        <f t="shared" si="102"/>
        <v>0</v>
      </c>
      <c r="X418" s="8" t="str">
        <f>IFERROR(W418/W444, "NA")</f>
        <v>NA</v>
      </c>
      <c r="Y418" s="9"/>
      <c r="Z418" s="7">
        <v>0</v>
      </c>
      <c r="AA418" s="8" t="str">
        <f>IFERROR(Z418/Z444, "NA")</f>
        <v>NA</v>
      </c>
      <c r="AB418" s="9"/>
      <c r="AC418" s="10">
        <f t="shared" si="103"/>
        <v>0</v>
      </c>
      <c r="AD418" s="8" t="str">
        <f>IFERROR(AC418/AC444, "NA")</f>
        <v>NA</v>
      </c>
    </row>
    <row r="419" spans="1:30" ht="16.5" hidden="1" customHeight="1" x14ac:dyDescent="0.45">
      <c r="A419" s="6" t="s">
        <v>384</v>
      </c>
      <c r="B419" s="7">
        <v>0</v>
      </c>
      <c r="C419" s="8" t="str">
        <f>IFERROR(B419/B444, "NA")</f>
        <v>NA</v>
      </c>
      <c r="D419" s="9"/>
      <c r="E419" s="7">
        <v>0</v>
      </c>
      <c r="F419" s="8" t="str">
        <f>IFERROR(E419/E444, "NA")</f>
        <v>NA</v>
      </c>
      <c r="G419" s="9"/>
      <c r="H419" s="10">
        <f t="shared" si="100"/>
        <v>0</v>
      </c>
      <c r="I419" s="8" t="str">
        <f>IFERROR(H419/H444, "NA")</f>
        <v>NA</v>
      </c>
      <c r="J419" s="9"/>
      <c r="K419" s="7">
        <v>0</v>
      </c>
      <c r="L419" s="8" t="str">
        <f>IFERROR(K419/K444, "NA")</f>
        <v>NA</v>
      </c>
      <c r="M419" s="9"/>
      <c r="N419" s="10">
        <f t="shared" si="101"/>
        <v>0</v>
      </c>
      <c r="O419" s="8" t="str">
        <f>IFERROR(N419/N444, "NA")</f>
        <v>NA</v>
      </c>
      <c r="P419" s="9"/>
      <c r="Q419" s="7">
        <v>0</v>
      </c>
      <c r="R419" s="8" t="str">
        <f>IFERROR(Q419/Q444, "NA")</f>
        <v>NA</v>
      </c>
      <c r="S419" s="9"/>
      <c r="T419" s="7">
        <v>0</v>
      </c>
      <c r="U419" s="8" t="str">
        <f>IFERROR(T419/T444, "NA")</f>
        <v>NA</v>
      </c>
      <c r="V419" s="9"/>
      <c r="W419" s="10">
        <f t="shared" si="102"/>
        <v>0</v>
      </c>
      <c r="X419" s="8" t="str">
        <f>IFERROR(W419/W444, "NA")</f>
        <v>NA</v>
      </c>
      <c r="Y419" s="9"/>
      <c r="Z419" s="7">
        <v>0</v>
      </c>
      <c r="AA419" s="8" t="str">
        <f>IFERROR(Z419/Z444, "NA")</f>
        <v>NA</v>
      </c>
      <c r="AB419" s="9"/>
      <c r="AC419" s="10">
        <f t="shared" si="103"/>
        <v>0</v>
      </c>
      <c r="AD419" s="8" t="str">
        <f>IFERROR(AC419/AC444, "NA")</f>
        <v>NA</v>
      </c>
    </row>
    <row r="420" spans="1:30" ht="16.5" hidden="1" customHeight="1" x14ac:dyDescent="0.45">
      <c r="A420" s="6" t="s">
        <v>385</v>
      </c>
      <c r="B420" s="7">
        <v>0</v>
      </c>
      <c r="C420" s="8" t="str">
        <f>IFERROR(B420/B444, "NA")</f>
        <v>NA</v>
      </c>
      <c r="D420" s="9"/>
      <c r="E420" s="7">
        <v>0</v>
      </c>
      <c r="F420" s="8" t="str">
        <f>IFERROR(E420/E444, "NA")</f>
        <v>NA</v>
      </c>
      <c r="G420" s="9"/>
      <c r="H420" s="10">
        <f t="shared" si="100"/>
        <v>0</v>
      </c>
      <c r="I420" s="8" t="str">
        <f>IFERROR(H420/H444, "NA")</f>
        <v>NA</v>
      </c>
      <c r="J420" s="9"/>
      <c r="K420" s="7">
        <v>0</v>
      </c>
      <c r="L420" s="8" t="str">
        <f>IFERROR(K420/K444, "NA")</f>
        <v>NA</v>
      </c>
      <c r="M420" s="9"/>
      <c r="N420" s="10">
        <f t="shared" si="101"/>
        <v>0</v>
      </c>
      <c r="O420" s="8" t="str">
        <f>IFERROR(N420/N444, "NA")</f>
        <v>NA</v>
      </c>
      <c r="P420" s="9"/>
      <c r="Q420" s="7">
        <v>0</v>
      </c>
      <c r="R420" s="8" t="str">
        <f>IFERROR(Q420/Q444, "NA")</f>
        <v>NA</v>
      </c>
      <c r="S420" s="9"/>
      <c r="T420" s="7">
        <v>0</v>
      </c>
      <c r="U420" s="8" t="str">
        <f>IFERROR(T420/T444, "NA")</f>
        <v>NA</v>
      </c>
      <c r="V420" s="9"/>
      <c r="W420" s="10">
        <f t="shared" si="102"/>
        <v>0</v>
      </c>
      <c r="X420" s="8" t="str">
        <f>IFERROR(W420/W444, "NA")</f>
        <v>NA</v>
      </c>
      <c r="Y420" s="9"/>
      <c r="Z420" s="7">
        <v>0</v>
      </c>
      <c r="AA420" s="8" t="str">
        <f>IFERROR(Z420/Z444, "NA")</f>
        <v>NA</v>
      </c>
      <c r="AB420" s="9"/>
      <c r="AC420" s="10">
        <f t="shared" si="103"/>
        <v>0</v>
      </c>
      <c r="AD420" s="8" t="str">
        <f>IFERROR(AC420/AC444, "NA")</f>
        <v>NA</v>
      </c>
    </row>
    <row r="421" spans="1:30" ht="16.5" hidden="1" customHeight="1" x14ac:dyDescent="0.45">
      <c r="A421" s="6" t="s">
        <v>386</v>
      </c>
      <c r="B421" s="7">
        <v>0</v>
      </c>
      <c r="C421" s="8" t="str">
        <f>IFERROR(B421/B444, "NA")</f>
        <v>NA</v>
      </c>
      <c r="D421" s="9"/>
      <c r="E421" s="7">
        <v>0</v>
      </c>
      <c r="F421" s="8" t="str">
        <f>IFERROR(E421/E444, "NA")</f>
        <v>NA</v>
      </c>
      <c r="G421" s="9"/>
      <c r="H421" s="10">
        <f t="shared" si="100"/>
        <v>0</v>
      </c>
      <c r="I421" s="8" t="str">
        <f>IFERROR(H421/H444, "NA")</f>
        <v>NA</v>
      </c>
      <c r="J421" s="9"/>
      <c r="K421" s="7">
        <v>0</v>
      </c>
      <c r="L421" s="8" t="str">
        <f>IFERROR(K421/K444, "NA")</f>
        <v>NA</v>
      </c>
      <c r="M421" s="9"/>
      <c r="N421" s="10">
        <f t="shared" si="101"/>
        <v>0</v>
      </c>
      <c r="O421" s="8" t="str">
        <f>IFERROR(N421/N444, "NA")</f>
        <v>NA</v>
      </c>
      <c r="P421" s="9"/>
      <c r="Q421" s="7">
        <v>0</v>
      </c>
      <c r="R421" s="8" t="str">
        <f>IFERROR(Q421/Q444, "NA")</f>
        <v>NA</v>
      </c>
      <c r="S421" s="9"/>
      <c r="T421" s="7">
        <v>0</v>
      </c>
      <c r="U421" s="8" t="str">
        <f>IFERROR(T421/T444, "NA")</f>
        <v>NA</v>
      </c>
      <c r="V421" s="9"/>
      <c r="W421" s="10">
        <f t="shared" si="102"/>
        <v>0</v>
      </c>
      <c r="X421" s="8" t="str">
        <f>IFERROR(W421/W444, "NA")</f>
        <v>NA</v>
      </c>
      <c r="Y421" s="9"/>
      <c r="Z421" s="7">
        <v>0</v>
      </c>
      <c r="AA421" s="8" t="str">
        <f>IFERROR(Z421/Z444, "NA")</f>
        <v>NA</v>
      </c>
      <c r="AB421" s="9"/>
      <c r="AC421" s="10">
        <f t="shared" si="103"/>
        <v>0</v>
      </c>
      <c r="AD421" s="8" t="str">
        <f>IFERROR(AC421/AC444, "NA")</f>
        <v>NA</v>
      </c>
    </row>
    <row r="422" spans="1:30" ht="16.5" customHeight="1" x14ac:dyDescent="0.45">
      <c r="A422" s="6" t="s">
        <v>387</v>
      </c>
      <c r="B422" s="7">
        <v>-505.22</v>
      </c>
      <c r="C422" s="8" t="str">
        <f>IFERROR(B422/B444, "NA")</f>
        <v>NA</v>
      </c>
      <c r="D422" s="9"/>
      <c r="E422" s="7">
        <v>0</v>
      </c>
      <c r="F422" s="8" t="str">
        <f>IFERROR(E422/E444, "NA")</f>
        <v>NA</v>
      </c>
      <c r="G422" s="9"/>
      <c r="H422" s="10">
        <f t="shared" si="100"/>
        <v>505.22</v>
      </c>
      <c r="I422" s="8" t="str">
        <f>IFERROR(H422/H444, "NA")</f>
        <v>NA</v>
      </c>
      <c r="J422" s="9"/>
      <c r="K422" s="7">
        <v>0</v>
      </c>
      <c r="L422" s="8" t="str">
        <f>IFERROR(K422/K444, "NA")</f>
        <v>NA</v>
      </c>
      <c r="M422" s="9"/>
      <c r="N422" s="10">
        <f t="shared" si="101"/>
        <v>505.22</v>
      </c>
      <c r="O422" s="8" t="str">
        <f>IFERROR(N422/N444, "NA")</f>
        <v>NA</v>
      </c>
      <c r="P422" s="9"/>
      <c r="Q422" s="7">
        <v>-505.22</v>
      </c>
      <c r="R422" s="8" t="str">
        <f>IFERROR(Q422/Q444, "NA")</f>
        <v>NA</v>
      </c>
      <c r="S422" s="9"/>
      <c r="T422" s="7">
        <v>0</v>
      </c>
      <c r="U422" s="8" t="str">
        <f>IFERROR(T422/T444, "NA")</f>
        <v>NA</v>
      </c>
      <c r="V422" s="9"/>
      <c r="W422" s="10">
        <f t="shared" si="102"/>
        <v>505.22</v>
      </c>
      <c r="X422" s="8" t="str">
        <f>IFERROR(W422/W444, "NA")</f>
        <v>NA</v>
      </c>
      <c r="Y422" s="9"/>
      <c r="Z422" s="7">
        <v>0</v>
      </c>
      <c r="AA422" s="8" t="str">
        <f>IFERROR(Z422/Z444, "NA")</f>
        <v>NA</v>
      </c>
      <c r="AB422" s="9"/>
      <c r="AC422" s="10">
        <f t="shared" si="103"/>
        <v>505.22</v>
      </c>
      <c r="AD422" s="8" t="str">
        <f>IFERROR(AC422/AC444, "NA")</f>
        <v>NA</v>
      </c>
    </row>
    <row r="423" spans="1:30" ht="16.5" customHeight="1" x14ac:dyDescent="0.45">
      <c r="A423" s="6" t="s">
        <v>388</v>
      </c>
      <c r="B423" s="7">
        <v>-16101.01</v>
      </c>
      <c r="C423" s="8" t="str">
        <f>IFERROR(B423/B444, "NA")</f>
        <v>NA</v>
      </c>
      <c r="D423" s="9"/>
      <c r="E423" s="7">
        <v>0</v>
      </c>
      <c r="F423" s="8" t="str">
        <f>IFERROR(E423/E444, "NA")</f>
        <v>NA</v>
      </c>
      <c r="G423" s="9"/>
      <c r="H423" s="10">
        <f t="shared" si="100"/>
        <v>16101.01</v>
      </c>
      <c r="I423" s="8" t="str">
        <f>IFERROR(H423/H444, "NA")</f>
        <v>NA</v>
      </c>
      <c r="J423" s="9"/>
      <c r="K423" s="7">
        <v>-0.99</v>
      </c>
      <c r="L423" s="8" t="str">
        <f>IFERROR(K423/K444, "NA")</f>
        <v>NA</v>
      </c>
      <c r="M423" s="9"/>
      <c r="N423" s="10">
        <f t="shared" si="101"/>
        <v>16100.02</v>
      </c>
      <c r="O423" s="8" t="str">
        <f>IFERROR(N423/N444, "NA")</f>
        <v>NA</v>
      </c>
      <c r="P423" s="9"/>
      <c r="Q423" s="7">
        <v>-16101.01</v>
      </c>
      <c r="R423" s="8" t="str">
        <f>IFERROR(Q423/Q444, "NA")</f>
        <v>NA</v>
      </c>
      <c r="S423" s="9"/>
      <c r="T423" s="7">
        <v>0</v>
      </c>
      <c r="U423" s="8" t="str">
        <f>IFERROR(T423/T444, "NA")</f>
        <v>NA</v>
      </c>
      <c r="V423" s="9"/>
      <c r="W423" s="10">
        <f t="shared" si="102"/>
        <v>16101.01</v>
      </c>
      <c r="X423" s="8" t="str">
        <f>IFERROR(W423/W444, "NA")</f>
        <v>NA</v>
      </c>
      <c r="Y423" s="9"/>
      <c r="Z423" s="7">
        <v>-0.99</v>
      </c>
      <c r="AA423" s="8" t="str">
        <f>IFERROR(Z423/Z444, "NA")</f>
        <v>NA</v>
      </c>
      <c r="AB423" s="9"/>
      <c r="AC423" s="10">
        <f t="shared" si="103"/>
        <v>16100.02</v>
      </c>
      <c r="AD423" s="8" t="str">
        <f>IFERROR(AC423/AC444, "NA")</f>
        <v>NA</v>
      </c>
    </row>
    <row r="424" spans="1:30" ht="16.5" hidden="1" customHeight="1" x14ac:dyDescent="0.45">
      <c r="A424" s="6" t="s">
        <v>389</v>
      </c>
      <c r="B424" s="7">
        <v>0</v>
      </c>
      <c r="C424" s="8" t="str">
        <f>IFERROR(B424/B444, "NA")</f>
        <v>NA</v>
      </c>
      <c r="D424" s="9"/>
      <c r="E424" s="7">
        <v>0</v>
      </c>
      <c r="F424" s="8" t="str">
        <f>IFERROR(E424/E444, "NA")</f>
        <v>NA</v>
      </c>
      <c r="G424" s="9"/>
      <c r="H424" s="10">
        <f t="shared" si="100"/>
        <v>0</v>
      </c>
      <c r="I424" s="8" t="str">
        <f>IFERROR(H424/H444, "NA")</f>
        <v>NA</v>
      </c>
      <c r="J424" s="9"/>
      <c r="K424" s="7">
        <v>0</v>
      </c>
      <c r="L424" s="8" t="str">
        <f>IFERROR(K424/K444, "NA")</f>
        <v>NA</v>
      </c>
      <c r="M424" s="9"/>
      <c r="N424" s="10">
        <f t="shared" si="101"/>
        <v>0</v>
      </c>
      <c r="O424" s="8" t="str">
        <f>IFERROR(N424/N444, "NA")</f>
        <v>NA</v>
      </c>
      <c r="P424" s="9"/>
      <c r="Q424" s="7">
        <v>0</v>
      </c>
      <c r="R424" s="8" t="str">
        <f>IFERROR(Q424/Q444, "NA")</f>
        <v>NA</v>
      </c>
      <c r="S424" s="9"/>
      <c r="T424" s="7">
        <v>0</v>
      </c>
      <c r="U424" s="8" t="str">
        <f>IFERROR(T424/T444, "NA")</f>
        <v>NA</v>
      </c>
      <c r="V424" s="9"/>
      <c r="W424" s="10">
        <f t="shared" si="102"/>
        <v>0</v>
      </c>
      <c r="X424" s="8" t="str">
        <f>IFERROR(W424/W444, "NA")</f>
        <v>NA</v>
      </c>
      <c r="Y424" s="9"/>
      <c r="Z424" s="7">
        <v>0</v>
      </c>
      <c r="AA424" s="8" t="str">
        <f>IFERROR(Z424/Z444, "NA")</f>
        <v>NA</v>
      </c>
      <c r="AB424" s="9"/>
      <c r="AC424" s="10">
        <f t="shared" si="103"/>
        <v>0</v>
      </c>
      <c r="AD424" s="8" t="str">
        <f>IFERROR(AC424/AC444, "NA")</f>
        <v>NA</v>
      </c>
    </row>
    <row r="425" spans="1:30" ht="16.5" hidden="1" customHeight="1" x14ac:dyDescent="0.45">
      <c r="A425" s="6" t="s">
        <v>390</v>
      </c>
      <c r="B425" s="7">
        <v>0</v>
      </c>
      <c r="C425" s="8" t="str">
        <f>IFERROR(B425/B444, "NA")</f>
        <v>NA</v>
      </c>
      <c r="D425" s="9"/>
      <c r="E425" s="7">
        <v>0</v>
      </c>
      <c r="F425" s="8" t="str">
        <f>IFERROR(E425/E444, "NA")</f>
        <v>NA</v>
      </c>
      <c r="G425" s="9"/>
      <c r="H425" s="10">
        <f t="shared" si="100"/>
        <v>0</v>
      </c>
      <c r="I425" s="8" t="str">
        <f>IFERROR(H425/H444, "NA")</f>
        <v>NA</v>
      </c>
      <c r="J425" s="9"/>
      <c r="K425" s="7">
        <v>0</v>
      </c>
      <c r="L425" s="8" t="str">
        <f>IFERROR(K425/K444, "NA")</f>
        <v>NA</v>
      </c>
      <c r="M425" s="9"/>
      <c r="N425" s="10">
        <f t="shared" si="101"/>
        <v>0</v>
      </c>
      <c r="O425" s="8" t="str">
        <f>IFERROR(N425/N444, "NA")</f>
        <v>NA</v>
      </c>
      <c r="P425" s="9"/>
      <c r="Q425" s="7">
        <v>0</v>
      </c>
      <c r="R425" s="8" t="str">
        <f>IFERROR(Q425/Q444, "NA")</f>
        <v>NA</v>
      </c>
      <c r="S425" s="9"/>
      <c r="T425" s="7">
        <v>0</v>
      </c>
      <c r="U425" s="8" t="str">
        <f>IFERROR(T425/T444, "NA")</f>
        <v>NA</v>
      </c>
      <c r="V425" s="9"/>
      <c r="W425" s="10">
        <f t="shared" si="102"/>
        <v>0</v>
      </c>
      <c r="X425" s="8" t="str">
        <f>IFERROR(W425/W444, "NA")</f>
        <v>NA</v>
      </c>
      <c r="Y425" s="9"/>
      <c r="Z425" s="7">
        <v>0</v>
      </c>
      <c r="AA425" s="8" t="str">
        <f>IFERROR(Z425/Z444, "NA")</f>
        <v>NA</v>
      </c>
      <c r="AB425" s="9"/>
      <c r="AC425" s="10">
        <f t="shared" si="103"/>
        <v>0</v>
      </c>
      <c r="AD425" s="8" t="str">
        <f>IFERROR(AC425/AC444, "NA")</f>
        <v>NA</v>
      </c>
    </row>
    <row r="426" spans="1:30" ht="16.5" customHeight="1" x14ac:dyDescent="0.45">
      <c r="A426" s="6" t="s">
        <v>391</v>
      </c>
      <c r="B426" s="7">
        <v>-2316.9499999999998</v>
      </c>
      <c r="C426" s="8" t="str">
        <f>IFERROR(B426/B444, "NA")</f>
        <v>NA</v>
      </c>
      <c r="D426" s="9"/>
      <c r="E426" s="7">
        <v>0</v>
      </c>
      <c r="F426" s="8" t="str">
        <f>IFERROR(E426/E444, "NA")</f>
        <v>NA</v>
      </c>
      <c r="G426" s="9"/>
      <c r="H426" s="10">
        <f t="shared" si="100"/>
        <v>2316.9499999999998</v>
      </c>
      <c r="I426" s="8" t="str">
        <f>IFERROR(H426/H444, "NA")</f>
        <v>NA</v>
      </c>
      <c r="J426" s="9"/>
      <c r="K426" s="7">
        <v>-232.45</v>
      </c>
      <c r="L426" s="8" t="str">
        <f>IFERROR(K426/K444, "NA")</f>
        <v>NA</v>
      </c>
      <c r="M426" s="9"/>
      <c r="N426" s="10">
        <f t="shared" si="101"/>
        <v>2084.5</v>
      </c>
      <c r="O426" s="8" t="str">
        <f>IFERROR(N426/N444, "NA")</f>
        <v>NA</v>
      </c>
      <c r="P426" s="9"/>
      <c r="Q426" s="7">
        <v>-2316.9499999999998</v>
      </c>
      <c r="R426" s="8" t="str">
        <f>IFERROR(Q426/Q444, "NA")</f>
        <v>NA</v>
      </c>
      <c r="S426" s="9"/>
      <c r="T426" s="7">
        <v>0</v>
      </c>
      <c r="U426" s="8" t="str">
        <f>IFERROR(T426/T444, "NA")</f>
        <v>NA</v>
      </c>
      <c r="V426" s="9"/>
      <c r="W426" s="10">
        <f t="shared" si="102"/>
        <v>2316.9499999999998</v>
      </c>
      <c r="X426" s="8" t="str">
        <f>IFERROR(W426/W444, "NA")</f>
        <v>NA</v>
      </c>
      <c r="Y426" s="9"/>
      <c r="Z426" s="7">
        <v>-232.45</v>
      </c>
      <c r="AA426" s="8" t="str">
        <f>IFERROR(Z426/Z444, "NA")</f>
        <v>NA</v>
      </c>
      <c r="AB426" s="9"/>
      <c r="AC426" s="10">
        <f t="shared" si="103"/>
        <v>2084.5</v>
      </c>
      <c r="AD426" s="8" t="str">
        <f>IFERROR(AC426/AC444, "NA")</f>
        <v>NA</v>
      </c>
    </row>
    <row r="427" spans="1:30" ht="16.5" hidden="1" customHeight="1" x14ac:dyDescent="0.45">
      <c r="A427" s="6" t="s">
        <v>392</v>
      </c>
      <c r="B427" s="7">
        <v>0</v>
      </c>
      <c r="C427" s="8" t="str">
        <f>IFERROR(B427/B444, "NA")</f>
        <v>NA</v>
      </c>
      <c r="D427" s="9"/>
      <c r="E427" s="7">
        <v>0</v>
      </c>
      <c r="F427" s="8" t="str">
        <f>IFERROR(E427/E444, "NA")</f>
        <v>NA</v>
      </c>
      <c r="G427" s="9"/>
      <c r="H427" s="10">
        <f t="shared" si="100"/>
        <v>0</v>
      </c>
      <c r="I427" s="8" t="str">
        <f>IFERROR(H427/H444, "NA")</f>
        <v>NA</v>
      </c>
      <c r="J427" s="9"/>
      <c r="K427" s="7">
        <v>0</v>
      </c>
      <c r="L427" s="8" t="str">
        <f>IFERROR(K427/K444, "NA")</f>
        <v>NA</v>
      </c>
      <c r="M427" s="9"/>
      <c r="N427" s="10">
        <f t="shared" si="101"/>
        <v>0</v>
      </c>
      <c r="O427" s="8" t="str">
        <f>IFERROR(N427/N444, "NA")</f>
        <v>NA</v>
      </c>
      <c r="P427" s="9"/>
      <c r="Q427" s="7">
        <v>0</v>
      </c>
      <c r="R427" s="8" t="str">
        <f>IFERROR(Q427/Q444, "NA")</f>
        <v>NA</v>
      </c>
      <c r="S427" s="9"/>
      <c r="T427" s="7">
        <v>0</v>
      </c>
      <c r="U427" s="8" t="str">
        <f>IFERROR(T427/T444, "NA")</f>
        <v>NA</v>
      </c>
      <c r="V427" s="9"/>
      <c r="W427" s="10">
        <f t="shared" si="102"/>
        <v>0</v>
      </c>
      <c r="X427" s="8" t="str">
        <f>IFERROR(W427/W444, "NA")</f>
        <v>NA</v>
      </c>
      <c r="Y427" s="9"/>
      <c r="Z427" s="7">
        <v>0</v>
      </c>
      <c r="AA427" s="8" t="str">
        <f>IFERROR(Z427/Z444, "NA")</f>
        <v>NA</v>
      </c>
      <c r="AB427" s="9"/>
      <c r="AC427" s="10">
        <f t="shared" si="103"/>
        <v>0</v>
      </c>
      <c r="AD427" s="8" t="str">
        <f>IFERROR(AC427/AC444, "NA")</f>
        <v>NA</v>
      </c>
    </row>
    <row r="428" spans="1:30" ht="16.5" customHeight="1" x14ac:dyDescent="0.45">
      <c r="A428" s="19" t="s">
        <v>393</v>
      </c>
      <c r="B428" s="14">
        <f>IFERROR(B407+B408+B409+B410+B411+B412+B413+B414+B415+B416+B417+B418+B419+B420+B421+B422+B423+B424+B425+B426+B427, "NA")</f>
        <v>-18595.11</v>
      </c>
      <c r="C428" s="15" t="str">
        <f>IFERROR(B428/B444, "NA")</f>
        <v>NA</v>
      </c>
      <c r="D428" s="2"/>
      <c r="E428" s="14">
        <f>IFERROR(E407+E408+E409+E410+E411+E412+E413+E414+E415+E416+E417+E418+E419+E420+E421+E422+E423+E424+E425+E426+E427, "NA")</f>
        <v>-13500</v>
      </c>
      <c r="F428" s="15" t="str">
        <f>IFERROR(E428/E444, "NA")</f>
        <v>NA</v>
      </c>
      <c r="G428" s="2"/>
      <c r="H428" s="14">
        <f t="shared" si="100"/>
        <v>5095.1100000000006</v>
      </c>
      <c r="I428" s="15" t="str">
        <f>IFERROR(H428/H444, "NA")</f>
        <v>NA</v>
      </c>
      <c r="J428" s="2"/>
      <c r="K428" s="14">
        <f>IFERROR(K407+K408+K409+K410+K411+K412+K413+K414+K415+K416+K417+K418+K419+K420+K421+K422+K423+K424+K425+K426+K427, "NA")</f>
        <v>-48.550000000000011</v>
      </c>
      <c r="L428" s="15" t="str">
        <f>IFERROR(K428/K444, "NA")</f>
        <v>NA</v>
      </c>
      <c r="M428" s="2"/>
      <c r="N428" s="14">
        <f t="shared" si="101"/>
        <v>18546.560000000001</v>
      </c>
      <c r="O428" s="15" t="str">
        <f>IFERROR(N428/N444, "NA")</f>
        <v>NA</v>
      </c>
      <c r="P428" s="2"/>
      <c r="Q428" s="14">
        <f>IFERROR(Q407+Q408+Q409+Q410+Q411+Q412+Q413+Q414+Q415+Q416+Q417+Q418+Q419+Q420+Q421+Q422+Q423+Q424+Q425+Q426+Q427, "NA")</f>
        <v>-18595.11</v>
      </c>
      <c r="R428" s="15" t="str">
        <f>IFERROR(Q428/Q444, "NA")</f>
        <v>NA</v>
      </c>
      <c r="S428" s="2"/>
      <c r="T428" s="14">
        <f>IFERROR(T407+T408+T409+T410+T411+T412+T413+T414+T415+T416+T417+T418+T419+T420+T421+T422+T423+T424+T425+T426+T427, "NA")</f>
        <v>-13500</v>
      </c>
      <c r="U428" s="15" t="str">
        <f>IFERROR(T428/T444, "NA")</f>
        <v>NA</v>
      </c>
      <c r="V428" s="2"/>
      <c r="W428" s="14">
        <f t="shared" si="102"/>
        <v>5095.1100000000006</v>
      </c>
      <c r="X428" s="15" t="str">
        <f>IFERROR(W428/W444, "NA")</f>
        <v>NA</v>
      </c>
      <c r="Y428" s="2"/>
      <c r="Z428" s="14">
        <f>IFERROR(Z407+Z408+Z409+Z410+Z411+Z412+Z413+Z414+Z415+Z416+Z417+Z418+Z419+Z420+Z421+Z422+Z423+Z424+Z425+Z426+Z427, "NA")</f>
        <v>-48.550000000000011</v>
      </c>
      <c r="AA428" s="15" t="str">
        <f>IFERROR(Z428/Z444, "NA")</f>
        <v>NA</v>
      </c>
      <c r="AB428" s="2"/>
      <c r="AC428" s="14">
        <f t="shared" si="103"/>
        <v>18546.560000000001</v>
      </c>
      <c r="AD428" s="15" t="str">
        <f>IFERROR(AC428/AC444, "NA")</f>
        <v>NA</v>
      </c>
    </row>
    <row r="429" spans="1:30" ht="16.5" customHeight="1" x14ac:dyDescent="0.45">
      <c r="A429" s="21" t="s">
        <v>394</v>
      </c>
      <c r="B429" s="14">
        <f>IFERROR(B407+B408+B409+B410+B411+B412+B413+B414+B415+B416+B417+B418+B419+B420+B421+B422+B423+B424+B425+B426+B427, "NA")</f>
        <v>-18595.11</v>
      </c>
      <c r="C429" s="15" t="str">
        <f>IFERROR(B429/B444, "NA")</f>
        <v>NA</v>
      </c>
      <c r="D429" s="2"/>
      <c r="E429" s="14">
        <f>IFERROR(E407+E408+E409+E410+E411+E412+E413+E414+E415+E416+E417+E418+E419+E420+E421+E422+E423+E424+E425+E426+E427, "NA")</f>
        <v>-13500</v>
      </c>
      <c r="F429" s="15" t="str">
        <f>IFERROR(E429/E444, "NA")</f>
        <v>NA</v>
      </c>
      <c r="G429" s="2"/>
      <c r="H429" s="14">
        <f t="shared" si="100"/>
        <v>5095.1100000000006</v>
      </c>
      <c r="I429" s="15" t="str">
        <f>IFERROR(H429/H444, "NA")</f>
        <v>NA</v>
      </c>
      <c r="J429" s="2"/>
      <c r="K429" s="14">
        <f>IFERROR(K407+K408+K409+K410+K411+K412+K413+K414+K415+K416+K417+K418+K419+K420+K421+K422+K423+K424+K425+K426+K427, "NA")</f>
        <v>-48.550000000000011</v>
      </c>
      <c r="L429" s="15" t="str">
        <f>IFERROR(K429/K444, "NA")</f>
        <v>NA</v>
      </c>
      <c r="M429" s="2"/>
      <c r="N429" s="14">
        <f t="shared" si="101"/>
        <v>18546.560000000001</v>
      </c>
      <c r="O429" s="15" t="str">
        <f>IFERROR(N429/N444, "NA")</f>
        <v>NA</v>
      </c>
      <c r="P429" s="2"/>
      <c r="Q429" s="14">
        <f>IFERROR(Q407+Q408+Q409+Q410+Q411+Q412+Q413+Q414+Q415+Q416+Q417+Q418+Q419+Q420+Q421+Q422+Q423+Q424+Q425+Q426+Q427, "NA")</f>
        <v>-18595.11</v>
      </c>
      <c r="R429" s="15" t="str">
        <f>IFERROR(Q429/Q444, "NA")</f>
        <v>NA</v>
      </c>
      <c r="S429" s="2"/>
      <c r="T429" s="14">
        <f>IFERROR(T407+T408+T409+T410+T411+T412+T413+T414+T415+T416+T417+T418+T419+T420+T421+T422+T423+T424+T425+T426+T427, "NA")</f>
        <v>-13500</v>
      </c>
      <c r="U429" s="15" t="str">
        <f>IFERROR(T429/T444, "NA")</f>
        <v>NA</v>
      </c>
      <c r="V429" s="2"/>
      <c r="W429" s="14">
        <f t="shared" si="102"/>
        <v>5095.1100000000006</v>
      </c>
      <c r="X429" s="15" t="str">
        <f>IFERROR(W429/W444, "NA")</f>
        <v>NA</v>
      </c>
      <c r="Y429" s="2"/>
      <c r="Z429" s="14">
        <f>IFERROR(Z407+Z408+Z409+Z410+Z411+Z412+Z413+Z414+Z415+Z416+Z417+Z418+Z419+Z420+Z421+Z422+Z423+Z424+Z425+Z426+Z427, "NA")</f>
        <v>-48.550000000000011</v>
      </c>
      <c r="AA429" s="15" t="str">
        <f>IFERROR(Z429/Z444, "NA")</f>
        <v>NA</v>
      </c>
      <c r="AB429" s="2"/>
      <c r="AC429" s="14">
        <f t="shared" si="103"/>
        <v>18546.560000000001</v>
      </c>
      <c r="AD429" s="15" t="str">
        <f>IFERROR(AC429/AC444, "NA")</f>
        <v>NA</v>
      </c>
    </row>
    <row r="430" spans="1:30" ht="16.5" customHeight="1" x14ac:dyDescent="0.45">
      <c r="A430" s="1" t="s">
        <v>395</v>
      </c>
      <c r="B430" s="2"/>
      <c r="C430" s="3"/>
      <c r="D430" s="4"/>
      <c r="E430" s="2"/>
      <c r="F430" s="3"/>
      <c r="G430" s="4"/>
      <c r="H430" s="2"/>
      <c r="I430" s="3"/>
      <c r="J430" s="4"/>
      <c r="K430" s="2"/>
      <c r="L430" s="3"/>
      <c r="M430" s="4"/>
      <c r="N430" s="2"/>
      <c r="O430" s="3"/>
      <c r="P430" s="4"/>
      <c r="Q430" s="2"/>
      <c r="R430" s="3"/>
      <c r="S430" s="4"/>
      <c r="T430" s="2"/>
      <c r="U430" s="3"/>
      <c r="V430" s="4"/>
      <c r="W430" s="2"/>
      <c r="X430" s="3"/>
      <c r="Y430" s="4"/>
      <c r="Z430" s="2"/>
      <c r="AA430" s="3"/>
      <c r="AB430" s="4"/>
      <c r="AC430" s="2"/>
      <c r="AD430" s="3"/>
    </row>
    <row r="431" spans="1:30" ht="16.5" customHeight="1" x14ac:dyDescent="0.45">
      <c r="A431" s="5" t="s">
        <v>396</v>
      </c>
      <c r="B431" s="2"/>
      <c r="C431" s="3"/>
      <c r="D431" s="4"/>
      <c r="E431" s="2"/>
      <c r="F431" s="3"/>
      <c r="G431" s="4"/>
      <c r="H431" s="2"/>
      <c r="I431" s="3"/>
      <c r="J431" s="4"/>
      <c r="K431" s="2"/>
      <c r="L431" s="3"/>
      <c r="M431" s="4"/>
      <c r="N431" s="2"/>
      <c r="O431" s="3"/>
      <c r="P431" s="4"/>
      <c r="Q431" s="2"/>
      <c r="R431" s="3"/>
      <c r="S431" s="4"/>
      <c r="T431" s="2"/>
      <c r="U431" s="3"/>
      <c r="V431" s="4"/>
      <c r="W431" s="2"/>
      <c r="X431" s="3"/>
      <c r="Y431" s="4"/>
      <c r="Z431" s="2"/>
      <c r="AA431" s="3"/>
      <c r="AB431" s="4"/>
      <c r="AC431" s="2"/>
      <c r="AD431" s="3"/>
    </row>
    <row r="432" spans="1:30" ht="16.5" hidden="1" customHeight="1" x14ac:dyDescent="0.45">
      <c r="A432" s="6" t="s">
        <v>396</v>
      </c>
      <c r="B432" s="7">
        <v>0</v>
      </c>
      <c r="C432" s="8" t="str">
        <f>IFERROR(B432/B444, "NA")</f>
        <v>NA</v>
      </c>
      <c r="D432" s="9"/>
      <c r="E432" s="7">
        <v>0</v>
      </c>
      <c r="F432" s="8" t="str">
        <f>IFERROR(E432/E444, "NA")</f>
        <v>NA</v>
      </c>
      <c r="G432" s="9"/>
      <c r="H432" s="10">
        <f t="shared" ref="H432:H442" si="104">IFERROR(-(B432-E432), "NA")</f>
        <v>0</v>
      </c>
      <c r="I432" s="8" t="str">
        <f>IFERROR(H432/H444, "NA")</f>
        <v>NA</v>
      </c>
      <c r="J432" s="9"/>
      <c r="K432" s="7">
        <v>0</v>
      </c>
      <c r="L432" s="8" t="str">
        <f>IFERROR(K432/K444, "NA")</f>
        <v>NA</v>
      </c>
      <c r="M432" s="9"/>
      <c r="N432" s="10">
        <f t="shared" ref="N432:N442" si="105">IFERROR(-(B432-K432), "NA")</f>
        <v>0</v>
      </c>
      <c r="O432" s="8" t="str">
        <f>IFERROR(N432/N444, "NA")</f>
        <v>NA</v>
      </c>
      <c r="P432" s="9"/>
      <c r="Q432" s="7">
        <v>0</v>
      </c>
      <c r="R432" s="8" t="str">
        <f>IFERROR(Q432/Q444, "NA")</f>
        <v>NA</v>
      </c>
      <c r="S432" s="9"/>
      <c r="T432" s="7">
        <v>0</v>
      </c>
      <c r="U432" s="8" t="str">
        <f>IFERROR(T432/T444, "NA")</f>
        <v>NA</v>
      </c>
      <c r="V432" s="9"/>
      <c r="W432" s="10">
        <f t="shared" ref="W432:W442" si="106">IFERROR(-(Q432-T432), "NA")</f>
        <v>0</v>
      </c>
      <c r="X432" s="8" t="str">
        <f>IFERROR(W432/W444, "NA")</f>
        <v>NA</v>
      </c>
      <c r="Y432" s="9"/>
      <c r="Z432" s="7">
        <v>0</v>
      </c>
      <c r="AA432" s="8" t="str">
        <f>IFERROR(Z432/Z444, "NA")</f>
        <v>NA</v>
      </c>
      <c r="AB432" s="9"/>
      <c r="AC432" s="10">
        <f t="shared" ref="AC432:AC442" si="107">IFERROR(-(Q432-Z432), "NA")</f>
        <v>0</v>
      </c>
      <c r="AD432" s="8" t="str">
        <f>IFERROR(AC432/AC444, "NA")</f>
        <v>NA</v>
      </c>
    </row>
    <row r="433" spans="1:30" ht="16.5" hidden="1" customHeight="1" x14ac:dyDescent="0.45">
      <c r="A433" s="6" t="s">
        <v>397</v>
      </c>
      <c r="B433" s="7">
        <v>0</v>
      </c>
      <c r="C433" s="8" t="str">
        <f>IFERROR(B433/B444, "NA")</f>
        <v>NA</v>
      </c>
      <c r="D433" s="9"/>
      <c r="E433" s="7">
        <v>0</v>
      </c>
      <c r="F433" s="8" t="str">
        <f>IFERROR(E433/E444, "NA")</f>
        <v>NA</v>
      </c>
      <c r="G433" s="9"/>
      <c r="H433" s="10">
        <f t="shared" si="104"/>
        <v>0</v>
      </c>
      <c r="I433" s="8" t="str">
        <f>IFERROR(H433/H444, "NA")</f>
        <v>NA</v>
      </c>
      <c r="J433" s="9"/>
      <c r="K433" s="7">
        <v>0</v>
      </c>
      <c r="L433" s="8" t="str">
        <f>IFERROR(K433/K444, "NA")</f>
        <v>NA</v>
      </c>
      <c r="M433" s="9"/>
      <c r="N433" s="10">
        <f t="shared" si="105"/>
        <v>0</v>
      </c>
      <c r="O433" s="8" t="str">
        <f>IFERROR(N433/N444, "NA")</f>
        <v>NA</v>
      </c>
      <c r="P433" s="9"/>
      <c r="Q433" s="7">
        <v>0</v>
      </c>
      <c r="R433" s="8" t="str">
        <f>IFERROR(Q433/Q444, "NA")</f>
        <v>NA</v>
      </c>
      <c r="S433" s="9"/>
      <c r="T433" s="7">
        <v>0</v>
      </c>
      <c r="U433" s="8" t="str">
        <f>IFERROR(T433/T444, "NA")</f>
        <v>NA</v>
      </c>
      <c r="V433" s="9"/>
      <c r="W433" s="10">
        <f t="shared" si="106"/>
        <v>0</v>
      </c>
      <c r="X433" s="8" t="str">
        <f>IFERROR(W433/W444, "NA")</f>
        <v>NA</v>
      </c>
      <c r="Y433" s="9"/>
      <c r="Z433" s="7">
        <v>0</v>
      </c>
      <c r="AA433" s="8" t="str">
        <f>IFERROR(Z433/Z444, "NA")</f>
        <v>NA</v>
      </c>
      <c r="AB433" s="9"/>
      <c r="AC433" s="10">
        <f t="shared" si="107"/>
        <v>0</v>
      </c>
      <c r="AD433" s="8" t="str">
        <f>IFERROR(AC433/AC444, "NA")</f>
        <v>NA</v>
      </c>
    </row>
    <row r="434" spans="1:30" ht="16.5" hidden="1" customHeight="1" x14ac:dyDescent="0.45">
      <c r="A434" s="6" t="s">
        <v>398</v>
      </c>
      <c r="B434" s="7">
        <v>0</v>
      </c>
      <c r="C434" s="8" t="str">
        <f>IFERROR(B434/B444, "NA")</f>
        <v>NA</v>
      </c>
      <c r="D434" s="9"/>
      <c r="E434" s="7">
        <v>0</v>
      </c>
      <c r="F434" s="8" t="str">
        <f>IFERROR(E434/E444, "NA")</f>
        <v>NA</v>
      </c>
      <c r="G434" s="9"/>
      <c r="H434" s="10">
        <f t="shared" si="104"/>
        <v>0</v>
      </c>
      <c r="I434" s="8" t="str">
        <f>IFERROR(H434/H444, "NA")</f>
        <v>NA</v>
      </c>
      <c r="J434" s="9"/>
      <c r="K434" s="7">
        <v>0</v>
      </c>
      <c r="L434" s="8" t="str">
        <f>IFERROR(K434/K444, "NA")</f>
        <v>NA</v>
      </c>
      <c r="M434" s="9"/>
      <c r="N434" s="10">
        <f t="shared" si="105"/>
        <v>0</v>
      </c>
      <c r="O434" s="8" t="str">
        <f>IFERROR(N434/N444, "NA")</f>
        <v>NA</v>
      </c>
      <c r="P434" s="9"/>
      <c r="Q434" s="7">
        <v>0</v>
      </c>
      <c r="R434" s="8" t="str">
        <f>IFERROR(Q434/Q444, "NA")</f>
        <v>NA</v>
      </c>
      <c r="S434" s="9"/>
      <c r="T434" s="7">
        <v>0</v>
      </c>
      <c r="U434" s="8" t="str">
        <f>IFERROR(T434/T444, "NA")</f>
        <v>NA</v>
      </c>
      <c r="V434" s="9"/>
      <c r="W434" s="10">
        <f t="shared" si="106"/>
        <v>0</v>
      </c>
      <c r="X434" s="8" t="str">
        <f>IFERROR(W434/W444, "NA")</f>
        <v>NA</v>
      </c>
      <c r="Y434" s="9"/>
      <c r="Z434" s="7">
        <v>0</v>
      </c>
      <c r="AA434" s="8" t="str">
        <f>IFERROR(Z434/Z444, "NA")</f>
        <v>NA</v>
      </c>
      <c r="AB434" s="9"/>
      <c r="AC434" s="10">
        <f t="shared" si="107"/>
        <v>0</v>
      </c>
      <c r="AD434" s="8" t="str">
        <f>IFERROR(AC434/AC444, "NA")</f>
        <v>NA</v>
      </c>
    </row>
    <row r="435" spans="1:30" ht="16.5" hidden="1" customHeight="1" x14ac:dyDescent="0.45">
      <c r="A435" s="6" t="s">
        <v>399</v>
      </c>
      <c r="B435" s="7">
        <v>0</v>
      </c>
      <c r="C435" s="8" t="str">
        <f>IFERROR(B435/B444, "NA")</f>
        <v>NA</v>
      </c>
      <c r="D435" s="9"/>
      <c r="E435" s="7">
        <v>0</v>
      </c>
      <c r="F435" s="8" t="str">
        <f>IFERROR(E435/E444, "NA")</f>
        <v>NA</v>
      </c>
      <c r="G435" s="9"/>
      <c r="H435" s="10">
        <f t="shared" si="104"/>
        <v>0</v>
      </c>
      <c r="I435" s="8" t="str">
        <f>IFERROR(H435/H444, "NA")</f>
        <v>NA</v>
      </c>
      <c r="J435" s="9"/>
      <c r="K435" s="7">
        <v>0</v>
      </c>
      <c r="L435" s="8" t="str">
        <f>IFERROR(K435/K444, "NA")</f>
        <v>NA</v>
      </c>
      <c r="M435" s="9"/>
      <c r="N435" s="10">
        <f t="shared" si="105"/>
        <v>0</v>
      </c>
      <c r="O435" s="8" t="str">
        <f>IFERROR(N435/N444, "NA")</f>
        <v>NA</v>
      </c>
      <c r="P435" s="9"/>
      <c r="Q435" s="7">
        <v>0</v>
      </c>
      <c r="R435" s="8" t="str">
        <f>IFERROR(Q435/Q444, "NA")</f>
        <v>NA</v>
      </c>
      <c r="S435" s="9"/>
      <c r="T435" s="7">
        <v>0</v>
      </c>
      <c r="U435" s="8" t="str">
        <f>IFERROR(T435/T444, "NA")</f>
        <v>NA</v>
      </c>
      <c r="V435" s="9"/>
      <c r="W435" s="10">
        <f t="shared" si="106"/>
        <v>0</v>
      </c>
      <c r="X435" s="8" t="str">
        <f>IFERROR(W435/W444, "NA")</f>
        <v>NA</v>
      </c>
      <c r="Y435" s="9"/>
      <c r="Z435" s="7">
        <v>0</v>
      </c>
      <c r="AA435" s="8" t="str">
        <f>IFERROR(Z435/Z444, "NA")</f>
        <v>NA</v>
      </c>
      <c r="AB435" s="9"/>
      <c r="AC435" s="10">
        <f t="shared" si="107"/>
        <v>0</v>
      </c>
      <c r="AD435" s="8" t="str">
        <f>IFERROR(AC435/AC444, "NA")</f>
        <v>NA</v>
      </c>
    </row>
    <row r="436" spans="1:30" ht="16.5" hidden="1" customHeight="1" x14ac:dyDescent="0.45">
      <c r="A436" s="6" t="s">
        <v>400</v>
      </c>
      <c r="B436" s="7">
        <v>0</v>
      </c>
      <c r="C436" s="8" t="str">
        <f>IFERROR(B436/B444, "NA")</f>
        <v>NA</v>
      </c>
      <c r="D436" s="9"/>
      <c r="E436" s="7">
        <v>0</v>
      </c>
      <c r="F436" s="8" t="str">
        <f>IFERROR(E436/E444, "NA")</f>
        <v>NA</v>
      </c>
      <c r="G436" s="9"/>
      <c r="H436" s="10">
        <f t="shared" si="104"/>
        <v>0</v>
      </c>
      <c r="I436" s="8" t="str">
        <f>IFERROR(H436/H444, "NA")</f>
        <v>NA</v>
      </c>
      <c r="J436" s="9"/>
      <c r="K436" s="7">
        <v>0</v>
      </c>
      <c r="L436" s="8" t="str">
        <f>IFERROR(K436/K444, "NA")</f>
        <v>NA</v>
      </c>
      <c r="M436" s="9"/>
      <c r="N436" s="10">
        <f t="shared" si="105"/>
        <v>0</v>
      </c>
      <c r="O436" s="8" t="str">
        <f>IFERROR(N436/N444, "NA")</f>
        <v>NA</v>
      </c>
      <c r="P436" s="9"/>
      <c r="Q436" s="7">
        <v>0</v>
      </c>
      <c r="R436" s="8" t="str">
        <f>IFERROR(Q436/Q444, "NA")</f>
        <v>NA</v>
      </c>
      <c r="S436" s="9"/>
      <c r="T436" s="7">
        <v>0</v>
      </c>
      <c r="U436" s="8" t="str">
        <f>IFERROR(T436/T444, "NA")</f>
        <v>NA</v>
      </c>
      <c r="V436" s="9"/>
      <c r="W436" s="10">
        <f t="shared" si="106"/>
        <v>0</v>
      </c>
      <c r="X436" s="8" t="str">
        <f>IFERROR(W436/W444, "NA")</f>
        <v>NA</v>
      </c>
      <c r="Y436" s="9"/>
      <c r="Z436" s="7">
        <v>0</v>
      </c>
      <c r="AA436" s="8" t="str">
        <f>IFERROR(Z436/Z444, "NA")</f>
        <v>NA</v>
      </c>
      <c r="AB436" s="9"/>
      <c r="AC436" s="10">
        <f t="shared" si="107"/>
        <v>0</v>
      </c>
      <c r="AD436" s="8" t="str">
        <f>IFERROR(AC436/AC444, "NA")</f>
        <v>NA</v>
      </c>
    </row>
    <row r="437" spans="1:30" ht="16.5" hidden="1" customHeight="1" x14ac:dyDescent="0.45">
      <c r="A437" s="6" t="s">
        <v>401</v>
      </c>
      <c r="B437" s="7">
        <v>0</v>
      </c>
      <c r="C437" s="8" t="str">
        <f>IFERROR(B437/B444, "NA")</f>
        <v>NA</v>
      </c>
      <c r="D437" s="9"/>
      <c r="E437" s="7">
        <v>0</v>
      </c>
      <c r="F437" s="8" t="str">
        <f>IFERROR(E437/E444, "NA")</f>
        <v>NA</v>
      </c>
      <c r="G437" s="9"/>
      <c r="H437" s="10">
        <f t="shared" si="104"/>
        <v>0</v>
      </c>
      <c r="I437" s="8" t="str">
        <f>IFERROR(H437/H444, "NA")</f>
        <v>NA</v>
      </c>
      <c r="J437" s="9"/>
      <c r="K437" s="7">
        <v>0</v>
      </c>
      <c r="L437" s="8" t="str">
        <f>IFERROR(K437/K444, "NA")</f>
        <v>NA</v>
      </c>
      <c r="M437" s="9"/>
      <c r="N437" s="10">
        <f t="shared" si="105"/>
        <v>0</v>
      </c>
      <c r="O437" s="8" t="str">
        <f>IFERROR(N437/N444, "NA")</f>
        <v>NA</v>
      </c>
      <c r="P437" s="9"/>
      <c r="Q437" s="7">
        <v>0</v>
      </c>
      <c r="R437" s="8" t="str">
        <f>IFERROR(Q437/Q444, "NA")</f>
        <v>NA</v>
      </c>
      <c r="S437" s="9"/>
      <c r="T437" s="7">
        <v>0</v>
      </c>
      <c r="U437" s="8" t="str">
        <f>IFERROR(T437/T444, "NA")</f>
        <v>NA</v>
      </c>
      <c r="V437" s="9"/>
      <c r="W437" s="10">
        <f t="shared" si="106"/>
        <v>0</v>
      </c>
      <c r="X437" s="8" t="str">
        <f>IFERROR(W437/W444, "NA")</f>
        <v>NA</v>
      </c>
      <c r="Y437" s="9"/>
      <c r="Z437" s="7">
        <v>0</v>
      </c>
      <c r="AA437" s="8" t="str">
        <f>IFERROR(Z437/Z444, "NA")</f>
        <v>NA</v>
      </c>
      <c r="AB437" s="9"/>
      <c r="AC437" s="10">
        <f t="shared" si="107"/>
        <v>0</v>
      </c>
      <c r="AD437" s="8" t="str">
        <f>IFERROR(AC437/AC444, "NA")</f>
        <v>NA</v>
      </c>
    </row>
    <row r="438" spans="1:30" ht="30.75" hidden="1" customHeight="1" x14ac:dyDescent="0.45">
      <c r="A438" s="6" t="s">
        <v>402</v>
      </c>
      <c r="B438" s="7">
        <v>0</v>
      </c>
      <c r="C438" s="8" t="str">
        <f>IFERROR(B438/B444, "NA")</f>
        <v>NA</v>
      </c>
      <c r="D438" s="9"/>
      <c r="E438" s="7">
        <v>0</v>
      </c>
      <c r="F438" s="8" t="str">
        <f>IFERROR(E438/E444, "NA")</f>
        <v>NA</v>
      </c>
      <c r="G438" s="9"/>
      <c r="H438" s="10">
        <f t="shared" si="104"/>
        <v>0</v>
      </c>
      <c r="I438" s="8" t="str">
        <f>IFERROR(H438/H444, "NA")</f>
        <v>NA</v>
      </c>
      <c r="J438" s="9"/>
      <c r="K438" s="7">
        <v>0</v>
      </c>
      <c r="L438" s="8" t="str">
        <f>IFERROR(K438/K444, "NA")</f>
        <v>NA</v>
      </c>
      <c r="M438" s="9"/>
      <c r="N438" s="10">
        <f t="shared" si="105"/>
        <v>0</v>
      </c>
      <c r="O438" s="8" t="str">
        <f>IFERROR(N438/N444, "NA")</f>
        <v>NA</v>
      </c>
      <c r="P438" s="9"/>
      <c r="Q438" s="7">
        <v>0</v>
      </c>
      <c r="R438" s="8" t="str">
        <f>IFERROR(Q438/Q444, "NA")</f>
        <v>NA</v>
      </c>
      <c r="S438" s="9"/>
      <c r="T438" s="7">
        <v>0</v>
      </c>
      <c r="U438" s="8" t="str">
        <f>IFERROR(T438/T444, "NA")</f>
        <v>NA</v>
      </c>
      <c r="V438" s="9"/>
      <c r="W438" s="10">
        <f t="shared" si="106"/>
        <v>0</v>
      </c>
      <c r="X438" s="8" t="str">
        <f>IFERROR(W438/W444, "NA")</f>
        <v>NA</v>
      </c>
      <c r="Y438" s="9"/>
      <c r="Z438" s="7">
        <v>0</v>
      </c>
      <c r="AA438" s="8" t="str">
        <f>IFERROR(Z438/Z444, "NA")</f>
        <v>NA</v>
      </c>
      <c r="AB438" s="9"/>
      <c r="AC438" s="10">
        <f t="shared" si="107"/>
        <v>0</v>
      </c>
      <c r="AD438" s="8" t="str">
        <f>IFERROR(AC438/AC444, "NA")</f>
        <v>NA</v>
      </c>
    </row>
    <row r="439" spans="1:30" ht="16.5" hidden="1" customHeight="1" x14ac:dyDescent="0.45">
      <c r="A439" s="6" t="s">
        <v>403</v>
      </c>
      <c r="B439" s="7">
        <v>0</v>
      </c>
      <c r="C439" s="8" t="str">
        <f>IFERROR(B439/B444, "NA")</f>
        <v>NA</v>
      </c>
      <c r="D439" s="9"/>
      <c r="E439" s="7">
        <v>0</v>
      </c>
      <c r="F439" s="8" t="str">
        <f>IFERROR(E439/E444, "NA")</f>
        <v>NA</v>
      </c>
      <c r="G439" s="9"/>
      <c r="H439" s="10">
        <f t="shared" si="104"/>
        <v>0</v>
      </c>
      <c r="I439" s="8" t="str">
        <f>IFERROR(H439/H444, "NA")</f>
        <v>NA</v>
      </c>
      <c r="J439" s="9"/>
      <c r="K439" s="7">
        <v>0</v>
      </c>
      <c r="L439" s="8" t="str">
        <f>IFERROR(K439/K444, "NA")</f>
        <v>NA</v>
      </c>
      <c r="M439" s="9"/>
      <c r="N439" s="10">
        <f t="shared" si="105"/>
        <v>0</v>
      </c>
      <c r="O439" s="8" t="str">
        <f>IFERROR(N439/N444, "NA")</f>
        <v>NA</v>
      </c>
      <c r="P439" s="9"/>
      <c r="Q439" s="7">
        <v>0</v>
      </c>
      <c r="R439" s="8" t="str">
        <f>IFERROR(Q439/Q444, "NA")</f>
        <v>NA</v>
      </c>
      <c r="S439" s="9"/>
      <c r="T439" s="7">
        <v>0</v>
      </c>
      <c r="U439" s="8" t="str">
        <f>IFERROR(T439/T444, "NA")</f>
        <v>NA</v>
      </c>
      <c r="V439" s="9"/>
      <c r="W439" s="10">
        <f t="shared" si="106"/>
        <v>0</v>
      </c>
      <c r="X439" s="8" t="str">
        <f>IFERROR(W439/W444, "NA")</f>
        <v>NA</v>
      </c>
      <c r="Y439" s="9"/>
      <c r="Z439" s="7">
        <v>0</v>
      </c>
      <c r="AA439" s="8" t="str">
        <f>IFERROR(Z439/Z444, "NA")</f>
        <v>NA</v>
      </c>
      <c r="AB439" s="9"/>
      <c r="AC439" s="10">
        <f t="shared" si="107"/>
        <v>0</v>
      </c>
      <c r="AD439" s="8" t="str">
        <f>IFERROR(AC439/AC444, "NA")</f>
        <v>NA</v>
      </c>
    </row>
    <row r="440" spans="1:30" ht="30.75" hidden="1" customHeight="1" x14ac:dyDescent="0.45">
      <c r="A440" s="6" t="s">
        <v>404</v>
      </c>
      <c r="B440" s="7">
        <v>0</v>
      </c>
      <c r="C440" s="8" t="str">
        <f>IFERROR(B440/B444, "NA")</f>
        <v>NA</v>
      </c>
      <c r="D440" s="9"/>
      <c r="E440" s="7">
        <v>0</v>
      </c>
      <c r="F440" s="8" t="str">
        <f>IFERROR(E440/E444, "NA")</f>
        <v>NA</v>
      </c>
      <c r="G440" s="9"/>
      <c r="H440" s="10">
        <f t="shared" si="104"/>
        <v>0</v>
      </c>
      <c r="I440" s="8" t="str">
        <f>IFERROR(H440/H444, "NA")</f>
        <v>NA</v>
      </c>
      <c r="J440" s="9"/>
      <c r="K440" s="7">
        <v>0</v>
      </c>
      <c r="L440" s="8" t="str">
        <f>IFERROR(K440/K444, "NA")</f>
        <v>NA</v>
      </c>
      <c r="M440" s="9"/>
      <c r="N440" s="10">
        <f t="shared" si="105"/>
        <v>0</v>
      </c>
      <c r="O440" s="8" t="str">
        <f>IFERROR(N440/N444, "NA")</f>
        <v>NA</v>
      </c>
      <c r="P440" s="9"/>
      <c r="Q440" s="7">
        <v>0</v>
      </c>
      <c r="R440" s="8" t="str">
        <f>IFERROR(Q440/Q444, "NA")</f>
        <v>NA</v>
      </c>
      <c r="S440" s="9"/>
      <c r="T440" s="7">
        <v>0</v>
      </c>
      <c r="U440" s="8" t="str">
        <f>IFERROR(T440/T444, "NA")</f>
        <v>NA</v>
      </c>
      <c r="V440" s="9"/>
      <c r="W440" s="10">
        <f t="shared" si="106"/>
        <v>0</v>
      </c>
      <c r="X440" s="8" t="str">
        <f>IFERROR(W440/W444, "NA")</f>
        <v>NA</v>
      </c>
      <c r="Y440" s="9"/>
      <c r="Z440" s="7">
        <v>0</v>
      </c>
      <c r="AA440" s="8" t="str">
        <f>IFERROR(Z440/Z444, "NA")</f>
        <v>NA</v>
      </c>
      <c r="AB440" s="9"/>
      <c r="AC440" s="10">
        <f t="shared" si="107"/>
        <v>0</v>
      </c>
      <c r="AD440" s="8" t="str">
        <f>IFERROR(AC440/AC444, "NA")</f>
        <v>NA</v>
      </c>
    </row>
    <row r="441" spans="1:30" ht="16.5" customHeight="1" x14ac:dyDescent="0.45">
      <c r="A441" s="19" t="s">
        <v>405</v>
      </c>
      <c r="B441" s="14">
        <f>IFERROR(B432+B433+B434+B435+B436+B437+B438+B439+B440, "NA")</f>
        <v>0</v>
      </c>
      <c r="C441" s="15" t="str">
        <f>IFERROR(B441/B444, "NA")</f>
        <v>NA</v>
      </c>
      <c r="D441" s="2"/>
      <c r="E441" s="14">
        <f>IFERROR(E432+E433+E434+E435+E436+E437+E438+E439+E440, "NA")</f>
        <v>0</v>
      </c>
      <c r="F441" s="15" t="str">
        <f>IFERROR(E441/E444, "NA")</f>
        <v>NA</v>
      </c>
      <c r="G441" s="2"/>
      <c r="H441" s="14">
        <f t="shared" si="104"/>
        <v>0</v>
      </c>
      <c r="I441" s="15" t="str">
        <f>IFERROR(H441/H444, "NA")</f>
        <v>NA</v>
      </c>
      <c r="J441" s="2"/>
      <c r="K441" s="14">
        <f>IFERROR(K432+K433+K434+K435+K436+K437+K438+K439+K440, "NA")</f>
        <v>0</v>
      </c>
      <c r="L441" s="15" t="str">
        <f>IFERROR(K441/K444, "NA")</f>
        <v>NA</v>
      </c>
      <c r="M441" s="2"/>
      <c r="N441" s="14">
        <f t="shared" si="105"/>
        <v>0</v>
      </c>
      <c r="O441" s="15" t="str">
        <f>IFERROR(N441/N444, "NA")</f>
        <v>NA</v>
      </c>
      <c r="P441" s="2"/>
      <c r="Q441" s="14">
        <f>IFERROR(Q432+Q433+Q434+Q435+Q436+Q437+Q438+Q439+Q440, "NA")</f>
        <v>0</v>
      </c>
      <c r="R441" s="15" t="str">
        <f>IFERROR(Q441/Q444, "NA")</f>
        <v>NA</v>
      </c>
      <c r="S441" s="2"/>
      <c r="T441" s="14">
        <f>IFERROR(T432+T433+T434+T435+T436+T437+T438+T439+T440, "NA")</f>
        <v>0</v>
      </c>
      <c r="U441" s="15" t="str">
        <f>IFERROR(T441/T444, "NA")</f>
        <v>NA</v>
      </c>
      <c r="V441" s="2"/>
      <c r="W441" s="14">
        <f t="shared" si="106"/>
        <v>0</v>
      </c>
      <c r="X441" s="15" t="str">
        <f>IFERROR(W441/W444, "NA")</f>
        <v>NA</v>
      </c>
      <c r="Y441" s="2"/>
      <c r="Z441" s="14">
        <f>IFERROR(Z432+Z433+Z434+Z435+Z436+Z437+Z438+Z439+Z440, "NA")</f>
        <v>0</v>
      </c>
      <c r="AA441" s="15" t="str">
        <f>IFERROR(Z441/Z444, "NA")</f>
        <v>NA</v>
      </c>
      <c r="AB441" s="2"/>
      <c r="AC441" s="14">
        <f t="shared" si="107"/>
        <v>0</v>
      </c>
      <c r="AD441" s="15" t="str">
        <f>IFERROR(AC441/AC444, "NA")</f>
        <v>NA</v>
      </c>
    </row>
    <row r="442" spans="1:30" ht="16.5" customHeight="1" x14ac:dyDescent="0.45">
      <c r="A442" s="21" t="s">
        <v>406</v>
      </c>
      <c r="B442" s="14">
        <f>IFERROR(B432+B433+B434+B435+B436+B437+B438+B439+B440, "NA")</f>
        <v>0</v>
      </c>
      <c r="C442" s="15" t="str">
        <f>IFERROR(B442/B444, "NA")</f>
        <v>NA</v>
      </c>
      <c r="D442" s="2"/>
      <c r="E442" s="14">
        <f>IFERROR(E432+E433+E434+E435+E436+E437+E438+E439+E440, "NA")</f>
        <v>0</v>
      </c>
      <c r="F442" s="15" t="str">
        <f>IFERROR(E442/E444, "NA")</f>
        <v>NA</v>
      </c>
      <c r="G442" s="2"/>
      <c r="H442" s="14">
        <f t="shared" si="104"/>
        <v>0</v>
      </c>
      <c r="I442" s="15" t="str">
        <f>IFERROR(H442/H444, "NA")</f>
        <v>NA</v>
      </c>
      <c r="J442" s="2"/>
      <c r="K442" s="14">
        <f>IFERROR(K432+K433+K434+K435+K436+K437+K438+K439+K440, "NA")</f>
        <v>0</v>
      </c>
      <c r="L442" s="15" t="str">
        <f>IFERROR(K442/K444, "NA")</f>
        <v>NA</v>
      </c>
      <c r="M442" s="2"/>
      <c r="N442" s="14">
        <f t="shared" si="105"/>
        <v>0</v>
      </c>
      <c r="O442" s="15" t="str">
        <f>IFERROR(N442/N444, "NA")</f>
        <v>NA</v>
      </c>
      <c r="P442" s="2"/>
      <c r="Q442" s="14">
        <f>IFERROR(Q432+Q433+Q434+Q435+Q436+Q437+Q438+Q439+Q440, "NA")</f>
        <v>0</v>
      </c>
      <c r="R442" s="15" t="str">
        <f>IFERROR(Q442/Q444, "NA")</f>
        <v>NA</v>
      </c>
      <c r="S442" s="2"/>
      <c r="T442" s="14">
        <f>IFERROR(T432+T433+T434+T435+T436+T437+T438+T439+T440, "NA")</f>
        <v>0</v>
      </c>
      <c r="U442" s="15" t="str">
        <f>IFERROR(T442/T444, "NA")</f>
        <v>NA</v>
      </c>
      <c r="V442" s="2"/>
      <c r="W442" s="14">
        <f t="shared" si="106"/>
        <v>0</v>
      </c>
      <c r="X442" s="15" t="str">
        <f>IFERROR(W442/W444, "NA")</f>
        <v>NA</v>
      </c>
      <c r="Y442" s="2"/>
      <c r="Z442" s="14">
        <f>IFERROR(Z432+Z433+Z434+Z435+Z436+Z437+Z438+Z439+Z440, "NA")</f>
        <v>0</v>
      </c>
      <c r="AA442" s="15" t="str">
        <f>IFERROR(Z442/Z444, "NA")</f>
        <v>NA</v>
      </c>
      <c r="AB442" s="2"/>
      <c r="AC442" s="14">
        <f t="shared" si="107"/>
        <v>0</v>
      </c>
      <c r="AD442" s="15" t="str">
        <f>IFERROR(AC442/AC444, "NA")</f>
        <v>NA</v>
      </c>
    </row>
    <row r="443" spans="1:30" ht="16.5" customHeight="1" x14ac:dyDescent="0.45">
      <c r="A443" s="22" t="s">
        <v>407</v>
      </c>
      <c r="B443" s="23">
        <f>IFERROR(B404-B429-B442, "NA")</f>
        <v>-87104.919999999984</v>
      </c>
      <c r="C443" s="24" t="str">
        <f>IFERROR(B443/B444, "NA")</f>
        <v>NA</v>
      </c>
      <c r="D443" s="25"/>
      <c r="E443" s="23">
        <f>IFERROR(E404-E429-E442, "NA")</f>
        <v>-81310.87</v>
      </c>
      <c r="F443" s="24" t="str">
        <f>IFERROR(E443/E444, "NA")</f>
        <v>NA</v>
      </c>
      <c r="G443" s="25"/>
      <c r="H443" s="23">
        <f>IFERROR(B443-E443, "NA")</f>
        <v>-5794.0499999999884</v>
      </c>
      <c r="I443" s="24" t="str">
        <f>IFERROR(H443/H444, "NA")</f>
        <v>NA</v>
      </c>
      <c r="J443" s="25"/>
      <c r="K443" s="23">
        <f>IFERROR(K404-K429-K442, "NA")</f>
        <v>-135178.29999999999</v>
      </c>
      <c r="L443" s="24" t="str">
        <f>IFERROR(K443/K444, "NA")</f>
        <v>NA</v>
      </c>
      <c r="M443" s="25"/>
      <c r="N443" s="23">
        <f>IFERROR(B443-K443, "NA")</f>
        <v>48073.380000000005</v>
      </c>
      <c r="O443" s="24" t="str">
        <f>IFERROR(N443/N444, "NA")</f>
        <v>NA</v>
      </c>
      <c r="P443" s="25"/>
      <c r="Q443" s="23">
        <f>IFERROR(Q404-Q429-Q442, "NA")</f>
        <v>-87104.919999999984</v>
      </c>
      <c r="R443" s="24" t="str">
        <f>IFERROR(Q443/Q444, "NA")</f>
        <v>NA</v>
      </c>
      <c r="S443" s="25"/>
      <c r="T443" s="23">
        <f>IFERROR(T404-T429-T442, "NA")</f>
        <v>-81310.87</v>
      </c>
      <c r="U443" s="24" t="str">
        <f>IFERROR(T443/T444, "NA")</f>
        <v>NA</v>
      </c>
      <c r="V443" s="25"/>
      <c r="W443" s="23">
        <f>IFERROR(Q443-T443, "NA")</f>
        <v>-5794.0499999999884</v>
      </c>
      <c r="X443" s="24" t="str">
        <f>IFERROR(W443/W444, "NA")</f>
        <v>NA</v>
      </c>
      <c r="Y443" s="25"/>
      <c r="Z443" s="23">
        <f>IFERROR(Z404-Z429-Z442, "NA")</f>
        <v>-135178.29999999999</v>
      </c>
      <c r="AA443" s="24" t="str">
        <f>IFERROR(Z443/Z444, "NA")</f>
        <v>NA</v>
      </c>
      <c r="AB443" s="25"/>
      <c r="AC443" s="23">
        <f>IFERROR(Q443-Z443, "NA")</f>
        <v>48073.380000000005</v>
      </c>
      <c r="AD443" s="24" t="str">
        <f>IFERROR(AC443/AC444, "NA")</f>
        <v>NA</v>
      </c>
    </row>
    <row r="444" spans="1:30" ht="15.75" hidden="1" x14ac:dyDescent="0.45">
      <c r="A444" s="26" t="s">
        <v>117</v>
      </c>
      <c r="B444" s="7">
        <v>0</v>
      </c>
      <c r="C444" s="27"/>
      <c r="D444" s="9"/>
      <c r="E444" s="7">
        <v>0</v>
      </c>
      <c r="F444" s="27"/>
      <c r="G444" s="9"/>
      <c r="H444" s="10">
        <f>IFERROR(B444-E444, "NA")</f>
        <v>0</v>
      </c>
      <c r="I444" s="27"/>
      <c r="J444" s="9"/>
      <c r="K444" s="7">
        <v>0</v>
      </c>
      <c r="L444" s="27"/>
      <c r="M444" s="9"/>
      <c r="N444" s="10">
        <f>IFERROR(B444-K444, "NA")</f>
        <v>0</v>
      </c>
      <c r="O444" s="27"/>
      <c r="P444" s="9"/>
      <c r="Q444" s="7">
        <v>0</v>
      </c>
      <c r="R444" s="27"/>
      <c r="S444" s="9"/>
      <c r="T444" s="7">
        <v>0</v>
      </c>
      <c r="U444" s="27"/>
      <c r="V444" s="9"/>
      <c r="W444" s="10">
        <f>IFERROR(Q444-T444, "NA")</f>
        <v>0</v>
      </c>
      <c r="X444" s="27"/>
      <c r="Y444" s="9"/>
      <c r="Z444" s="7">
        <v>0</v>
      </c>
      <c r="AA444" s="27"/>
      <c r="AB444" s="9"/>
      <c r="AC444" s="10">
        <f>IFERROR(Q444-Z444, "NA")</f>
        <v>0</v>
      </c>
      <c r="AD444" s="27"/>
    </row>
    <row r="447" spans="1:30" ht="15.75" x14ac:dyDescent="0.5">
      <c r="A447" s="28" t="s">
        <v>408</v>
      </c>
    </row>
    <row r="448" spans="1:30" ht="15.75" x14ac:dyDescent="0.5">
      <c r="A448" s="28" t="s">
        <v>409</v>
      </c>
    </row>
    <row r="449" spans="1:1" ht="15.75" x14ac:dyDescent="0.5">
      <c r="A449" s="28" t="s">
        <v>410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4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D44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25" x14ac:dyDescent="0.45"/>
  <cols>
    <col min="1" max="1" width="42.86328125" customWidth="1"/>
    <col min="2" max="2" width="17.1328125" customWidth="1"/>
    <col min="3" max="3" width="9.3984375" customWidth="1"/>
    <col min="4" max="4" width="1.3984375" customWidth="1"/>
    <col min="5" max="5" width="17.1328125" customWidth="1"/>
    <col min="6" max="6" width="9.3984375" customWidth="1"/>
    <col min="7" max="7" width="1.3984375" customWidth="1"/>
    <col min="8" max="8" width="17.1328125" customWidth="1"/>
    <col min="9" max="9" width="9.3984375" customWidth="1"/>
    <col min="10" max="10" width="1.3984375" customWidth="1"/>
    <col min="11" max="11" width="17.1328125" customWidth="1"/>
    <col min="12" max="12" width="9.3984375" customWidth="1"/>
    <col min="13" max="13" width="1.3984375" customWidth="1"/>
    <col min="14" max="14" width="17.1328125" customWidth="1"/>
    <col min="15" max="15" width="9.3984375" customWidth="1"/>
    <col min="16" max="16" width="1.3984375" customWidth="1"/>
    <col min="17" max="17" width="17.1328125" customWidth="1"/>
    <col min="18" max="18" width="9.3984375" customWidth="1"/>
    <col min="19" max="19" width="1.3984375" customWidth="1"/>
    <col min="20" max="20" width="17.1328125" customWidth="1"/>
    <col min="21" max="21" width="9.3984375" customWidth="1"/>
    <col min="22" max="22" width="1.3984375" customWidth="1"/>
    <col min="23" max="23" width="17.1328125" customWidth="1"/>
    <col min="24" max="24" width="9.3984375" customWidth="1"/>
    <col min="25" max="25" width="1.3984375" customWidth="1"/>
    <col min="26" max="26" width="17.1328125" customWidth="1"/>
    <col min="27" max="27" width="9.3984375" customWidth="1"/>
    <col min="28" max="28" width="1.3984375" customWidth="1"/>
    <col min="29" max="29" width="17.1328125" customWidth="1"/>
    <col min="30" max="30" width="9.3984375" customWidth="1"/>
  </cols>
  <sheetData>
    <row r="1" spans="1:30" ht="33.4" x14ac:dyDescent="0.45">
      <c r="A1" s="29" t="s">
        <v>0</v>
      </c>
      <c r="B1" s="29" t="s">
        <v>0</v>
      </c>
      <c r="C1" s="29" t="s">
        <v>0</v>
      </c>
      <c r="D1" s="29" t="s">
        <v>0</v>
      </c>
      <c r="E1" s="29" t="s">
        <v>0</v>
      </c>
      <c r="F1" s="29" t="s">
        <v>0</v>
      </c>
      <c r="G1" s="29" t="s">
        <v>0</v>
      </c>
      <c r="H1" s="29" t="s">
        <v>0</v>
      </c>
      <c r="I1" s="29" t="s">
        <v>0</v>
      </c>
      <c r="J1" s="29" t="s">
        <v>0</v>
      </c>
      <c r="K1" s="29" t="s">
        <v>0</v>
      </c>
      <c r="L1" s="29" t="s">
        <v>0</v>
      </c>
      <c r="M1" s="29" t="s">
        <v>0</v>
      </c>
      <c r="N1" s="29" t="s">
        <v>0</v>
      </c>
      <c r="O1" s="29" t="s">
        <v>0</v>
      </c>
      <c r="P1" s="29" t="s">
        <v>0</v>
      </c>
      <c r="Q1" s="29" t="s">
        <v>0</v>
      </c>
      <c r="R1" s="29" t="s">
        <v>0</v>
      </c>
      <c r="S1" s="29" t="s">
        <v>0</v>
      </c>
      <c r="T1" s="29" t="s">
        <v>0</v>
      </c>
      <c r="U1" s="29" t="s">
        <v>0</v>
      </c>
      <c r="V1" s="29" t="s">
        <v>0</v>
      </c>
      <c r="W1" s="29" t="s">
        <v>0</v>
      </c>
      <c r="X1" s="29" t="s">
        <v>0</v>
      </c>
      <c r="Y1" s="29" t="s">
        <v>0</v>
      </c>
      <c r="Z1" s="29" t="s">
        <v>0</v>
      </c>
      <c r="AA1" s="29" t="s">
        <v>0</v>
      </c>
      <c r="AB1" s="29" t="s">
        <v>0</v>
      </c>
      <c r="AC1" s="29" t="s">
        <v>0</v>
      </c>
      <c r="AD1" s="29" t="s">
        <v>0</v>
      </c>
    </row>
    <row r="2" spans="1:30" ht="23.25" x14ac:dyDescent="0.45">
      <c r="A2" s="30" t="s">
        <v>1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0" t="s">
        <v>1</v>
      </c>
      <c r="O2" s="30" t="s">
        <v>1</v>
      </c>
      <c r="P2" s="30" t="s">
        <v>1</v>
      </c>
      <c r="Q2" s="30" t="s">
        <v>1</v>
      </c>
      <c r="R2" s="30" t="s">
        <v>1</v>
      </c>
      <c r="S2" s="30" t="s">
        <v>1</v>
      </c>
      <c r="T2" s="30" t="s">
        <v>1</v>
      </c>
      <c r="U2" s="30" t="s">
        <v>1</v>
      </c>
      <c r="V2" s="30" t="s">
        <v>1</v>
      </c>
      <c r="W2" s="30" t="s">
        <v>1</v>
      </c>
      <c r="X2" s="30" t="s">
        <v>1</v>
      </c>
      <c r="Y2" s="30" t="s">
        <v>1</v>
      </c>
      <c r="Z2" s="30" t="s">
        <v>1</v>
      </c>
      <c r="AA2" s="30" t="s">
        <v>1</v>
      </c>
      <c r="AB2" s="30" t="s">
        <v>1</v>
      </c>
      <c r="AC2" s="30" t="s">
        <v>1</v>
      </c>
      <c r="AD2" s="30" t="s">
        <v>1</v>
      </c>
    </row>
    <row r="3" spans="1:30" ht="15.75" x14ac:dyDescent="0.45">
      <c r="A3" s="31" t="s">
        <v>412</v>
      </c>
      <c r="B3" s="31" t="s">
        <v>412</v>
      </c>
      <c r="C3" s="31" t="s">
        <v>412</v>
      </c>
      <c r="D3" s="31" t="s">
        <v>412</v>
      </c>
      <c r="E3" s="31" t="s">
        <v>412</v>
      </c>
      <c r="F3" s="31" t="s">
        <v>412</v>
      </c>
      <c r="G3" s="31" t="s">
        <v>412</v>
      </c>
      <c r="H3" s="31" t="s">
        <v>412</v>
      </c>
      <c r="I3" s="31" t="s">
        <v>412</v>
      </c>
      <c r="J3" s="31" t="s">
        <v>412</v>
      </c>
      <c r="K3" s="31" t="s">
        <v>412</v>
      </c>
      <c r="L3" s="31" t="s">
        <v>412</v>
      </c>
      <c r="M3" s="31" t="s">
        <v>412</v>
      </c>
      <c r="N3" s="31" t="s">
        <v>412</v>
      </c>
      <c r="O3" s="31" t="s">
        <v>412</v>
      </c>
      <c r="P3" s="31" t="s">
        <v>412</v>
      </c>
      <c r="Q3" s="31" t="s">
        <v>412</v>
      </c>
      <c r="R3" s="31" t="s">
        <v>412</v>
      </c>
      <c r="S3" s="31" t="s">
        <v>412</v>
      </c>
      <c r="T3" s="31" t="s">
        <v>412</v>
      </c>
      <c r="U3" s="31" t="s">
        <v>412</v>
      </c>
      <c r="V3" s="31" t="s">
        <v>412</v>
      </c>
      <c r="W3" s="31" t="s">
        <v>412</v>
      </c>
      <c r="X3" s="31" t="s">
        <v>412</v>
      </c>
      <c r="Y3" s="31" t="s">
        <v>412</v>
      </c>
      <c r="Z3" s="31" t="s">
        <v>412</v>
      </c>
      <c r="AA3" s="31" t="s">
        <v>412</v>
      </c>
      <c r="AB3" s="31" t="s">
        <v>412</v>
      </c>
      <c r="AC3" s="31" t="s">
        <v>412</v>
      </c>
      <c r="AD3" s="31" t="s">
        <v>412</v>
      </c>
    </row>
    <row r="5" spans="1:30" ht="16.5" customHeight="1" x14ac:dyDescent="0.45">
      <c r="A5" s="32" t="s">
        <v>3</v>
      </c>
      <c r="B5" s="33" t="s">
        <v>4</v>
      </c>
      <c r="C5" s="34" t="s">
        <v>3</v>
      </c>
      <c r="D5" s="32" t="s">
        <v>3</v>
      </c>
      <c r="E5" s="33" t="s">
        <v>5</v>
      </c>
      <c r="F5" s="34" t="s">
        <v>3</v>
      </c>
      <c r="G5" s="32" t="s">
        <v>3</v>
      </c>
      <c r="H5" s="33" t="s">
        <v>6</v>
      </c>
      <c r="I5" s="34" t="s">
        <v>3</v>
      </c>
      <c r="J5" s="32" t="s">
        <v>3</v>
      </c>
      <c r="K5" s="33" t="s">
        <v>7</v>
      </c>
      <c r="L5" s="34" t="s">
        <v>3</v>
      </c>
      <c r="M5" s="32" t="s">
        <v>3</v>
      </c>
      <c r="N5" s="33" t="s">
        <v>6</v>
      </c>
      <c r="O5" s="34" t="s">
        <v>3</v>
      </c>
      <c r="P5" s="32" t="s">
        <v>3</v>
      </c>
      <c r="Q5" s="33" t="s">
        <v>8</v>
      </c>
      <c r="R5" s="34" t="s">
        <v>3</v>
      </c>
      <c r="S5" s="32" t="s">
        <v>3</v>
      </c>
      <c r="T5" s="33" t="s">
        <v>9</v>
      </c>
      <c r="U5" s="34" t="s">
        <v>3</v>
      </c>
      <c r="V5" s="32" t="s">
        <v>3</v>
      </c>
      <c r="W5" s="33" t="s">
        <v>6</v>
      </c>
      <c r="X5" s="34" t="s">
        <v>3</v>
      </c>
      <c r="Y5" s="32" t="s">
        <v>3</v>
      </c>
      <c r="Z5" s="33" t="s">
        <v>10</v>
      </c>
      <c r="AA5" s="34" t="s">
        <v>3</v>
      </c>
      <c r="AB5" s="32" t="s">
        <v>3</v>
      </c>
      <c r="AC5" s="33" t="s">
        <v>6</v>
      </c>
      <c r="AD5" s="34" t="s">
        <v>3</v>
      </c>
    </row>
    <row r="6" spans="1:30" ht="16.5" customHeight="1" x14ac:dyDescent="0.45">
      <c r="A6" s="1" t="s">
        <v>11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45">
      <c r="A7" s="5" t="s">
        <v>11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45">
      <c r="A8" s="6" t="s">
        <v>11</v>
      </c>
      <c r="B8" s="7">
        <v>0</v>
      </c>
      <c r="C8" s="8">
        <f>IFERROR(B8/B444, "NA")</f>
        <v>0</v>
      </c>
      <c r="D8" s="9"/>
      <c r="E8" s="7">
        <v>0</v>
      </c>
      <c r="F8" s="8">
        <f>IFERROR(E8/E444, "NA")</f>
        <v>0</v>
      </c>
      <c r="G8" s="9"/>
      <c r="H8" s="10">
        <f>IFERROR(B8-E8, "NA")</f>
        <v>0</v>
      </c>
      <c r="I8" s="8">
        <f>IFERROR(H8/H444, "NA")</f>
        <v>0</v>
      </c>
      <c r="J8" s="9"/>
      <c r="K8" s="7">
        <v>0</v>
      </c>
      <c r="L8" s="8">
        <f>IFERROR(K8/K444, "NA")</f>
        <v>0</v>
      </c>
      <c r="M8" s="9"/>
      <c r="N8" s="10">
        <f>IFERROR(B8-K8, "NA")</f>
        <v>0</v>
      </c>
      <c r="O8" s="8">
        <f>IFERROR(N8/N444, "NA")</f>
        <v>0</v>
      </c>
      <c r="P8" s="9"/>
      <c r="Q8" s="7">
        <v>0</v>
      </c>
      <c r="R8" s="8">
        <f>IFERROR(Q8/Q444, "NA")</f>
        <v>0</v>
      </c>
      <c r="S8" s="9"/>
      <c r="T8" s="7">
        <v>0</v>
      </c>
      <c r="U8" s="8">
        <f>IFERROR(T8/T444, "NA")</f>
        <v>0</v>
      </c>
      <c r="V8" s="9"/>
      <c r="W8" s="10">
        <f>IFERROR(Q8-T8, "NA")</f>
        <v>0</v>
      </c>
      <c r="X8" s="8">
        <f>IFERROR(W8/W444, "NA")</f>
        <v>0</v>
      </c>
      <c r="Y8" s="9"/>
      <c r="Z8" s="7">
        <v>0</v>
      </c>
      <c r="AA8" s="8">
        <f>IFERROR(Z8/Z444, "NA")</f>
        <v>0</v>
      </c>
      <c r="AB8" s="9"/>
      <c r="AC8" s="10">
        <f>IFERROR(Q8-Z8, "NA")</f>
        <v>0</v>
      </c>
      <c r="AD8" s="8">
        <f>IFERROR(AC8/AC444, "NA")</f>
        <v>0</v>
      </c>
    </row>
    <row r="9" spans="1:30" ht="16.5" customHeight="1" x14ac:dyDescent="0.45">
      <c r="A9" s="11" t="s">
        <v>12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45">
      <c r="A10" s="12" t="s">
        <v>12</v>
      </c>
      <c r="B10" s="7">
        <v>0</v>
      </c>
      <c r="C10" s="8">
        <f>IFERROR(B10/B444, "NA")</f>
        <v>0</v>
      </c>
      <c r="D10" s="9"/>
      <c r="E10" s="7">
        <v>30099.59</v>
      </c>
      <c r="F10" s="8">
        <f>IFERROR(E10/E444, "NA")</f>
        <v>0.45899992161821479</v>
      </c>
      <c r="G10" s="9"/>
      <c r="H10" s="10">
        <f t="shared" ref="H10:H19" si="0">IFERROR(B10-E10, "NA")</f>
        <v>-30099.59</v>
      </c>
      <c r="I10" s="8">
        <f>IFERROR(H10/H444, "NA")</f>
        <v>-13.029335884405278</v>
      </c>
      <c r="J10" s="9"/>
      <c r="K10" s="7">
        <v>0</v>
      </c>
      <c r="L10" s="8">
        <f>IFERROR(K10/K444, "NA")</f>
        <v>0</v>
      </c>
      <c r="M10" s="9"/>
      <c r="N10" s="10">
        <f t="shared" ref="N10:N19" si="1">IFERROR(B10-K10, "NA")</f>
        <v>0</v>
      </c>
      <c r="O10" s="8">
        <f>IFERROR(N10/N444, "NA")</f>
        <v>0</v>
      </c>
      <c r="P10" s="9"/>
      <c r="Q10" s="7">
        <v>0</v>
      </c>
      <c r="R10" s="8">
        <f>IFERROR(Q10/Q444, "NA")</f>
        <v>0</v>
      </c>
      <c r="S10" s="9"/>
      <c r="T10" s="7">
        <v>30099.59</v>
      </c>
      <c r="U10" s="8">
        <f>IFERROR(T10/T444, "NA")</f>
        <v>0.45899992161821479</v>
      </c>
      <c r="V10" s="9"/>
      <c r="W10" s="10">
        <f t="shared" ref="W10:W19" si="2">IFERROR(Q10-T10, "NA")</f>
        <v>-30099.59</v>
      </c>
      <c r="X10" s="8">
        <f>IFERROR(W10/W444, "NA")</f>
        <v>-13.029335884405278</v>
      </c>
      <c r="Y10" s="9"/>
      <c r="Z10" s="7">
        <v>0</v>
      </c>
      <c r="AA10" s="8">
        <f>IFERROR(Z10/Z444, "NA")</f>
        <v>0</v>
      </c>
      <c r="AB10" s="9"/>
      <c r="AC10" s="10">
        <f t="shared" ref="AC10:AC19" si="3">IFERROR(Q10-Z10, "NA")</f>
        <v>0</v>
      </c>
      <c r="AD10" s="8">
        <f>IFERROR(AC10/AC444, "NA")</f>
        <v>0</v>
      </c>
    </row>
    <row r="11" spans="1:30" ht="16.5" customHeight="1" x14ac:dyDescent="0.45">
      <c r="A11" s="12" t="s">
        <v>13</v>
      </c>
      <c r="B11" s="7">
        <v>27442.71</v>
      </c>
      <c r="C11" s="8">
        <f>IFERROR(B11/B444, "NA")</f>
        <v>0.40424340002297943</v>
      </c>
      <c r="D11" s="9"/>
      <c r="E11" s="7">
        <v>0</v>
      </c>
      <c r="F11" s="8">
        <f>IFERROR(E11/E444, "NA")</f>
        <v>0</v>
      </c>
      <c r="G11" s="9"/>
      <c r="H11" s="10">
        <f t="shared" si="0"/>
        <v>27442.71</v>
      </c>
      <c r="I11" s="8">
        <f>IFERROR(H11/H444, "NA")</f>
        <v>11.879241084955893</v>
      </c>
      <c r="J11" s="9"/>
      <c r="K11" s="7">
        <v>25301.99</v>
      </c>
      <c r="L11" s="8">
        <f>IFERROR(K11/K444, "NA")</f>
        <v>0.3964501232110812</v>
      </c>
      <c r="M11" s="9"/>
      <c r="N11" s="10">
        <f t="shared" si="1"/>
        <v>2140.7199999999975</v>
      </c>
      <c r="O11" s="8">
        <f>IFERROR(N11/N444, "NA")</f>
        <v>0.52659259131709546</v>
      </c>
      <c r="P11" s="9"/>
      <c r="Q11" s="7">
        <v>27442.71</v>
      </c>
      <c r="R11" s="8">
        <f>IFERROR(Q11/Q444, "NA")</f>
        <v>0.40424340002297943</v>
      </c>
      <c r="S11" s="9"/>
      <c r="T11" s="7">
        <v>0</v>
      </c>
      <c r="U11" s="8">
        <f>IFERROR(T11/T444, "NA")</f>
        <v>0</v>
      </c>
      <c r="V11" s="9"/>
      <c r="W11" s="10">
        <f t="shared" si="2"/>
        <v>27442.71</v>
      </c>
      <c r="X11" s="8">
        <f>IFERROR(W11/W444, "NA")</f>
        <v>11.879241084955893</v>
      </c>
      <c r="Y11" s="9"/>
      <c r="Z11" s="7">
        <v>25301.99</v>
      </c>
      <c r="AA11" s="8">
        <f>IFERROR(Z11/Z444, "NA")</f>
        <v>0.3964501232110812</v>
      </c>
      <c r="AB11" s="9"/>
      <c r="AC11" s="10">
        <f t="shared" si="3"/>
        <v>2140.7199999999975</v>
      </c>
      <c r="AD11" s="8">
        <f>IFERROR(AC11/AC444, "NA")</f>
        <v>0.52659259131709546</v>
      </c>
    </row>
    <row r="12" spans="1:30" ht="16.5" customHeight="1" x14ac:dyDescent="0.45">
      <c r="A12" s="12" t="s">
        <v>14</v>
      </c>
      <c r="B12" s="7">
        <v>2687.8</v>
      </c>
      <c r="C12" s="8">
        <f>IFERROR(B12/B444, "NA")</f>
        <v>3.9592496899240791E-2</v>
      </c>
      <c r="D12" s="9"/>
      <c r="E12" s="7">
        <v>0</v>
      </c>
      <c r="F12" s="8">
        <f>IFERROR(E12/E444, "NA")</f>
        <v>0</v>
      </c>
      <c r="G12" s="9"/>
      <c r="H12" s="10">
        <f t="shared" si="0"/>
        <v>2687.8</v>
      </c>
      <c r="I12" s="8">
        <f>IFERROR(H12/H444, "NA")</f>
        <v>1.1634792696546534</v>
      </c>
      <c r="J12" s="9"/>
      <c r="K12" s="7">
        <v>2320.75</v>
      </c>
      <c r="L12" s="8">
        <f>IFERROR(K12/K444, "NA")</f>
        <v>3.6363211883417734E-2</v>
      </c>
      <c r="M12" s="9"/>
      <c r="N12" s="10">
        <f t="shared" si="1"/>
        <v>367.05000000000018</v>
      </c>
      <c r="O12" s="8">
        <f>IFERROR(N12/N444, "NA")</f>
        <v>9.0290094287408071E-2</v>
      </c>
      <c r="P12" s="9"/>
      <c r="Q12" s="7">
        <v>2687.8</v>
      </c>
      <c r="R12" s="8">
        <f>IFERROR(Q12/Q444, "NA")</f>
        <v>3.9592496899240791E-2</v>
      </c>
      <c r="S12" s="9"/>
      <c r="T12" s="7">
        <v>0</v>
      </c>
      <c r="U12" s="8">
        <f>IFERROR(T12/T444, "NA")</f>
        <v>0</v>
      </c>
      <c r="V12" s="9"/>
      <c r="W12" s="10">
        <f t="shared" si="2"/>
        <v>2687.8</v>
      </c>
      <c r="X12" s="8">
        <f>IFERROR(W12/W444, "NA")</f>
        <v>1.1634792696546534</v>
      </c>
      <c r="Y12" s="9"/>
      <c r="Z12" s="7">
        <v>2320.75</v>
      </c>
      <c r="AA12" s="8">
        <f>IFERROR(Z12/Z444, "NA")</f>
        <v>3.6363211883417734E-2</v>
      </c>
      <c r="AB12" s="9"/>
      <c r="AC12" s="10">
        <f t="shared" si="3"/>
        <v>367.05000000000018</v>
      </c>
      <c r="AD12" s="8">
        <f>IFERROR(AC12/AC444, "NA")</f>
        <v>9.0290094287408071E-2</v>
      </c>
    </row>
    <row r="13" spans="1:30" ht="16.5" customHeight="1" x14ac:dyDescent="0.45">
      <c r="A13" s="12" t="s">
        <v>15</v>
      </c>
      <c r="B13" s="7">
        <v>143</v>
      </c>
      <c r="C13" s="8">
        <f>IFERROR(B13/B444, "NA")</f>
        <v>2.1064539982853757E-3</v>
      </c>
      <c r="D13" s="9"/>
      <c r="E13" s="7">
        <v>0</v>
      </c>
      <c r="F13" s="8">
        <f>IFERROR(E13/E444, "NA")</f>
        <v>0</v>
      </c>
      <c r="G13" s="9"/>
      <c r="H13" s="10">
        <f t="shared" si="0"/>
        <v>143</v>
      </c>
      <c r="I13" s="8">
        <f>IFERROR(H13/H444, "NA")</f>
        <v>6.1901010328378379E-2</v>
      </c>
      <c r="J13" s="9"/>
      <c r="K13" s="7">
        <v>80.5</v>
      </c>
      <c r="L13" s="8">
        <f>IFERROR(K13/K444, "NA")</f>
        <v>1.2613329986491985E-3</v>
      </c>
      <c r="M13" s="9"/>
      <c r="N13" s="10">
        <f t="shared" si="1"/>
        <v>62.5</v>
      </c>
      <c r="O13" s="8">
        <f>IFERROR(N13/N444, "NA")</f>
        <v>1.5374283865857517E-2</v>
      </c>
      <c r="P13" s="9"/>
      <c r="Q13" s="7">
        <v>143</v>
      </c>
      <c r="R13" s="8">
        <f>IFERROR(Q13/Q444, "NA")</f>
        <v>2.1064539982853757E-3</v>
      </c>
      <c r="S13" s="9"/>
      <c r="T13" s="7">
        <v>0</v>
      </c>
      <c r="U13" s="8">
        <f>IFERROR(T13/T444, "NA")</f>
        <v>0</v>
      </c>
      <c r="V13" s="9"/>
      <c r="W13" s="10">
        <f t="shared" si="2"/>
        <v>143</v>
      </c>
      <c r="X13" s="8">
        <f>IFERROR(W13/W444, "NA")</f>
        <v>6.1901010328378379E-2</v>
      </c>
      <c r="Y13" s="9"/>
      <c r="Z13" s="7">
        <v>80.5</v>
      </c>
      <c r="AA13" s="8">
        <f>IFERROR(Z13/Z444, "NA")</f>
        <v>1.2613329986491985E-3</v>
      </c>
      <c r="AB13" s="9"/>
      <c r="AC13" s="10">
        <f t="shared" si="3"/>
        <v>62.5</v>
      </c>
      <c r="AD13" s="8">
        <f>IFERROR(AC13/AC444, "NA")</f>
        <v>1.5374283865857517E-2</v>
      </c>
    </row>
    <row r="14" spans="1:30" ht="16.5" customHeight="1" x14ac:dyDescent="0.45">
      <c r="A14" s="12" t="s">
        <v>16</v>
      </c>
      <c r="B14" s="7">
        <v>25</v>
      </c>
      <c r="C14" s="8">
        <f>IFERROR(B14/B444, "NA")</f>
        <v>3.6826118851142933E-4</v>
      </c>
      <c r="D14" s="9"/>
      <c r="E14" s="7">
        <v>0</v>
      </c>
      <c r="F14" s="8">
        <f>IFERROR(E14/E444, "NA")</f>
        <v>0</v>
      </c>
      <c r="G14" s="9"/>
      <c r="H14" s="10">
        <f t="shared" si="0"/>
        <v>25</v>
      </c>
      <c r="I14" s="8">
        <f>IFERROR(H14/H444, "NA")</f>
        <v>1.0821854952513704E-2</v>
      </c>
      <c r="J14" s="9"/>
      <c r="K14" s="7">
        <v>115</v>
      </c>
      <c r="L14" s="8">
        <f>IFERROR(K14/K444, "NA")</f>
        <v>1.8019042837845692E-3</v>
      </c>
      <c r="M14" s="9"/>
      <c r="N14" s="10">
        <f t="shared" si="1"/>
        <v>-90</v>
      </c>
      <c r="O14" s="8">
        <f>IFERROR(N14/N444, "NA")</f>
        <v>-2.2138968766834823E-2</v>
      </c>
      <c r="P14" s="9"/>
      <c r="Q14" s="7">
        <v>25</v>
      </c>
      <c r="R14" s="8">
        <f>IFERROR(Q14/Q444, "NA")</f>
        <v>3.6826118851142933E-4</v>
      </c>
      <c r="S14" s="9"/>
      <c r="T14" s="7">
        <v>0</v>
      </c>
      <c r="U14" s="8">
        <f>IFERROR(T14/T444, "NA")</f>
        <v>0</v>
      </c>
      <c r="V14" s="9"/>
      <c r="W14" s="10">
        <f t="shared" si="2"/>
        <v>25</v>
      </c>
      <c r="X14" s="8">
        <f>IFERROR(W14/W444, "NA")</f>
        <v>1.0821854952513704E-2</v>
      </c>
      <c r="Y14" s="9"/>
      <c r="Z14" s="7">
        <v>115</v>
      </c>
      <c r="AA14" s="8">
        <f>IFERROR(Z14/Z444, "NA")</f>
        <v>1.8019042837845692E-3</v>
      </c>
      <c r="AB14" s="9"/>
      <c r="AC14" s="10">
        <f t="shared" si="3"/>
        <v>-90</v>
      </c>
      <c r="AD14" s="8">
        <f>IFERROR(AC14/AC444, "NA")</f>
        <v>-2.2138968766834823E-2</v>
      </c>
    </row>
    <row r="15" spans="1:30" ht="16.5" customHeight="1" x14ac:dyDescent="0.45">
      <c r="A15" s="12" t="s">
        <v>17</v>
      </c>
      <c r="B15" s="7">
        <v>41</v>
      </c>
      <c r="C15" s="8">
        <f>IFERROR(B15/B444, "NA")</f>
        <v>6.0394834915874411E-4</v>
      </c>
      <c r="D15" s="9"/>
      <c r="E15" s="7">
        <v>0</v>
      </c>
      <c r="F15" s="8">
        <f>IFERROR(E15/E444, "NA")</f>
        <v>0</v>
      </c>
      <c r="G15" s="9"/>
      <c r="H15" s="10">
        <f t="shared" si="0"/>
        <v>41</v>
      </c>
      <c r="I15" s="8">
        <f>IFERROR(H15/H444, "NA")</f>
        <v>1.7747842122122472E-2</v>
      </c>
      <c r="J15" s="9"/>
      <c r="K15" s="7">
        <v>36</v>
      </c>
      <c r="L15" s="8">
        <f>IFERROR(K15/K444, "NA")</f>
        <v>5.6407438448908252E-4</v>
      </c>
      <c r="M15" s="9"/>
      <c r="N15" s="10">
        <f t="shared" si="1"/>
        <v>5</v>
      </c>
      <c r="O15" s="8">
        <f>IFERROR(N15/N444, "NA")</f>
        <v>1.2299427092686012E-3</v>
      </c>
      <c r="P15" s="9"/>
      <c r="Q15" s="7">
        <v>41</v>
      </c>
      <c r="R15" s="8">
        <f>IFERROR(Q15/Q444, "NA")</f>
        <v>6.0394834915874411E-4</v>
      </c>
      <c r="S15" s="9"/>
      <c r="T15" s="7">
        <v>0</v>
      </c>
      <c r="U15" s="8">
        <f>IFERROR(T15/T444, "NA")</f>
        <v>0</v>
      </c>
      <c r="V15" s="9"/>
      <c r="W15" s="10">
        <f t="shared" si="2"/>
        <v>41</v>
      </c>
      <c r="X15" s="8">
        <f>IFERROR(W15/W444, "NA")</f>
        <v>1.7747842122122472E-2</v>
      </c>
      <c r="Y15" s="9"/>
      <c r="Z15" s="7">
        <v>36</v>
      </c>
      <c r="AA15" s="8">
        <f>IFERROR(Z15/Z444, "NA")</f>
        <v>5.6407438448908252E-4</v>
      </c>
      <c r="AB15" s="9"/>
      <c r="AC15" s="10">
        <f t="shared" si="3"/>
        <v>5</v>
      </c>
      <c r="AD15" s="8">
        <f>IFERROR(AC15/AC444, "NA")</f>
        <v>1.2299427092686012E-3</v>
      </c>
    </row>
    <row r="16" spans="1:30" ht="16.5" customHeight="1" x14ac:dyDescent="0.45">
      <c r="A16" s="12" t="s">
        <v>18</v>
      </c>
      <c r="B16" s="7">
        <v>1.04</v>
      </c>
      <c r="C16" s="8">
        <f>IFERROR(B16/B444, "NA")</f>
        <v>1.5319665442075459E-5</v>
      </c>
      <c r="D16" s="9"/>
      <c r="E16" s="7">
        <v>0</v>
      </c>
      <c r="F16" s="8">
        <f>IFERROR(E16/E444, "NA")</f>
        <v>0</v>
      </c>
      <c r="G16" s="9"/>
      <c r="H16" s="10">
        <f t="shared" si="0"/>
        <v>1.04</v>
      </c>
      <c r="I16" s="8">
        <f>IFERROR(H16/H444, "NA")</f>
        <v>4.5018916602457005E-4</v>
      </c>
      <c r="J16" s="9"/>
      <c r="K16" s="7">
        <v>0</v>
      </c>
      <c r="L16" s="8">
        <f>IFERROR(K16/K444, "NA")</f>
        <v>0</v>
      </c>
      <c r="M16" s="9"/>
      <c r="N16" s="10">
        <f t="shared" si="1"/>
        <v>1.04</v>
      </c>
      <c r="O16" s="8">
        <f>IFERROR(N16/N444, "NA")</f>
        <v>2.5582808352786907E-4</v>
      </c>
      <c r="P16" s="9"/>
      <c r="Q16" s="7">
        <v>1.04</v>
      </c>
      <c r="R16" s="8">
        <f>IFERROR(Q16/Q444, "NA")</f>
        <v>1.5319665442075459E-5</v>
      </c>
      <c r="S16" s="9"/>
      <c r="T16" s="7">
        <v>0</v>
      </c>
      <c r="U16" s="8">
        <f>IFERROR(T16/T444, "NA")</f>
        <v>0</v>
      </c>
      <c r="V16" s="9"/>
      <c r="W16" s="10">
        <f t="shared" si="2"/>
        <v>1.04</v>
      </c>
      <c r="X16" s="8">
        <f>IFERROR(W16/W444, "NA")</f>
        <v>4.5018916602457005E-4</v>
      </c>
      <c r="Y16" s="9"/>
      <c r="Z16" s="7">
        <v>0</v>
      </c>
      <c r="AA16" s="8">
        <f>IFERROR(Z16/Z444, "NA")</f>
        <v>0</v>
      </c>
      <c r="AB16" s="9"/>
      <c r="AC16" s="10">
        <f t="shared" si="3"/>
        <v>1.04</v>
      </c>
      <c r="AD16" s="8">
        <f>IFERROR(AC16/AC444, "NA")</f>
        <v>2.5582808352786907E-4</v>
      </c>
    </row>
    <row r="17" spans="1:30" ht="16.5" hidden="1" customHeight="1" x14ac:dyDescent="0.45">
      <c r="A17" s="12" t="s">
        <v>19</v>
      </c>
      <c r="B17" s="7">
        <v>0</v>
      </c>
      <c r="C17" s="8">
        <f>IFERROR(B17/B444, "NA")</f>
        <v>0</v>
      </c>
      <c r="D17" s="9"/>
      <c r="E17" s="7">
        <v>0</v>
      </c>
      <c r="F17" s="8">
        <f>IFERROR(E17/E444, "NA")</f>
        <v>0</v>
      </c>
      <c r="G17" s="9"/>
      <c r="H17" s="10">
        <f t="shared" si="0"/>
        <v>0</v>
      </c>
      <c r="I17" s="8">
        <f>IFERROR(H17/H444, "NA")</f>
        <v>0</v>
      </c>
      <c r="J17" s="9"/>
      <c r="K17" s="7">
        <v>0</v>
      </c>
      <c r="L17" s="8">
        <f>IFERROR(K17/K444, "NA")</f>
        <v>0</v>
      </c>
      <c r="M17" s="9"/>
      <c r="N17" s="10">
        <f t="shared" si="1"/>
        <v>0</v>
      </c>
      <c r="O17" s="8">
        <f>IFERROR(N17/N444, "NA")</f>
        <v>0</v>
      </c>
      <c r="P17" s="9"/>
      <c r="Q17" s="7">
        <v>0</v>
      </c>
      <c r="R17" s="8">
        <f>IFERROR(Q17/Q444, "NA")</f>
        <v>0</v>
      </c>
      <c r="S17" s="9"/>
      <c r="T17" s="7">
        <v>0</v>
      </c>
      <c r="U17" s="8">
        <f>IFERROR(T17/T444, "NA")</f>
        <v>0</v>
      </c>
      <c r="V17" s="9"/>
      <c r="W17" s="10">
        <f t="shared" si="2"/>
        <v>0</v>
      </c>
      <c r="X17" s="8">
        <f>IFERROR(W17/W444, "NA")</f>
        <v>0</v>
      </c>
      <c r="Y17" s="9"/>
      <c r="Z17" s="7">
        <v>0</v>
      </c>
      <c r="AA17" s="8">
        <f>IFERROR(Z17/Z444, "NA")</f>
        <v>0</v>
      </c>
      <c r="AB17" s="9"/>
      <c r="AC17" s="10">
        <f t="shared" si="3"/>
        <v>0</v>
      </c>
      <c r="AD17" s="8">
        <f>IFERROR(AC17/AC444, "NA")</f>
        <v>0</v>
      </c>
    </row>
    <row r="18" spans="1:30" ht="16.5" customHeight="1" x14ac:dyDescent="0.45">
      <c r="A18" s="13" t="s">
        <v>20</v>
      </c>
      <c r="B18" s="14">
        <f>IFERROR(B10+B11+B12+B13+B14+B15+B16+B17, "NA")</f>
        <v>30340.55</v>
      </c>
      <c r="C18" s="15">
        <f>IFERROR(B18/B444, "NA")</f>
        <v>0.44692988012361784</v>
      </c>
      <c r="D18" s="2"/>
      <c r="E18" s="14">
        <f>IFERROR(E10+E11+E12+E13+E14+E15+E16+E17, "NA")</f>
        <v>30099.59</v>
      </c>
      <c r="F18" s="15">
        <f>IFERROR(E18/E444, "NA")</f>
        <v>0.45899992161821479</v>
      </c>
      <c r="G18" s="2"/>
      <c r="H18" s="14">
        <f t="shared" si="0"/>
        <v>240.95999999999913</v>
      </c>
      <c r="I18" s="15">
        <f>IFERROR(H18/H444, "NA")</f>
        <v>0.1043053667743077</v>
      </c>
      <c r="J18" s="2"/>
      <c r="K18" s="14">
        <f>IFERROR(K10+K11+K12+K13+K14+K15+K16+K17, "NA")</f>
        <v>27854.240000000002</v>
      </c>
      <c r="L18" s="15">
        <f>IFERROR(K18/K444, "NA")</f>
        <v>0.43644064676142175</v>
      </c>
      <c r="M18" s="2"/>
      <c r="N18" s="14">
        <f t="shared" si="1"/>
        <v>2486.3099999999977</v>
      </c>
      <c r="O18" s="15">
        <f>IFERROR(N18/N444, "NA")</f>
        <v>0.61160377149632261</v>
      </c>
      <c r="P18" s="2"/>
      <c r="Q18" s="14">
        <f>IFERROR(Q10+Q11+Q12+Q13+Q14+Q15+Q16+Q17, "NA")</f>
        <v>30340.55</v>
      </c>
      <c r="R18" s="15">
        <f>IFERROR(Q18/Q444, "NA")</f>
        <v>0.44692988012361784</v>
      </c>
      <c r="S18" s="2"/>
      <c r="T18" s="14">
        <f>IFERROR(T10+T11+T12+T13+T14+T15+T16+T17, "NA")</f>
        <v>30099.59</v>
      </c>
      <c r="U18" s="15">
        <f>IFERROR(T18/T444, "NA")</f>
        <v>0.45899992161821479</v>
      </c>
      <c r="V18" s="2"/>
      <c r="W18" s="14">
        <f t="shared" si="2"/>
        <v>240.95999999999913</v>
      </c>
      <c r="X18" s="15">
        <f>IFERROR(W18/W444, "NA")</f>
        <v>0.1043053667743077</v>
      </c>
      <c r="Y18" s="2"/>
      <c r="Z18" s="14">
        <f>IFERROR(Z10+Z11+Z12+Z13+Z14+Z15+Z16+Z17, "NA")</f>
        <v>27854.240000000002</v>
      </c>
      <c r="AA18" s="15">
        <f>IFERROR(Z18/Z444, "NA")</f>
        <v>0.43644064676142175</v>
      </c>
      <c r="AB18" s="2"/>
      <c r="AC18" s="14">
        <f t="shared" si="3"/>
        <v>2486.3099999999977</v>
      </c>
      <c r="AD18" s="15">
        <f>IFERROR(AC18/AC444, "NA")</f>
        <v>0.61160377149632261</v>
      </c>
    </row>
    <row r="19" spans="1:30" ht="16.5" hidden="1" customHeight="1" x14ac:dyDescent="0.45">
      <c r="A19" s="6" t="s">
        <v>21</v>
      </c>
      <c r="B19" s="7">
        <v>0</v>
      </c>
      <c r="C19" s="8">
        <f>IFERROR(B19/B444, "NA")</f>
        <v>0</v>
      </c>
      <c r="D19" s="9"/>
      <c r="E19" s="7">
        <v>0</v>
      </c>
      <c r="F19" s="8">
        <f>IFERROR(E19/E444, "NA")</f>
        <v>0</v>
      </c>
      <c r="G19" s="9"/>
      <c r="H19" s="10">
        <f t="shared" si="0"/>
        <v>0</v>
      </c>
      <c r="I19" s="8">
        <f>IFERROR(H19/H444, "NA")</f>
        <v>0</v>
      </c>
      <c r="J19" s="9"/>
      <c r="K19" s="7">
        <v>0</v>
      </c>
      <c r="L19" s="8">
        <f>IFERROR(K19/K444, "NA")</f>
        <v>0</v>
      </c>
      <c r="M19" s="9"/>
      <c r="N19" s="10">
        <f t="shared" si="1"/>
        <v>0</v>
      </c>
      <c r="O19" s="8">
        <f>IFERROR(N19/N444, "NA")</f>
        <v>0</v>
      </c>
      <c r="P19" s="9"/>
      <c r="Q19" s="7">
        <v>0</v>
      </c>
      <c r="R19" s="8">
        <f>IFERROR(Q19/Q444, "NA")</f>
        <v>0</v>
      </c>
      <c r="S19" s="9"/>
      <c r="T19" s="7">
        <v>0</v>
      </c>
      <c r="U19" s="8">
        <f>IFERROR(T19/T444, "NA")</f>
        <v>0</v>
      </c>
      <c r="V19" s="9"/>
      <c r="W19" s="10">
        <f t="shared" si="2"/>
        <v>0</v>
      </c>
      <c r="X19" s="8">
        <f>IFERROR(W19/W444, "NA")</f>
        <v>0</v>
      </c>
      <c r="Y19" s="9"/>
      <c r="Z19" s="7">
        <v>0</v>
      </c>
      <c r="AA19" s="8">
        <f>IFERROR(Z19/Z444, "NA")</f>
        <v>0</v>
      </c>
      <c r="AB19" s="9"/>
      <c r="AC19" s="10">
        <f t="shared" si="3"/>
        <v>0</v>
      </c>
      <c r="AD19" s="8">
        <f>IFERROR(AC19/AC444, "NA")</f>
        <v>0</v>
      </c>
    </row>
    <row r="20" spans="1:30" ht="16.5" customHeight="1" x14ac:dyDescent="0.45">
      <c r="A20" s="11" t="s">
        <v>22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45">
      <c r="A21" s="12" t="s">
        <v>22</v>
      </c>
      <c r="B21" s="7">
        <v>0</v>
      </c>
      <c r="C21" s="8">
        <f>IFERROR(B21/B444, "NA")</f>
        <v>0</v>
      </c>
      <c r="D21" s="9"/>
      <c r="E21" s="7">
        <v>6557.65</v>
      </c>
      <c r="F21" s="8">
        <f>IFERROR(E21/E444, "NA")</f>
        <v>0.10000006099749817</v>
      </c>
      <c r="G21" s="9"/>
      <c r="H21" s="10">
        <f t="shared" ref="H21:H29" si="4">IFERROR(B21-E21, "NA")</f>
        <v>-6557.65</v>
      </c>
      <c r="I21" s="8">
        <f>IFERROR(H21/H444, "NA")</f>
        <v>-2.8386374851740594</v>
      </c>
      <c r="J21" s="9"/>
      <c r="K21" s="7">
        <v>0</v>
      </c>
      <c r="L21" s="8">
        <f>IFERROR(K21/K444, "NA")</f>
        <v>0</v>
      </c>
      <c r="M21" s="9"/>
      <c r="N21" s="10">
        <f t="shared" ref="N21:N29" si="5">IFERROR(B21-K21, "NA")</f>
        <v>0</v>
      </c>
      <c r="O21" s="8">
        <f>IFERROR(N21/N444, "NA")</f>
        <v>0</v>
      </c>
      <c r="P21" s="9"/>
      <c r="Q21" s="7">
        <v>0</v>
      </c>
      <c r="R21" s="8">
        <f>IFERROR(Q21/Q444, "NA")</f>
        <v>0</v>
      </c>
      <c r="S21" s="9"/>
      <c r="T21" s="7">
        <v>6557.65</v>
      </c>
      <c r="U21" s="8">
        <f>IFERROR(T21/T444, "NA")</f>
        <v>0.10000006099749817</v>
      </c>
      <c r="V21" s="9"/>
      <c r="W21" s="10">
        <f t="shared" ref="W21:W29" si="6">IFERROR(Q21-T21, "NA")</f>
        <v>-6557.65</v>
      </c>
      <c r="X21" s="8">
        <f>IFERROR(W21/W444, "NA")</f>
        <v>-2.8386374851740594</v>
      </c>
      <c r="Y21" s="9"/>
      <c r="Z21" s="7">
        <v>0</v>
      </c>
      <c r="AA21" s="8">
        <f>IFERROR(Z21/Z444, "NA")</f>
        <v>0</v>
      </c>
      <c r="AB21" s="9"/>
      <c r="AC21" s="10">
        <f t="shared" ref="AC21:AC29" si="7">IFERROR(Q21-Z21, "NA")</f>
        <v>0</v>
      </c>
      <c r="AD21" s="8">
        <f>IFERROR(AC21/AC444, "NA")</f>
        <v>0</v>
      </c>
    </row>
    <row r="22" spans="1:30" ht="16.5" customHeight="1" x14ac:dyDescent="0.45">
      <c r="A22" s="12" t="s">
        <v>23</v>
      </c>
      <c r="B22" s="7">
        <v>1859.15</v>
      </c>
      <c r="C22" s="8">
        <f>IFERROR(B22/B444, "NA")</f>
        <v>2.7386111544840955E-2</v>
      </c>
      <c r="D22" s="9"/>
      <c r="E22" s="7">
        <v>0</v>
      </c>
      <c r="F22" s="8">
        <f>IFERROR(E22/E444, "NA")</f>
        <v>0</v>
      </c>
      <c r="G22" s="9"/>
      <c r="H22" s="10">
        <f t="shared" si="4"/>
        <v>1859.15</v>
      </c>
      <c r="I22" s="8">
        <f>IFERROR(H22/H444, "NA")</f>
        <v>0.80477806539863406</v>
      </c>
      <c r="J22" s="9"/>
      <c r="K22" s="7">
        <v>5251.3</v>
      </c>
      <c r="L22" s="8">
        <f>IFERROR(K22/K444, "NA")</f>
        <v>8.2281217090764427E-2</v>
      </c>
      <c r="M22" s="9"/>
      <c r="N22" s="10">
        <f t="shared" si="5"/>
        <v>-3392.15</v>
      </c>
      <c r="O22" s="8">
        <f>IFERROR(N22/N444, "NA")</f>
        <v>-0.83443003224909718</v>
      </c>
      <c r="P22" s="9"/>
      <c r="Q22" s="7">
        <v>1859.15</v>
      </c>
      <c r="R22" s="8">
        <f>IFERROR(Q22/Q444, "NA")</f>
        <v>2.7386111544840955E-2</v>
      </c>
      <c r="S22" s="9"/>
      <c r="T22" s="7">
        <v>0</v>
      </c>
      <c r="U22" s="8">
        <f>IFERROR(T22/T444, "NA")</f>
        <v>0</v>
      </c>
      <c r="V22" s="9"/>
      <c r="W22" s="10">
        <f t="shared" si="6"/>
        <v>1859.15</v>
      </c>
      <c r="X22" s="8">
        <f>IFERROR(W22/W444, "NA")</f>
        <v>0.80477806539863406</v>
      </c>
      <c r="Y22" s="9"/>
      <c r="Z22" s="7">
        <v>5251.3</v>
      </c>
      <c r="AA22" s="8">
        <f>IFERROR(Z22/Z444, "NA")</f>
        <v>8.2281217090764427E-2</v>
      </c>
      <c r="AB22" s="9"/>
      <c r="AC22" s="10">
        <f t="shared" si="7"/>
        <v>-3392.15</v>
      </c>
      <c r="AD22" s="8">
        <f>IFERROR(AC22/AC444, "NA")</f>
        <v>-0.83443003224909718</v>
      </c>
    </row>
    <row r="23" spans="1:30" ht="16.5" customHeight="1" x14ac:dyDescent="0.45">
      <c r="A23" s="12" t="s">
        <v>24</v>
      </c>
      <c r="B23" s="7">
        <v>2340.77</v>
      </c>
      <c r="C23" s="8">
        <f>IFERROR(B23/B444, "NA")</f>
        <v>3.4480589689275934E-2</v>
      </c>
      <c r="D23" s="9"/>
      <c r="E23" s="7">
        <v>0</v>
      </c>
      <c r="F23" s="8">
        <f>IFERROR(E23/E444, "NA")</f>
        <v>0</v>
      </c>
      <c r="G23" s="9"/>
      <c r="H23" s="10">
        <f t="shared" si="4"/>
        <v>2340.77</v>
      </c>
      <c r="I23" s="8">
        <f>IFERROR(H23/H444, "NA")</f>
        <v>1.01325893668782</v>
      </c>
      <c r="J23" s="9"/>
      <c r="K23" s="7">
        <v>0</v>
      </c>
      <c r="L23" s="8">
        <f>IFERROR(K23/K444, "NA")</f>
        <v>0</v>
      </c>
      <c r="M23" s="9"/>
      <c r="N23" s="10">
        <f t="shared" si="5"/>
        <v>2340.77</v>
      </c>
      <c r="O23" s="8">
        <f>IFERROR(N23/N444, "NA")</f>
        <v>0.57580259911493281</v>
      </c>
      <c r="P23" s="9"/>
      <c r="Q23" s="7">
        <v>2340.77</v>
      </c>
      <c r="R23" s="8">
        <f>IFERROR(Q23/Q444, "NA")</f>
        <v>3.4480589689275934E-2</v>
      </c>
      <c r="S23" s="9"/>
      <c r="T23" s="7">
        <v>0</v>
      </c>
      <c r="U23" s="8">
        <f>IFERROR(T23/T444, "NA")</f>
        <v>0</v>
      </c>
      <c r="V23" s="9"/>
      <c r="W23" s="10">
        <f t="shared" si="6"/>
        <v>2340.77</v>
      </c>
      <c r="X23" s="8">
        <f>IFERROR(W23/W444, "NA")</f>
        <v>1.01325893668782</v>
      </c>
      <c r="Y23" s="9"/>
      <c r="Z23" s="7">
        <v>0</v>
      </c>
      <c r="AA23" s="8">
        <f>IFERROR(Z23/Z444, "NA")</f>
        <v>0</v>
      </c>
      <c r="AB23" s="9"/>
      <c r="AC23" s="10">
        <f t="shared" si="7"/>
        <v>2340.77</v>
      </c>
      <c r="AD23" s="8">
        <f>IFERROR(AC23/AC444, "NA")</f>
        <v>0.57580259911493281</v>
      </c>
    </row>
    <row r="24" spans="1:30" ht="16.5" customHeight="1" x14ac:dyDescent="0.45">
      <c r="A24" s="12" t="s">
        <v>25</v>
      </c>
      <c r="B24" s="7">
        <v>656.98</v>
      </c>
      <c r="C24" s="8">
        <f>IFERROR(B24/B444, "NA")</f>
        <v>9.6776094251295533E-3</v>
      </c>
      <c r="D24" s="9"/>
      <c r="E24" s="7">
        <v>0</v>
      </c>
      <c r="F24" s="8">
        <f>IFERROR(E24/E444, "NA")</f>
        <v>0</v>
      </c>
      <c r="G24" s="9"/>
      <c r="H24" s="10">
        <f t="shared" si="4"/>
        <v>656.98</v>
      </c>
      <c r="I24" s="8">
        <f>IFERROR(H24/H444, "NA")</f>
        <v>0.28438969066809811</v>
      </c>
      <c r="J24" s="9"/>
      <c r="K24" s="7">
        <v>410.38</v>
      </c>
      <c r="L24" s="8">
        <f>IFERROR(K24/K444, "NA")</f>
        <v>6.4301346085174913E-3</v>
      </c>
      <c r="M24" s="9"/>
      <c r="N24" s="10">
        <f t="shared" si="5"/>
        <v>246.60000000000002</v>
      </c>
      <c r="O24" s="8">
        <f>IFERROR(N24/N444, "NA")</f>
        <v>6.0660774421127418E-2</v>
      </c>
      <c r="P24" s="9"/>
      <c r="Q24" s="7">
        <v>656.98</v>
      </c>
      <c r="R24" s="8">
        <f>IFERROR(Q24/Q444, "NA")</f>
        <v>9.6776094251295533E-3</v>
      </c>
      <c r="S24" s="9"/>
      <c r="T24" s="7">
        <v>0</v>
      </c>
      <c r="U24" s="8">
        <f>IFERROR(T24/T444, "NA")</f>
        <v>0</v>
      </c>
      <c r="V24" s="9"/>
      <c r="W24" s="10">
        <f t="shared" si="6"/>
        <v>656.98</v>
      </c>
      <c r="X24" s="8">
        <f>IFERROR(W24/W444, "NA")</f>
        <v>0.28438969066809811</v>
      </c>
      <c r="Y24" s="9"/>
      <c r="Z24" s="7">
        <v>410.38</v>
      </c>
      <c r="AA24" s="8">
        <f>IFERROR(Z24/Z444, "NA")</f>
        <v>6.4301346085174913E-3</v>
      </c>
      <c r="AB24" s="9"/>
      <c r="AC24" s="10">
        <f t="shared" si="7"/>
        <v>246.60000000000002</v>
      </c>
      <c r="AD24" s="8">
        <f>IFERROR(AC24/AC444, "NA")</f>
        <v>6.0660774421127418E-2</v>
      </c>
    </row>
    <row r="25" spans="1:30" ht="16.5" customHeight="1" x14ac:dyDescent="0.45">
      <c r="A25" s="12" t="s">
        <v>26</v>
      </c>
      <c r="B25" s="7">
        <v>177.73</v>
      </c>
      <c r="C25" s="8">
        <f>IFERROR(B25/B444, "NA")</f>
        <v>2.618042441365453E-3</v>
      </c>
      <c r="D25" s="9"/>
      <c r="E25" s="7">
        <v>0</v>
      </c>
      <c r="F25" s="8">
        <f>IFERROR(E25/E444, "NA")</f>
        <v>0</v>
      </c>
      <c r="G25" s="9"/>
      <c r="H25" s="10">
        <f t="shared" si="4"/>
        <v>177.73</v>
      </c>
      <c r="I25" s="8">
        <f>IFERROR(H25/H444, "NA")</f>
        <v>7.6934731228410408E-2</v>
      </c>
      <c r="J25" s="9"/>
      <c r="K25" s="7">
        <v>0</v>
      </c>
      <c r="L25" s="8">
        <f>IFERROR(K25/K444, "NA")</f>
        <v>0</v>
      </c>
      <c r="M25" s="9"/>
      <c r="N25" s="10">
        <f t="shared" si="5"/>
        <v>177.73</v>
      </c>
      <c r="O25" s="8">
        <f>IFERROR(N25/N444, "NA")</f>
        <v>4.3719543543661699E-2</v>
      </c>
      <c r="P25" s="9"/>
      <c r="Q25" s="7">
        <v>177.73</v>
      </c>
      <c r="R25" s="8">
        <f>IFERROR(Q25/Q444, "NA")</f>
        <v>2.618042441365453E-3</v>
      </c>
      <c r="S25" s="9"/>
      <c r="T25" s="7">
        <v>0</v>
      </c>
      <c r="U25" s="8">
        <f>IFERROR(T25/T444, "NA")</f>
        <v>0</v>
      </c>
      <c r="V25" s="9"/>
      <c r="W25" s="10">
        <f t="shared" si="6"/>
        <v>177.73</v>
      </c>
      <c r="X25" s="8">
        <f>IFERROR(W25/W444, "NA")</f>
        <v>7.6934731228410408E-2</v>
      </c>
      <c r="Y25" s="9"/>
      <c r="Z25" s="7">
        <v>0</v>
      </c>
      <c r="AA25" s="8">
        <f>IFERROR(Z25/Z444, "NA")</f>
        <v>0</v>
      </c>
      <c r="AB25" s="9"/>
      <c r="AC25" s="10">
        <f t="shared" si="7"/>
        <v>177.73</v>
      </c>
      <c r="AD25" s="8">
        <f>IFERROR(AC25/AC444, "NA")</f>
        <v>4.3719543543661699E-2</v>
      </c>
    </row>
    <row r="26" spans="1:30" ht="16.5" customHeight="1" x14ac:dyDescent="0.45">
      <c r="A26" s="12" t="s">
        <v>27</v>
      </c>
      <c r="B26" s="7">
        <v>455.08</v>
      </c>
      <c r="C26" s="8">
        <f>IFERROR(B26/B444, "NA")</f>
        <v>6.7035320667112501E-3</v>
      </c>
      <c r="D26" s="9"/>
      <c r="E26" s="7">
        <v>0</v>
      </c>
      <c r="F26" s="8">
        <f>IFERROR(E26/E444, "NA")</f>
        <v>0</v>
      </c>
      <c r="G26" s="9"/>
      <c r="H26" s="10">
        <f t="shared" si="4"/>
        <v>455.08</v>
      </c>
      <c r="I26" s="8">
        <f>IFERROR(H26/H444, "NA")</f>
        <v>0.19699239007159744</v>
      </c>
      <c r="J26" s="9"/>
      <c r="K26" s="7">
        <v>0</v>
      </c>
      <c r="L26" s="8">
        <f>IFERROR(K26/K444, "NA")</f>
        <v>0</v>
      </c>
      <c r="M26" s="9"/>
      <c r="N26" s="10">
        <f t="shared" si="5"/>
        <v>455.08</v>
      </c>
      <c r="O26" s="8">
        <f>IFERROR(N26/N444, "NA")</f>
        <v>0.11194446562679101</v>
      </c>
      <c r="P26" s="9"/>
      <c r="Q26" s="7">
        <v>455.08</v>
      </c>
      <c r="R26" s="8">
        <f>IFERROR(Q26/Q444, "NA")</f>
        <v>6.7035320667112501E-3</v>
      </c>
      <c r="S26" s="9"/>
      <c r="T26" s="7">
        <v>0</v>
      </c>
      <c r="U26" s="8">
        <f>IFERROR(T26/T444, "NA")</f>
        <v>0</v>
      </c>
      <c r="V26" s="9"/>
      <c r="W26" s="10">
        <f t="shared" si="6"/>
        <v>455.08</v>
      </c>
      <c r="X26" s="8">
        <f>IFERROR(W26/W444, "NA")</f>
        <v>0.19699239007159744</v>
      </c>
      <c r="Y26" s="9"/>
      <c r="Z26" s="7">
        <v>0</v>
      </c>
      <c r="AA26" s="8">
        <f>IFERROR(Z26/Z444, "NA")</f>
        <v>0</v>
      </c>
      <c r="AB26" s="9"/>
      <c r="AC26" s="10">
        <f t="shared" si="7"/>
        <v>455.08</v>
      </c>
      <c r="AD26" s="8">
        <f>IFERROR(AC26/AC444, "NA")</f>
        <v>0.11194446562679101</v>
      </c>
    </row>
    <row r="27" spans="1:30" ht="16.5" hidden="1" customHeight="1" x14ac:dyDescent="0.45">
      <c r="A27" s="12" t="s">
        <v>28</v>
      </c>
      <c r="B27" s="7">
        <v>0</v>
      </c>
      <c r="C27" s="8">
        <f>IFERROR(B27/B444, "NA")</f>
        <v>0</v>
      </c>
      <c r="D27" s="9"/>
      <c r="E27" s="7">
        <v>0</v>
      </c>
      <c r="F27" s="8">
        <f>IFERROR(E27/E444, "NA")</f>
        <v>0</v>
      </c>
      <c r="G27" s="9"/>
      <c r="H27" s="10">
        <f t="shared" si="4"/>
        <v>0</v>
      </c>
      <c r="I27" s="8">
        <f>IFERROR(H27/H444, "NA")</f>
        <v>0</v>
      </c>
      <c r="J27" s="9"/>
      <c r="K27" s="7">
        <v>0</v>
      </c>
      <c r="L27" s="8">
        <f>IFERROR(K27/K444, "NA")</f>
        <v>0</v>
      </c>
      <c r="M27" s="9"/>
      <c r="N27" s="10">
        <f t="shared" si="5"/>
        <v>0</v>
      </c>
      <c r="O27" s="8">
        <f>IFERROR(N27/N444, "NA")</f>
        <v>0</v>
      </c>
      <c r="P27" s="9"/>
      <c r="Q27" s="7">
        <v>0</v>
      </c>
      <c r="R27" s="8">
        <f>IFERROR(Q27/Q444, "NA")</f>
        <v>0</v>
      </c>
      <c r="S27" s="9"/>
      <c r="T27" s="7">
        <v>0</v>
      </c>
      <c r="U27" s="8">
        <f>IFERROR(T27/T444, "NA")</f>
        <v>0</v>
      </c>
      <c r="V27" s="9"/>
      <c r="W27" s="10">
        <f t="shared" si="6"/>
        <v>0</v>
      </c>
      <c r="X27" s="8">
        <f>IFERROR(W27/W444, "NA")</f>
        <v>0</v>
      </c>
      <c r="Y27" s="9"/>
      <c r="Z27" s="7">
        <v>0</v>
      </c>
      <c r="AA27" s="8">
        <f>IFERROR(Z27/Z444, "NA")</f>
        <v>0</v>
      </c>
      <c r="AB27" s="9"/>
      <c r="AC27" s="10">
        <f t="shared" si="7"/>
        <v>0</v>
      </c>
      <c r="AD27" s="8">
        <f>IFERROR(AC27/AC444, "NA")</f>
        <v>0</v>
      </c>
    </row>
    <row r="28" spans="1:30" ht="16.5" customHeight="1" x14ac:dyDescent="0.45">
      <c r="A28" s="12" t="s">
        <v>29</v>
      </c>
      <c r="B28" s="7">
        <v>802.66</v>
      </c>
      <c r="C28" s="8">
        <f>IFERROR(B28/B444, "NA")</f>
        <v>1.1823541022823354E-2</v>
      </c>
      <c r="D28" s="9"/>
      <c r="E28" s="7">
        <v>0</v>
      </c>
      <c r="F28" s="8">
        <f>IFERROR(E28/E444, "NA")</f>
        <v>0</v>
      </c>
      <c r="G28" s="9"/>
      <c r="H28" s="10">
        <f t="shared" si="4"/>
        <v>802.66</v>
      </c>
      <c r="I28" s="8">
        <f>IFERROR(H28/H444, "NA")</f>
        <v>0.34745080384738597</v>
      </c>
      <c r="J28" s="9"/>
      <c r="K28" s="7">
        <v>802.66</v>
      </c>
      <c r="L28" s="8">
        <f>IFERROR(K28/K444, "NA")</f>
        <v>1.2576665151500193E-2</v>
      </c>
      <c r="M28" s="9"/>
      <c r="N28" s="10">
        <f t="shared" si="5"/>
        <v>0</v>
      </c>
      <c r="O28" s="8">
        <f>IFERROR(N28/N444, "NA")</f>
        <v>0</v>
      </c>
      <c r="P28" s="9"/>
      <c r="Q28" s="7">
        <v>802.66</v>
      </c>
      <c r="R28" s="8">
        <f>IFERROR(Q28/Q444, "NA")</f>
        <v>1.1823541022823354E-2</v>
      </c>
      <c r="S28" s="9"/>
      <c r="T28" s="7">
        <v>0</v>
      </c>
      <c r="U28" s="8">
        <f>IFERROR(T28/T444, "NA")</f>
        <v>0</v>
      </c>
      <c r="V28" s="9"/>
      <c r="W28" s="10">
        <f t="shared" si="6"/>
        <v>802.66</v>
      </c>
      <c r="X28" s="8">
        <f>IFERROR(W28/W444, "NA")</f>
        <v>0.34745080384738597</v>
      </c>
      <c r="Y28" s="9"/>
      <c r="Z28" s="7">
        <v>802.66</v>
      </c>
      <c r="AA28" s="8">
        <f>IFERROR(Z28/Z444, "NA")</f>
        <v>1.2576665151500193E-2</v>
      </c>
      <c r="AB28" s="9"/>
      <c r="AC28" s="10">
        <f t="shared" si="7"/>
        <v>0</v>
      </c>
      <c r="AD28" s="8">
        <f>IFERROR(AC28/AC444, "NA")</f>
        <v>0</v>
      </c>
    </row>
    <row r="29" spans="1:30" ht="16.5" customHeight="1" x14ac:dyDescent="0.45">
      <c r="A29" s="13" t="s">
        <v>30</v>
      </c>
      <c r="B29" s="14">
        <f>IFERROR(B21+B22+B23+B24+B25+B26+B27+B28, "NA")</f>
        <v>6292.369999999999</v>
      </c>
      <c r="C29" s="15">
        <f>IFERROR(B29/B444, "NA")</f>
        <v>9.2689426190146487E-2</v>
      </c>
      <c r="D29" s="2"/>
      <c r="E29" s="14">
        <f>IFERROR(E21+E22+E23+E24+E25+E26+E27+E28, "NA")</f>
        <v>6557.65</v>
      </c>
      <c r="F29" s="15">
        <f>IFERROR(E29/E444, "NA")</f>
        <v>0.10000006099749817</v>
      </c>
      <c r="G29" s="2"/>
      <c r="H29" s="14">
        <f t="shared" si="4"/>
        <v>-265.28000000000065</v>
      </c>
      <c r="I29" s="15">
        <f>IFERROR(H29/H444, "NA")</f>
        <v>-0.11483286727211368</v>
      </c>
      <c r="J29" s="2"/>
      <c r="K29" s="14">
        <f>IFERROR(K21+K22+K23+K24+K25+K26+K27+K28, "NA")</f>
        <v>6464.34</v>
      </c>
      <c r="L29" s="15">
        <f>IFERROR(K29/K444, "NA")</f>
        <v>0.10128801685078211</v>
      </c>
      <c r="M29" s="2"/>
      <c r="N29" s="14">
        <f t="shared" si="5"/>
        <v>-171.97000000000116</v>
      </c>
      <c r="O29" s="15">
        <f>IFERROR(N29/N444, "NA")</f>
        <v>-4.2302649542584558E-2</v>
      </c>
      <c r="P29" s="2"/>
      <c r="Q29" s="14">
        <f>IFERROR(Q21+Q22+Q23+Q24+Q25+Q26+Q27+Q28, "NA")</f>
        <v>6292.369999999999</v>
      </c>
      <c r="R29" s="15">
        <f>IFERROR(Q29/Q444, "NA")</f>
        <v>9.2689426190146487E-2</v>
      </c>
      <c r="S29" s="2"/>
      <c r="T29" s="14">
        <f>IFERROR(T21+T22+T23+T24+T25+T26+T27+T28, "NA")</f>
        <v>6557.65</v>
      </c>
      <c r="U29" s="15">
        <f>IFERROR(T29/T444, "NA")</f>
        <v>0.10000006099749817</v>
      </c>
      <c r="V29" s="2"/>
      <c r="W29" s="14">
        <f t="shared" si="6"/>
        <v>-265.28000000000065</v>
      </c>
      <c r="X29" s="15">
        <f>IFERROR(W29/W444, "NA")</f>
        <v>-0.11483286727211368</v>
      </c>
      <c r="Y29" s="2"/>
      <c r="Z29" s="14">
        <f>IFERROR(Z21+Z22+Z23+Z24+Z25+Z26+Z27+Z28, "NA")</f>
        <v>6464.34</v>
      </c>
      <c r="AA29" s="15">
        <f>IFERROR(Z29/Z444, "NA")</f>
        <v>0.10128801685078211</v>
      </c>
      <c r="AB29" s="2"/>
      <c r="AC29" s="14">
        <f t="shared" si="7"/>
        <v>-171.97000000000116</v>
      </c>
      <c r="AD29" s="15">
        <f>IFERROR(AC29/AC444, "NA")</f>
        <v>-4.2302649542584558E-2</v>
      </c>
    </row>
    <row r="30" spans="1:30" ht="16.5" customHeight="1" x14ac:dyDescent="0.45">
      <c r="A30" s="11" t="s">
        <v>31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45">
      <c r="A31" s="12" t="s">
        <v>31</v>
      </c>
      <c r="B31" s="7">
        <v>0</v>
      </c>
      <c r="C31" s="8">
        <f>IFERROR(B31/B444, "NA")</f>
        <v>0</v>
      </c>
      <c r="D31" s="9"/>
      <c r="E31" s="7">
        <v>12459.53</v>
      </c>
      <c r="F31" s="8">
        <f>IFERROR(E31/E444, "NA")</f>
        <v>0.19000003964837381</v>
      </c>
      <c r="G31" s="9"/>
      <c r="H31" s="10">
        <f t="shared" ref="H31:H40" si="8">IFERROR(B31-E31, "NA")</f>
        <v>-12459.53</v>
      </c>
      <c r="I31" s="8">
        <f>IFERROR(H31/H444, "NA")</f>
        <v>-5.3934090574597224</v>
      </c>
      <c r="J31" s="9"/>
      <c r="K31" s="7">
        <v>0</v>
      </c>
      <c r="L31" s="8">
        <f>IFERROR(K31/K444, "NA")</f>
        <v>0</v>
      </c>
      <c r="M31" s="9"/>
      <c r="N31" s="10">
        <f t="shared" ref="N31:N40" si="9">IFERROR(B31-K31, "NA")</f>
        <v>0</v>
      </c>
      <c r="O31" s="8">
        <f>IFERROR(N31/N444, "NA")</f>
        <v>0</v>
      </c>
      <c r="P31" s="9"/>
      <c r="Q31" s="7">
        <v>0</v>
      </c>
      <c r="R31" s="8">
        <f>IFERROR(Q31/Q444, "NA")</f>
        <v>0</v>
      </c>
      <c r="S31" s="9"/>
      <c r="T31" s="7">
        <v>12459.53</v>
      </c>
      <c r="U31" s="8">
        <f>IFERROR(T31/T444, "NA")</f>
        <v>0.19000003964837381</v>
      </c>
      <c r="V31" s="9"/>
      <c r="W31" s="10">
        <f t="shared" ref="W31:W40" si="10">IFERROR(Q31-T31, "NA")</f>
        <v>-12459.53</v>
      </c>
      <c r="X31" s="8">
        <f>IFERROR(W31/W444, "NA")</f>
        <v>-5.3934090574597224</v>
      </c>
      <c r="Y31" s="9"/>
      <c r="Z31" s="7">
        <v>0</v>
      </c>
      <c r="AA31" s="8">
        <f>IFERROR(Z31/Z444, "NA")</f>
        <v>0</v>
      </c>
      <c r="AB31" s="9"/>
      <c r="AC31" s="10">
        <f t="shared" ref="AC31:AC40" si="11">IFERROR(Q31-Z31, "NA")</f>
        <v>0</v>
      </c>
      <c r="AD31" s="8">
        <f>IFERROR(AC31/AC444, "NA")</f>
        <v>0</v>
      </c>
    </row>
    <row r="32" spans="1:30" ht="16.5" hidden="1" customHeight="1" x14ac:dyDescent="0.45">
      <c r="A32" s="12" t="s">
        <v>32</v>
      </c>
      <c r="B32" s="7">
        <v>0</v>
      </c>
      <c r="C32" s="8">
        <f>IFERROR(B32/B444, "NA")</f>
        <v>0</v>
      </c>
      <c r="D32" s="9"/>
      <c r="E32" s="7">
        <v>0</v>
      </c>
      <c r="F32" s="8">
        <f>IFERROR(E32/E444, "NA")</f>
        <v>0</v>
      </c>
      <c r="G32" s="9"/>
      <c r="H32" s="10">
        <f t="shared" si="8"/>
        <v>0</v>
      </c>
      <c r="I32" s="8">
        <f>IFERROR(H32/H444, "NA")</f>
        <v>0</v>
      </c>
      <c r="J32" s="9"/>
      <c r="K32" s="7">
        <v>0</v>
      </c>
      <c r="L32" s="8">
        <f>IFERROR(K32/K444, "NA")</f>
        <v>0</v>
      </c>
      <c r="M32" s="9"/>
      <c r="N32" s="10">
        <f t="shared" si="9"/>
        <v>0</v>
      </c>
      <c r="O32" s="8">
        <f>IFERROR(N32/N444, "NA")</f>
        <v>0</v>
      </c>
      <c r="P32" s="9"/>
      <c r="Q32" s="7">
        <v>0</v>
      </c>
      <c r="R32" s="8">
        <f>IFERROR(Q32/Q444, "NA")</f>
        <v>0</v>
      </c>
      <c r="S32" s="9"/>
      <c r="T32" s="7">
        <v>0</v>
      </c>
      <c r="U32" s="8">
        <f>IFERROR(T32/T444, "NA")</f>
        <v>0</v>
      </c>
      <c r="V32" s="9"/>
      <c r="W32" s="10">
        <f t="shared" si="10"/>
        <v>0</v>
      </c>
      <c r="X32" s="8">
        <f>IFERROR(W32/W444, "NA")</f>
        <v>0</v>
      </c>
      <c r="Y32" s="9"/>
      <c r="Z32" s="7">
        <v>0</v>
      </c>
      <c r="AA32" s="8">
        <f>IFERROR(Z32/Z444, "NA")</f>
        <v>0</v>
      </c>
      <c r="AB32" s="9"/>
      <c r="AC32" s="10">
        <f t="shared" si="11"/>
        <v>0</v>
      </c>
      <c r="AD32" s="8">
        <f>IFERROR(AC32/AC444, "NA")</f>
        <v>0</v>
      </c>
    </row>
    <row r="33" spans="1:30" ht="16.5" customHeight="1" x14ac:dyDescent="0.45">
      <c r="A33" s="12" t="s">
        <v>33</v>
      </c>
      <c r="B33" s="7">
        <v>5094.09</v>
      </c>
      <c r="C33" s="8">
        <f>IFERROR(B33/B444, "NA")</f>
        <v>7.5038225511367476E-2</v>
      </c>
      <c r="D33" s="9"/>
      <c r="E33" s="7">
        <v>0</v>
      </c>
      <c r="F33" s="8">
        <f>IFERROR(E33/E444, "NA")</f>
        <v>0</v>
      </c>
      <c r="G33" s="9"/>
      <c r="H33" s="10">
        <f t="shared" si="8"/>
        <v>5094.09</v>
      </c>
      <c r="I33" s="8">
        <f>IFERROR(H33/H444, "NA")</f>
        <v>2.2051001238020214</v>
      </c>
      <c r="J33" s="9"/>
      <c r="K33" s="7">
        <v>4694.3599999999997</v>
      </c>
      <c r="L33" s="8">
        <f>IFERROR(K33/K444, "NA")</f>
        <v>7.355467298806026E-2</v>
      </c>
      <c r="M33" s="9"/>
      <c r="N33" s="10">
        <f t="shared" si="9"/>
        <v>399.73000000000047</v>
      </c>
      <c r="O33" s="8">
        <f>IFERROR(N33/N444, "NA")</f>
        <v>9.8328999835187711E-2</v>
      </c>
      <c r="P33" s="9"/>
      <c r="Q33" s="7">
        <v>5094.09</v>
      </c>
      <c r="R33" s="8">
        <f>IFERROR(Q33/Q444, "NA")</f>
        <v>7.5038225511367476E-2</v>
      </c>
      <c r="S33" s="9"/>
      <c r="T33" s="7">
        <v>0</v>
      </c>
      <c r="U33" s="8">
        <f>IFERROR(T33/T444, "NA")</f>
        <v>0</v>
      </c>
      <c r="V33" s="9"/>
      <c r="W33" s="10">
        <f t="shared" si="10"/>
        <v>5094.09</v>
      </c>
      <c r="X33" s="8">
        <f>IFERROR(W33/W444, "NA")</f>
        <v>2.2051001238020214</v>
      </c>
      <c r="Y33" s="9"/>
      <c r="Z33" s="7">
        <v>4694.3599999999997</v>
      </c>
      <c r="AA33" s="8">
        <f>IFERROR(Z33/Z444, "NA")</f>
        <v>7.355467298806026E-2</v>
      </c>
      <c r="AB33" s="9"/>
      <c r="AC33" s="10">
        <f t="shared" si="11"/>
        <v>399.73000000000047</v>
      </c>
      <c r="AD33" s="8">
        <f>IFERROR(AC33/AC444, "NA")</f>
        <v>9.8328999835187711E-2</v>
      </c>
    </row>
    <row r="34" spans="1:30" ht="16.5" hidden="1" customHeight="1" x14ac:dyDescent="0.45">
      <c r="A34" s="12" t="s">
        <v>34</v>
      </c>
      <c r="B34" s="7">
        <v>0</v>
      </c>
      <c r="C34" s="8">
        <f>IFERROR(B34/B444, "NA")</f>
        <v>0</v>
      </c>
      <c r="D34" s="9"/>
      <c r="E34" s="7">
        <v>0</v>
      </c>
      <c r="F34" s="8">
        <f>IFERROR(E34/E444, "NA")</f>
        <v>0</v>
      </c>
      <c r="G34" s="9"/>
      <c r="H34" s="10">
        <f t="shared" si="8"/>
        <v>0</v>
      </c>
      <c r="I34" s="8">
        <f>IFERROR(H34/H444, "NA")</f>
        <v>0</v>
      </c>
      <c r="J34" s="9"/>
      <c r="K34" s="7">
        <v>0</v>
      </c>
      <c r="L34" s="8">
        <f>IFERROR(K34/K444, "NA")</f>
        <v>0</v>
      </c>
      <c r="M34" s="9"/>
      <c r="N34" s="10">
        <f t="shared" si="9"/>
        <v>0</v>
      </c>
      <c r="O34" s="8">
        <f>IFERROR(N34/N444, "NA")</f>
        <v>0</v>
      </c>
      <c r="P34" s="9"/>
      <c r="Q34" s="7">
        <v>0</v>
      </c>
      <c r="R34" s="8">
        <f>IFERROR(Q34/Q444, "NA")</f>
        <v>0</v>
      </c>
      <c r="S34" s="9"/>
      <c r="T34" s="7">
        <v>0</v>
      </c>
      <c r="U34" s="8">
        <f>IFERROR(T34/T444, "NA")</f>
        <v>0</v>
      </c>
      <c r="V34" s="9"/>
      <c r="W34" s="10">
        <f t="shared" si="10"/>
        <v>0</v>
      </c>
      <c r="X34" s="8">
        <f>IFERROR(W34/W444, "NA")</f>
        <v>0</v>
      </c>
      <c r="Y34" s="9"/>
      <c r="Z34" s="7">
        <v>0</v>
      </c>
      <c r="AA34" s="8">
        <f>IFERROR(Z34/Z444, "NA")</f>
        <v>0</v>
      </c>
      <c r="AB34" s="9"/>
      <c r="AC34" s="10">
        <f t="shared" si="11"/>
        <v>0</v>
      </c>
      <c r="AD34" s="8">
        <f>IFERROR(AC34/AC444, "NA")</f>
        <v>0</v>
      </c>
    </row>
    <row r="35" spans="1:30" ht="16.5" customHeight="1" x14ac:dyDescent="0.45">
      <c r="A35" s="12" t="s">
        <v>35</v>
      </c>
      <c r="B35" s="7">
        <v>235.54</v>
      </c>
      <c r="C35" s="8">
        <f>IFERROR(B35/B444, "NA")</f>
        <v>3.4696096136792825E-3</v>
      </c>
      <c r="D35" s="9"/>
      <c r="E35" s="7">
        <v>0</v>
      </c>
      <c r="F35" s="8">
        <f>IFERROR(E35/E444, "NA")</f>
        <v>0</v>
      </c>
      <c r="G35" s="9"/>
      <c r="H35" s="10">
        <f t="shared" si="8"/>
        <v>235.54</v>
      </c>
      <c r="I35" s="8">
        <f>IFERROR(H35/H444, "NA")</f>
        <v>0.1019591886206031</v>
      </c>
      <c r="J35" s="9"/>
      <c r="K35" s="7">
        <v>449.8</v>
      </c>
      <c r="L35" s="8">
        <f>IFERROR(K35/K444, "NA")</f>
        <v>7.0477960595330368E-3</v>
      </c>
      <c r="M35" s="9"/>
      <c r="N35" s="10">
        <f t="shared" si="9"/>
        <v>-214.26000000000002</v>
      </c>
      <c r="O35" s="8">
        <f>IFERROR(N35/N444, "NA")</f>
        <v>-5.2705504977578109E-2</v>
      </c>
      <c r="P35" s="9"/>
      <c r="Q35" s="7">
        <v>235.54</v>
      </c>
      <c r="R35" s="8">
        <f>IFERROR(Q35/Q444, "NA")</f>
        <v>3.4696096136792825E-3</v>
      </c>
      <c r="S35" s="9"/>
      <c r="T35" s="7">
        <v>0</v>
      </c>
      <c r="U35" s="8">
        <f>IFERROR(T35/T444, "NA")</f>
        <v>0</v>
      </c>
      <c r="V35" s="9"/>
      <c r="W35" s="10">
        <f t="shared" si="10"/>
        <v>235.54</v>
      </c>
      <c r="X35" s="8">
        <f>IFERROR(W35/W444, "NA")</f>
        <v>0.1019591886206031</v>
      </c>
      <c r="Y35" s="9"/>
      <c r="Z35" s="7">
        <v>449.8</v>
      </c>
      <c r="AA35" s="8">
        <f>IFERROR(Z35/Z444, "NA")</f>
        <v>7.0477960595330368E-3</v>
      </c>
      <c r="AB35" s="9"/>
      <c r="AC35" s="10">
        <f t="shared" si="11"/>
        <v>-214.26000000000002</v>
      </c>
      <c r="AD35" s="8">
        <f>IFERROR(AC35/AC444, "NA")</f>
        <v>-5.2705504977578109E-2</v>
      </c>
    </row>
    <row r="36" spans="1:30" ht="16.5" customHeight="1" x14ac:dyDescent="0.45">
      <c r="A36" s="12" t="s">
        <v>36</v>
      </c>
      <c r="B36" s="7">
        <v>7954.3</v>
      </c>
      <c r="C36" s="8">
        <f>IFERROR(B36/B444, "NA")</f>
        <v>0.1171703988710585</v>
      </c>
      <c r="D36" s="9"/>
      <c r="E36" s="7">
        <v>0</v>
      </c>
      <c r="F36" s="8">
        <f>IFERROR(E36/E444, "NA")</f>
        <v>0</v>
      </c>
      <c r="G36" s="9"/>
      <c r="H36" s="10">
        <f t="shared" si="8"/>
        <v>7954.3</v>
      </c>
      <c r="I36" s="8">
        <f>IFERROR(H36/H444, "NA")</f>
        <v>3.4432112339511902</v>
      </c>
      <c r="J36" s="9"/>
      <c r="K36" s="7">
        <v>9420.36</v>
      </c>
      <c r="L36" s="8">
        <f>IFERROR(K36/K444, "NA")</f>
        <v>0.14760510468515484</v>
      </c>
      <c r="M36" s="9"/>
      <c r="N36" s="10">
        <f t="shared" si="9"/>
        <v>-1466.0600000000004</v>
      </c>
      <c r="O36" s="8">
        <f>IFERROR(N36/N444, "NA")</f>
        <v>-0.36063396167006523</v>
      </c>
      <c r="P36" s="9"/>
      <c r="Q36" s="7">
        <v>7954.3</v>
      </c>
      <c r="R36" s="8">
        <f>IFERROR(Q36/Q444, "NA")</f>
        <v>0.1171703988710585</v>
      </c>
      <c r="S36" s="9"/>
      <c r="T36" s="7">
        <v>0</v>
      </c>
      <c r="U36" s="8">
        <f>IFERROR(T36/T444, "NA")</f>
        <v>0</v>
      </c>
      <c r="V36" s="9"/>
      <c r="W36" s="10">
        <f t="shared" si="10"/>
        <v>7954.3</v>
      </c>
      <c r="X36" s="8">
        <f>IFERROR(W36/W444, "NA")</f>
        <v>3.4432112339511902</v>
      </c>
      <c r="Y36" s="9"/>
      <c r="Z36" s="7">
        <v>9420.36</v>
      </c>
      <c r="AA36" s="8">
        <f>IFERROR(Z36/Z444, "NA")</f>
        <v>0.14760510468515484</v>
      </c>
      <c r="AB36" s="9"/>
      <c r="AC36" s="10">
        <f t="shared" si="11"/>
        <v>-1466.0600000000004</v>
      </c>
      <c r="AD36" s="8">
        <f>IFERROR(AC36/AC444, "NA")</f>
        <v>-0.36063396167006523</v>
      </c>
    </row>
    <row r="37" spans="1:30" ht="16.5" customHeight="1" x14ac:dyDescent="0.45">
      <c r="A37" s="12" t="s">
        <v>37</v>
      </c>
      <c r="B37" s="7">
        <v>427</v>
      </c>
      <c r="C37" s="8">
        <f>IFERROR(B37/B444, "NA")</f>
        <v>6.2899010997752129E-3</v>
      </c>
      <c r="D37" s="9"/>
      <c r="E37" s="7">
        <v>0</v>
      </c>
      <c r="F37" s="8">
        <f>IFERROR(E37/E444, "NA")</f>
        <v>0</v>
      </c>
      <c r="G37" s="9"/>
      <c r="H37" s="10">
        <f t="shared" si="8"/>
        <v>427</v>
      </c>
      <c r="I37" s="8">
        <f>IFERROR(H37/H444, "NA")</f>
        <v>0.18483728258893406</v>
      </c>
      <c r="J37" s="9"/>
      <c r="K37" s="7">
        <v>0</v>
      </c>
      <c r="L37" s="8">
        <f>IFERROR(K37/K444, "NA")</f>
        <v>0</v>
      </c>
      <c r="M37" s="9"/>
      <c r="N37" s="10">
        <f t="shared" si="9"/>
        <v>427</v>
      </c>
      <c r="O37" s="8">
        <f>IFERROR(N37/N444, "NA")</f>
        <v>0.10503710737153855</v>
      </c>
      <c r="P37" s="9"/>
      <c r="Q37" s="7">
        <v>427</v>
      </c>
      <c r="R37" s="8">
        <f>IFERROR(Q37/Q444, "NA")</f>
        <v>6.2899010997752129E-3</v>
      </c>
      <c r="S37" s="9"/>
      <c r="T37" s="7">
        <v>0</v>
      </c>
      <c r="U37" s="8">
        <f>IFERROR(T37/T444, "NA")</f>
        <v>0</v>
      </c>
      <c r="V37" s="9"/>
      <c r="W37" s="10">
        <f t="shared" si="10"/>
        <v>427</v>
      </c>
      <c r="X37" s="8">
        <f>IFERROR(W37/W444, "NA")</f>
        <v>0.18483728258893406</v>
      </c>
      <c r="Y37" s="9"/>
      <c r="Z37" s="7">
        <v>0</v>
      </c>
      <c r="AA37" s="8">
        <f>IFERROR(Z37/Z444, "NA")</f>
        <v>0</v>
      </c>
      <c r="AB37" s="9"/>
      <c r="AC37" s="10">
        <f t="shared" si="11"/>
        <v>427</v>
      </c>
      <c r="AD37" s="8">
        <f>IFERROR(AC37/AC444, "NA")</f>
        <v>0.10503710737153855</v>
      </c>
    </row>
    <row r="38" spans="1:30" ht="16.5" hidden="1" customHeight="1" x14ac:dyDescent="0.45">
      <c r="A38" s="12" t="s">
        <v>38</v>
      </c>
      <c r="B38" s="7">
        <v>0</v>
      </c>
      <c r="C38" s="8">
        <f>IFERROR(B38/B444, "NA")</f>
        <v>0</v>
      </c>
      <c r="D38" s="9"/>
      <c r="E38" s="7">
        <v>0</v>
      </c>
      <c r="F38" s="8">
        <f>IFERROR(E38/E444, "NA")</f>
        <v>0</v>
      </c>
      <c r="G38" s="9"/>
      <c r="H38" s="10">
        <f t="shared" si="8"/>
        <v>0</v>
      </c>
      <c r="I38" s="8">
        <f>IFERROR(H38/H444, "NA")</f>
        <v>0</v>
      </c>
      <c r="J38" s="9"/>
      <c r="K38" s="7">
        <v>0</v>
      </c>
      <c r="L38" s="8">
        <f>IFERROR(K38/K444, "NA")</f>
        <v>0</v>
      </c>
      <c r="M38" s="9"/>
      <c r="N38" s="10">
        <f t="shared" si="9"/>
        <v>0</v>
      </c>
      <c r="O38" s="8">
        <f>IFERROR(N38/N444, "NA")</f>
        <v>0</v>
      </c>
      <c r="P38" s="9"/>
      <c r="Q38" s="7">
        <v>0</v>
      </c>
      <c r="R38" s="8">
        <f>IFERROR(Q38/Q444, "NA")</f>
        <v>0</v>
      </c>
      <c r="S38" s="9"/>
      <c r="T38" s="7">
        <v>0</v>
      </c>
      <c r="U38" s="8">
        <f>IFERROR(T38/T444, "NA")</f>
        <v>0</v>
      </c>
      <c r="V38" s="9"/>
      <c r="W38" s="10">
        <f t="shared" si="10"/>
        <v>0</v>
      </c>
      <c r="X38" s="8">
        <f>IFERROR(W38/W444, "NA")</f>
        <v>0</v>
      </c>
      <c r="Y38" s="9"/>
      <c r="Z38" s="7">
        <v>0</v>
      </c>
      <c r="AA38" s="8">
        <f>IFERROR(Z38/Z444, "NA")</f>
        <v>0</v>
      </c>
      <c r="AB38" s="9"/>
      <c r="AC38" s="10">
        <f t="shared" si="11"/>
        <v>0</v>
      </c>
      <c r="AD38" s="8">
        <f>IFERROR(AC38/AC444, "NA")</f>
        <v>0</v>
      </c>
    </row>
    <row r="39" spans="1:30" ht="16.5" customHeight="1" x14ac:dyDescent="0.45">
      <c r="A39" s="12" t="s">
        <v>39</v>
      </c>
      <c r="B39" s="7">
        <v>93.75</v>
      </c>
      <c r="C39" s="8">
        <f>IFERROR(B39/B444, "NA")</f>
        <v>1.3809794569178599E-3</v>
      </c>
      <c r="D39" s="9"/>
      <c r="E39" s="7">
        <v>0</v>
      </c>
      <c r="F39" s="8">
        <f>IFERROR(E39/E444, "NA")</f>
        <v>0</v>
      </c>
      <c r="G39" s="9"/>
      <c r="H39" s="10">
        <f t="shared" si="8"/>
        <v>93.75</v>
      </c>
      <c r="I39" s="8">
        <f>IFERROR(H39/H444, "NA")</f>
        <v>4.0581956071926384E-2</v>
      </c>
      <c r="J39" s="9"/>
      <c r="K39" s="7">
        <v>461.1</v>
      </c>
      <c r="L39" s="8">
        <f>IFERROR(K39/K444, "NA")</f>
        <v>7.2248527413309995E-3</v>
      </c>
      <c r="M39" s="9"/>
      <c r="N39" s="10">
        <f t="shared" si="9"/>
        <v>-367.35</v>
      </c>
      <c r="O39" s="8">
        <f>IFERROR(N39/N444, "NA")</f>
        <v>-9.0363890849964143E-2</v>
      </c>
      <c r="P39" s="9"/>
      <c r="Q39" s="7">
        <v>93.75</v>
      </c>
      <c r="R39" s="8">
        <f>IFERROR(Q39/Q444, "NA")</f>
        <v>1.3809794569178599E-3</v>
      </c>
      <c r="S39" s="9"/>
      <c r="T39" s="7">
        <v>0</v>
      </c>
      <c r="U39" s="8">
        <f>IFERROR(T39/T444, "NA")</f>
        <v>0</v>
      </c>
      <c r="V39" s="9"/>
      <c r="W39" s="10">
        <f t="shared" si="10"/>
        <v>93.75</v>
      </c>
      <c r="X39" s="8">
        <f>IFERROR(W39/W444, "NA")</f>
        <v>4.0581956071926384E-2</v>
      </c>
      <c r="Y39" s="9"/>
      <c r="Z39" s="7">
        <v>461.1</v>
      </c>
      <c r="AA39" s="8">
        <f>IFERROR(Z39/Z444, "NA")</f>
        <v>7.2248527413309995E-3</v>
      </c>
      <c r="AB39" s="9"/>
      <c r="AC39" s="10">
        <f t="shared" si="11"/>
        <v>-367.35</v>
      </c>
      <c r="AD39" s="8">
        <f>IFERROR(AC39/AC444, "NA")</f>
        <v>-9.0363890849964143E-2</v>
      </c>
    </row>
    <row r="40" spans="1:30" ht="16.5" customHeight="1" x14ac:dyDescent="0.45">
      <c r="A40" s="13" t="s">
        <v>40</v>
      </c>
      <c r="B40" s="14">
        <f>IFERROR(B31+B32+B33+B34+B35+B36+B37+B38+B39, "NA")</f>
        <v>13804.68</v>
      </c>
      <c r="C40" s="15">
        <f>IFERROR(B40/B444, "NA")</f>
        <v>0.20334911455279833</v>
      </c>
      <c r="D40" s="2"/>
      <c r="E40" s="14">
        <f>IFERROR(E31+E32+E33+E34+E35+E36+E37+E38+E39, "NA")</f>
        <v>12459.53</v>
      </c>
      <c r="F40" s="15">
        <f>IFERROR(E40/E444, "NA")</f>
        <v>0.19000003964837381</v>
      </c>
      <c r="G40" s="2"/>
      <c r="H40" s="14">
        <f t="shared" si="8"/>
        <v>1345.1499999999996</v>
      </c>
      <c r="I40" s="15">
        <f>IFERROR(H40/H444, "NA")</f>
        <v>0.58228072757495219</v>
      </c>
      <c r="J40" s="2"/>
      <c r="K40" s="14">
        <f>IFERROR(K31+K32+K33+K34+K35+K36+K37+K38+K39, "NA")</f>
        <v>15025.62</v>
      </c>
      <c r="L40" s="15">
        <f>IFERROR(K40/K444, "NA")</f>
        <v>0.23543242647407914</v>
      </c>
      <c r="M40" s="2"/>
      <c r="N40" s="14">
        <f t="shared" si="9"/>
        <v>-1220.9400000000005</v>
      </c>
      <c r="O40" s="15">
        <f>IFERROR(N40/N444, "NA")</f>
        <v>-0.30033725029088132</v>
      </c>
      <c r="P40" s="2"/>
      <c r="Q40" s="14">
        <f>IFERROR(Q31+Q32+Q33+Q34+Q35+Q36+Q37+Q38+Q39, "NA")</f>
        <v>13804.68</v>
      </c>
      <c r="R40" s="15">
        <f>IFERROR(Q40/Q444, "NA")</f>
        <v>0.20334911455279833</v>
      </c>
      <c r="S40" s="2"/>
      <c r="T40" s="14">
        <f>IFERROR(T31+T32+T33+T34+T35+T36+T37+T38+T39, "NA")</f>
        <v>12459.53</v>
      </c>
      <c r="U40" s="15">
        <f>IFERROR(T40/T444, "NA")</f>
        <v>0.19000003964837381</v>
      </c>
      <c r="V40" s="2"/>
      <c r="W40" s="14">
        <f t="shared" si="10"/>
        <v>1345.1499999999996</v>
      </c>
      <c r="X40" s="15">
        <f>IFERROR(W40/W444, "NA")</f>
        <v>0.58228072757495219</v>
      </c>
      <c r="Y40" s="2"/>
      <c r="Z40" s="14">
        <f>IFERROR(Z31+Z32+Z33+Z34+Z35+Z36+Z37+Z38+Z39, "NA")</f>
        <v>15025.62</v>
      </c>
      <c r="AA40" s="15">
        <f>IFERROR(Z40/Z444, "NA")</f>
        <v>0.23543242647407914</v>
      </c>
      <c r="AB40" s="2"/>
      <c r="AC40" s="14">
        <f t="shared" si="11"/>
        <v>-1220.9400000000005</v>
      </c>
      <c r="AD40" s="15">
        <f>IFERROR(AC40/AC444, "NA")</f>
        <v>-0.30033725029088132</v>
      </c>
    </row>
    <row r="41" spans="1:30" ht="16.5" customHeight="1" x14ac:dyDescent="0.45">
      <c r="A41" s="11" t="s">
        <v>41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45">
      <c r="A42" s="12" t="s">
        <v>41</v>
      </c>
      <c r="B42" s="7">
        <v>0</v>
      </c>
      <c r="C42" s="8">
        <f>IFERROR(B42/B444, "NA")</f>
        <v>0</v>
      </c>
      <c r="D42" s="9"/>
      <c r="E42" s="7">
        <v>13115.29</v>
      </c>
      <c r="F42" s="8">
        <f>IFERROR(E42/E444, "NA")</f>
        <v>0.1999999695012509</v>
      </c>
      <c r="G42" s="9"/>
      <c r="H42" s="10">
        <f>IFERROR(B42-E42, "NA")</f>
        <v>-13115.29</v>
      </c>
      <c r="I42" s="8">
        <f>IFERROR(H42/H444, "NA")</f>
        <v>-5.677270641606138</v>
      </c>
      <c r="J42" s="9"/>
      <c r="K42" s="7">
        <v>0</v>
      </c>
      <c r="L42" s="8">
        <f>IFERROR(K42/K444, "NA")</f>
        <v>0</v>
      </c>
      <c r="M42" s="9"/>
      <c r="N42" s="10">
        <f>IFERROR(B42-K42, "NA")</f>
        <v>0</v>
      </c>
      <c r="O42" s="8">
        <f>IFERROR(N42/N444, "NA")</f>
        <v>0</v>
      </c>
      <c r="P42" s="9"/>
      <c r="Q42" s="7">
        <v>0</v>
      </c>
      <c r="R42" s="8">
        <f>IFERROR(Q42/Q444, "NA")</f>
        <v>0</v>
      </c>
      <c r="S42" s="9"/>
      <c r="T42" s="7">
        <v>13115.29</v>
      </c>
      <c r="U42" s="8">
        <f>IFERROR(T42/T444, "NA")</f>
        <v>0.1999999695012509</v>
      </c>
      <c r="V42" s="9"/>
      <c r="W42" s="10">
        <f>IFERROR(Q42-T42, "NA")</f>
        <v>-13115.29</v>
      </c>
      <c r="X42" s="8">
        <f>IFERROR(W42/W444, "NA")</f>
        <v>-5.677270641606138</v>
      </c>
      <c r="Y42" s="9"/>
      <c r="Z42" s="7">
        <v>0</v>
      </c>
      <c r="AA42" s="8">
        <f>IFERROR(Z42/Z444, "NA")</f>
        <v>0</v>
      </c>
      <c r="AB42" s="9"/>
      <c r="AC42" s="10">
        <f>IFERROR(Q42-Z42, "NA")</f>
        <v>0</v>
      </c>
      <c r="AD42" s="8">
        <f>IFERROR(AC42/AC444, "NA")</f>
        <v>0</v>
      </c>
    </row>
    <row r="43" spans="1:30" ht="16.5" customHeight="1" x14ac:dyDescent="0.45">
      <c r="A43" s="12" t="s">
        <v>42</v>
      </c>
      <c r="B43" s="7">
        <v>2107.5700000000002</v>
      </c>
      <c r="C43" s="8">
        <f>IFERROR(B43/B444, "NA")</f>
        <v>3.1045449322841326E-2</v>
      </c>
      <c r="D43" s="9"/>
      <c r="E43" s="7">
        <v>0</v>
      </c>
      <c r="F43" s="8">
        <f>IFERROR(E43/E444, "NA")</f>
        <v>0</v>
      </c>
      <c r="G43" s="9"/>
      <c r="H43" s="10">
        <f>IFERROR(B43-E43, "NA")</f>
        <v>2107.5700000000002</v>
      </c>
      <c r="I43" s="8">
        <f>IFERROR(H43/H444, "NA")</f>
        <v>0.91231267369077229</v>
      </c>
      <c r="J43" s="9"/>
      <c r="K43" s="7">
        <v>3178.66</v>
      </c>
      <c r="L43" s="8">
        <f>IFERROR(K43/K444, "NA")</f>
        <v>4.9805574527779638E-2</v>
      </c>
      <c r="M43" s="9"/>
      <c r="N43" s="10">
        <f>IFERROR(B43-K43, "NA")</f>
        <v>-1071.0899999999997</v>
      </c>
      <c r="O43" s="8">
        <f>IFERROR(N43/N444, "NA")</f>
        <v>-0.26347586729410116</v>
      </c>
      <c r="P43" s="9"/>
      <c r="Q43" s="7">
        <v>2107.5700000000002</v>
      </c>
      <c r="R43" s="8">
        <f>IFERROR(Q43/Q444, "NA")</f>
        <v>3.1045449322841326E-2</v>
      </c>
      <c r="S43" s="9"/>
      <c r="T43" s="7">
        <v>0</v>
      </c>
      <c r="U43" s="8">
        <f>IFERROR(T43/T444, "NA")</f>
        <v>0</v>
      </c>
      <c r="V43" s="9"/>
      <c r="W43" s="10">
        <f>IFERROR(Q43-T43, "NA")</f>
        <v>2107.5700000000002</v>
      </c>
      <c r="X43" s="8">
        <f>IFERROR(W43/W444, "NA")</f>
        <v>0.91231267369077229</v>
      </c>
      <c r="Y43" s="9"/>
      <c r="Z43" s="7">
        <v>3178.66</v>
      </c>
      <c r="AA43" s="8">
        <f>IFERROR(Z43/Z444, "NA")</f>
        <v>4.9805574527779638E-2</v>
      </c>
      <c r="AB43" s="9"/>
      <c r="AC43" s="10">
        <f>IFERROR(Q43-Z43, "NA")</f>
        <v>-1071.0899999999997</v>
      </c>
      <c r="AD43" s="8">
        <f>IFERROR(AC43/AC444, "NA")</f>
        <v>-0.26347586729410116</v>
      </c>
    </row>
    <row r="44" spans="1:30" ht="16.5" hidden="1" customHeight="1" x14ac:dyDescent="0.45">
      <c r="A44" s="12" t="s">
        <v>43</v>
      </c>
      <c r="B44" s="7">
        <v>0</v>
      </c>
      <c r="C44" s="8">
        <f>IFERROR(B44/B444, "NA")</f>
        <v>0</v>
      </c>
      <c r="D44" s="9"/>
      <c r="E44" s="7">
        <v>0</v>
      </c>
      <c r="F44" s="8">
        <f>IFERROR(E44/E444, "NA")</f>
        <v>0</v>
      </c>
      <c r="G44" s="9"/>
      <c r="H44" s="10">
        <f>IFERROR(B44-E44, "NA")</f>
        <v>0</v>
      </c>
      <c r="I44" s="8">
        <f>IFERROR(H44/H444, "NA")</f>
        <v>0</v>
      </c>
      <c r="J44" s="9"/>
      <c r="K44" s="7">
        <v>0</v>
      </c>
      <c r="L44" s="8">
        <f>IFERROR(K44/K444, "NA")</f>
        <v>0</v>
      </c>
      <c r="M44" s="9"/>
      <c r="N44" s="10">
        <f>IFERROR(B44-K44, "NA")</f>
        <v>0</v>
      </c>
      <c r="O44" s="8">
        <f>IFERROR(N44/N444, "NA")</f>
        <v>0</v>
      </c>
      <c r="P44" s="9"/>
      <c r="Q44" s="7">
        <v>0</v>
      </c>
      <c r="R44" s="8">
        <f>IFERROR(Q44/Q444, "NA")</f>
        <v>0</v>
      </c>
      <c r="S44" s="9"/>
      <c r="T44" s="7">
        <v>0</v>
      </c>
      <c r="U44" s="8">
        <f>IFERROR(T44/T444, "NA")</f>
        <v>0</v>
      </c>
      <c r="V44" s="9"/>
      <c r="W44" s="10">
        <f>IFERROR(Q44-T44, "NA")</f>
        <v>0</v>
      </c>
      <c r="X44" s="8">
        <f>IFERROR(W44/W444, "NA")</f>
        <v>0</v>
      </c>
      <c r="Y44" s="9"/>
      <c r="Z44" s="7">
        <v>0</v>
      </c>
      <c r="AA44" s="8">
        <f>IFERROR(Z44/Z444, "NA")</f>
        <v>0</v>
      </c>
      <c r="AB44" s="9"/>
      <c r="AC44" s="10">
        <f>IFERROR(Q44-Z44, "NA")</f>
        <v>0</v>
      </c>
      <c r="AD44" s="8">
        <f>IFERROR(AC44/AC444, "NA")</f>
        <v>0</v>
      </c>
    </row>
    <row r="45" spans="1:30" ht="16.5" customHeight="1" x14ac:dyDescent="0.45">
      <c r="A45" s="16" t="s">
        <v>44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45">
      <c r="A46" s="17" t="s">
        <v>44</v>
      </c>
      <c r="B46" s="7">
        <v>0</v>
      </c>
      <c r="C46" s="8">
        <f>IFERROR(B46/B444, "NA")</f>
        <v>0</v>
      </c>
      <c r="D46" s="9"/>
      <c r="E46" s="7">
        <v>0</v>
      </c>
      <c r="F46" s="8">
        <f>IFERROR(E46/E444, "NA")</f>
        <v>0</v>
      </c>
      <c r="G46" s="9"/>
      <c r="H46" s="10">
        <f t="shared" ref="H46:H62" si="12">IFERROR(B46-E46, "NA")</f>
        <v>0</v>
      </c>
      <c r="I46" s="8">
        <f>IFERROR(H46/H444, "NA")</f>
        <v>0</v>
      </c>
      <c r="J46" s="9"/>
      <c r="K46" s="7">
        <v>0</v>
      </c>
      <c r="L46" s="8">
        <f>IFERROR(K46/K444, "NA")</f>
        <v>0</v>
      </c>
      <c r="M46" s="9"/>
      <c r="N46" s="10">
        <f t="shared" ref="N46:N62" si="13">IFERROR(B46-K46, "NA")</f>
        <v>0</v>
      </c>
      <c r="O46" s="8">
        <f>IFERROR(N46/N444, "NA")</f>
        <v>0</v>
      </c>
      <c r="P46" s="9"/>
      <c r="Q46" s="7">
        <v>0</v>
      </c>
      <c r="R46" s="8">
        <f>IFERROR(Q46/Q444, "NA")</f>
        <v>0</v>
      </c>
      <c r="S46" s="9"/>
      <c r="T46" s="7">
        <v>0</v>
      </c>
      <c r="U46" s="8">
        <f>IFERROR(T46/T444, "NA")</f>
        <v>0</v>
      </c>
      <c r="V46" s="9"/>
      <c r="W46" s="10">
        <f t="shared" ref="W46:W62" si="14">IFERROR(Q46-T46, "NA")</f>
        <v>0</v>
      </c>
      <c r="X46" s="8">
        <f>IFERROR(W46/W444, "NA")</f>
        <v>0</v>
      </c>
      <c r="Y46" s="9"/>
      <c r="Z46" s="7">
        <v>0</v>
      </c>
      <c r="AA46" s="8">
        <f>IFERROR(Z46/Z444, "NA")</f>
        <v>0</v>
      </c>
      <c r="AB46" s="9"/>
      <c r="AC46" s="10">
        <f t="shared" ref="AC46:AC62" si="15">IFERROR(Q46-Z46, "NA")</f>
        <v>0</v>
      </c>
      <c r="AD46" s="8">
        <f>IFERROR(AC46/AC444, "NA")</f>
        <v>0</v>
      </c>
    </row>
    <row r="47" spans="1:30" ht="16.5" customHeight="1" x14ac:dyDescent="0.45">
      <c r="A47" s="17" t="s">
        <v>45</v>
      </c>
      <c r="B47" s="7">
        <v>0</v>
      </c>
      <c r="C47" s="8">
        <f>IFERROR(B47/B444, "NA")</f>
        <v>0</v>
      </c>
      <c r="D47" s="9"/>
      <c r="E47" s="7">
        <v>0</v>
      </c>
      <c r="F47" s="8">
        <f>IFERROR(E47/E444, "NA")</f>
        <v>0</v>
      </c>
      <c r="G47" s="9"/>
      <c r="H47" s="10">
        <f t="shared" si="12"/>
        <v>0</v>
      </c>
      <c r="I47" s="8">
        <f>IFERROR(H47/H444, "NA")</f>
        <v>0</v>
      </c>
      <c r="J47" s="9"/>
      <c r="K47" s="7">
        <v>516.70000000000005</v>
      </c>
      <c r="L47" s="8">
        <f>IFERROR(K47/K444, "NA")</f>
        <v>8.0960342907085824E-3</v>
      </c>
      <c r="M47" s="9"/>
      <c r="N47" s="10">
        <f t="shared" si="13"/>
        <v>-516.70000000000005</v>
      </c>
      <c r="O47" s="8">
        <f>IFERROR(N47/N444, "NA")</f>
        <v>-0.12710227957581727</v>
      </c>
      <c r="P47" s="9"/>
      <c r="Q47" s="7">
        <v>0</v>
      </c>
      <c r="R47" s="8">
        <f>IFERROR(Q47/Q444, "NA")</f>
        <v>0</v>
      </c>
      <c r="S47" s="9"/>
      <c r="T47" s="7">
        <v>0</v>
      </c>
      <c r="U47" s="8">
        <f>IFERROR(T47/T444, "NA")</f>
        <v>0</v>
      </c>
      <c r="V47" s="9"/>
      <c r="W47" s="10">
        <f t="shared" si="14"/>
        <v>0</v>
      </c>
      <c r="X47" s="8">
        <f>IFERROR(W47/W444, "NA")</f>
        <v>0</v>
      </c>
      <c r="Y47" s="9"/>
      <c r="Z47" s="7">
        <v>516.70000000000005</v>
      </c>
      <c r="AA47" s="8">
        <f>IFERROR(Z47/Z444, "NA")</f>
        <v>8.0960342907085824E-3</v>
      </c>
      <c r="AB47" s="9"/>
      <c r="AC47" s="10">
        <f t="shared" si="15"/>
        <v>-516.70000000000005</v>
      </c>
      <c r="AD47" s="8">
        <f>IFERROR(AC47/AC444, "NA")</f>
        <v>-0.12710227957581727</v>
      </c>
    </row>
    <row r="48" spans="1:30" ht="16.5" customHeight="1" x14ac:dyDescent="0.45">
      <c r="A48" s="17" t="s">
        <v>46</v>
      </c>
      <c r="B48" s="7">
        <v>1123.71</v>
      </c>
      <c r="C48" s="8">
        <f>IFERROR(B48/B444, "NA")</f>
        <v>1.6552751205687131E-2</v>
      </c>
      <c r="D48" s="9"/>
      <c r="E48" s="7">
        <v>0</v>
      </c>
      <c r="F48" s="8">
        <f>IFERROR(E48/E444, "NA")</f>
        <v>0</v>
      </c>
      <c r="G48" s="9"/>
      <c r="H48" s="10">
        <f t="shared" si="12"/>
        <v>1123.71</v>
      </c>
      <c r="I48" s="8">
        <f>IFERROR(H48/H444, "NA")</f>
        <v>0.48642506514756695</v>
      </c>
      <c r="J48" s="9"/>
      <c r="K48" s="7">
        <v>13179.7</v>
      </c>
      <c r="L48" s="8">
        <f>IFERROR(K48/K444, "NA")</f>
        <v>0.20650919903474338</v>
      </c>
      <c r="M48" s="9"/>
      <c r="N48" s="10">
        <f t="shared" si="13"/>
        <v>-12055.990000000002</v>
      </c>
      <c r="O48" s="8">
        <f>IFERROR(N48/N444, "NA")</f>
        <v>-2.9656354007030332</v>
      </c>
      <c r="P48" s="9"/>
      <c r="Q48" s="7">
        <v>1123.71</v>
      </c>
      <c r="R48" s="8">
        <f>IFERROR(Q48/Q444, "NA")</f>
        <v>1.6552751205687131E-2</v>
      </c>
      <c r="S48" s="9"/>
      <c r="T48" s="7">
        <v>0</v>
      </c>
      <c r="U48" s="8">
        <f>IFERROR(T48/T444, "NA")</f>
        <v>0</v>
      </c>
      <c r="V48" s="9"/>
      <c r="W48" s="10">
        <f t="shared" si="14"/>
        <v>1123.71</v>
      </c>
      <c r="X48" s="8">
        <f>IFERROR(W48/W444, "NA")</f>
        <v>0.48642506514756695</v>
      </c>
      <c r="Y48" s="9"/>
      <c r="Z48" s="7">
        <v>13179.7</v>
      </c>
      <c r="AA48" s="8">
        <f>IFERROR(Z48/Z444, "NA")</f>
        <v>0.20650919903474338</v>
      </c>
      <c r="AB48" s="9"/>
      <c r="AC48" s="10">
        <f t="shared" si="15"/>
        <v>-12055.990000000002</v>
      </c>
      <c r="AD48" s="8">
        <f>IFERROR(AC48/AC444, "NA")</f>
        <v>-2.9656354007030332</v>
      </c>
    </row>
    <row r="49" spans="1:30" ht="16.5" hidden="1" customHeight="1" x14ac:dyDescent="0.45">
      <c r="A49" s="17" t="s">
        <v>47</v>
      </c>
      <c r="B49" s="7">
        <v>0</v>
      </c>
      <c r="C49" s="8">
        <f>IFERROR(B49/B444, "NA")</f>
        <v>0</v>
      </c>
      <c r="D49" s="9"/>
      <c r="E49" s="7">
        <v>0</v>
      </c>
      <c r="F49" s="8">
        <f>IFERROR(E49/E444, "NA")</f>
        <v>0</v>
      </c>
      <c r="G49" s="9"/>
      <c r="H49" s="10">
        <f t="shared" si="12"/>
        <v>0</v>
      </c>
      <c r="I49" s="8">
        <f>IFERROR(H49/H444, "NA")</f>
        <v>0</v>
      </c>
      <c r="J49" s="9"/>
      <c r="K49" s="7">
        <v>0</v>
      </c>
      <c r="L49" s="8">
        <f>IFERROR(K49/K444, "NA")</f>
        <v>0</v>
      </c>
      <c r="M49" s="9"/>
      <c r="N49" s="10">
        <f t="shared" si="13"/>
        <v>0</v>
      </c>
      <c r="O49" s="8">
        <f>IFERROR(N49/N444, "NA")</f>
        <v>0</v>
      </c>
      <c r="P49" s="9"/>
      <c r="Q49" s="7">
        <v>0</v>
      </c>
      <c r="R49" s="8">
        <f>IFERROR(Q49/Q444, "NA")</f>
        <v>0</v>
      </c>
      <c r="S49" s="9"/>
      <c r="T49" s="7">
        <v>0</v>
      </c>
      <c r="U49" s="8">
        <f>IFERROR(T49/T444, "NA")</f>
        <v>0</v>
      </c>
      <c r="V49" s="9"/>
      <c r="W49" s="10">
        <f t="shared" si="14"/>
        <v>0</v>
      </c>
      <c r="X49" s="8">
        <f>IFERROR(W49/W444, "NA")</f>
        <v>0</v>
      </c>
      <c r="Y49" s="9"/>
      <c r="Z49" s="7">
        <v>0</v>
      </c>
      <c r="AA49" s="8">
        <f>IFERROR(Z49/Z444, "NA")</f>
        <v>0</v>
      </c>
      <c r="AB49" s="9"/>
      <c r="AC49" s="10">
        <f t="shared" si="15"/>
        <v>0</v>
      </c>
      <c r="AD49" s="8">
        <f>IFERROR(AC49/AC444, "NA")</f>
        <v>0</v>
      </c>
    </row>
    <row r="50" spans="1:30" ht="16.5" customHeight="1" x14ac:dyDescent="0.45">
      <c r="A50" s="17" t="s">
        <v>48</v>
      </c>
      <c r="B50" s="7">
        <v>547</v>
      </c>
      <c r="C50" s="8">
        <f>IFERROR(B50/B444, "NA")</f>
        <v>8.0575548046300741E-3</v>
      </c>
      <c r="D50" s="9"/>
      <c r="E50" s="7">
        <v>0</v>
      </c>
      <c r="F50" s="8">
        <f>IFERROR(E50/E444, "NA")</f>
        <v>0</v>
      </c>
      <c r="G50" s="9"/>
      <c r="H50" s="10">
        <f t="shared" si="12"/>
        <v>547</v>
      </c>
      <c r="I50" s="8">
        <f>IFERROR(H50/H444, "NA")</f>
        <v>0.23678218636099982</v>
      </c>
      <c r="J50" s="9"/>
      <c r="K50" s="7">
        <v>137.13999999999999</v>
      </c>
      <c r="L50" s="8">
        <f>IFERROR(K50/K444, "NA")</f>
        <v>2.148810030245355E-3</v>
      </c>
      <c r="M50" s="9"/>
      <c r="N50" s="10">
        <f t="shared" si="13"/>
        <v>409.86</v>
      </c>
      <c r="O50" s="8">
        <f>IFERROR(N50/N444, "NA")</f>
        <v>0.10082086376416578</v>
      </c>
      <c r="P50" s="9"/>
      <c r="Q50" s="7">
        <v>547</v>
      </c>
      <c r="R50" s="8">
        <f>IFERROR(Q50/Q444, "NA")</f>
        <v>8.0575548046300741E-3</v>
      </c>
      <c r="S50" s="9"/>
      <c r="T50" s="7">
        <v>0</v>
      </c>
      <c r="U50" s="8">
        <f>IFERROR(T50/T444, "NA")</f>
        <v>0</v>
      </c>
      <c r="V50" s="9"/>
      <c r="W50" s="10">
        <f t="shared" si="14"/>
        <v>547</v>
      </c>
      <c r="X50" s="8">
        <f>IFERROR(W50/W444, "NA")</f>
        <v>0.23678218636099982</v>
      </c>
      <c r="Y50" s="9"/>
      <c r="Z50" s="7">
        <v>137.13999999999999</v>
      </c>
      <c r="AA50" s="8">
        <f>IFERROR(Z50/Z444, "NA")</f>
        <v>2.148810030245355E-3</v>
      </c>
      <c r="AB50" s="9"/>
      <c r="AC50" s="10">
        <f t="shared" si="15"/>
        <v>409.86</v>
      </c>
      <c r="AD50" s="8">
        <f>IFERROR(AC50/AC444, "NA")</f>
        <v>0.10082086376416578</v>
      </c>
    </row>
    <row r="51" spans="1:30" ht="16.5" hidden="1" customHeight="1" x14ac:dyDescent="0.45">
      <c r="A51" s="17" t="s">
        <v>49</v>
      </c>
      <c r="B51" s="7">
        <v>0</v>
      </c>
      <c r="C51" s="8">
        <f>IFERROR(B51/B444, "NA")</f>
        <v>0</v>
      </c>
      <c r="D51" s="9"/>
      <c r="E51" s="7">
        <v>0</v>
      </c>
      <c r="F51" s="8">
        <f>IFERROR(E51/E444, "NA")</f>
        <v>0</v>
      </c>
      <c r="G51" s="9"/>
      <c r="H51" s="10">
        <f t="shared" si="12"/>
        <v>0</v>
      </c>
      <c r="I51" s="8">
        <f>IFERROR(H51/H444, "NA")</f>
        <v>0</v>
      </c>
      <c r="J51" s="9"/>
      <c r="K51" s="7">
        <v>0</v>
      </c>
      <c r="L51" s="8">
        <f>IFERROR(K51/K444, "NA")</f>
        <v>0</v>
      </c>
      <c r="M51" s="9"/>
      <c r="N51" s="10">
        <f t="shared" si="13"/>
        <v>0</v>
      </c>
      <c r="O51" s="8">
        <f>IFERROR(N51/N444, "NA")</f>
        <v>0</v>
      </c>
      <c r="P51" s="9"/>
      <c r="Q51" s="7">
        <v>0</v>
      </c>
      <c r="R51" s="8">
        <f>IFERROR(Q51/Q444, "NA")</f>
        <v>0</v>
      </c>
      <c r="S51" s="9"/>
      <c r="T51" s="7">
        <v>0</v>
      </c>
      <c r="U51" s="8">
        <f>IFERROR(T51/T444, "NA")</f>
        <v>0</v>
      </c>
      <c r="V51" s="9"/>
      <c r="W51" s="10">
        <f t="shared" si="14"/>
        <v>0</v>
      </c>
      <c r="X51" s="8">
        <f>IFERROR(W51/W444, "NA")</f>
        <v>0</v>
      </c>
      <c r="Y51" s="9"/>
      <c r="Z51" s="7">
        <v>0</v>
      </c>
      <c r="AA51" s="8">
        <f>IFERROR(Z51/Z444, "NA")</f>
        <v>0</v>
      </c>
      <c r="AB51" s="9"/>
      <c r="AC51" s="10">
        <f t="shared" si="15"/>
        <v>0</v>
      </c>
      <c r="AD51" s="8">
        <f>IFERROR(AC51/AC444, "NA")</f>
        <v>0</v>
      </c>
    </row>
    <row r="52" spans="1:30" ht="16.5" hidden="1" customHeight="1" x14ac:dyDescent="0.45">
      <c r="A52" s="17" t="s">
        <v>50</v>
      </c>
      <c r="B52" s="7">
        <v>0</v>
      </c>
      <c r="C52" s="8">
        <f>IFERROR(B52/B444, "NA")</f>
        <v>0</v>
      </c>
      <c r="D52" s="9"/>
      <c r="E52" s="7">
        <v>0</v>
      </c>
      <c r="F52" s="8">
        <f>IFERROR(E52/E444, "NA")</f>
        <v>0</v>
      </c>
      <c r="G52" s="9"/>
      <c r="H52" s="10">
        <f t="shared" si="12"/>
        <v>0</v>
      </c>
      <c r="I52" s="8">
        <f>IFERROR(H52/H444, "NA")</f>
        <v>0</v>
      </c>
      <c r="J52" s="9"/>
      <c r="K52" s="7">
        <v>0</v>
      </c>
      <c r="L52" s="8">
        <f>IFERROR(K52/K444, "NA")</f>
        <v>0</v>
      </c>
      <c r="M52" s="9"/>
      <c r="N52" s="10">
        <f t="shared" si="13"/>
        <v>0</v>
      </c>
      <c r="O52" s="8">
        <f>IFERROR(N52/N444, "NA")</f>
        <v>0</v>
      </c>
      <c r="P52" s="9"/>
      <c r="Q52" s="7">
        <v>0</v>
      </c>
      <c r="R52" s="8">
        <f>IFERROR(Q52/Q444, "NA")</f>
        <v>0</v>
      </c>
      <c r="S52" s="9"/>
      <c r="T52" s="7">
        <v>0</v>
      </c>
      <c r="U52" s="8">
        <f>IFERROR(T52/T444, "NA")</f>
        <v>0</v>
      </c>
      <c r="V52" s="9"/>
      <c r="W52" s="10">
        <f t="shared" si="14"/>
        <v>0</v>
      </c>
      <c r="X52" s="8">
        <f>IFERROR(W52/W444, "NA")</f>
        <v>0</v>
      </c>
      <c r="Y52" s="9"/>
      <c r="Z52" s="7">
        <v>0</v>
      </c>
      <c r="AA52" s="8">
        <f>IFERROR(Z52/Z444, "NA")</f>
        <v>0</v>
      </c>
      <c r="AB52" s="9"/>
      <c r="AC52" s="10">
        <f t="shared" si="15"/>
        <v>0</v>
      </c>
      <c r="AD52" s="8">
        <f>IFERROR(AC52/AC444, "NA")</f>
        <v>0</v>
      </c>
    </row>
    <row r="53" spans="1:30" ht="16.5" hidden="1" customHeight="1" x14ac:dyDescent="0.45">
      <c r="A53" s="17" t="s">
        <v>51</v>
      </c>
      <c r="B53" s="7">
        <v>0</v>
      </c>
      <c r="C53" s="8">
        <f>IFERROR(B53/B444, "NA")</f>
        <v>0</v>
      </c>
      <c r="D53" s="9"/>
      <c r="E53" s="7">
        <v>0</v>
      </c>
      <c r="F53" s="8">
        <f>IFERROR(E53/E444, "NA")</f>
        <v>0</v>
      </c>
      <c r="G53" s="9"/>
      <c r="H53" s="10">
        <f t="shared" si="12"/>
        <v>0</v>
      </c>
      <c r="I53" s="8">
        <f>IFERROR(H53/H444, "NA")</f>
        <v>0</v>
      </c>
      <c r="J53" s="9"/>
      <c r="K53" s="7">
        <v>0</v>
      </c>
      <c r="L53" s="8">
        <f>IFERROR(K53/K444, "NA")</f>
        <v>0</v>
      </c>
      <c r="M53" s="9"/>
      <c r="N53" s="10">
        <f t="shared" si="13"/>
        <v>0</v>
      </c>
      <c r="O53" s="8">
        <f>IFERROR(N53/N444, "NA")</f>
        <v>0</v>
      </c>
      <c r="P53" s="9"/>
      <c r="Q53" s="7">
        <v>0</v>
      </c>
      <c r="R53" s="8">
        <f>IFERROR(Q53/Q444, "NA")</f>
        <v>0</v>
      </c>
      <c r="S53" s="9"/>
      <c r="T53" s="7">
        <v>0</v>
      </c>
      <c r="U53" s="8">
        <f>IFERROR(T53/T444, "NA")</f>
        <v>0</v>
      </c>
      <c r="V53" s="9"/>
      <c r="W53" s="10">
        <f t="shared" si="14"/>
        <v>0</v>
      </c>
      <c r="X53" s="8">
        <f>IFERROR(W53/W444, "NA")</f>
        <v>0</v>
      </c>
      <c r="Y53" s="9"/>
      <c r="Z53" s="7">
        <v>0</v>
      </c>
      <c r="AA53" s="8">
        <f>IFERROR(Z53/Z444, "NA")</f>
        <v>0</v>
      </c>
      <c r="AB53" s="9"/>
      <c r="AC53" s="10">
        <f t="shared" si="15"/>
        <v>0</v>
      </c>
      <c r="AD53" s="8">
        <f>IFERROR(AC53/AC444, "NA")</f>
        <v>0</v>
      </c>
    </row>
    <row r="54" spans="1:30" ht="16.5" hidden="1" customHeight="1" x14ac:dyDescent="0.45">
      <c r="A54" s="17" t="s">
        <v>52</v>
      </c>
      <c r="B54" s="7">
        <v>0</v>
      </c>
      <c r="C54" s="8">
        <f>IFERROR(B54/B444, "NA")</f>
        <v>0</v>
      </c>
      <c r="D54" s="9"/>
      <c r="E54" s="7">
        <v>0</v>
      </c>
      <c r="F54" s="8">
        <f>IFERROR(E54/E444, "NA")</f>
        <v>0</v>
      </c>
      <c r="G54" s="9"/>
      <c r="H54" s="10">
        <f t="shared" si="12"/>
        <v>0</v>
      </c>
      <c r="I54" s="8">
        <f>IFERROR(H54/H444, "NA")</f>
        <v>0</v>
      </c>
      <c r="J54" s="9"/>
      <c r="K54" s="7">
        <v>0</v>
      </c>
      <c r="L54" s="8">
        <f>IFERROR(K54/K444, "NA")</f>
        <v>0</v>
      </c>
      <c r="M54" s="9"/>
      <c r="N54" s="10">
        <f t="shared" si="13"/>
        <v>0</v>
      </c>
      <c r="O54" s="8">
        <f>IFERROR(N54/N444, "NA")</f>
        <v>0</v>
      </c>
      <c r="P54" s="9"/>
      <c r="Q54" s="7">
        <v>0</v>
      </c>
      <c r="R54" s="8">
        <f>IFERROR(Q54/Q444, "NA")</f>
        <v>0</v>
      </c>
      <c r="S54" s="9"/>
      <c r="T54" s="7">
        <v>0</v>
      </c>
      <c r="U54" s="8">
        <f>IFERROR(T54/T444, "NA")</f>
        <v>0</v>
      </c>
      <c r="V54" s="9"/>
      <c r="W54" s="10">
        <f t="shared" si="14"/>
        <v>0</v>
      </c>
      <c r="X54" s="8">
        <f>IFERROR(W54/W444, "NA")</f>
        <v>0</v>
      </c>
      <c r="Y54" s="9"/>
      <c r="Z54" s="7">
        <v>0</v>
      </c>
      <c r="AA54" s="8">
        <f>IFERROR(Z54/Z444, "NA")</f>
        <v>0</v>
      </c>
      <c r="AB54" s="9"/>
      <c r="AC54" s="10">
        <f t="shared" si="15"/>
        <v>0</v>
      </c>
      <c r="AD54" s="8">
        <f>IFERROR(AC54/AC444, "NA")</f>
        <v>0</v>
      </c>
    </row>
    <row r="55" spans="1:30" ht="16.5" customHeight="1" x14ac:dyDescent="0.45">
      <c r="A55" s="17" t="s">
        <v>53</v>
      </c>
      <c r="B55" s="7">
        <v>2285.35</v>
      </c>
      <c r="C55" s="8">
        <f>IFERROR(B55/B444, "NA")</f>
        <v>3.3664228286583796E-2</v>
      </c>
      <c r="D55" s="9"/>
      <c r="E55" s="7">
        <v>0</v>
      </c>
      <c r="F55" s="8">
        <f>IFERROR(E55/E444, "NA")</f>
        <v>0</v>
      </c>
      <c r="G55" s="9"/>
      <c r="H55" s="10">
        <f t="shared" si="12"/>
        <v>2285.35</v>
      </c>
      <c r="I55" s="8">
        <f>IFERROR(H55/H444, "NA")</f>
        <v>0.9892690486290876</v>
      </c>
      <c r="J55" s="9"/>
      <c r="K55" s="7">
        <v>0</v>
      </c>
      <c r="L55" s="8">
        <f>IFERROR(K55/K444, "NA")</f>
        <v>0</v>
      </c>
      <c r="M55" s="9"/>
      <c r="N55" s="10">
        <f t="shared" si="13"/>
        <v>2285.35</v>
      </c>
      <c r="O55" s="8">
        <f>IFERROR(N55/N444, "NA")</f>
        <v>0.56216991412539963</v>
      </c>
      <c r="P55" s="9"/>
      <c r="Q55" s="7">
        <v>2285.35</v>
      </c>
      <c r="R55" s="8">
        <f>IFERROR(Q55/Q444, "NA")</f>
        <v>3.3664228286583796E-2</v>
      </c>
      <c r="S55" s="9"/>
      <c r="T55" s="7">
        <v>0</v>
      </c>
      <c r="U55" s="8">
        <f>IFERROR(T55/T444, "NA")</f>
        <v>0</v>
      </c>
      <c r="V55" s="9"/>
      <c r="W55" s="10">
        <f t="shared" si="14"/>
        <v>2285.35</v>
      </c>
      <c r="X55" s="8">
        <f>IFERROR(W55/W444, "NA")</f>
        <v>0.9892690486290876</v>
      </c>
      <c r="Y55" s="9"/>
      <c r="Z55" s="7">
        <v>0</v>
      </c>
      <c r="AA55" s="8">
        <f>IFERROR(Z55/Z444, "NA")</f>
        <v>0</v>
      </c>
      <c r="AB55" s="9"/>
      <c r="AC55" s="10">
        <f t="shared" si="15"/>
        <v>2285.35</v>
      </c>
      <c r="AD55" s="8">
        <f>IFERROR(AC55/AC444, "NA")</f>
        <v>0.56216991412539963</v>
      </c>
    </row>
    <row r="56" spans="1:30" ht="16.5" hidden="1" customHeight="1" x14ac:dyDescent="0.45">
      <c r="A56" s="17" t="s">
        <v>54</v>
      </c>
      <c r="B56" s="7">
        <v>0</v>
      </c>
      <c r="C56" s="8">
        <f>IFERROR(B56/B444, "NA")</f>
        <v>0</v>
      </c>
      <c r="D56" s="9"/>
      <c r="E56" s="7">
        <v>0</v>
      </c>
      <c r="F56" s="8">
        <f>IFERROR(E56/E444, "NA")</f>
        <v>0</v>
      </c>
      <c r="G56" s="9"/>
      <c r="H56" s="10">
        <f t="shared" si="12"/>
        <v>0</v>
      </c>
      <c r="I56" s="8">
        <f>IFERROR(H56/H444, "NA")</f>
        <v>0</v>
      </c>
      <c r="J56" s="9"/>
      <c r="K56" s="7">
        <v>0</v>
      </c>
      <c r="L56" s="8">
        <f>IFERROR(K56/K444, "NA")</f>
        <v>0</v>
      </c>
      <c r="M56" s="9"/>
      <c r="N56" s="10">
        <f t="shared" si="13"/>
        <v>0</v>
      </c>
      <c r="O56" s="8">
        <f>IFERROR(N56/N444, "NA")</f>
        <v>0</v>
      </c>
      <c r="P56" s="9"/>
      <c r="Q56" s="7">
        <v>0</v>
      </c>
      <c r="R56" s="8">
        <f>IFERROR(Q56/Q444, "NA")</f>
        <v>0</v>
      </c>
      <c r="S56" s="9"/>
      <c r="T56" s="7">
        <v>0</v>
      </c>
      <c r="U56" s="8">
        <f>IFERROR(T56/T444, "NA")</f>
        <v>0</v>
      </c>
      <c r="V56" s="9"/>
      <c r="W56" s="10">
        <f t="shared" si="14"/>
        <v>0</v>
      </c>
      <c r="X56" s="8">
        <f>IFERROR(W56/W444, "NA")</f>
        <v>0</v>
      </c>
      <c r="Y56" s="9"/>
      <c r="Z56" s="7">
        <v>0</v>
      </c>
      <c r="AA56" s="8">
        <f>IFERROR(Z56/Z444, "NA")</f>
        <v>0</v>
      </c>
      <c r="AB56" s="9"/>
      <c r="AC56" s="10">
        <f t="shared" si="15"/>
        <v>0</v>
      </c>
      <c r="AD56" s="8">
        <f>IFERROR(AC56/AC444, "NA")</f>
        <v>0</v>
      </c>
    </row>
    <row r="57" spans="1:30" ht="16.5" customHeight="1" x14ac:dyDescent="0.45">
      <c r="A57" s="17" t="s">
        <v>55</v>
      </c>
      <c r="B57" s="7">
        <v>2077.6999999999998</v>
      </c>
      <c r="C57" s="8">
        <f>IFERROR(B57/B444, "NA")</f>
        <v>3.0605450854807866E-2</v>
      </c>
      <c r="D57" s="9"/>
      <c r="E57" s="7">
        <v>0</v>
      </c>
      <c r="F57" s="8">
        <f>IFERROR(E57/E444, "NA")</f>
        <v>0</v>
      </c>
      <c r="G57" s="9"/>
      <c r="H57" s="10">
        <f t="shared" si="12"/>
        <v>2077.6999999999998</v>
      </c>
      <c r="I57" s="8">
        <f>IFERROR(H57/H444, "NA")</f>
        <v>0.89938272139350872</v>
      </c>
      <c r="J57" s="9"/>
      <c r="K57" s="7">
        <v>0</v>
      </c>
      <c r="L57" s="8">
        <f>IFERROR(K57/K444, "NA")</f>
        <v>0</v>
      </c>
      <c r="M57" s="9"/>
      <c r="N57" s="10">
        <f t="shared" si="13"/>
        <v>2077.6999999999998</v>
      </c>
      <c r="O57" s="8">
        <f>IFERROR(N57/N444, "NA")</f>
        <v>0.51109039340947449</v>
      </c>
      <c r="P57" s="9"/>
      <c r="Q57" s="7">
        <v>2077.6999999999998</v>
      </c>
      <c r="R57" s="8">
        <f>IFERROR(Q57/Q444, "NA")</f>
        <v>3.0605450854807866E-2</v>
      </c>
      <c r="S57" s="9"/>
      <c r="T57" s="7">
        <v>0</v>
      </c>
      <c r="U57" s="8">
        <f>IFERROR(T57/T444, "NA")</f>
        <v>0</v>
      </c>
      <c r="V57" s="9"/>
      <c r="W57" s="10">
        <f t="shared" si="14"/>
        <v>2077.6999999999998</v>
      </c>
      <c r="X57" s="8">
        <f>IFERROR(W57/W444, "NA")</f>
        <v>0.89938272139350872</v>
      </c>
      <c r="Y57" s="9"/>
      <c r="Z57" s="7">
        <v>0</v>
      </c>
      <c r="AA57" s="8">
        <f>IFERROR(Z57/Z444, "NA")</f>
        <v>0</v>
      </c>
      <c r="AB57" s="9"/>
      <c r="AC57" s="10">
        <f t="shared" si="15"/>
        <v>2077.6999999999998</v>
      </c>
      <c r="AD57" s="8">
        <f>IFERROR(AC57/AC444, "NA")</f>
        <v>0.51109039340947449</v>
      </c>
    </row>
    <row r="58" spans="1:30" ht="16.5" hidden="1" customHeight="1" x14ac:dyDescent="0.45">
      <c r="A58" s="17" t="s">
        <v>56</v>
      </c>
      <c r="B58" s="7">
        <v>0</v>
      </c>
      <c r="C58" s="8">
        <f>IFERROR(B58/B444, "NA")</f>
        <v>0</v>
      </c>
      <c r="D58" s="9"/>
      <c r="E58" s="7">
        <v>0</v>
      </c>
      <c r="F58" s="8">
        <f>IFERROR(E58/E444, "NA")</f>
        <v>0</v>
      </c>
      <c r="G58" s="9"/>
      <c r="H58" s="10">
        <f t="shared" si="12"/>
        <v>0</v>
      </c>
      <c r="I58" s="8">
        <f>IFERROR(H58/H444, "NA")</f>
        <v>0</v>
      </c>
      <c r="J58" s="9"/>
      <c r="K58" s="7">
        <v>0</v>
      </c>
      <c r="L58" s="8">
        <f>IFERROR(K58/K444, "NA")</f>
        <v>0</v>
      </c>
      <c r="M58" s="9"/>
      <c r="N58" s="10">
        <f t="shared" si="13"/>
        <v>0</v>
      </c>
      <c r="O58" s="8">
        <f>IFERROR(N58/N444, "NA")</f>
        <v>0</v>
      </c>
      <c r="P58" s="9"/>
      <c r="Q58" s="7">
        <v>0</v>
      </c>
      <c r="R58" s="8">
        <f>IFERROR(Q58/Q444, "NA")</f>
        <v>0</v>
      </c>
      <c r="S58" s="9"/>
      <c r="T58" s="7">
        <v>0</v>
      </c>
      <c r="U58" s="8">
        <f>IFERROR(T58/T444, "NA")</f>
        <v>0</v>
      </c>
      <c r="V58" s="9"/>
      <c r="W58" s="10">
        <f t="shared" si="14"/>
        <v>0</v>
      </c>
      <c r="X58" s="8">
        <f>IFERROR(W58/W444, "NA")</f>
        <v>0</v>
      </c>
      <c r="Y58" s="9"/>
      <c r="Z58" s="7">
        <v>0</v>
      </c>
      <c r="AA58" s="8">
        <f>IFERROR(Z58/Z444, "NA")</f>
        <v>0</v>
      </c>
      <c r="AB58" s="9"/>
      <c r="AC58" s="10">
        <f t="shared" si="15"/>
        <v>0</v>
      </c>
      <c r="AD58" s="8">
        <f>IFERROR(AC58/AC444, "NA")</f>
        <v>0</v>
      </c>
    </row>
    <row r="59" spans="1:30" ht="16.5" hidden="1" customHeight="1" x14ac:dyDescent="0.45">
      <c r="A59" s="17" t="s">
        <v>57</v>
      </c>
      <c r="B59" s="7">
        <v>0</v>
      </c>
      <c r="C59" s="8">
        <f>IFERROR(B59/B444, "NA")</f>
        <v>0</v>
      </c>
      <c r="D59" s="9"/>
      <c r="E59" s="7">
        <v>0</v>
      </c>
      <c r="F59" s="8">
        <f>IFERROR(E59/E444, "NA")</f>
        <v>0</v>
      </c>
      <c r="G59" s="9"/>
      <c r="H59" s="10">
        <f t="shared" si="12"/>
        <v>0</v>
      </c>
      <c r="I59" s="8">
        <f>IFERROR(H59/H444, "NA")</f>
        <v>0</v>
      </c>
      <c r="J59" s="9"/>
      <c r="K59" s="7">
        <v>0</v>
      </c>
      <c r="L59" s="8">
        <f>IFERROR(K59/K444, "NA")</f>
        <v>0</v>
      </c>
      <c r="M59" s="9"/>
      <c r="N59" s="10">
        <f t="shared" si="13"/>
        <v>0</v>
      </c>
      <c r="O59" s="8">
        <f>IFERROR(N59/N444, "NA")</f>
        <v>0</v>
      </c>
      <c r="P59" s="9"/>
      <c r="Q59" s="7">
        <v>0</v>
      </c>
      <c r="R59" s="8">
        <f>IFERROR(Q59/Q444, "NA")</f>
        <v>0</v>
      </c>
      <c r="S59" s="9"/>
      <c r="T59" s="7">
        <v>0</v>
      </c>
      <c r="U59" s="8">
        <f>IFERROR(T59/T444, "NA")</f>
        <v>0</v>
      </c>
      <c r="V59" s="9"/>
      <c r="W59" s="10">
        <f t="shared" si="14"/>
        <v>0</v>
      </c>
      <c r="X59" s="8">
        <f>IFERROR(W59/W444, "NA")</f>
        <v>0</v>
      </c>
      <c r="Y59" s="9"/>
      <c r="Z59" s="7">
        <v>0</v>
      </c>
      <c r="AA59" s="8">
        <f>IFERROR(Z59/Z444, "NA")</f>
        <v>0</v>
      </c>
      <c r="AB59" s="9"/>
      <c r="AC59" s="10">
        <f t="shared" si="15"/>
        <v>0</v>
      </c>
      <c r="AD59" s="8">
        <f>IFERROR(AC59/AC444, "NA")</f>
        <v>0</v>
      </c>
    </row>
    <row r="60" spans="1:30" ht="16.5" hidden="1" customHeight="1" x14ac:dyDescent="0.45">
      <c r="A60" s="17" t="s">
        <v>58</v>
      </c>
      <c r="B60" s="7">
        <v>0</v>
      </c>
      <c r="C60" s="8">
        <f>IFERROR(B60/B444, "NA")</f>
        <v>0</v>
      </c>
      <c r="D60" s="9"/>
      <c r="E60" s="7">
        <v>0</v>
      </c>
      <c r="F60" s="8">
        <f>IFERROR(E60/E444, "NA")</f>
        <v>0</v>
      </c>
      <c r="G60" s="9"/>
      <c r="H60" s="10">
        <f t="shared" si="12"/>
        <v>0</v>
      </c>
      <c r="I60" s="8">
        <f>IFERROR(H60/H444, "NA")</f>
        <v>0</v>
      </c>
      <c r="J60" s="9"/>
      <c r="K60" s="7">
        <v>0</v>
      </c>
      <c r="L60" s="8">
        <f>IFERROR(K60/K444, "NA")</f>
        <v>0</v>
      </c>
      <c r="M60" s="9"/>
      <c r="N60" s="10">
        <f t="shared" si="13"/>
        <v>0</v>
      </c>
      <c r="O60" s="8">
        <f>IFERROR(N60/N444, "NA")</f>
        <v>0</v>
      </c>
      <c r="P60" s="9"/>
      <c r="Q60" s="7">
        <v>0</v>
      </c>
      <c r="R60" s="8">
        <f>IFERROR(Q60/Q444, "NA")</f>
        <v>0</v>
      </c>
      <c r="S60" s="9"/>
      <c r="T60" s="7">
        <v>0</v>
      </c>
      <c r="U60" s="8">
        <f>IFERROR(T60/T444, "NA")</f>
        <v>0</v>
      </c>
      <c r="V60" s="9"/>
      <c r="W60" s="10">
        <f t="shared" si="14"/>
        <v>0</v>
      </c>
      <c r="X60" s="8">
        <f>IFERROR(W60/W444, "NA")</f>
        <v>0</v>
      </c>
      <c r="Y60" s="9"/>
      <c r="Z60" s="7">
        <v>0</v>
      </c>
      <c r="AA60" s="8">
        <f>IFERROR(Z60/Z444, "NA")</f>
        <v>0</v>
      </c>
      <c r="AB60" s="9"/>
      <c r="AC60" s="10">
        <f t="shared" si="15"/>
        <v>0</v>
      </c>
      <c r="AD60" s="8">
        <f>IFERROR(AC60/AC444, "NA")</f>
        <v>0</v>
      </c>
    </row>
    <row r="61" spans="1:30" ht="16.5" customHeight="1" x14ac:dyDescent="0.45">
      <c r="A61" s="18" t="s">
        <v>59</v>
      </c>
      <c r="B61" s="14">
        <f>IFERROR(B46+B47+B48+B49+B50+B51+B52+B53+B54+B55+B56+B57+B58+B59+B60, "NA")</f>
        <v>6033.76</v>
      </c>
      <c r="C61" s="15">
        <f>IFERROR(B61/B444, "NA")</f>
        <v>8.8879985151708876E-2</v>
      </c>
      <c r="D61" s="2"/>
      <c r="E61" s="14">
        <f>IFERROR(E46+E47+E48+E49+E50+E51+E52+E53+E54+E55+E56+E57+E58+E59+E60, "NA")</f>
        <v>0</v>
      </c>
      <c r="F61" s="15">
        <f>IFERROR(E61/E444, "NA")</f>
        <v>0</v>
      </c>
      <c r="G61" s="2"/>
      <c r="H61" s="14">
        <f t="shared" si="12"/>
        <v>6033.76</v>
      </c>
      <c r="I61" s="15">
        <f>IFERROR(H61/H444, "NA")</f>
        <v>2.6118590215311634</v>
      </c>
      <c r="J61" s="2"/>
      <c r="K61" s="14">
        <f>IFERROR(K46+K47+K48+K49+K50+K51+K52+K53+K54+K55+K56+K57+K58+K59+K60, "NA")</f>
        <v>13833.54</v>
      </c>
      <c r="L61" s="15">
        <f>IFERROR(K61/K444, "NA")</f>
        <v>0.21675404335569731</v>
      </c>
      <c r="M61" s="2"/>
      <c r="N61" s="14">
        <f t="shared" si="13"/>
        <v>-7799.7800000000007</v>
      </c>
      <c r="O61" s="15">
        <f>IFERROR(N61/N444, "NA")</f>
        <v>-1.9186565089798104</v>
      </c>
      <c r="P61" s="2"/>
      <c r="Q61" s="14">
        <f>IFERROR(Q46+Q47+Q48+Q49+Q50+Q51+Q52+Q53+Q54+Q55+Q56+Q57+Q58+Q59+Q60, "NA")</f>
        <v>6033.76</v>
      </c>
      <c r="R61" s="15">
        <f>IFERROR(Q61/Q444, "NA")</f>
        <v>8.8879985151708876E-2</v>
      </c>
      <c r="S61" s="2"/>
      <c r="T61" s="14">
        <f>IFERROR(T46+T47+T48+T49+T50+T51+T52+T53+T54+T55+T56+T57+T58+T59+T60, "NA")</f>
        <v>0</v>
      </c>
      <c r="U61" s="15">
        <f>IFERROR(T61/T444, "NA")</f>
        <v>0</v>
      </c>
      <c r="V61" s="2"/>
      <c r="W61" s="14">
        <f t="shared" si="14"/>
        <v>6033.76</v>
      </c>
      <c r="X61" s="15">
        <f>IFERROR(W61/W444, "NA")</f>
        <v>2.6118590215311634</v>
      </c>
      <c r="Y61" s="2"/>
      <c r="Z61" s="14">
        <f>IFERROR(Z46+Z47+Z48+Z49+Z50+Z51+Z52+Z53+Z54+Z55+Z56+Z57+Z58+Z59+Z60, "NA")</f>
        <v>13833.54</v>
      </c>
      <c r="AA61" s="15">
        <f>IFERROR(Z61/Z444, "NA")</f>
        <v>0.21675404335569731</v>
      </c>
      <c r="AB61" s="2"/>
      <c r="AC61" s="14">
        <f t="shared" si="15"/>
        <v>-7799.7800000000007</v>
      </c>
      <c r="AD61" s="15">
        <f>IFERROR(AC61/AC444, "NA")</f>
        <v>-1.9186565089798104</v>
      </c>
    </row>
    <row r="62" spans="1:30" ht="16.5" customHeight="1" x14ac:dyDescent="0.45">
      <c r="A62" s="13" t="s">
        <v>60</v>
      </c>
      <c r="B62" s="14">
        <f>IFERROR(B42+B43+B44+B46+B47+B48+B49+B50+B51+B52+B53+B54+B55+B56+B57+B58+B59+B60, "NA")</f>
        <v>8141.33</v>
      </c>
      <c r="C62" s="15">
        <f>IFERROR(B62/B444, "NA")</f>
        <v>0.11992543447455019</v>
      </c>
      <c r="D62" s="2"/>
      <c r="E62" s="14">
        <f>IFERROR(E42+E43+E44+E46+E47+E48+E49+E50+E51+E52+E53+E54+E55+E56+E57+E58+E59+E60, "NA")</f>
        <v>13115.29</v>
      </c>
      <c r="F62" s="15">
        <f>IFERROR(E62/E444, "NA")</f>
        <v>0.1999999695012509</v>
      </c>
      <c r="G62" s="2"/>
      <c r="H62" s="14">
        <f t="shared" si="12"/>
        <v>-4973.9600000000009</v>
      </c>
      <c r="I62" s="15">
        <f>IFERROR(H62/H444, "NA")</f>
        <v>-2.153098946384203</v>
      </c>
      <c r="J62" s="2"/>
      <c r="K62" s="14">
        <f>IFERROR(K42+K43+K44+K46+K47+K48+K49+K50+K51+K52+K53+K54+K55+K56+K57+K58+K59+K60, "NA")</f>
        <v>17012.2</v>
      </c>
      <c r="L62" s="15">
        <f>IFERROR(K62/K444, "NA")</f>
        <v>0.26655961788347698</v>
      </c>
      <c r="M62" s="2"/>
      <c r="N62" s="14">
        <f t="shared" si="13"/>
        <v>-8870.8700000000008</v>
      </c>
      <c r="O62" s="15">
        <f>IFERROR(N62/N444, "NA")</f>
        <v>-2.1821323762739118</v>
      </c>
      <c r="P62" s="2"/>
      <c r="Q62" s="14">
        <f>IFERROR(Q42+Q43+Q44+Q46+Q47+Q48+Q49+Q50+Q51+Q52+Q53+Q54+Q55+Q56+Q57+Q58+Q59+Q60, "NA")</f>
        <v>8141.33</v>
      </c>
      <c r="R62" s="15">
        <f>IFERROR(Q62/Q444, "NA")</f>
        <v>0.11992543447455019</v>
      </c>
      <c r="S62" s="2"/>
      <c r="T62" s="14">
        <f>IFERROR(T42+T43+T44+T46+T47+T48+T49+T50+T51+T52+T53+T54+T55+T56+T57+T58+T59+T60, "NA")</f>
        <v>13115.29</v>
      </c>
      <c r="U62" s="15">
        <f>IFERROR(T62/T444, "NA")</f>
        <v>0.1999999695012509</v>
      </c>
      <c r="V62" s="2"/>
      <c r="W62" s="14">
        <f t="shared" si="14"/>
        <v>-4973.9600000000009</v>
      </c>
      <c r="X62" s="15">
        <f>IFERROR(W62/W444, "NA")</f>
        <v>-2.153098946384203</v>
      </c>
      <c r="Y62" s="2"/>
      <c r="Z62" s="14">
        <f>IFERROR(Z42+Z43+Z44+Z46+Z47+Z48+Z49+Z50+Z51+Z52+Z53+Z54+Z55+Z56+Z57+Z58+Z59+Z60, "NA")</f>
        <v>17012.2</v>
      </c>
      <c r="AA62" s="15">
        <f>IFERROR(Z62/Z444, "NA")</f>
        <v>0.26655961788347698</v>
      </c>
      <c r="AB62" s="2"/>
      <c r="AC62" s="14">
        <f t="shared" si="15"/>
        <v>-8870.8700000000008</v>
      </c>
      <c r="AD62" s="15">
        <f>IFERROR(AC62/AC444, "NA")</f>
        <v>-2.1821323762739118</v>
      </c>
    </row>
    <row r="63" spans="1:30" ht="16.5" customHeight="1" x14ac:dyDescent="0.45">
      <c r="A63" s="11" t="s">
        <v>61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45">
      <c r="A64" s="12" t="s">
        <v>61</v>
      </c>
      <c r="B64" s="7">
        <v>0</v>
      </c>
      <c r="C64" s="8">
        <f>IFERROR(B64/B444, "NA")</f>
        <v>0</v>
      </c>
      <c r="D64" s="9"/>
      <c r="E64" s="7">
        <v>6688.8</v>
      </c>
      <c r="F64" s="8">
        <f>IFERROR(E64/E444, "NA")</f>
        <v>0.10200001646932451</v>
      </c>
      <c r="G64" s="9"/>
      <c r="H64" s="10">
        <f t="shared" ref="H64:H73" si="16">IFERROR(B64-E64, "NA")</f>
        <v>-6688.8</v>
      </c>
      <c r="I64" s="8">
        <f>IFERROR(H64/H444, "NA")</f>
        <v>-2.8954089362549462</v>
      </c>
      <c r="J64" s="9"/>
      <c r="K64" s="7">
        <v>0</v>
      </c>
      <c r="L64" s="8">
        <f>IFERROR(K64/K444, "NA")</f>
        <v>0</v>
      </c>
      <c r="M64" s="9"/>
      <c r="N64" s="10">
        <f t="shared" ref="N64:N73" si="17">IFERROR(B64-K64, "NA")</f>
        <v>0</v>
      </c>
      <c r="O64" s="8">
        <f>IFERROR(N64/N444, "NA")</f>
        <v>0</v>
      </c>
      <c r="P64" s="9"/>
      <c r="Q64" s="7">
        <v>0</v>
      </c>
      <c r="R64" s="8">
        <f>IFERROR(Q64/Q444, "NA")</f>
        <v>0</v>
      </c>
      <c r="S64" s="9"/>
      <c r="T64" s="7">
        <v>6688.8</v>
      </c>
      <c r="U64" s="8">
        <f>IFERROR(T64/T444, "NA")</f>
        <v>0.10200001646932451</v>
      </c>
      <c r="V64" s="9"/>
      <c r="W64" s="10">
        <f t="shared" ref="W64:W73" si="18">IFERROR(Q64-T64, "NA")</f>
        <v>-6688.8</v>
      </c>
      <c r="X64" s="8">
        <f>IFERROR(W64/W444, "NA")</f>
        <v>-2.8954089362549462</v>
      </c>
      <c r="Y64" s="9"/>
      <c r="Z64" s="7">
        <v>0</v>
      </c>
      <c r="AA64" s="8">
        <f>IFERROR(Z64/Z444, "NA")</f>
        <v>0</v>
      </c>
      <c r="AB64" s="9"/>
      <c r="AC64" s="10">
        <f t="shared" ref="AC64:AC73" si="19">IFERROR(Q64-Z64, "NA")</f>
        <v>0</v>
      </c>
      <c r="AD64" s="8">
        <f>IFERROR(AC64/AC444, "NA")</f>
        <v>0</v>
      </c>
    </row>
    <row r="65" spans="1:30" ht="16.5" customHeight="1" x14ac:dyDescent="0.45">
      <c r="A65" s="12" t="s">
        <v>62</v>
      </c>
      <c r="B65" s="7">
        <v>5560</v>
      </c>
      <c r="C65" s="8">
        <f>IFERROR(B65/B444, "NA")</f>
        <v>8.1901288324941882E-2</v>
      </c>
      <c r="D65" s="9"/>
      <c r="E65" s="7">
        <v>0</v>
      </c>
      <c r="F65" s="8">
        <f>IFERROR(E65/E444, "NA")</f>
        <v>0</v>
      </c>
      <c r="G65" s="9"/>
      <c r="H65" s="10">
        <f t="shared" si="16"/>
        <v>5560</v>
      </c>
      <c r="I65" s="8">
        <f>IFERROR(H65/H444, "NA")</f>
        <v>2.4067805414390477</v>
      </c>
      <c r="J65" s="9"/>
      <c r="K65" s="7">
        <v>0</v>
      </c>
      <c r="L65" s="8">
        <f>IFERROR(K65/K444, "NA")</f>
        <v>0</v>
      </c>
      <c r="M65" s="9"/>
      <c r="N65" s="10">
        <f t="shared" si="17"/>
        <v>5560</v>
      </c>
      <c r="O65" s="8">
        <f>IFERROR(N65/N444, "NA")</f>
        <v>1.3676962927066847</v>
      </c>
      <c r="P65" s="9"/>
      <c r="Q65" s="7">
        <v>5560</v>
      </c>
      <c r="R65" s="8">
        <f>IFERROR(Q65/Q444, "NA")</f>
        <v>8.1901288324941882E-2</v>
      </c>
      <c r="S65" s="9"/>
      <c r="T65" s="7">
        <v>0</v>
      </c>
      <c r="U65" s="8">
        <f>IFERROR(T65/T444, "NA")</f>
        <v>0</v>
      </c>
      <c r="V65" s="9"/>
      <c r="W65" s="10">
        <f t="shared" si="18"/>
        <v>5560</v>
      </c>
      <c r="X65" s="8">
        <f>IFERROR(W65/W444, "NA")</f>
        <v>2.4067805414390477</v>
      </c>
      <c r="Y65" s="9"/>
      <c r="Z65" s="7">
        <v>0</v>
      </c>
      <c r="AA65" s="8">
        <f>IFERROR(Z65/Z444, "NA")</f>
        <v>0</v>
      </c>
      <c r="AB65" s="9"/>
      <c r="AC65" s="10">
        <f t="shared" si="19"/>
        <v>5560</v>
      </c>
      <c r="AD65" s="8">
        <f>IFERROR(AC65/AC444, "NA")</f>
        <v>1.3676962927066847</v>
      </c>
    </row>
    <row r="66" spans="1:30" ht="16.5" customHeight="1" x14ac:dyDescent="0.45">
      <c r="A66" s="12" t="s">
        <v>63</v>
      </c>
      <c r="B66" s="7">
        <v>0</v>
      </c>
      <c r="C66" s="8">
        <f>IFERROR(B66/B444, "NA")</f>
        <v>0</v>
      </c>
      <c r="D66" s="9"/>
      <c r="E66" s="7">
        <v>0</v>
      </c>
      <c r="F66" s="8">
        <f>IFERROR(E66/E444, "NA")</f>
        <v>0</v>
      </c>
      <c r="G66" s="9"/>
      <c r="H66" s="10">
        <f t="shared" si="16"/>
        <v>0</v>
      </c>
      <c r="I66" s="8">
        <f>IFERROR(H66/H444, "NA")</f>
        <v>0</v>
      </c>
      <c r="J66" s="9"/>
      <c r="K66" s="7">
        <v>400.22</v>
      </c>
      <c r="L66" s="8">
        <f>IFERROR(K66/K444, "NA")</f>
        <v>6.270940282228351E-3</v>
      </c>
      <c r="M66" s="9"/>
      <c r="N66" s="10">
        <f t="shared" si="17"/>
        <v>-400.22</v>
      </c>
      <c r="O66" s="8">
        <f>IFERROR(N66/N444, "NA")</f>
        <v>-9.8449534220695925E-2</v>
      </c>
      <c r="P66" s="9"/>
      <c r="Q66" s="7">
        <v>0</v>
      </c>
      <c r="R66" s="8">
        <f>IFERROR(Q66/Q444, "NA")</f>
        <v>0</v>
      </c>
      <c r="S66" s="9"/>
      <c r="T66" s="7">
        <v>0</v>
      </c>
      <c r="U66" s="8">
        <f>IFERROR(T66/T444, "NA")</f>
        <v>0</v>
      </c>
      <c r="V66" s="9"/>
      <c r="W66" s="10">
        <f t="shared" si="18"/>
        <v>0</v>
      </c>
      <c r="X66" s="8">
        <f>IFERROR(W66/W444, "NA")</f>
        <v>0</v>
      </c>
      <c r="Y66" s="9"/>
      <c r="Z66" s="7">
        <v>400.22</v>
      </c>
      <c r="AA66" s="8">
        <f>IFERROR(Z66/Z444, "NA")</f>
        <v>6.270940282228351E-3</v>
      </c>
      <c r="AB66" s="9"/>
      <c r="AC66" s="10">
        <f t="shared" si="19"/>
        <v>-400.22</v>
      </c>
      <c r="AD66" s="8">
        <f>IFERROR(AC66/AC444, "NA")</f>
        <v>-9.8449534220695925E-2</v>
      </c>
    </row>
    <row r="67" spans="1:30" ht="16.5" hidden="1" customHeight="1" x14ac:dyDescent="0.45">
      <c r="A67" s="12" t="s">
        <v>64</v>
      </c>
      <c r="B67" s="7">
        <v>0</v>
      </c>
      <c r="C67" s="8">
        <f>IFERROR(B67/B444, "NA")</f>
        <v>0</v>
      </c>
      <c r="D67" s="9"/>
      <c r="E67" s="7">
        <v>0</v>
      </c>
      <c r="F67" s="8">
        <f>IFERROR(E67/E444, "NA")</f>
        <v>0</v>
      </c>
      <c r="G67" s="9"/>
      <c r="H67" s="10">
        <f t="shared" si="16"/>
        <v>0</v>
      </c>
      <c r="I67" s="8">
        <f>IFERROR(H67/H444, "NA")</f>
        <v>0</v>
      </c>
      <c r="J67" s="9"/>
      <c r="K67" s="7">
        <v>0</v>
      </c>
      <c r="L67" s="8">
        <f>IFERROR(K67/K444, "NA")</f>
        <v>0</v>
      </c>
      <c r="M67" s="9"/>
      <c r="N67" s="10">
        <f t="shared" si="17"/>
        <v>0</v>
      </c>
      <c r="O67" s="8">
        <f>IFERROR(N67/N444, "NA")</f>
        <v>0</v>
      </c>
      <c r="P67" s="9"/>
      <c r="Q67" s="7">
        <v>0</v>
      </c>
      <c r="R67" s="8">
        <f>IFERROR(Q67/Q444, "NA")</f>
        <v>0</v>
      </c>
      <c r="S67" s="9"/>
      <c r="T67" s="7">
        <v>0</v>
      </c>
      <c r="U67" s="8">
        <f>IFERROR(T67/T444, "NA")</f>
        <v>0</v>
      </c>
      <c r="V67" s="9"/>
      <c r="W67" s="10">
        <f t="shared" si="18"/>
        <v>0</v>
      </c>
      <c r="X67" s="8">
        <f>IFERROR(W67/W444, "NA")</f>
        <v>0</v>
      </c>
      <c r="Y67" s="9"/>
      <c r="Z67" s="7">
        <v>0</v>
      </c>
      <c r="AA67" s="8">
        <f>IFERROR(Z67/Z444, "NA")</f>
        <v>0</v>
      </c>
      <c r="AB67" s="9"/>
      <c r="AC67" s="10">
        <f t="shared" si="19"/>
        <v>0</v>
      </c>
      <c r="AD67" s="8">
        <f>IFERROR(AC67/AC444, "NA")</f>
        <v>0</v>
      </c>
    </row>
    <row r="68" spans="1:30" ht="16.5" hidden="1" customHeight="1" x14ac:dyDescent="0.45">
      <c r="A68" s="12" t="s">
        <v>65</v>
      </c>
      <c r="B68" s="7">
        <v>0</v>
      </c>
      <c r="C68" s="8">
        <f>IFERROR(B68/B444, "NA")</f>
        <v>0</v>
      </c>
      <c r="D68" s="9"/>
      <c r="E68" s="7">
        <v>0</v>
      </c>
      <c r="F68" s="8">
        <f>IFERROR(E68/E444, "NA")</f>
        <v>0</v>
      </c>
      <c r="G68" s="9"/>
      <c r="H68" s="10">
        <f t="shared" si="16"/>
        <v>0</v>
      </c>
      <c r="I68" s="8">
        <f>IFERROR(H68/H444, "NA")</f>
        <v>0</v>
      </c>
      <c r="J68" s="9"/>
      <c r="K68" s="7">
        <v>0</v>
      </c>
      <c r="L68" s="8">
        <f>IFERROR(K68/K444, "NA")</f>
        <v>0</v>
      </c>
      <c r="M68" s="9"/>
      <c r="N68" s="10">
        <f t="shared" si="17"/>
        <v>0</v>
      </c>
      <c r="O68" s="8">
        <f>IFERROR(N68/N444, "NA")</f>
        <v>0</v>
      </c>
      <c r="P68" s="9"/>
      <c r="Q68" s="7">
        <v>0</v>
      </c>
      <c r="R68" s="8">
        <f>IFERROR(Q68/Q444, "NA")</f>
        <v>0</v>
      </c>
      <c r="S68" s="9"/>
      <c r="T68" s="7">
        <v>0</v>
      </c>
      <c r="U68" s="8">
        <f>IFERROR(T68/T444, "NA")</f>
        <v>0</v>
      </c>
      <c r="V68" s="9"/>
      <c r="W68" s="10">
        <f t="shared" si="18"/>
        <v>0</v>
      </c>
      <c r="X68" s="8">
        <f>IFERROR(W68/W444, "NA")</f>
        <v>0</v>
      </c>
      <c r="Y68" s="9"/>
      <c r="Z68" s="7">
        <v>0</v>
      </c>
      <c r="AA68" s="8">
        <f>IFERROR(Z68/Z444, "NA")</f>
        <v>0</v>
      </c>
      <c r="AB68" s="9"/>
      <c r="AC68" s="10">
        <f t="shared" si="19"/>
        <v>0</v>
      </c>
      <c r="AD68" s="8">
        <f>IFERROR(AC68/AC444, "NA")</f>
        <v>0</v>
      </c>
    </row>
    <row r="69" spans="1:30" ht="16.5" customHeight="1" x14ac:dyDescent="0.45">
      <c r="A69" s="12" t="s">
        <v>66</v>
      </c>
      <c r="B69" s="7">
        <v>2260</v>
      </c>
      <c r="C69" s="8">
        <f>IFERROR(B69/B444, "NA")</f>
        <v>3.3290811441433213E-2</v>
      </c>
      <c r="D69" s="9"/>
      <c r="E69" s="7">
        <v>0</v>
      </c>
      <c r="F69" s="8">
        <f>IFERROR(E69/E444, "NA")</f>
        <v>0</v>
      </c>
      <c r="G69" s="9"/>
      <c r="H69" s="10">
        <f t="shared" si="16"/>
        <v>2260</v>
      </c>
      <c r="I69" s="8">
        <f>IFERROR(H69/H444, "NA")</f>
        <v>0.97829568770723874</v>
      </c>
      <c r="J69" s="9"/>
      <c r="K69" s="7">
        <v>0</v>
      </c>
      <c r="L69" s="8">
        <f>IFERROR(K69/K444, "NA")</f>
        <v>0</v>
      </c>
      <c r="M69" s="9"/>
      <c r="N69" s="10">
        <f t="shared" si="17"/>
        <v>2260</v>
      </c>
      <c r="O69" s="8">
        <f>IFERROR(N69/N444, "NA")</f>
        <v>0.55593410458940784</v>
      </c>
      <c r="P69" s="9"/>
      <c r="Q69" s="7">
        <v>2260</v>
      </c>
      <c r="R69" s="8">
        <f>IFERROR(Q69/Q444, "NA")</f>
        <v>3.3290811441433213E-2</v>
      </c>
      <c r="S69" s="9"/>
      <c r="T69" s="7">
        <v>0</v>
      </c>
      <c r="U69" s="8">
        <f>IFERROR(T69/T444, "NA")</f>
        <v>0</v>
      </c>
      <c r="V69" s="9"/>
      <c r="W69" s="10">
        <f t="shared" si="18"/>
        <v>2260</v>
      </c>
      <c r="X69" s="8">
        <f>IFERROR(W69/W444, "NA")</f>
        <v>0.97829568770723874</v>
      </c>
      <c r="Y69" s="9"/>
      <c r="Z69" s="7">
        <v>0</v>
      </c>
      <c r="AA69" s="8">
        <f>IFERROR(Z69/Z444, "NA")</f>
        <v>0</v>
      </c>
      <c r="AB69" s="9"/>
      <c r="AC69" s="10">
        <f t="shared" si="19"/>
        <v>2260</v>
      </c>
      <c r="AD69" s="8">
        <f>IFERROR(AC69/AC444, "NA")</f>
        <v>0.55593410458940784</v>
      </c>
    </row>
    <row r="70" spans="1:30" ht="16.5" customHeight="1" x14ac:dyDescent="0.45">
      <c r="A70" s="12" t="s">
        <v>67</v>
      </c>
      <c r="B70" s="7">
        <v>5452.5</v>
      </c>
      <c r="C70" s="8">
        <f>IFERROR(B70/B444, "NA")</f>
        <v>8.0317765214342737E-2</v>
      </c>
      <c r="D70" s="9"/>
      <c r="E70" s="7">
        <v>0</v>
      </c>
      <c r="F70" s="8">
        <f>IFERROR(E70/E444, "NA")</f>
        <v>0</v>
      </c>
      <c r="G70" s="9"/>
      <c r="H70" s="10">
        <f t="shared" si="16"/>
        <v>5452.5</v>
      </c>
      <c r="I70" s="8">
        <f>IFERROR(H70/H444, "NA")</f>
        <v>2.3602465651432385</v>
      </c>
      <c r="J70" s="9"/>
      <c r="K70" s="7">
        <v>0</v>
      </c>
      <c r="L70" s="8">
        <f>IFERROR(K70/K444, "NA")</f>
        <v>0</v>
      </c>
      <c r="M70" s="9"/>
      <c r="N70" s="10">
        <f t="shared" si="17"/>
        <v>5452.5</v>
      </c>
      <c r="O70" s="8">
        <f>IFERROR(N70/N444, "NA")</f>
        <v>1.3412525244574096</v>
      </c>
      <c r="P70" s="9"/>
      <c r="Q70" s="7">
        <v>5452.5</v>
      </c>
      <c r="R70" s="8">
        <f>IFERROR(Q70/Q444, "NA")</f>
        <v>8.0317765214342737E-2</v>
      </c>
      <c r="S70" s="9"/>
      <c r="T70" s="7">
        <v>0</v>
      </c>
      <c r="U70" s="8">
        <f>IFERROR(T70/T444, "NA")</f>
        <v>0</v>
      </c>
      <c r="V70" s="9"/>
      <c r="W70" s="10">
        <f t="shared" si="18"/>
        <v>5452.5</v>
      </c>
      <c r="X70" s="8">
        <f>IFERROR(W70/W444, "NA")</f>
        <v>2.3602465651432385</v>
      </c>
      <c r="Y70" s="9"/>
      <c r="Z70" s="7">
        <v>0</v>
      </c>
      <c r="AA70" s="8">
        <f>IFERROR(Z70/Z444, "NA")</f>
        <v>0</v>
      </c>
      <c r="AB70" s="9"/>
      <c r="AC70" s="10">
        <f t="shared" si="19"/>
        <v>5452.5</v>
      </c>
      <c r="AD70" s="8">
        <f>IFERROR(AC70/AC444, "NA")</f>
        <v>1.3412525244574096</v>
      </c>
    </row>
    <row r="71" spans="1:30" ht="16.5" hidden="1" customHeight="1" x14ac:dyDescent="0.45">
      <c r="A71" s="12" t="s">
        <v>68</v>
      </c>
      <c r="B71" s="7">
        <v>0</v>
      </c>
      <c r="C71" s="8">
        <f>IFERROR(B71/B444, "NA")</f>
        <v>0</v>
      </c>
      <c r="D71" s="9"/>
      <c r="E71" s="7">
        <v>0</v>
      </c>
      <c r="F71" s="8">
        <f>IFERROR(E71/E444, "NA")</f>
        <v>0</v>
      </c>
      <c r="G71" s="9"/>
      <c r="H71" s="10">
        <f t="shared" si="16"/>
        <v>0</v>
      </c>
      <c r="I71" s="8">
        <f>IFERROR(H71/H444, "NA")</f>
        <v>0</v>
      </c>
      <c r="J71" s="9"/>
      <c r="K71" s="7">
        <v>0</v>
      </c>
      <c r="L71" s="8">
        <f>IFERROR(K71/K444, "NA")</f>
        <v>0</v>
      </c>
      <c r="M71" s="9"/>
      <c r="N71" s="10">
        <f t="shared" si="17"/>
        <v>0</v>
      </c>
      <c r="O71" s="8">
        <f>IFERROR(N71/N444, "NA")</f>
        <v>0</v>
      </c>
      <c r="P71" s="9"/>
      <c r="Q71" s="7">
        <v>0</v>
      </c>
      <c r="R71" s="8">
        <f>IFERROR(Q71/Q444, "NA")</f>
        <v>0</v>
      </c>
      <c r="S71" s="9"/>
      <c r="T71" s="7">
        <v>0</v>
      </c>
      <c r="U71" s="8">
        <f>IFERROR(T71/T444, "NA")</f>
        <v>0</v>
      </c>
      <c r="V71" s="9"/>
      <c r="W71" s="10">
        <f t="shared" si="18"/>
        <v>0</v>
      </c>
      <c r="X71" s="8">
        <f>IFERROR(W71/W444, "NA")</f>
        <v>0</v>
      </c>
      <c r="Y71" s="9"/>
      <c r="Z71" s="7">
        <v>0</v>
      </c>
      <c r="AA71" s="8">
        <f>IFERROR(Z71/Z444, "NA")</f>
        <v>0</v>
      </c>
      <c r="AB71" s="9"/>
      <c r="AC71" s="10">
        <f t="shared" si="19"/>
        <v>0</v>
      </c>
      <c r="AD71" s="8">
        <f>IFERROR(AC71/AC444, "NA")</f>
        <v>0</v>
      </c>
    </row>
    <row r="72" spans="1:30" ht="16.5" hidden="1" customHeight="1" x14ac:dyDescent="0.45">
      <c r="A72" s="12" t="s">
        <v>69</v>
      </c>
      <c r="B72" s="7">
        <v>0</v>
      </c>
      <c r="C72" s="8">
        <f>IFERROR(B72/B444, "NA")</f>
        <v>0</v>
      </c>
      <c r="D72" s="9"/>
      <c r="E72" s="7">
        <v>0</v>
      </c>
      <c r="F72" s="8">
        <f>IFERROR(E72/E444, "NA")</f>
        <v>0</v>
      </c>
      <c r="G72" s="9"/>
      <c r="H72" s="10">
        <f t="shared" si="16"/>
        <v>0</v>
      </c>
      <c r="I72" s="8">
        <f>IFERROR(H72/H444, "NA")</f>
        <v>0</v>
      </c>
      <c r="J72" s="9"/>
      <c r="K72" s="7">
        <v>0</v>
      </c>
      <c r="L72" s="8">
        <f>IFERROR(K72/K444, "NA")</f>
        <v>0</v>
      </c>
      <c r="M72" s="9"/>
      <c r="N72" s="10">
        <f t="shared" si="17"/>
        <v>0</v>
      </c>
      <c r="O72" s="8">
        <f>IFERROR(N72/N444, "NA")</f>
        <v>0</v>
      </c>
      <c r="P72" s="9"/>
      <c r="Q72" s="7">
        <v>0</v>
      </c>
      <c r="R72" s="8">
        <f>IFERROR(Q72/Q444, "NA")</f>
        <v>0</v>
      </c>
      <c r="S72" s="9"/>
      <c r="T72" s="7">
        <v>0</v>
      </c>
      <c r="U72" s="8">
        <f>IFERROR(T72/T444, "NA")</f>
        <v>0</v>
      </c>
      <c r="V72" s="9"/>
      <c r="W72" s="10">
        <f t="shared" si="18"/>
        <v>0</v>
      </c>
      <c r="X72" s="8">
        <f>IFERROR(W72/W444, "NA")</f>
        <v>0</v>
      </c>
      <c r="Y72" s="9"/>
      <c r="Z72" s="7">
        <v>0</v>
      </c>
      <c r="AA72" s="8">
        <f>IFERROR(Z72/Z444, "NA")</f>
        <v>0</v>
      </c>
      <c r="AB72" s="9"/>
      <c r="AC72" s="10">
        <f t="shared" si="19"/>
        <v>0</v>
      </c>
      <c r="AD72" s="8">
        <f>IFERROR(AC72/AC444, "NA")</f>
        <v>0</v>
      </c>
    </row>
    <row r="73" spans="1:30" ht="16.5" customHeight="1" x14ac:dyDescent="0.45">
      <c r="A73" s="13" t="s">
        <v>70</v>
      </c>
      <c r="B73" s="14">
        <f>IFERROR(B64+B65+B66+B67+B68+B69+B70+B71+B72, "NA")</f>
        <v>13272.5</v>
      </c>
      <c r="C73" s="15">
        <f>IFERROR(B73/B444, "NA")</f>
        <v>0.19550986498071782</v>
      </c>
      <c r="D73" s="2"/>
      <c r="E73" s="14">
        <f>IFERROR(E64+E65+E66+E67+E68+E69+E70+E71+E72, "NA")</f>
        <v>6688.8</v>
      </c>
      <c r="F73" s="15">
        <f>IFERROR(E73/E444, "NA")</f>
        <v>0.10200001646932451</v>
      </c>
      <c r="G73" s="2"/>
      <c r="H73" s="14">
        <f t="shared" si="16"/>
        <v>6583.7</v>
      </c>
      <c r="I73" s="15">
        <f>IFERROR(H73/H444, "NA")</f>
        <v>2.8499138580345784</v>
      </c>
      <c r="J73" s="2"/>
      <c r="K73" s="14">
        <f>IFERROR(K64+K65+K66+K67+K68+K69+K70+K71+K72, "NA")</f>
        <v>400.22</v>
      </c>
      <c r="L73" s="15">
        <f>IFERROR(K73/K444, "NA")</f>
        <v>6.270940282228351E-3</v>
      </c>
      <c r="M73" s="2"/>
      <c r="N73" s="14">
        <f t="shared" si="17"/>
        <v>12872.28</v>
      </c>
      <c r="O73" s="15">
        <f>IFERROR(N73/N444, "NA")</f>
        <v>3.1664333875328063</v>
      </c>
      <c r="P73" s="2"/>
      <c r="Q73" s="14">
        <f>IFERROR(Q64+Q65+Q66+Q67+Q68+Q69+Q70+Q71+Q72, "NA")</f>
        <v>13272.5</v>
      </c>
      <c r="R73" s="15">
        <f>IFERROR(Q73/Q444, "NA")</f>
        <v>0.19550986498071782</v>
      </c>
      <c r="S73" s="2"/>
      <c r="T73" s="14">
        <f>IFERROR(T64+T65+T66+T67+T68+T69+T70+T71+T72, "NA")</f>
        <v>6688.8</v>
      </c>
      <c r="U73" s="15">
        <f>IFERROR(T73/T444, "NA")</f>
        <v>0.10200001646932451</v>
      </c>
      <c r="V73" s="2"/>
      <c r="W73" s="14">
        <f t="shared" si="18"/>
        <v>6583.7</v>
      </c>
      <c r="X73" s="15">
        <f>IFERROR(W73/W444, "NA")</f>
        <v>2.8499138580345784</v>
      </c>
      <c r="Y73" s="2"/>
      <c r="Z73" s="14">
        <f>IFERROR(Z64+Z65+Z66+Z67+Z68+Z69+Z70+Z71+Z72, "NA")</f>
        <v>400.22</v>
      </c>
      <c r="AA73" s="15">
        <f>IFERROR(Z73/Z444, "NA")</f>
        <v>6.270940282228351E-3</v>
      </c>
      <c r="AB73" s="2"/>
      <c r="AC73" s="14">
        <f t="shared" si="19"/>
        <v>12872.28</v>
      </c>
      <c r="AD73" s="15">
        <f>IFERROR(AC73/AC444, "NA")</f>
        <v>3.1664333875328063</v>
      </c>
    </row>
    <row r="74" spans="1:30" ht="16.5" customHeight="1" x14ac:dyDescent="0.45">
      <c r="A74" s="11" t="s">
        <v>71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45">
      <c r="A75" s="12" t="s">
        <v>71</v>
      </c>
      <c r="B75" s="7">
        <v>0</v>
      </c>
      <c r="C75" s="8">
        <f>IFERROR(B75/B444, "NA")</f>
        <v>0</v>
      </c>
      <c r="D75" s="9"/>
      <c r="E75" s="7">
        <v>524.61</v>
      </c>
      <c r="F75" s="8">
        <f>IFERROR(E75/E444, "NA")</f>
        <v>7.9999743810507604E-3</v>
      </c>
      <c r="G75" s="9"/>
      <c r="H75" s="10">
        <f t="shared" ref="H75:H92" si="20">IFERROR(B75-E75, "NA")</f>
        <v>-524.61</v>
      </c>
      <c r="I75" s="8">
        <f>IFERROR(H75/H444, "NA")</f>
        <v>-0.22709013306552855</v>
      </c>
      <c r="J75" s="9"/>
      <c r="K75" s="7">
        <v>0</v>
      </c>
      <c r="L75" s="8">
        <f>IFERROR(K75/K444, "NA")</f>
        <v>0</v>
      </c>
      <c r="M75" s="9"/>
      <c r="N75" s="10">
        <f t="shared" ref="N75:N92" si="21">IFERROR(B75-K75, "NA")</f>
        <v>0</v>
      </c>
      <c r="O75" s="8">
        <f>IFERROR(N75/N444, "NA")</f>
        <v>0</v>
      </c>
      <c r="P75" s="9"/>
      <c r="Q75" s="7">
        <v>0</v>
      </c>
      <c r="R75" s="8">
        <f>IFERROR(Q75/Q444, "NA")</f>
        <v>0</v>
      </c>
      <c r="S75" s="9"/>
      <c r="T75" s="7">
        <v>524.61</v>
      </c>
      <c r="U75" s="8">
        <f>IFERROR(T75/T444, "NA")</f>
        <v>7.9999743810507604E-3</v>
      </c>
      <c r="V75" s="9"/>
      <c r="W75" s="10">
        <f t="shared" ref="W75:W92" si="22">IFERROR(Q75-T75, "NA")</f>
        <v>-524.61</v>
      </c>
      <c r="X75" s="8">
        <f>IFERROR(W75/W444, "NA")</f>
        <v>-0.22709013306552855</v>
      </c>
      <c r="Y75" s="9"/>
      <c r="Z75" s="7">
        <v>0</v>
      </c>
      <c r="AA75" s="8">
        <f>IFERROR(Z75/Z444, "NA")</f>
        <v>0</v>
      </c>
      <c r="AB75" s="9"/>
      <c r="AC75" s="10">
        <f t="shared" ref="AC75:AC92" si="23">IFERROR(Q75-Z75, "NA")</f>
        <v>0</v>
      </c>
      <c r="AD75" s="8">
        <f>IFERROR(AC75/AC444, "NA")</f>
        <v>0</v>
      </c>
    </row>
    <row r="76" spans="1:30" ht="16.5" hidden="1" customHeight="1" x14ac:dyDescent="0.45">
      <c r="A76" s="12" t="s">
        <v>72</v>
      </c>
      <c r="B76" s="7">
        <v>0</v>
      </c>
      <c r="C76" s="8">
        <f>IFERROR(B76/B444, "NA")</f>
        <v>0</v>
      </c>
      <c r="D76" s="9"/>
      <c r="E76" s="7">
        <v>0</v>
      </c>
      <c r="F76" s="8">
        <f>IFERROR(E76/E444, "NA")</f>
        <v>0</v>
      </c>
      <c r="G76" s="9"/>
      <c r="H76" s="10">
        <f t="shared" si="20"/>
        <v>0</v>
      </c>
      <c r="I76" s="8">
        <f>IFERROR(H76/H444, "NA")</f>
        <v>0</v>
      </c>
      <c r="J76" s="9"/>
      <c r="K76" s="7">
        <v>0</v>
      </c>
      <c r="L76" s="8">
        <f>IFERROR(K76/K444, "NA")</f>
        <v>0</v>
      </c>
      <c r="M76" s="9"/>
      <c r="N76" s="10">
        <f t="shared" si="21"/>
        <v>0</v>
      </c>
      <c r="O76" s="8">
        <f>IFERROR(N76/N444, "NA")</f>
        <v>0</v>
      </c>
      <c r="P76" s="9"/>
      <c r="Q76" s="7">
        <v>0</v>
      </c>
      <c r="R76" s="8">
        <f>IFERROR(Q76/Q444, "NA")</f>
        <v>0</v>
      </c>
      <c r="S76" s="9"/>
      <c r="T76" s="7">
        <v>0</v>
      </c>
      <c r="U76" s="8">
        <f>IFERROR(T76/T444, "NA")</f>
        <v>0</v>
      </c>
      <c r="V76" s="9"/>
      <c r="W76" s="10">
        <f t="shared" si="22"/>
        <v>0</v>
      </c>
      <c r="X76" s="8">
        <f>IFERROR(W76/W444, "NA")</f>
        <v>0</v>
      </c>
      <c r="Y76" s="9"/>
      <c r="Z76" s="7">
        <v>0</v>
      </c>
      <c r="AA76" s="8">
        <f>IFERROR(Z76/Z444, "NA")</f>
        <v>0</v>
      </c>
      <c r="AB76" s="9"/>
      <c r="AC76" s="10">
        <f t="shared" si="23"/>
        <v>0</v>
      </c>
      <c r="AD76" s="8">
        <f>IFERROR(AC76/AC444, "NA")</f>
        <v>0</v>
      </c>
    </row>
    <row r="77" spans="1:30" ht="16.5" customHeight="1" x14ac:dyDescent="0.45">
      <c r="A77" s="12" t="s">
        <v>73</v>
      </c>
      <c r="B77" s="7">
        <v>203.03</v>
      </c>
      <c r="C77" s="8">
        <f>IFERROR(B77/B444, "NA")</f>
        <v>2.9907227641390198E-3</v>
      </c>
      <c r="D77" s="9"/>
      <c r="E77" s="7">
        <v>0</v>
      </c>
      <c r="F77" s="8">
        <f>IFERROR(E77/E444, "NA")</f>
        <v>0</v>
      </c>
      <c r="G77" s="9"/>
      <c r="H77" s="10">
        <f t="shared" si="20"/>
        <v>203.03</v>
      </c>
      <c r="I77" s="8">
        <f>IFERROR(H77/H444, "NA")</f>
        <v>8.7886448440354287E-2</v>
      </c>
      <c r="J77" s="9"/>
      <c r="K77" s="7">
        <v>287.39</v>
      </c>
      <c r="L77" s="8">
        <f>IFERROR(K77/K444, "NA")</f>
        <v>4.5030371488421509E-3</v>
      </c>
      <c r="M77" s="9"/>
      <c r="N77" s="10">
        <f t="shared" si="21"/>
        <v>-84.359999999999985</v>
      </c>
      <c r="O77" s="8">
        <f>IFERROR(N77/N444, "NA")</f>
        <v>-2.0751593390779838E-2</v>
      </c>
      <c r="P77" s="9"/>
      <c r="Q77" s="7">
        <v>203.03</v>
      </c>
      <c r="R77" s="8">
        <f>IFERROR(Q77/Q444, "NA")</f>
        <v>2.9907227641390198E-3</v>
      </c>
      <c r="S77" s="9"/>
      <c r="T77" s="7">
        <v>0</v>
      </c>
      <c r="U77" s="8">
        <f>IFERROR(T77/T444, "NA")</f>
        <v>0</v>
      </c>
      <c r="V77" s="9"/>
      <c r="W77" s="10">
        <f t="shared" si="22"/>
        <v>203.03</v>
      </c>
      <c r="X77" s="8">
        <f>IFERROR(W77/W444, "NA")</f>
        <v>8.7886448440354287E-2</v>
      </c>
      <c r="Y77" s="9"/>
      <c r="Z77" s="7">
        <v>287.39</v>
      </c>
      <c r="AA77" s="8">
        <f>IFERROR(Z77/Z444, "NA")</f>
        <v>4.5030371488421509E-3</v>
      </c>
      <c r="AB77" s="9"/>
      <c r="AC77" s="10">
        <f t="shared" si="23"/>
        <v>-84.359999999999985</v>
      </c>
      <c r="AD77" s="8">
        <f>IFERROR(AC77/AC444, "NA")</f>
        <v>-2.0751593390779838E-2</v>
      </c>
    </row>
    <row r="78" spans="1:30" ht="16.5" customHeight="1" x14ac:dyDescent="0.45">
      <c r="A78" s="12" t="s">
        <v>74</v>
      </c>
      <c r="B78" s="7">
        <v>0</v>
      </c>
      <c r="C78" s="8">
        <f>IFERROR(B78/B444, "NA")</f>
        <v>0</v>
      </c>
      <c r="D78" s="9"/>
      <c r="E78" s="7">
        <v>0</v>
      </c>
      <c r="F78" s="8">
        <f>IFERROR(E78/E444, "NA")</f>
        <v>0</v>
      </c>
      <c r="G78" s="9"/>
      <c r="H78" s="10">
        <f t="shared" si="20"/>
        <v>0</v>
      </c>
      <c r="I78" s="8">
        <f>IFERROR(H78/H444, "NA")</f>
        <v>0</v>
      </c>
      <c r="J78" s="9"/>
      <c r="K78" s="7">
        <v>25</v>
      </c>
      <c r="L78" s="8">
        <f>IFERROR(K78/K444, "NA")</f>
        <v>3.917183225618629E-4</v>
      </c>
      <c r="M78" s="9"/>
      <c r="N78" s="10">
        <f t="shared" si="21"/>
        <v>-25</v>
      </c>
      <c r="O78" s="8">
        <f>IFERROR(N78/N444, "NA")</f>
        <v>-6.1497135463430067E-3</v>
      </c>
      <c r="P78" s="9"/>
      <c r="Q78" s="7">
        <v>0</v>
      </c>
      <c r="R78" s="8">
        <f>IFERROR(Q78/Q444, "NA")</f>
        <v>0</v>
      </c>
      <c r="S78" s="9"/>
      <c r="T78" s="7">
        <v>0</v>
      </c>
      <c r="U78" s="8">
        <f>IFERROR(T78/T444, "NA")</f>
        <v>0</v>
      </c>
      <c r="V78" s="9"/>
      <c r="W78" s="10">
        <f t="shared" si="22"/>
        <v>0</v>
      </c>
      <c r="X78" s="8">
        <f>IFERROR(W78/W444, "NA")</f>
        <v>0</v>
      </c>
      <c r="Y78" s="9"/>
      <c r="Z78" s="7">
        <v>25</v>
      </c>
      <c r="AA78" s="8">
        <f>IFERROR(Z78/Z444, "NA")</f>
        <v>3.917183225618629E-4</v>
      </c>
      <c r="AB78" s="9"/>
      <c r="AC78" s="10">
        <f t="shared" si="23"/>
        <v>-25</v>
      </c>
      <c r="AD78" s="8">
        <f>IFERROR(AC78/AC444, "NA")</f>
        <v>-6.1497135463430067E-3</v>
      </c>
    </row>
    <row r="79" spans="1:30" ht="16.5" hidden="1" customHeight="1" x14ac:dyDescent="0.45">
      <c r="A79" s="12" t="s">
        <v>75</v>
      </c>
      <c r="B79" s="7">
        <v>0</v>
      </c>
      <c r="C79" s="8">
        <f>IFERROR(B79/B444, "NA")</f>
        <v>0</v>
      </c>
      <c r="D79" s="9"/>
      <c r="E79" s="7">
        <v>0</v>
      </c>
      <c r="F79" s="8">
        <f>IFERROR(E79/E444, "NA")</f>
        <v>0</v>
      </c>
      <c r="G79" s="9"/>
      <c r="H79" s="10">
        <f t="shared" si="20"/>
        <v>0</v>
      </c>
      <c r="I79" s="8">
        <f>IFERROR(H79/H444, "NA")</f>
        <v>0</v>
      </c>
      <c r="J79" s="9"/>
      <c r="K79" s="7">
        <v>0</v>
      </c>
      <c r="L79" s="8">
        <f>IFERROR(K79/K444, "NA")</f>
        <v>0</v>
      </c>
      <c r="M79" s="9"/>
      <c r="N79" s="10">
        <f t="shared" si="21"/>
        <v>0</v>
      </c>
      <c r="O79" s="8">
        <f>IFERROR(N79/N444, "NA")</f>
        <v>0</v>
      </c>
      <c r="P79" s="9"/>
      <c r="Q79" s="7">
        <v>0</v>
      </c>
      <c r="R79" s="8">
        <f>IFERROR(Q79/Q444, "NA")</f>
        <v>0</v>
      </c>
      <c r="S79" s="9"/>
      <c r="T79" s="7">
        <v>0</v>
      </c>
      <c r="U79" s="8">
        <f>IFERROR(T79/T444, "NA")</f>
        <v>0</v>
      </c>
      <c r="V79" s="9"/>
      <c r="W79" s="10">
        <f t="shared" si="22"/>
        <v>0</v>
      </c>
      <c r="X79" s="8">
        <f>IFERROR(W79/W444, "NA")</f>
        <v>0</v>
      </c>
      <c r="Y79" s="9"/>
      <c r="Z79" s="7">
        <v>0</v>
      </c>
      <c r="AA79" s="8">
        <f>IFERROR(Z79/Z444, "NA")</f>
        <v>0</v>
      </c>
      <c r="AB79" s="9"/>
      <c r="AC79" s="10">
        <f t="shared" si="23"/>
        <v>0</v>
      </c>
      <c r="AD79" s="8">
        <f>IFERROR(AC79/AC444, "NA")</f>
        <v>0</v>
      </c>
    </row>
    <row r="80" spans="1:30" ht="16.5" customHeight="1" x14ac:dyDescent="0.45">
      <c r="A80" s="12" t="s">
        <v>76</v>
      </c>
      <c r="B80" s="7">
        <v>111.02</v>
      </c>
      <c r="C80" s="8">
        <f>IFERROR(B80/B444, "NA")</f>
        <v>1.6353742859415554E-3</v>
      </c>
      <c r="D80" s="9"/>
      <c r="E80" s="7">
        <v>0</v>
      </c>
      <c r="F80" s="8">
        <f>IFERROR(E80/E444, "NA")</f>
        <v>0</v>
      </c>
      <c r="G80" s="9"/>
      <c r="H80" s="10">
        <f t="shared" si="20"/>
        <v>111.02</v>
      </c>
      <c r="I80" s="8">
        <f>IFERROR(H80/H444, "NA")</f>
        <v>4.8057693473122852E-2</v>
      </c>
      <c r="J80" s="9"/>
      <c r="K80" s="7">
        <v>1251.19</v>
      </c>
      <c r="L80" s="8">
        <f>IFERROR(K80/K444, "NA")</f>
        <v>1.960456192024709E-2</v>
      </c>
      <c r="M80" s="9"/>
      <c r="N80" s="10">
        <f t="shared" si="21"/>
        <v>-1140.17</v>
      </c>
      <c r="O80" s="8">
        <f>IFERROR(N80/N444, "NA")</f>
        <v>-0.28046875576535624</v>
      </c>
      <c r="P80" s="9"/>
      <c r="Q80" s="7">
        <v>111.02</v>
      </c>
      <c r="R80" s="8">
        <f>IFERROR(Q80/Q444, "NA")</f>
        <v>1.6353742859415554E-3</v>
      </c>
      <c r="S80" s="9"/>
      <c r="T80" s="7">
        <v>0</v>
      </c>
      <c r="U80" s="8">
        <f>IFERROR(T80/T444, "NA")</f>
        <v>0</v>
      </c>
      <c r="V80" s="9"/>
      <c r="W80" s="10">
        <f t="shared" si="22"/>
        <v>111.02</v>
      </c>
      <c r="X80" s="8">
        <f>IFERROR(W80/W444, "NA")</f>
        <v>4.8057693473122852E-2</v>
      </c>
      <c r="Y80" s="9"/>
      <c r="Z80" s="7">
        <v>1251.19</v>
      </c>
      <c r="AA80" s="8">
        <f>IFERROR(Z80/Z444, "NA")</f>
        <v>1.960456192024709E-2</v>
      </c>
      <c r="AB80" s="9"/>
      <c r="AC80" s="10">
        <f t="shared" si="23"/>
        <v>-1140.17</v>
      </c>
      <c r="AD80" s="8">
        <f>IFERROR(AC80/AC444, "NA")</f>
        <v>-0.28046875576535624</v>
      </c>
    </row>
    <row r="81" spans="1:30" ht="16.5" hidden="1" customHeight="1" x14ac:dyDescent="0.45">
      <c r="A81" s="12" t="s">
        <v>77</v>
      </c>
      <c r="B81" s="7">
        <v>0</v>
      </c>
      <c r="C81" s="8">
        <f>IFERROR(B81/B444, "NA")</f>
        <v>0</v>
      </c>
      <c r="D81" s="9"/>
      <c r="E81" s="7">
        <v>0</v>
      </c>
      <c r="F81" s="8">
        <f>IFERROR(E81/E444, "NA")</f>
        <v>0</v>
      </c>
      <c r="G81" s="9"/>
      <c r="H81" s="10">
        <f t="shared" si="20"/>
        <v>0</v>
      </c>
      <c r="I81" s="8">
        <f>IFERROR(H81/H444, "NA")</f>
        <v>0</v>
      </c>
      <c r="J81" s="9"/>
      <c r="K81" s="7">
        <v>0</v>
      </c>
      <c r="L81" s="8">
        <f>IFERROR(K81/K444, "NA")</f>
        <v>0</v>
      </c>
      <c r="M81" s="9"/>
      <c r="N81" s="10">
        <f t="shared" si="21"/>
        <v>0</v>
      </c>
      <c r="O81" s="8">
        <f>IFERROR(N81/N444, "NA")</f>
        <v>0</v>
      </c>
      <c r="P81" s="9"/>
      <c r="Q81" s="7">
        <v>0</v>
      </c>
      <c r="R81" s="8">
        <f>IFERROR(Q81/Q444, "NA")</f>
        <v>0</v>
      </c>
      <c r="S81" s="9"/>
      <c r="T81" s="7">
        <v>0</v>
      </c>
      <c r="U81" s="8">
        <f>IFERROR(T81/T444, "NA")</f>
        <v>0</v>
      </c>
      <c r="V81" s="9"/>
      <c r="W81" s="10">
        <f t="shared" si="22"/>
        <v>0</v>
      </c>
      <c r="X81" s="8">
        <f>IFERROR(W81/W444, "NA")</f>
        <v>0</v>
      </c>
      <c r="Y81" s="9"/>
      <c r="Z81" s="7">
        <v>0</v>
      </c>
      <c r="AA81" s="8">
        <f>IFERROR(Z81/Z444, "NA")</f>
        <v>0</v>
      </c>
      <c r="AB81" s="9"/>
      <c r="AC81" s="10">
        <f t="shared" si="23"/>
        <v>0</v>
      </c>
      <c r="AD81" s="8">
        <f>IFERROR(AC81/AC444, "NA")</f>
        <v>0</v>
      </c>
    </row>
    <row r="82" spans="1:30" ht="16.5" hidden="1" customHeight="1" x14ac:dyDescent="0.45">
      <c r="A82" s="12" t="s">
        <v>78</v>
      </c>
      <c r="B82" s="7">
        <v>0</v>
      </c>
      <c r="C82" s="8">
        <f>IFERROR(B82/B444, "NA")</f>
        <v>0</v>
      </c>
      <c r="D82" s="9"/>
      <c r="E82" s="7">
        <v>0</v>
      </c>
      <c r="F82" s="8">
        <f>IFERROR(E82/E444, "NA")</f>
        <v>0</v>
      </c>
      <c r="G82" s="9"/>
      <c r="H82" s="10">
        <f t="shared" si="20"/>
        <v>0</v>
      </c>
      <c r="I82" s="8">
        <f>IFERROR(H82/H444, "NA")</f>
        <v>0</v>
      </c>
      <c r="J82" s="9"/>
      <c r="K82" s="7">
        <v>0</v>
      </c>
      <c r="L82" s="8">
        <f>IFERROR(K82/K444, "NA")</f>
        <v>0</v>
      </c>
      <c r="M82" s="9"/>
      <c r="N82" s="10">
        <f t="shared" si="21"/>
        <v>0</v>
      </c>
      <c r="O82" s="8">
        <f>IFERROR(N82/N444, "NA")</f>
        <v>0</v>
      </c>
      <c r="P82" s="9"/>
      <c r="Q82" s="7">
        <v>0</v>
      </c>
      <c r="R82" s="8">
        <f>IFERROR(Q82/Q444, "NA")</f>
        <v>0</v>
      </c>
      <c r="S82" s="9"/>
      <c r="T82" s="7">
        <v>0</v>
      </c>
      <c r="U82" s="8">
        <f>IFERROR(T82/T444, "NA")</f>
        <v>0</v>
      </c>
      <c r="V82" s="9"/>
      <c r="W82" s="10">
        <f t="shared" si="22"/>
        <v>0</v>
      </c>
      <c r="X82" s="8">
        <f>IFERROR(W82/W444, "NA")</f>
        <v>0</v>
      </c>
      <c r="Y82" s="9"/>
      <c r="Z82" s="7">
        <v>0</v>
      </c>
      <c r="AA82" s="8">
        <f>IFERROR(Z82/Z444, "NA")</f>
        <v>0</v>
      </c>
      <c r="AB82" s="9"/>
      <c r="AC82" s="10">
        <f t="shared" si="23"/>
        <v>0</v>
      </c>
      <c r="AD82" s="8">
        <f>IFERROR(AC82/AC444, "NA")</f>
        <v>0</v>
      </c>
    </row>
    <row r="83" spans="1:30" ht="16.5" hidden="1" customHeight="1" x14ac:dyDescent="0.45">
      <c r="A83" s="12" t="s">
        <v>79</v>
      </c>
      <c r="B83" s="7">
        <v>0</v>
      </c>
      <c r="C83" s="8">
        <f>IFERROR(B83/B444, "NA")</f>
        <v>0</v>
      </c>
      <c r="D83" s="9"/>
      <c r="E83" s="7">
        <v>0</v>
      </c>
      <c r="F83" s="8">
        <f>IFERROR(E83/E444, "NA")</f>
        <v>0</v>
      </c>
      <c r="G83" s="9"/>
      <c r="H83" s="10">
        <f t="shared" si="20"/>
        <v>0</v>
      </c>
      <c r="I83" s="8">
        <f>IFERROR(H83/H444, "NA")</f>
        <v>0</v>
      </c>
      <c r="J83" s="9"/>
      <c r="K83" s="7">
        <v>0</v>
      </c>
      <c r="L83" s="8">
        <f>IFERROR(K83/K444, "NA")</f>
        <v>0</v>
      </c>
      <c r="M83" s="9"/>
      <c r="N83" s="10">
        <f t="shared" si="21"/>
        <v>0</v>
      </c>
      <c r="O83" s="8">
        <f>IFERROR(N83/N444, "NA")</f>
        <v>0</v>
      </c>
      <c r="P83" s="9"/>
      <c r="Q83" s="7">
        <v>0</v>
      </c>
      <c r="R83" s="8">
        <f>IFERROR(Q83/Q444, "NA")</f>
        <v>0</v>
      </c>
      <c r="S83" s="9"/>
      <c r="T83" s="7">
        <v>0</v>
      </c>
      <c r="U83" s="8">
        <f>IFERROR(T83/T444, "NA")</f>
        <v>0</v>
      </c>
      <c r="V83" s="9"/>
      <c r="W83" s="10">
        <f t="shared" si="22"/>
        <v>0</v>
      </c>
      <c r="X83" s="8">
        <f>IFERROR(W83/W444, "NA")</f>
        <v>0</v>
      </c>
      <c r="Y83" s="9"/>
      <c r="Z83" s="7">
        <v>0</v>
      </c>
      <c r="AA83" s="8">
        <f>IFERROR(Z83/Z444, "NA")</f>
        <v>0</v>
      </c>
      <c r="AB83" s="9"/>
      <c r="AC83" s="10">
        <f t="shared" si="23"/>
        <v>0</v>
      </c>
      <c r="AD83" s="8">
        <f>IFERROR(AC83/AC444, "NA")</f>
        <v>0</v>
      </c>
    </row>
    <row r="84" spans="1:30" ht="16.5" hidden="1" customHeight="1" x14ac:dyDescent="0.45">
      <c r="A84" s="12" t="s">
        <v>80</v>
      </c>
      <c r="B84" s="7">
        <v>0</v>
      </c>
      <c r="C84" s="8">
        <f>IFERROR(B84/B444, "NA")</f>
        <v>0</v>
      </c>
      <c r="D84" s="9"/>
      <c r="E84" s="7">
        <v>0</v>
      </c>
      <c r="F84" s="8">
        <f>IFERROR(E84/E444, "NA")</f>
        <v>0</v>
      </c>
      <c r="G84" s="9"/>
      <c r="H84" s="10">
        <f t="shared" si="20"/>
        <v>0</v>
      </c>
      <c r="I84" s="8">
        <f>IFERROR(H84/H444, "NA")</f>
        <v>0</v>
      </c>
      <c r="J84" s="9"/>
      <c r="K84" s="7">
        <v>0</v>
      </c>
      <c r="L84" s="8">
        <f>IFERROR(K84/K444, "NA")</f>
        <v>0</v>
      </c>
      <c r="M84" s="9"/>
      <c r="N84" s="10">
        <f t="shared" si="21"/>
        <v>0</v>
      </c>
      <c r="O84" s="8">
        <f>IFERROR(N84/N444, "NA")</f>
        <v>0</v>
      </c>
      <c r="P84" s="9"/>
      <c r="Q84" s="7">
        <v>0</v>
      </c>
      <c r="R84" s="8">
        <f>IFERROR(Q84/Q444, "NA")</f>
        <v>0</v>
      </c>
      <c r="S84" s="9"/>
      <c r="T84" s="7">
        <v>0</v>
      </c>
      <c r="U84" s="8">
        <f>IFERROR(T84/T444, "NA")</f>
        <v>0</v>
      </c>
      <c r="V84" s="9"/>
      <c r="W84" s="10">
        <f t="shared" si="22"/>
        <v>0</v>
      </c>
      <c r="X84" s="8">
        <f>IFERROR(W84/W444, "NA")</f>
        <v>0</v>
      </c>
      <c r="Y84" s="9"/>
      <c r="Z84" s="7">
        <v>0</v>
      </c>
      <c r="AA84" s="8">
        <f>IFERROR(Z84/Z444, "NA")</f>
        <v>0</v>
      </c>
      <c r="AB84" s="9"/>
      <c r="AC84" s="10">
        <f t="shared" si="23"/>
        <v>0</v>
      </c>
      <c r="AD84" s="8">
        <f>IFERROR(AC84/AC444, "NA")</f>
        <v>0</v>
      </c>
    </row>
    <row r="85" spans="1:30" ht="16.5" hidden="1" customHeight="1" x14ac:dyDescent="0.45">
      <c r="A85" s="12" t="s">
        <v>81</v>
      </c>
      <c r="B85" s="7">
        <v>0</v>
      </c>
      <c r="C85" s="8">
        <f>IFERROR(B85/B444, "NA")</f>
        <v>0</v>
      </c>
      <c r="D85" s="9"/>
      <c r="E85" s="7">
        <v>0</v>
      </c>
      <c r="F85" s="8">
        <f>IFERROR(E85/E444, "NA")</f>
        <v>0</v>
      </c>
      <c r="G85" s="9"/>
      <c r="H85" s="10">
        <f t="shared" si="20"/>
        <v>0</v>
      </c>
      <c r="I85" s="8">
        <f>IFERROR(H85/H444, "NA")</f>
        <v>0</v>
      </c>
      <c r="J85" s="9"/>
      <c r="K85" s="7">
        <v>0</v>
      </c>
      <c r="L85" s="8">
        <f>IFERROR(K85/K444, "NA")</f>
        <v>0</v>
      </c>
      <c r="M85" s="9"/>
      <c r="N85" s="10">
        <f t="shared" si="21"/>
        <v>0</v>
      </c>
      <c r="O85" s="8">
        <f>IFERROR(N85/N444, "NA")</f>
        <v>0</v>
      </c>
      <c r="P85" s="9"/>
      <c r="Q85" s="7">
        <v>0</v>
      </c>
      <c r="R85" s="8">
        <f>IFERROR(Q85/Q444, "NA")</f>
        <v>0</v>
      </c>
      <c r="S85" s="9"/>
      <c r="T85" s="7">
        <v>0</v>
      </c>
      <c r="U85" s="8">
        <f>IFERROR(T85/T444, "NA")</f>
        <v>0</v>
      </c>
      <c r="V85" s="9"/>
      <c r="W85" s="10">
        <f t="shared" si="22"/>
        <v>0</v>
      </c>
      <c r="X85" s="8">
        <f>IFERROR(W85/W444, "NA")</f>
        <v>0</v>
      </c>
      <c r="Y85" s="9"/>
      <c r="Z85" s="7">
        <v>0</v>
      </c>
      <c r="AA85" s="8">
        <f>IFERROR(Z85/Z444, "NA")</f>
        <v>0</v>
      </c>
      <c r="AB85" s="9"/>
      <c r="AC85" s="10">
        <f t="shared" si="23"/>
        <v>0</v>
      </c>
      <c r="AD85" s="8">
        <f>IFERROR(AC85/AC444, "NA")</f>
        <v>0</v>
      </c>
    </row>
    <row r="86" spans="1:30" ht="16.5" customHeight="1" x14ac:dyDescent="0.45">
      <c r="A86" s="12" t="s">
        <v>82</v>
      </c>
      <c r="B86" s="7">
        <v>25</v>
      </c>
      <c r="C86" s="8">
        <f>IFERROR(B86/B444, "NA")</f>
        <v>3.6826118851142933E-4</v>
      </c>
      <c r="D86" s="9"/>
      <c r="E86" s="7">
        <v>0</v>
      </c>
      <c r="F86" s="8">
        <f>IFERROR(E86/E444, "NA")</f>
        <v>0</v>
      </c>
      <c r="G86" s="9"/>
      <c r="H86" s="10">
        <f t="shared" si="20"/>
        <v>25</v>
      </c>
      <c r="I86" s="8">
        <f>IFERROR(H86/H444, "NA")</f>
        <v>1.0821854952513704E-2</v>
      </c>
      <c r="J86" s="9"/>
      <c r="K86" s="7">
        <v>0</v>
      </c>
      <c r="L86" s="8">
        <f>IFERROR(K86/K444, "NA")</f>
        <v>0</v>
      </c>
      <c r="M86" s="9"/>
      <c r="N86" s="10">
        <f t="shared" si="21"/>
        <v>25</v>
      </c>
      <c r="O86" s="8">
        <f>IFERROR(N86/N444, "NA")</f>
        <v>6.1497135463430067E-3</v>
      </c>
      <c r="P86" s="9"/>
      <c r="Q86" s="7">
        <v>25</v>
      </c>
      <c r="R86" s="8">
        <f>IFERROR(Q86/Q444, "NA")</f>
        <v>3.6826118851142933E-4</v>
      </c>
      <c r="S86" s="9"/>
      <c r="T86" s="7">
        <v>0</v>
      </c>
      <c r="U86" s="8">
        <f>IFERROR(T86/T444, "NA")</f>
        <v>0</v>
      </c>
      <c r="V86" s="9"/>
      <c r="W86" s="10">
        <f t="shared" si="22"/>
        <v>25</v>
      </c>
      <c r="X86" s="8">
        <f>IFERROR(W86/W444, "NA")</f>
        <v>1.0821854952513704E-2</v>
      </c>
      <c r="Y86" s="9"/>
      <c r="Z86" s="7">
        <v>0</v>
      </c>
      <c r="AA86" s="8">
        <f>IFERROR(Z86/Z444, "NA")</f>
        <v>0</v>
      </c>
      <c r="AB86" s="9"/>
      <c r="AC86" s="10">
        <f t="shared" si="23"/>
        <v>25</v>
      </c>
      <c r="AD86" s="8">
        <f>IFERROR(AC86/AC444, "NA")</f>
        <v>6.1497135463430067E-3</v>
      </c>
    </row>
    <row r="87" spans="1:30" ht="16.5" hidden="1" customHeight="1" x14ac:dyDescent="0.45">
      <c r="A87" s="12" t="s">
        <v>83</v>
      </c>
      <c r="B87" s="7">
        <v>0</v>
      </c>
      <c r="C87" s="8">
        <f>IFERROR(B87/B444, "NA")</f>
        <v>0</v>
      </c>
      <c r="D87" s="9"/>
      <c r="E87" s="7">
        <v>0</v>
      </c>
      <c r="F87" s="8">
        <f>IFERROR(E87/E444, "NA")</f>
        <v>0</v>
      </c>
      <c r="G87" s="9"/>
      <c r="H87" s="10">
        <f t="shared" si="20"/>
        <v>0</v>
      </c>
      <c r="I87" s="8">
        <f>IFERROR(H87/H444, "NA")</f>
        <v>0</v>
      </c>
      <c r="J87" s="9"/>
      <c r="K87" s="7">
        <v>0</v>
      </c>
      <c r="L87" s="8">
        <f>IFERROR(K87/K444, "NA")</f>
        <v>0</v>
      </c>
      <c r="M87" s="9"/>
      <c r="N87" s="10">
        <f t="shared" si="21"/>
        <v>0</v>
      </c>
      <c r="O87" s="8">
        <f>IFERROR(N87/N444, "NA")</f>
        <v>0</v>
      </c>
      <c r="P87" s="9"/>
      <c r="Q87" s="7">
        <v>0</v>
      </c>
      <c r="R87" s="8">
        <f>IFERROR(Q87/Q444, "NA")</f>
        <v>0</v>
      </c>
      <c r="S87" s="9"/>
      <c r="T87" s="7">
        <v>0</v>
      </c>
      <c r="U87" s="8">
        <f>IFERROR(T87/T444, "NA")</f>
        <v>0</v>
      </c>
      <c r="V87" s="9"/>
      <c r="W87" s="10">
        <f t="shared" si="22"/>
        <v>0</v>
      </c>
      <c r="X87" s="8">
        <f>IFERROR(W87/W444, "NA")</f>
        <v>0</v>
      </c>
      <c r="Y87" s="9"/>
      <c r="Z87" s="7">
        <v>0</v>
      </c>
      <c r="AA87" s="8">
        <f>IFERROR(Z87/Z444, "NA")</f>
        <v>0</v>
      </c>
      <c r="AB87" s="9"/>
      <c r="AC87" s="10">
        <f t="shared" si="23"/>
        <v>0</v>
      </c>
      <c r="AD87" s="8">
        <f>IFERROR(AC87/AC444, "NA")</f>
        <v>0</v>
      </c>
    </row>
    <row r="88" spans="1:30" ht="16.5" customHeight="1" x14ac:dyDescent="0.45">
      <c r="A88" s="13" t="s">
        <v>84</v>
      </c>
      <c r="B88" s="14">
        <f>IFERROR(B75+B76+B77+B78+B79+B80+B81+B82+B83+B84+B85+B86+B87, "NA")</f>
        <v>339.05</v>
      </c>
      <c r="C88" s="15">
        <f>IFERROR(B88/B444, "NA")</f>
        <v>4.9943582385920046E-3</v>
      </c>
      <c r="D88" s="2"/>
      <c r="E88" s="14">
        <f>IFERROR(E75+E76+E77+E78+E79+E80+E81+E82+E83+E84+E85+E86+E87, "NA")</f>
        <v>524.61</v>
      </c>
      <c r="F88" s="15">
        <f>IFERROR(E88/E444, "NA")</f>
        <v>7.9999743810507604E-3</v>
      </c>
      <c r="G88" s="2"/>
      <c r="H88" s="14">
        <f t="shared" si="20"/>
        <v>-185.56</v>
      </c>
      <c r="I88" s="15">
        <f>IFERROR(H88/H444, "NA")</f>
        <v>-8.032413619953771E-2</v>
      </c>
      <c r="J88" s="2"/>
      <c r="K88" s="14">
        <f>IFERROR(K75+K76+K77+K78+K79+K80+K81+K82+K83+K84+K85+K86+K87, "NA")</f>
        <v>1563.58</v>
      </c>
      <c r="L88" s="15">
        <f>IFERROR(K88/K444, "NA")</f>
        <v>2.44993173916511E-2</v>
      </c>
      <c r="M88" s="2"/>
      <c r="N88" s="14">
        <f t="shared" si="21"/>
        <v>-1224.53</v>
      </c>
      <c r="O88" s="15">
        <f>IFERROR(N88/N444, "NA")</f>
        <v>-0.30122034915613605</v>
      </c>
      <c r="P88" s="2"/>
      <c r="Q88" s="14">
        <f>IFERROR(Q75+Q76+Q77+Q78+Q79+Q80+Q81+Q82+Q83+Q84+Q85+Q86+Q87, "NA")</f>
        <v>339.05</v>
      </c>
      <c r="R88" s="15">
        <f>IFERROR(Q88/Q444, "NA")</f>
        <v>4.9943582385920046E-3</v>
      </c>
      <c r="S88" s="2"/>
      <c r="T88" s="14">
        <f>IFERROR(T75+T76+T77+T78+T79+T80+T81+T82+T83+T84+T85+T86+T87, "NA")</f>
        <v>524.61</v>
      </c>
      <c r="U88" s="15">
        <f>IFERROR(T88/T444, "NA")</f>
        <v>7.9999743810507604E-3</v>
      </c>
      <c r="V88" s="2"/>
      <c r="W88" s="14">
        <f t="shared" si="22"/>
        <v>-185.56</v>
      </c>
      <c r="X88" s="15">
        <f>IFERROR(W88/W444, "NA")</f>
        <v>-8.032413619953771E-2</v>
      </c>
      <c r="Y88" s="2"/>
      <c r="Z88" s="14">
        <f>IFERROR(Z75+Z76+Z77+Z78+Z79+Z80+Z81+Z82+Z83+Z84+Z85+Z86+Z87, "NA")</f>
        <v>1563.58</v>
      </c>
      <c r="AA88" s="15">
        <f>IFERROR(Z88/Z444, "NA")</f>
        <v>2.44993173916511E-2</v>
      </c>
      <c r="AB88" s="2"/>
      <c r="AC88" s="14">
        <f t="shared" si="23"/>
        <v>-1224.53</v>
      </c>
      <c r="AD88" s="15">
        <f>IFERROR(AC88/AC444, "NA")</f>
        <v>-0.30122034915613605</v>
      </c>
    </row>
    <row r="89" spans="1:30" ht="16.5" customHeight="1" x14ac:dyDescent="0.45">
      <c r="A89" s="6" t="s">
        <v>85</v>
      </c>
      <c r="B89" s="7">
        <v>0</v>
      </c>
      <c r="C89" s="8">
        <f>IFERROR(B89/B444, "NA")</f>
        <v>0</v>
      </c>
      <c r="D89" s="9"/>
      <c r="E89" s="7">
        <v>0</v>
      </c>
      <c r="F89" s="8">
        <f>IFERROR(E89/E444, "NA")</f>
        <v>0</v>
      </c>
      <c r="G89" s="9"/>
      <c r="H89" s="10">
        <f t="shared" si="20"/>
        <v>0</v>
      </c>
      <c r="I89" s="8">
        <f>IFERROR(H89/H444, "NA")</f>
        <v>0</v>
      </c>
      <c r="J89" s="9"/>
      <c r="K89" s="7">
        <v>-2.27</v>
      </c>
      <c r="L89" s="8">
        <f>IFERROR(K89/K444, "NA")</f>
        <v>-3.5568023688617151E-5</v>
      </c>
      <c r="M89" s="9"/>
      <c r="N89" s="10">
        <f t="shared" si="21"/>
        <v>2.27</v>
      </c>
      <c r="O89" s="8">
        <f>IFERROR(N89/N444, "NA")</f>
        <v>5.58393990007945E-4</v>
      </c>
      <c r="P89" s="9"/>
      <c r="Q89" s="7">
        <v>0</v>
      </c>
      <c r="R89" s="8">
        <f>IFERROR(Q89/Q444, "NA")</f>
        <v>0</v>
      </c>
      <c r="S89" s="9"/>
      <c r="T89" s="7">
        <v>0</v>
      </c>
      <c r="U89" s="8">
        <f>IFERROR(T89/T444, "NA")</f>
        <v>0</v>
      </c>
      <c r="V89" s="9"/>
      <c r="W89" s="10">
        <f t="shared" si="22"/>
        <v>0</v>
      </c>
      <c r="X89" s="8">
        <f>IFERROR(W89/W444, "NA")</f>
        <v>0</v>
      </c>
      <c r="Y89" s="9"/>
      <c r="Z89" s="7">
        <v>-2.27</v>
      </c>
      <c r="AA89" s="8">
        <f>IFERROR(Z89/Z444, "NA")</f>
        <v>-3.5568023688617151E-5</v>
      </c>
      <c r="AB89" s="9"/>
      <c r="AC89" s="10">
        <f t="shared" si="23"/>
        <v>2.27</v>
      </c>
      <c r="AD89" s="8">
        <f>IFERROR(AC89/AC444, "NA")</f>
        <v>5.58393990007945E-4</v>
      </c>
    </row>
    <row r="90" spans="1:30" ht="16.5" customHeight="1" x14ac:dyDescent="0.45">
      <c r="A90" s="6" t="s">
        <v>86</v>
      </c>
      <c r="B90" s="7">
        <v>12.99</v>
      </c>
      <c r="C90" s="8">
        <f>IFERROR(B90/B444, "NA")</f>
        <v>1.9134851355053867E-4</v>
      </c>
      <c r="D90" s="9"/>
      <c r="E90" s="7">
        <v>0</v>
      </c>
      <c r="F90" s="8">
        <f>IFERROR(E90/E444, "NA")</f>
        <v>0</v>
      </c>
      <c r="G90" s="9"/>
      <c r="H90" s="10">
        <f t="shared" si="20"/>
        <v>12.99</v>
      </c>
      <c r="I90" s="8">
        <f>IFERROR(H90/H444, "NA")</f>
        <v>5.6230358333261201E-3</v>
      </c>
      <c r="J90" s="9"/>
      <c r="K90" s="7">
        <v>0</v>
      </c>
      <c r="L90" s="8">
        <f>IFERROR(K90/K444, "NA")</f>
        <v>0</v>
      </c>
      <c r="M90" s="9"/>
      <c r="N90" s="10">
        <f t="shared" si="21"/>
        <v>12.99</v>
      </c>
      <c r="O90" s="8">
        <f>IFERROR(N90/N444, "NA")</f>
        <v>3.1953911586798263E-3</v>
      </c>
      <c r="P90" s="9"/>
      <c r="Q90" s="7">
        <v>12.99</v>
      </c>
      <c r="R90" s="8">
        <f>IFERROR(Q90/Q444, "NA")</f>
        <v>1.9134851355053867E-4</v>
      </c>
      <c r="S90" s="9"/>
      <c r="T90" s="7">
        <v>0</v>
      </c>
      <c r="U90" s="8">
        <f>IFERROR(T90/T444, "NA")</f>
        <v>0</v>
      </c>
      <c r="V90" s="9"/>
      <c r="W90" s="10">
        <f t="shared" si="22"/>
        <v>12.99</v>
      </c>
      <c r="X90" s="8">
        <f>IFERROR(W90/W444, "NA")</f>
        <v>5.6230358333261201E-3</v>
      </c>
      <c r="Y90" s="9"/>
      <c r="Z90" s="7">
        <v>0</v>
      </c>
      <c r="AA90" s="8">
        <f>IFERROR(Z90/Z444, "NA")</f>
        <v>0</v>
      </c>
      <c r="AB90" s="9"/>
      <c r="AC90" s="10">
        <f t="shared" si="23"/>
        <v>12.99</v>
      </c>
      <c r="AD90" s="8">
        <f>IFERROR(AC90/AC444, "NA")</f>
        <v>3.1953911586798263E-3</v>
      </c>
    </row>
    <row r="91" spans="1:30" ht="16.5" hidden="1" customHeight="1" x14ac:dyDescent="0.45">
      <c r="A91" s="6" t="s">
        <v>87</v>
      </c>
      <c r="B91" s="7">
        <v>0</v>
      </c>
      <c r="C91" s="8">
        <f>IFERROR(B91/B444, "NA")</f>
        <v>0</v>
      </c>
      <c r="D91" s="9"/>
      <c r="E91" s="7">
        <v>0</v>
      </c>
      <c r="F91" s="8">
        <f>IFERROR(E91/E444, "NA")</f>
        <v>0</v>
      </c>
      <c r="G91" s="9"/>
      <c r="H91" s="10">
        <f t="shared" si="20"/>
        <v>0</v>
      </c>
      <c r="I91" s="8">
        <f>IFERROR(H91/H444, "NA")</f>
        <v>0</v>
      </c>
      <c r="J91" s="9"/>
      <c r="K91" s="7">
        <v>0</v>
      </c>
      <c r="L91" s="8">
        <f>IFERROR(K91/K444, "NA")</f>
        <v>0</v>
      </c>
      <c r="M91" s="9"/>
      <c r="N91" s="10">
        <f t="shared" si="21"/>
        <v>0</v>
      </c>
      <c r="O91" s="8">
        <f>IFERROR(N91/N444, "NA")</f>
        <v>0</v>
      </c>
      <c r="P91" s="9"/>
      <c r="Q91" s="7">
        <v>0</v>
      </c>
      <c r="R91" s="8">
        <f>IFERROR(Q91/Q444, "NA")</f>
        <v>0</v>
      </c>
      <c r="S91" s="9"/>
      <c r="T91" s="7">
        <v>0</v>
      </c>
      <c r="U91" s="8">
        <f>IFERROR(T91/T444, "NA")</f>
        <v>0</v>
      </c>
      <c r="V91" s="9"/>
      <c r="W91" s="10">
        <f t="shared" si="22"/>
        <v>0</v>
      </c>
      <c r="X91" s="8">
        <f>IFERROR(W91/W444, "NA")</f>
        <v>0</v>
      </c>
      <c r="Y91" s="9"/>
      <c r="Z91" s="7">
        <v>0</v>
      </c>
      <c r="AA91" s="8">
        <f>IFERROR(Z91/Z444, "NA")</f>
        <v>0</v>
      </c>
      <c r="AB91" s="9"/>
      <c r="AC91" s="10">
        <f t="shared" si="23"/>
        <v>0</v>
      </c>
      <c r="AD91" s="8">
        <f>IFERROR(AC91/AC444, "NA")</f>
        <v>0</v>
      </c>
    </row>
    <row r="92" spans="1:30" ht="16.5" hidden="1" customHeight="1" x14ac:dyDescent="0.45">
      <c r="A92" s="6" t="s">
        <v>88</v>
      </c>
      <c r="B92" s="7">
        <v>0</v>
      </c>
      <c r="C92" s="8">
        <f>IFERROR(B92/B444, "NA")</f>
        <v>0</v>
      </c>
      <c r="D92" s="9"/>
      <c r="E92" s="7">
        <v>0</v>
      </c>
      <c r="F92" s="8">
        <f>IFERROR(E92/E444, "NA")</f>
        <v>0</v>
      </c>
      <c r="G92" s="9"/>
      <c r="H92" s="10">
        <f t="shared" si="20"/>
        <v>0</v>
      </c>
      <c r="I92" s="8">
        <f>IFERROR(H92/H444, "NA")</f>
        <v>0</v>
      </c>
      <c r="J92" s="9"/>
      <c r="K92" s="7">
        <v>0</v>
      </c>
      <c r="L92" s="8">
        <f>IFERROR(K92/K444, "NA")</f>
        <v>0</v>
      </c>
      <c r="M92" s="9"/>
      <c r="N92" s="10">
        <f t="shared" si="21"/>
        <v>0</v>
      </c>
      <c r="O92" s="8">
        <f>IFERROR(N92/N444, "NA")</f>
        <v>0</v>
      </c>
      <c r="P92" s="9"/>
      <c r="Q92" s="7">
        <v>0</v>
      </c>
      <c r="R92" s="8">
        <f>IFERROR(Q92/Q444, "NA")</f>
        <v>0</v>
      </c>
      <c r="S92" s="9"/>
      <c r="T92" s="7">
        <v>0</v>
      </c>
      <c r="U92" s="8">
        <f>IFERROR(T92/T444, "NA")</f>
        <v>0</v>
      </c>
      <c r="V92" s="9"/>
      <c r="W92" s="10">
        <f t="shared" si="22"/>
        <v>0</v>
      </c>
      <c r="X92" s="8">
        <f>IFERROR(W92/W444, "NA")</f>
        <v>0</v>
      </c>
      <c r="Y92" s="9"/>
      <c r="Z92" s="7">
        <v>0</v>
      </c>
      <c r="AA92" s="8">
        <f>IFERROR(Z92/Z444, "NA")</f>
        <v>0</v>
      </c>
      <c r="AB92" s="9"/>
      <c r="AC92" s="10">
        <f t="shared" si="23"/>
        <v>0</v>
      </c>
      <c r="AD92" s="8">
        <f>IFERROR(AC92/AC444, "NA")</f>
        <v>0</v>
      </c>
    </row>
    <row r="93" spans="1:30" ht="16.5" customHeight="1" x14ac:dyDescent="0.45">
      <c r="A93" s="11" t="s">
        <v>89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45">
      <c r="A94" s="12" t="s">
        <v>89</v>
      </c>
      <c r="B94" s="7">
        <v>0</v>
      </c>
      <c r="C94" s="8">
        <f>IFERROR(B94/B444, "NA")</f>
        <v>0</v>
      </c>
      <c r="D94" s="9"/>
      <c r="E94" s="7">
        <v>-3869.01</v>
      </c>
      <c r="F94" s="8">
        <f>IFERROR(E94/E444, "NA")</f>
        <v>-5.8999982615713015E-2</v>
      </c>
      <c r="G94" s="9"/>
      <c r="H94" s="10">
        <f t="shared" ref="H94:H124" si="24">IFERROR(B94-E94, "NA")</f>
        <v>3869.01</v>
      </c>
      <c r="I94" s="8">
        <f>IFERROR(H94/H444, "NA")</f>
        <v>1.6747946011930017</v>
      </c>
      <c r="J94" s="9"/>
      <c r="K94" s="7">
        <v>0</v>
      </c>
      <c r="L94" s="8">
        <f>IFERROR(K94/K444, "NA")</f>
        <v>0</v>
      </c>
      <c r="M94" s="9"/>
      <c r="N94" s="10">
        <f t="shared" ref="N94:N124" si="25">IFERROR(B94-K94, "NA")</f>
        <v>0</v>
      </c>
      <c r="O94" s="8">
        <f>IFERROR(N94/N444, "NA")</f>
        <v>0</v>
      </c>
      <c r="P94" s="9"/>
      <c r="Q94" s="7">
        <v>0</v>
      </c>
      <c r="R94" s="8">
        <f>IFERROR(Q94/Q444, "NA")</f>
        <v>0</v>
      </c>
      <c r="S94" s="9"/>
      <c r="T94" s="7">
        <v>-3869.01</v>
      </c>
      <c r="U94" s="8">
        <f>IFERROR(T94/T444, "NA")</f>
        <v>-5.8999982615713015E-2</v>
      </c>
      <c r="V94" s="9"/>
      <c r="W94" s="10">
        <f t="shared" ref="W94:W124" si="26">IFERROR(Q94-T94, "NA")</f>
        <v>3869.01</v>
      </c>
      <c r="X94" s="8">
        <f>IFERROR(W94/W444, "NA")</f>
        <v>1.6747946011930017</v>
      </c>
      <c r="Y94" s="9"/>
      <c r="Z94" s="7">
        <v>0</v>
      </c>
      <c r="AA94" s="8">
        <f>IFERROR(Z94/Z444, "NA")</f>
        <v>0</v>
      </c>
      <c r="AB94" s="9"/>
      <c r="AC94" s="10">
        <f t="shared" ref="AC94:AC124" si="27">IFERROR(Q94-Z94, "NA")</f>
        <v>0</v>
      </c>
      <c r="AD94" s="8">
        <f>IFERROR(AC94/AC444, "NA")</f>
        <v>0</v>
      </c>
    </row>
    <row r="95" spans="1:30" ht="16.5" hidden="1" customHeight="1" x14ac:dyDescent="0.45">
      <c r="A95" s="12" t="s">
        <v>90</v>
      </c>
      <c r="B95" s="7">
        <v>0</v>
      </c>
      <c r="C95" s="8">
        <f>IFERROR(B95/B444, "NA")</f>
        <v>0</v>
      </c>
      <c r="D95" s="9"/>
      <c r="E95" s="7">
        <v>0</v>
      </c>
      <c r="F95" s="8">
        <f>IFERROR(E95/E444, "NA")</f>
        <v>0</v>
      </c>
      <c r="G95" s="9"/>
      <c r="H95" s="10">
        <f t="shared" si="24"/>
        <v>0</v>
      </c>
      <c r="I95" s="8">
        <f>IFERROR(H95/H444, "NA")</f>
        <v>0</v>
      </c>
      <c r="J95" s="9"/>
      <c r="K95" s="7">
        <v>0</v>
      </c>
      <c r="L95" s="8">
        <f>IFERROR(K95/K444, "NA")</f>
        <v>0</v>
      </c>
      <c r="M95" s="9"/>
      <c r="N95" s="10">
        <f t="shared" si="25"/>
        <v>0</v>
      </c>
      <c r="O95" s="8">
        <f>IFERROR(N95/N444, "NA")</f>
        <v>0</v>
      </c>
      <c r="P95" s="9"/>
      <c r="Q95" s="7">
        <v>0</v>
      </c>
      <c r="R95" s="8">
        <f>IFERROR(Q95/Q444, "NA")</f>
        <v>0</v>
      </c>
      <c r="S95" s="9"/>
      <c r="T95" s="7">
        <v>0</v>
      </c>
      <c r="U95" s="8">
        <f>IFERROR(T95/T444, "NA")</f>
        <v>0</v>
      </c>
      <c r="V95" s="9"/>
      <c r="W95" s="10">
        <f t="shared" si="26"/>
        <v>0</v>
      </c>
      <c r="X95" s="8">
        <f>IFERROR(W95/W444, "NA")</f>
        <v>0</v>
      </c>
      <c r="Y95" s="9"/>
      <c r="Z95" s="7">
        <v>0</v>
      </c>
      <c r="AA95" s="8">
        <f>IFERROR(Z95/Z444, "NA")</f>
        <v>0</v>
      </c>
      <c r="AB95" s="9"/>
      <c r="AC95" s="10">
        <f t="shared" si="27"/>
        <v>0</v>
      </c>
      <c r="AD95" s="8">
        <f>IFERROR(AC95/AC444, "NA")</f>
        <v>0</v>
      </c>
    </row>
    <row r="96" spans="1:30" ht="16.5" customHeight="1" x14ac:dyDescent="0.45">
      <c r="A96" s="12" t="s">
        <v>91</v>
      </c>
      <c r="B96" s="7">
        <v>-1246.6600000000001</v>
      </c>
      <c r="C96" s="8">
        <f>IFERROR(B96/B444, "NA")</f>
        <v>-1.8363859730786341E-2</v>
      </c>
      <c r="D96" s="9"/>
      <c r="E96" s="7">
        <v>0</v>
      </c>
      <c r="F96" s="8">
        <f>IFERROR(E96/E444, "NA")</f>
        <v>0</v>
      </c>
      <c r="G96" s="9"/>
      <c r="H96" s="10">
        <f t="shared" si="24"/>
        <v>-1246.6600000000001</v>
      </c>
      <c r="I96" s="8">
        <f>IFERROR(H96/H444, "NA")</f>
        <v>-0.53964694780402933</v>
      </c>
      <c r="J96" s="9"/>
      <c r="K96" s="7">
        <v>-1226.9000000000001</v>
      </c>
      <c r="L96" s="8">
        <f>IFERROR(K96/K444, "NA")</f>
        <v>-1.9223968398045983E-2</v>
      </c>
      <c r="M96" s="9"/>
      <c r="N96" s="10">
        <f t="shared" si="25"/>
        <v>-19.759999999999991</v>
      </c>
      <c r="O96" s="8">
        <f>IFERROR(N96/N444, "NA")</f>
        <v>-4.86073358702951E-3</v>
      </c>
      <c r="P96" s="9"/>
      <c r="Q96" s="7">
        <v>-1246.6600000000001</v>
      </c>
      <c r="R96" s="8">
        <f>IFERROR(Q96/Q444, "NA")</f>
        <v>-1.8363859730786341E-2</v>
      </c>
      <c r="S96" s="9"/>
      <c r="T96" s="7">
        <v>0</v>
      </c>
      <c r="U96" s="8">
        <f>IFERROR(T96/T444, "NA")</f>
        <v>0</v>
      </c>
      <c r="V96" s="9"/>
      <c r="W96" s="10">
        <f t="shared" si="26"/>
        <v>-1246.6600000000001</v>
      </c>
      <c r="X96" s="8">
        <f>IFERROR(W96/W444, "NA")</f>
        <v>-0.53964694780402933</v>
      </c>
      <c r="Y96" s="9"/>
      <c r="Z96" s="7">
        <v>-1226.9000000000001</v>
      </c>
      <c r="AA96" s="8">
        <f>IFERROR(Z96/Z444, "NA")</f>
        <v>-1.9223968398045983E-2</v>
      </c>
      <c r="AB96" s="9"/>
      <c r="AC96" s="10">
        <f t="shared" si="27"/>
        <v>-19.759999999999991</v>
      </c>
      <c r="AD96" s="8">
        <f>IFERROR(AC96/AC444, "NA")</f>
        <v>-4.86073358702951E-3</v>
      </c>
    </row>
    <row r="97" spans="1:30" ht="16.5" hidden="1" customHeight="1" x14ac:dyDescent="0.45">
      <c r="A97" s="12" t="s">
        <v>92</v>
      </c>
      <c r="B97" s="7">
        <v>0</v>
      </c>
      <c r="C97" s="8">
        <f>IFERROR(B97/B444, "NA")</f>
        <v>0</v>
      </c>
      <c r="D97" s="9"/>
      <c r="E97" s="7">
        <v>0</v>
      </c>
      <c r="F97" s="8">
        <f>IFERROR(E97/E444, "NA")</f>
        <v>0</v>
      </c>
      <c r="G97" s="9"/>
      <c r="H97" s="10">
        <f t="shared" si="24"/>
        <v>0</v>
      </c>
      <c r="I97" s="8">
        <f>IFERROR(H97/H444, "NA")</f>
        <v>0</v>
      </c>
      <c r="J97" s="9"/>
      <c r="K97" s="7">
        <v>0</v>
      </c>
      <c r="L97" s="8">
        <f>IFERROR(K97/K444, "NA")</f>
        <v>0</v>
      </c>
      <c r="M97" s="9"/>
      <c r="N97" s="10">
        <f t="shared" si="25"/>
        <v>0</v>
      </c>
      <c r="O97" s="8">
        <f>IFERROR(N97/N444, "NA")</f>
        <v>0</v>
      </c>
      <c r="P97" s="9"/>
      <c r="Q97" s="7">
        <v>0</v>
      </c>
      <c r="R97" s="8">
        <f>IFERROR(Q97/Q444, "NA")</f>
        <v>0</v>
      </c>
      <c r="S97" s="9"/>
      <c r="T97" s="7">
        <v>0</v>
      </c>
      <c r="U97" s="8">
        <f>IFERROR(T97/T444, "NA")</f>
        <v>0</v>
      </c>
      <c r="V97" s="9"/>
      <c r="W97" s="10">
        <f t="shared" si="26"/>
        <v>0</v>
      </c>
      <c r="X97" s="8">
        <f>IFERROR(W97/W444, "NA")</f>
        <v>0</v>
      </c>
      <c r="Y97" s="9"/>
      <c r="Z97" s="7">
        <v>0</v>
      </c>
      <c r="AA97" s="8">
        <f>IFERROR(Z97/Z444, "NA")</f>
        <v>0</v>
      </c>
      <c r="AB97" s="9"/>
      <c r="AC97" s="10">
        <f t="shared" si="27"/>
        <v>0</v>
      </c>
      <c r="AD97" s="8">
        <f>IFERROR(AC97/AC444, "NA")</f>
        <v>0</v>
      </c>
    </row>
    <row r="98" spans="1:30" ht="16.5" customHeight="1" x14ac:dyDescent="0.45">
      <c r="A98" s="12" t="s">
        <v>93</v>
      </c>
      <c r="B98" s="7">
        <v>-1586.54</v>
      </c>
      <c r="C98" s="8">
        <f>IFERROR(B98/B444, "NA")</f>
        <v>-2.3370444240836924E-2</v>
      </c>
      <c r="D98" s="9"/>
      <c r="E98" s="7">
        <v>0</v>
      </c>
      <c r="F98" s="8">
        <f>IFERROR(E98/E444, "NA")</f>
        <v>0</v>
      </c>
      <c r="G98" s="9"/>
      <c r="H98" s="10">
        <f t="shared" si="24"/>
        <v>-1586.54</v>
      </c>
      <c r="I98" s="8">
        <f>IFERROR(H98/H444, "NA")</f>
        <v>-0.68677223025444356</v>
      </c>
      <c r="J98" s="9"/>
      <c r="K98" s="7">
        <v>-1660.14</v>
      </c>
      <c r="L98" s="8">
        <f>IFERROR(K98/K444, "NA")</f>
        <v>-2.6012290240714043E-2</v>
      </c>
      <c r="M98" s="9"/>
      <c r="N98" s="10">
        <f t="shared" si="25"/>
        <v>73.600000000000136</v>
      </c>
      <c r="O98" s="8">
        <f>IFERROR(N98/N444, "NA")</f>
        <v>1.8104756680433844E-2</v>
      </c>
      <c r="P98" s="9"/>
      <c r="Q98" s="7">
        <v>-1586.54</v>
      </c>
      <c r="R98" s="8">
        <f>IFERROR(Q98/Q444, "NA")</f>
        <v>-2.3370444240836924E-2</v>
      </c>
      <c r="S98" s="9"/>
      <c r="T98" s="7">
        <v>0</v>
      </c>
      <c r="U98" s="8">
        <f>IFERROR(T98/T444, "NA")</f>
        <v>0</v>
      </c>
      <c r="V98" s="9"/>
      <c r="W98" s="10">
        <f t="shared" si="26"/>
        <v>-1586.54</v>
      </c>
      <c r="X98" s="8">
        <f>IFERROR(W98/W444, "NA")</f>
        <v>-0.68677223025444356</v>
      </c>
      <c r="Y98" s="9"/>
      <c r="Z98" s="7">
        <v>-1660.14</v>
      </c>
      <c r="AA98" s="8">
        <f>IFERROR(Z98/Z444, "NA")</f>
        <v>-2.6012290240714043E-2</v>
      </c>
      <c r="AB98" s="9"/>
      <c r="AC98" s="10">
        <f t="shared" si="27"/>
        <v>73.600000000000136</v>
      </c>
      <c r="AD98" s="8">
        <f>IFERROR(AC98/AC444, "NA")</f>
        <v>1.8104756680433844E-2</v>
      </c>
    </row>
    <row r="99" spans="1:30" ht="16.5" hidden="1" customHeight="1" x14ac:dyDescent="0.45">
      <c r="A99" s="12" t="s">
        <v>94</v>
      </c>
      <c r="B99" s="7">
        <v>0</v>
      </c>
      <c r="C99" s="8">
        <f>IFERROR(B99/B444, "NA")</f>
        <v>0</v>
      </c>
      <c r="D99" s="9"/>
      <c r="E99" s="7">
        <v>0</v>
      </c>
      <c r="F99" s="8">
        <f>IFERROR(E99/E444, "NA")</f>
        <v>0</v>
      </c>
      <c r="G99" s="9"/>
      <c r="H99" s="10">
        <f t="shared" si="24"/>
        <v>0</v>
      </c>
      <c r="I99" s="8">
        <f>IFERROR(H99/H444, "NA")</f>
        <v>0</v>
      </c>
      <c r="J99" s="9"/>
      <c r="K99" s="7">
        <v>0</v>
      </c>
      <c r="L99" s="8">
        <f>IFERROR(K99/K444, "NA")</f>
        <v>0</v>
      </c>
      <c r="M99" s="9"/>
      <c r="N99" s="10">
        <f t="shared" si="25"/>
        <v>0</v>
      </c>
      <c r="O99" s="8">
        <f>IFERROR(N99/N444, "NA")</f>
        <v>0</v>
      </c>
      <c r="P99" s="9"/>
      <c r="Q99" s="7">
        <v>0</v>
      </c>
      <c r="R99" s="8">
        <f>IFERROR(Q99/Q444, "NA")</f>
        <v>0</v>
      </c>
      <c r="S99" s="9"/>
      <c r="T99" s="7">
        <v>0</v>
      </c>
      <c r="U99" s="8">
        <f>IFERROR(T99/T444, "NA")</f>
        <v>0</v>
      </c>
      <c r="V99" s="9"/>
      <c r="W99" s="10">
        <f t="shared" si="26"/>
        <v>0</v>
      </c>
      <c r="X99" s="8">
        <f>IFERROR(W99/W444, "NA")</f>
        <v>0</v>
      </c>
      <c r="Y99" s="9"/>
      <c r="Z99" s="7">
        <v>0</v>
      </c>
      <c r="AA99" s="8">
        <f>IFERROR(Z99/Z444, "NA")</f>
        <v>0</v>
      </c>
      <c r="AB99" s="9"/>
      <c r="AC99" s="10">
        <f t="shared" si="27"/>
        <v>0</v>
      </c>
      <c r="AD99" s="8">
        <f>IFERROR(AC99/AC444, "NA")</f>
        <v>0</v>
      </c>
    </row>
    <row r="100" spans="1:30" ht="16.5" customHeight="1" x14ac:dyDescent="0.45">
      <c r="A100" s="12" t="s">
        <v>95</v>
      </c>
      <c r="B100" s="7">
        <v>-6.13</v>
      </c>
      <c r="C100" s="8">
        <f>IFERROR(B100/B444, "NA")</f>
        <v>-9.0297643423002465E-5</v>
      </c>
      <c r="D100" s="9"/>
      <c r="E100" s="7">
        <v>0</v>
      </c>
      <c r="F100" s="8">
        <f>IFERROR(E100/E444, "NA")</f>
        <v>0</v>
      </c>
      <c r="G100" s="9"/>
      <c r="H100" s="10">
        <f t="shared" si="24"/>
        <v>-6.13</v>
      </c>
      <c r="I100" s="8">
        <f>IFERROR(H100/H444, "NA")</f>
        <v>-2.6535188343563602E-3</v>
      </c>
      <c r="J100" s="9"/>
      <c r="K100" s="7">
        <v>-95.62</v>
      </c>
      <c r="L100" s="8">
        <f>IFERROR(K100/K444, "NA")</f>
        <v>-1.4982442401346133E-3</v>
      </c>
      <c r="M100" s="9"/>
      <c r="N100" s="10">
        <f t="shared" si="25"/>
        <v>89.490000000000009</v>
      </c>
      <c r="O100" s="8">
        <f>IFERROR(N100/N444, "NA")</f>
        <v>2.2013514610489428E-2</v>
      </c>
      <c r="P100" s="9"/>
      <c r="Q100" s="7">
        <v>-6.13</v>
      </c>
      <c r="R100" s="8">
        <f>IFERROR(Q100/Q444, "NA")</f>
        <v>-9.0297643423002465E-5</v>
      </c>
      <c r="S100" s="9"/>
      <c r="T100" s="7">
        <v>0</v>
      </c>
      <c r="U100" s="8">
        <f>IFERROR(T100/T444, "NA")</f>
        <v>0</v>
      </c>
      <c r="V100" s="9"/>
      <c r="W100" s="10">
        <f t="shared" si="26"/>
        <v>-6.13</v>
      </c>
      <c r="X100" s="8">
        <f>IFERROR(W100/W444, "NA")</f>
        <v>-2.6535188343563602E-3</v>
      </c>
      <c r="Y100" s="9"/>
      <c r="Z100" s="7">
        <v>-95.62</v>
      </c>
      <c r="AA100" s="8">
        <f>IFERROR(Z100/Z444, "NA")</f>
        <v>-1.4982442401346133E-3</v>
      </c>
      <c r="AB100" s="9"/>
      <c r="AC100" s="10">
        <f t="shared" si="27"/>
        <v>89.490000000000009</v>
      </c>
      <c r="AD100" s="8">
        <f>IFERROR(AC100/AC444, "NA")</f>
        <v>2.2013514610489428E-2</v>
      </c>
    </row>
    <row r="101" spans="1:30" ht="16.5" hidden="1" customHeight="1" x14ac:dyDescent="0.45">
      <c r="A101" s="12" t="s">
        <v>96</v>
      </c>
      <c r="B101" s="7">
        <v>0</v>
      </c>
      <c r="C101" s="8">
        <f>IFERROR(B101/B444, "NA")</f>
        <v>0</v>
      </c>
      <c r="D101" s="9"/>
      <c r="E101" s="7">
        <v>0</v>
      </c>
      <c r="F101" s="8">
        <f>IFERROR(E101/E444, "NA")</f>
        <v>0</v>
      </c>
      <c r="G101" s="9"/>
      <c r="H101" s="10">
        <f t="shared" si="24"/>
        <v>0</v>
      </c>
      <c r="I101" s="8">
        <f>IFERROR(H101/H444, "NA")</f>
        <v>0</v>
      </c>
      <c r="J101" s="9"/>
      <c r="K101" s="7">
        <v>0</v>
      </c>
      <c r="L101" s="8">
        <f>IFERROR(K101/K444, "NA")</f>
        <v>0</v>
      </c>
      <c r="M101" s="9"/>
      <c r="N101" s="10">
        <f t="shared" si="25"/>
        <v>0</v>
      </c>
      <c r="O101" s="8">
        <f>IFERROR(N101/N444, "NA")</f>
        <v>0</v>
      </c>
      <c r="P101" s="9"/>
      <c r="Q101" s="7">
        <v>0</v>
      </c>
      <c r="R101" s="8">
        <f>IFERROR(Q101/Q444, "NA")</f>
        <v>0</v>
      </c>
      <c r="S101" s="9"/>
      <c r="T101" s="7">
        <v>0</v>
      </c>
      <c r="U101" s="8">
        <f>IFERROR(T101/T444, "NA")</f>
        <v>0</v>
      </c>
      <c r="V101" s="9"/>
      <c r="W101" s="10">
        <f t="shared" si="26"/>
        <v>0</v>
      </c>
      <c r="X101" s="8">
        <f>IFERROR(W101/W444, "NA")</f>
        <v>0</v>
      </c>
      <c r="Y101" s="9"/>
      <c r="Z101" s="7">
        <v>0</v>
      </c>
      <c r="AA101" s="8">
        <f>IFERROR(Z101/Z444, "NA")</f>
        <v>0</v>
      </c>
      <c r="AB101" s="9"/>
      <c r="AC101" s="10">
        <f t="shared" si="27"/>
        <v>0</v>
      </c>
      <c r="AD101" s="8">
        <f>IFERROR(AC101/AC444, "NA")</f>
        <v>0</v>
      </c>
    </row>
    <row r="102" spans="1:30" ht="16.5" customHeight="1" x14ac:dyDescent="0.45">
      <c r="A102" s="12" t="s">
        <v>97</v>
      </c>
      <c r="B102" s="7">
        <v>-861.14</v>
      </c>
      <c r="C102" s="8">
        <f>IFERROR(B102/B444, "NA")</f>
        <v>-1.2684977594989291E-2</v>
      </c>
      <c r="D102" s="9"/>
      <c r="E102" s="7">
        <v>0</v>
      </c>
      <c r="F102" s="8">
        <f>IFERROR(E102/E444, "NA")</f>
        <v>0</v>
      </c>
      <c r="G102" s="9"/>
      <c r="H102" s="10">
        <f t="shared" si="24"/>
        <v>-861.14</v>
      </c>
      <c r="I102" s="8">
        <f>IFERROR(H102/H444, "NA")</f>
        <v>-0.37276528695230599</v>
      </c>
      <c r="J102" s="9"/>
      <c r="K102" s="7">
        <v>-810.76</v>
      </c>
      <c r="L102" s="8">
        <f>IFERROR(K102/K444, "NA")</f>
        <v>-1.2703581888010239E-2</v>
      </c>
      <c r="M102" s="9"/>
      <c r="N102" s="10">
        <f t="shared" si="25"/>
        <v>-50.379999999999995</v>
      </c>
      <c r="O102" s="8">
        <f>IFERROR(N102/N444, "NA")</f>
        <v>-1.2392902738590426E-2</v>
      </c>
      <c r="P102" s="9"/>
      <c r="Q102" s="7">
        <v>-861.14</v>
      </c>
      <c r="R102" s="8">
        <f>IFERROR(Q102/Q444, "NA")</f>
        <v>-1.2684977594989291E-2</v>
      </c>
      <c r="S102" s="9"/>
      <c r="T102" s="7">
        <v>0</v>
      </c>
      <c r="U102" s="8">
        <f>IFERROR(T102/T444, "NA")</f>
        <v>0</v>
      </c>
      <c r="V102" s="9"/>
      <c r="W102" s="10">
        <f t="shared" si="26"/>
        <v>-861.14</v>
      </c>
      <c r="X102" s="8">
        <f>IFERROR(W102/W444, "NA")</f>
        <v>-0.37276528695230599</v>
      </c>
      <c r="Y102" s="9"/>
      <c r="Z102" s="7">
        <v>-810.76</v>
      </c>
      <c r="AA102" s="8">
        <f>IFERROR(Z102/Z444, "NA")</f>
        <v>-1.2703581888010239E-2</v>
      </c>
      <c r="AB102" s="9"/>
      <c r="AC102" s="10">
        <f t="shared" si="27"/>
        <v>-50.379999999999995</v>
      </c>
      <c r="AD102" s="8">
        <f>IFERROR(AC102/AC444, "NA")</f>
        <v>-1.2392902738590426E-2</v>
      </c>
    </row>
    <row r="103" spans="1:30" ht="16.5" customHeight="1" x14ac:dyDescent="0.45">
      <c r="A103" s="12" t="s">
        <v>98</v>
      </c>
      <c r="B103" s="7">
        <v>-35</v>
      </c>
      <c r="C103" s="8">
        <f>IFERROR(B103/B444, "NA")</f>
        <v>-5.1556566391600101E-4</v>
      </c>
      <c r="D103" s="9"/>
      <c r="E103" s="7">
        <v>0</v>
      </c>
      <c r="F103" s="8">
        <f>IFERROR(E103/E444, "NA")</f>
        <v>0</v>
      </c>
      <c r="G103" s="9"/>
      <c r="H103" s="10">
        <f t="shared" si="24"/>
        <v>-35</v>
      </c>
      <c r="I103" s="8">
        <f>IFERROR(H103/H444, "NA")</f>
        <v>-1.5150596933519184E-2</v>
      </c>
      <c r="J103" s="9"/>
      <c r="K103" s="7">
        <v>0</v>
      </c>
      <c r="L103" s="8">
        <f>IFERROR(K103/K444, "NA")</f>
        <v>0</v>
      </c>
      <c r="M103" s="9"/>
      <c r="N103" s="10">
        <f t="shared" si="25"/>
        <v>-35</v>
      </c>
      <c r="O103" s="8">
        <f>IFERROR(N103/N444, "NA")</f>
        <v>-8.6095989648802083E-3</v>
      </c>
      <c r="P103" s="9"/>
      <c r="Q103" s="7">
        <v>-35</v>
      </c>
      <c r="R103" s="8">
        <f>IFERROR(Q103/Q444, "NA")</f>
        <v>-5.1556566391600101E-4</v>
      </c>
      <c r="S103" s="9"/>
      <c r="T103" s="7">
        <v>0</v>
      </c>
      <c r="U103" s="8">
        <f>IFERROR(T103/T444, "NA")</f>
        <v>0</v>
      </c>
      <c r="V103" s="9"/>
      <c r="W103" s="10">
        <f t="shared" si="26"/>
        <v>-35</v>
      </c>
      <c r="X103" s="8">
        <f>IFERROR(W103/W444, "NA")</f>
        <v>-1.5150596933519184E-2</v>
      </c>
      <c r="Y103" s="9"/>
      <c r="Z103" s="7">
        <v>0</v>
      </c>
      <c r="AA103" s="8">
        <f>IFERROR(Z103/Z444, "NA")</f>
        <v>0</v>
      </c>
      <c r="AB103" s="9"/>
      <c r="AC103" s="10">
        <f t="shared" si="27"/>
        <v>-35</v>
      </c>
      <c r="AD103" s="8">
        <f>IFERROR(AC103/AC444, "NA")</f>
        <v>-8.6095989648802083E-3</v>
      </c>
    </row>
    <row r="104" spans="1:30" ht="16.5" customHeight="1" x14ac:dyDescent="0.45">
      <c r="A104" s="12" t="s">
        <v>99</v>
      </c>
      <c r="B104" s="7">
        <v>-541.4</v>
      </c>
      <c r="C104" s="8">
        <f>IFERROR(B104/B444, "NA")</f>
        <v>-7.9750642984035124E-3</v>
      </c>
      <c r="D104" s="9"/>
      <c r="E104" s="7">
        <v>0</v>
      </c>
      <c r="F104" s="8">
        <f>IFERROR(E104/E444, "NA")</f>
        <v>0</v>
      </c>
      <c r="G104" s="9"/>
      <c r="H104" s="10">
        <f t="shared" si="24"/>
        <v>-541.4</v>
      </c>
      <c r="I104" s="8">
        <f>IFERROR(H104/H444, "NA")</f>
        <v>-0.23435809085163675</v>
      </c>
      <c r="J104" s="9"/>
      <c r="K104" s="7">
        <v>-467.27</v>
      </c>
      <c r="L104" s="8">
        <f>IFERROR(K104/K444, "NA")</f>
        <v>-7.3215288233392664E-3</v>
      </c>
      <c r="M104" s="9"/>
      <c r="N104" s="10">
        <f t="shared" si="25"/>
        <v>-74.13</v>
      </c>
      <c r="O104" s="8">
        <f>IFERROR(N104/N444, "NA")</f>
        <v>-1.8235130607616282E-2</v>
      </c>
      <c r="P104" s="9"/>
      <c r="Q104" s="7">
        <v>-541.4</v>
      </c>
      <c r="R104" s="8">
        <f>IFERROR(Q104/Q444, "NA")</f>
        <v>-7.9750642984035124E-3</v>
      </c>
      <c r="S104" s="9"/>
      <c r="T104" s="7">
        <v>0</v>
      </c>
      <c r="U104" s="8">
        <f>IFERROR(T104/T444, "NA")</f>
        <v>0</v>
      </c>
      <c r="V104" s="9"/>
      <c r="W104" s="10">
        <f t="shared" si="26"/>
        <v>-541.4</v>
      </c>
      <c r="X104" s="8">
        <f>IFERROR(W104/W444, "NA")</f>
        <v>-0.23435809085163675</v>
      </c>
      <c r="Y104" s="9"/>
      <c r="Z104" s="7">
        <v>-467.27</v>
      </c>
      <c r="AA104" s="8">
        <f>IFERROR(Z104/Z444, "NA")</f>
        <v>-7.3215288233392664E-3</v>
      </c>
      <c r="AB104" s="9"/>
      <c r="AC104" s="10">
        <f t="shared" si="27"/>
        <v>-74.13</v>
      </c>
      <c r="AD104" s="8">
        <f>IFERROR(AC104/AC444, "NA")</f>
        <v>-1.8235130607616282E-2</v>
      </c>
    </row>
    <row r="105" spans="1:30" ht="16.5" hidden="1" customHeight="1" x14ac:dyDescent="0.45">
      <c r="A105" s="12" t="s">
        <v>100</v>
      </c>
      <c r="B105" s="7">
        <v>0</v>
      </c>
      <c r="C105" s="8">
        <f>IFERROR(B105/B444, "NA")</f>
        <v>0</v>
      </c>
      <c r="D105" s="9"/>
      <c r="E105" s="7">
        <v>0</v>
      </c>
      <c r="F105" s="8">
        <f>IFERROR(E105/E444, "NA")</f>
        <v>0</v>
      </c>
      <c r="G105" s="9"/>
      <c r="H105" s="10">
        <f t="shared" si="24"/>
        <v>0</v>
      </c>
      <c r="I105" s="8">
        <f>IFERROR(H105/H444, "NA")</f>
        <v>0</v>
      </c>
      <c r="J105" s="9"/>
      <c r="K105" s="7">
        <v>0</v>
      </c>
      <c r="L105" s="8">
        <f>IFERROR(K105/K444, "NA")</f>
        <v>0</v>
      </c>
      <c r="M105" s="9"/>
      <c r="N105" s="10">
        <f t="shared" si="25"/>
        <v>0</v>
      </c>
      <c r="O105" s="8">
        <f>IFERROR(N105/N444, "NA")</f>
        <v>0</v>
      </c>
      <c r="P105" s="9"/>
      <c r="Q105" s="7">
        <v>0</v>
      </c>
      <c r="R105" s="8">
        <f>IFERROR(Q105/Q444, "NA")</f>
        <v>0</v>
      </c>
      <c r="S105" s="9"/>
      <c r="T105" s="7">
        <v>0</v>
      </c>
      <c r="U105" s="8">
        <f>IFERROR(T105/T444, "NA")</f>
        <v>0</v>
      </c>
      <c r="V105" s="9"/>
      <c r="W105" s="10">
        <f t="shared" si="26"/>
        <v>0</v>
      </c>
      <c r="X105" s="8">
        <f>IFERROR(W105/W444, "NA")</f>
        <v>0</v>
      </c>
      <c r="Y105" s="9"/>
      <c r="Z105" s="7">
        <v>0</v>
      </c>
      <c r="AA105" s="8">
        <f>IFERROR(Z105/Z444, "NA")</f>
        <v>0</v>
      </c>
      <c r="AB105" s="9"/>
      <c r="AC105" s="10">
        <f t="shared" si="27"/>
        <v>0</v>
      </c>
      <c r="AD105" s="8">
        <f>IFERROR(AC105/AC444, "NA")</f>
        <v>0</v>
      </c>
    </row>
    <row r="106" spans="1:30" ht="16.5" customHeight="1" x14ac:dyDescent="0.45">
      <c r="A106" s="12" t="s">
        <v>101</v>
      </c>
      <c r="B106" s="7">
        <v>-40</v>
      </c>
      <c r="C106" s="8">
        <f>IFERROR(B106/B444, "NA")</f>
        <v>-5.8921790161828693E-4</v>
      </c>
      <c r="D106" s="9"/>
      <c r="E106" s="7">
        <v>0</v>
      </c>
      <c r="F106" s="8">
        <f>IFERROR(E106/E444, "NA")</f>
        <v>0</v>
      </c>
      <c r="G106" s="9"/>
      <c r="H106" s="10">
        <f t="shared" si="24"/>
        <v>-40</v>
      </c>
      <c r="I106" s="8">
        <f>IFERROR(H106/H444, "NA")</f>
        <v>-1.7314967924021925E-2</v>
      </c>
      <c r="J106" s="9"/>
      <c r="K106" s="7">
        <v>-235.87</v>
      </c>
      <c r="L106" s="8">
        <f>IFERROR(K106/K444, "NA")</f>
        <v>-3.6957840297066639E-3</v>
      </c>
      <c r="M106" s="9"/>
      <c r="N106" s="10">
        <f t="shared" si="25"/>
        <v>195.87</v>
      </c>
      <c r="O106" s="8">
        <f>IFERROR(N106/N444, "NA")</f>
        <v>4.8181775692888187E-2</v>
      </c>
      <c r="P106" s="9"/>
      <c r="Q106" s="7">
        <v>-40</v>
      </c>
      <c r="R106" s="8">
        <f>IFERROR(Q106/Q444, "NA")</f>
        <v>-5.8921790161828693E-4</v>
      </c>
      <c r="S106" s="9"/>
      <c r="T106" s="7">
        <v>0</v>
      </c>
      <c r="U106" s="8">
        <f>IFERROR(T106/T444, "NA")</f>
        <v>0</v>
      </c>
      <c r="V106" s="9"/>
      <c r="W106" s="10">
        <f t="shared" si="26"/>
        <v>-40</v>
      </c>
      <c r="X106" s="8">
        <f>IFERROR(W106/W444, "NA")</f>
        <v>-1.7314967924021925E-2</v>
      </c>
      <c r="Y106" s="9"/>
      <c r="Z106" s="7">
        <v>-235.87</v>
      </c>
      <c r="AA106" s="8">
        <f>IFERROR(Z106/Z444, "NA")</f>
        <v>-3.6957840297066639E-3</v>
      </c>
      <c r="AB106" s="9"/>
      <c r="AC106" s="10">
        <f t="shared" si="27"/>
        <v>195.87</v>
      </c>
      <c r="AD106" s="8">
        <f>IFERROR(AC106/AC444, "NA")</f>
        <v>4.8181775692888187E-2</v>
      </c>
    </row>
    <row r="107" spans="1:30" ht="16.5" hidden="1" customHeight="1" x14ac:dyDescent="0.45">
      <c r="A107" s="12" t="s">
        <v>102</v>
      </c>
      <c r="B107" s="7">
        <v>0</v>
      </c>
      <c r="C107" s="8">
        <f>IFERROR(B107/B444, "NA")</f>
        <v>0</v>
      </c>
      <c r="D107" s="9"/>
      <c r="E107" s="7">
        <v>0</v>
      </c>
      <c r="F107" s="8">
        <f>IFERROR(E107/E444, "NA")</f>
        <v>0</v>
      </c>
      <c r="G107" s="9"/>
      <c r="H107" s="10">
        <f t="shared" si="24"/>
        <v>0</v>
      </c>
      <c r="I107" s="8">
        <f>IFERROR(H107/H444, "NA")</f>
        <v>0</v>
      </c>
      <c r="J107" s="9"/>
      <c r="K107" s="7">
        <v>0</v>
      </c>
      <c r="L107" s="8">
        <f>IFERROR(K107/K444, "NA")</f>
        <v>0</v>
      </c>
      <c r="M107" s="9"/>
      <c r="N107" s="10">
        <f t="shared" si="25"/>
        <v>0</v>
      </c>
      <c r="O107" s="8">
        <f>IFERROR(N107/N444, "NA")</f>
        <v>0</v>
      </c>
      <c r="P107" s="9"/>
      <c r="Q107" s="7">
        <v>0</v>
      </c>
      <c r="R107" s="8">
        <f>IFERROR(Q107/Q444, "NA")</f>
        <v>0</v>
      </c>
      <c r="S107" s="9"/>
      <c r="T107" s="7">
        <v>0</v>
      </c>
      <c r="U107" s="8">
        <f>IFERROR(T107/T444, "NA")</f>
        <v>0</v>
      </c>
      <c r="V107" s="9"/>
      <c r="W107" s="10">
        <f t="shared" si="26"/>
        <v>0</v>
      </c>
      <c r="X107" s="8">
        <f>IFERROR(W107/W444, "NA")</f>
        <v>0</v>
      </c>
      <c r="Y107" s="9"/>
      <c r="Z107" s="7">
        <v>0</v>
      </c>
      <c r="AA107" s="8">
        <f>IFERROR(Z107/Z444, "NA")</f>
        <v>0</v>
      </c>
      <c r="AB107" s="9"/>
      <c r="AC107" s="10">
        <f t="shared" si="27"/>
        <v>0</v>
      </c>
      <c r="AD107" s="8">
        <f>IFERROR(AC107/AC444, "NA")</f>
        <v>0</v>
      </c>
    </row>
    <row r="108" spans="1:30" ht="16.5" hidden="1" customHeight="1" x14ac:dyDescent="0.45">
      <c r="A108" s="12" t="s">
        <v>103</v>
      </c>
      <c r="B108" s="7">
        <v>0</v>
      </c>
      <c r="C108" s="8">
        <f>IFERROR(B108/B444, "NA")</f>
        <v>0</v>
      </c>
      <c r="D108" s="9"/>
      <c r="E108" s="7">
        <v>0</v>
      </c>
      <c r="F108" s="8">
        <f>IFERROR(E108/E444, "NA")</f>
        <v>0</v>
      </c>
      <c r="G108" s="9"/>
      <c r="H108" s="10">
        <f t="shared" si="24"/>
        <v>0</v>
      </c>
      <c r="I108" s="8">
        <f>IFERROR(H108/H444, "NA")</f>
        <v>0</v>
      </c>
      <c r="J108" s="9"/>
      <c r="K108" s="7">
        <v>0</v>
      </c>
      <c r="L108" s="8">
        <f>IFERROR(K108/K444, "NA")</f>
        <v>0</v>
      </c>
      <c r="M108" s="9"/>
      <c r="N108" s="10">
        <f t="shared" si="25"/>
        <v>0</v>
      </c>
      <c r="O108" s="8">
        <f>IFERROR(N108/N444, "NA")</f>
        <v>0</v>
      </c>
      <c r="P108" s="9"/>
      <c r="Q108" s="7">
        <v>0</v>
      </c>
      <c r="R108" s="8">
        <f>IFERROR(Q108/Q444, "NA")</f>
        <v>0</v>
      </c>
      <c r="S108" s="9"/>
      <c r="T108" s="7">
        <v>0</v>
      </c>
      <c r="U108" s="8">
        <f>IFERROR(T108/T444, "NA")</f>
        <v>0</v>
      </c>
      <c r="V108" s="9"/>
      <c r="W108" s="10">
        <f t="shared" si="26"/>
        <v>0</v>
      </c>
      <c r="X108" s="8">
        <f>IFERROR(W108/W444, "NA")</f>
        <v>0</v>
      </c>
      <c r="Y108" s="9"/>
      <c r="Z108" s="7">
        <v>0</v>
      </c>
      <c r="AA108" s="8">
        <f>IFERROR(Z108/Z444, "NA")</f>
        <v>0</v>
      </c>
      <c r="AB108" s="9"/>
      <c r="AC108" s="10">
        <f t="shared" si="27"/>
        <v>0</v>
      </c>
      <c r="AD108" s="8">
        <f>IFERROR(AC108/AC444, "NA")</f>
        <v>0</v>
      </c>
    </row>
    <row r="109" spans="1:30" ht="16.5" hidden="1" customHeight="1" x14ac:dyDescent="0.45">
      <c r="A109" s="12" t="s">
        <v>104</v>
      </c>
      <c r="B109" s="7">
        <v>0</v>
      </c>
      <c r="C109" s="8">
        <f>IFERROR(B109/B444, "NA")</f>
        <v>0</v>
      </c>
      <c r="D109" s="9"/>
      <c r="E109" s="7">
        <v>0</v>
      </c>
      <c r="F109" s="8">
        <f>IFERROR(E109/E444, "NA")</f>
        <v>0</v>
      </c>
      <c r="G109" s="9"/>
      <c r="H109" s="10">
        <f t="shared" si="24"/>
        <v>0</v>
      </c>
      <c r="I109" s="8">
        <f>IFERROR(H109/H444, "NA")</f>
        <v>0</v>
      </c>
      <c r="J109" s="9"/>
      <c r="K109" s="7">
        <v>0</v>
      </c>
      <c r="L109" s="8">
        <f>IFERROR(K109/K444, "NA")</f>
        <v>0</v>
      </c>
      <c r="M109" s="9"/>
      <c r="N109" s="10">
        <f t="shared" si="25"/>
        <v>0</v>
      </c>
      <c r="O109" s="8">
        <f>IFERROR(N109/N444, "NA")</f>
        <v>0</v>
      </c>
      <c r="P109" s="9"/>
      <c r="Q109" s="7">
        <v>0</v>
      </c>
      <c r="R109" s="8">
        <f>IFERROR(Q109/Q444, "NA")</f>
        <v>0</v>
      </c>
      <c r="S109" s="9"/>
      <c r="T109" s="7">
        <v>0</v>
      </c>
      <c r="U109" s="8">
        <f>IFERROR(T109/T444, "NA")</f>
        <v>0</v>
      </c>
      <c r="V109" s="9"/>
      <c r="W109" s="10">
        <f t="shared" si="26"/>
        <v>0</v>
      </c>
      <c r="X109" s="8">
        <f>IFERROR(W109/W444, "NA")</f>
        <v>0</v>
      </c>
      <c r="Y109" s="9"/>
      <c r="Z109" s="7">
        <v>0</v>
      </c>
      <c r="AA109" s="8">
        <f>IFERROR(Z109/Z444, "NA")</f>
        <v>0</v>
      </c>
      <c r="AB109" s="9"/>
      <c r="AC109" s="10">
        <f t="shared" si="27"/>
        <v>0</v>
      </c>
      <c r="AD109" s="8">
        <f>IFERROR(AC109/AC444, "NA")</f>
        <v>0</v>
      </c>
    </row>
    <row r="110" spans="1:30" ht="16.5" hidden="1" customHeight="1" x14ac:dyDescent="0.45">
      <c r="A110" s="12" t="s">
        <v>105</v>
      </c>
      <c r="B110" s="7">
        <v>0</v>
      </c>
      <c r="C110" s="8">
        <f>IFERROR(B110/B444, "NA")</f>
        <v>0</v>
      </c>
      <c r="D110" s="9"/>
      <c r="E110" s="7">
        <v>0</v>
      </c>
      <c r="F110" s="8">
        <f>IFERROR(E110/E444, "NA")</f>
        <v>0</v>
      </c>
      <c r="G110" s="9"/>
      <c r="H110" s="10">
        <f t="shared" si="24"/>
        <v>0</v>
      </c>
      <c r="I110" s="8">
        <f>IFERROR(H110/H444, "NA")</f>
        <v>0</v>
      </c>
      <c r="J110" s="9"/>
      <c r="K110" s="7">
        <v>0</v>
      </c>
      <c r="L110" s="8">
        <f>IFERROR(K110/K444, "NA")</f>
        <v>0</v>
      </c>
      <c r="M110" s="9"/>
      <c r="N110" s="10">
        <f t="shared" si="25"/>
        <v>0</v>
      </c>
      <c r="O110" s="8">
        <f>IFERROR(N110/N444, "NA")</f>
        <v>0</v>
      </c>
      <c r="P110" s="9"/>
      <c r="Q110" s="7">
        <v>0</v>
      </c>
      <c r="R110" s="8">
        <f>IFERROR(Q110/Q444, "NA")</f>
        <v>0</v>
      </c>
      <c r="S110" s="9"/>
      <c r="T110" s="7">
        <v>0</v>
      </c>
      <c r="U110" s="8">
        <f>IFERROR(T110/T444, "NA")</f>
        <v>0</v>
      </c>
      <c r="V110" s="9"/>
      <c r="W110" s="10">
        <f t="shared" si="26"/>
        <v>0</v>
      </c>
      <c r="X110" s="8">
        <f>IFERROR(W110/W444, "NA")</f>
        <v>0</v>
      </c>
      <c r="Y110" s="9"/>
      <c r="Z110" s="7">
        <v>0</v>
      </c>
      <c r="AA110" s="8">
        <f>IFERROR(Z110/Z444, "NA")</f>
        <v>0</v>
      </c>
      <c r="AB110" s="9"/>
      <c r="AC110" s="10">
        <f t="shared" si="27"/>
        <v>0</v>
      </c>
      <c r="AD110" s="8">
        <f>IFERROR(AC110/AC444, "NA")</f>
        <v>0</v>
      </c>
    </row>
    <row r="111" spans="1:30" ht="16.5" hidden="1" customHeight="1" x14ac:dyDescent="0.45">
      <c r="A111" s="12" t="s">
        <v>106</v>
      </c>
      <c r="B111" s="7">
        <v>0</v>
      </c>
      <c r="C111" s="8">
        <f>IFERROR(B111/B444, "NA")</f>
        <v>0</v>
      </c>
      <c r="D111" s="9"/>
      <c r="E111" s="7">
        <v>0</v>
      </c>
      <c r="F111" s="8">
        <f>IFERROR(E111/E444, "NA")</f>
        <v>0</v>
      </c>
      <c r="G111" s="9"/>
      <c r="H111" s="10">
        <f t="shared" si="24"/>
        <v>0</v>
      </c>
      <c r="I111" s="8">
        <f>IFERROR(H111/H444, "NA")</f>
        <v>0</v>
      </c>
      <c r="J111" s="9"/>
      <c r="K111" s="7">
        <v>0</v>
      </c>
      <c r="L111" s="8">
        <f>IFERROR(K111/K444, "NA")</f>
        <v>0</v>
      </c>
      <c r="M111" s="9"/>
      <c r="N111" s="10">
        <f t="shared" si="25"/>
        <v>0</v>
      </c>
      <c r="O111" s="8">
        <f>IFERROR(N111/N444, "NA")</f>
        <v>0</v>
      </c>
      <c r="P111" s="9"/>
      <c r="Q111" s="7">
        <v>0</v>
      </c>
      <c r="R111" s="8">
        <f>IFERROR(Q111/Q444, "NA")</f>
        <v>0</v>
      </c>
      <c r="S111" s="9"/>
      <c r="T111" s="7">
        <v>0</v>
      </c>
      <c r="U111" s="8">
        <f>IFERROR(T111/T444, "NA")</f>
        <v>0</v>
      </c>
      <c r="V111" s="9"/>
      <c r="W111" s="10">
        <f t="shared" si="26"/>
        <v>0</v>
      </c>
      <c r="X111" s="8">
        <f>IFERROR(W111/W444, "NA")</f>
        <v>0</v>
      </c>
      <c r="Y111" s="9"/>
      <c r="Z111" s="7">
        <v>0</v>
      </c>
      <c r="AA111" s="8">
        <f>IFERROR(Z111/Z444, "NA")</f>
        <v>0</v>
      </c>
      <c r="AB111" s="9"/>
      <c r="AC111" s="10">
        <f t="shared" si="27"/>
        <v>0</v>
      </c>
      <c r="AD111" s="8">
        <f>IFERROR(AC111/AC444, "NA")</f>
        <v>0</v>
      </c>
    </row>
    <row r="112" spans="1:30" ht="16.5" hidden="1" customHeight="1" x14ac:dyDescent="0.45">
      <c r="A112" s="12" t="s">
        <v>107</v>
      </c>
      <c r="B112" s="7">
        <v>0</v>
      </c>
      <c r="C112" s="8">
        <f>IFERROR(B112/B444, "NA")</f>
        <v>0</v>
      </c>
      <c r="D112" s="9"/>
      <c r="E112" s="7">
        <v>0</v>
      </c>
      <c r="F112" s="8">
        <f>IFERROR(E112/E444, "NA")</f>
        <v>0</v>
      </c>
      <c r="G112" s="9"/>
      <c r="H112" s="10">
        <f t="shared" si="24"/>
        <v>0</v>
      </c>
      <c r="I112" s="8">
        <f>IFERROR(H112/H444, "NA")</f>
        <v>0</v>
      </c>
      <c r="J112" s="9"/>
      <c r="K112" s="7">
        <v>0</v>
      </c>
      <c r="L112" s="8">
        <f>IFERROR(K112/K444, "NA")</f>
        <v>0</v>
      </c>
      <c r="M112" s="9"/>
      <c r="N112" s="10">
        <f t="shared" si="25"/>
        <v>0</v>
      </c>
      <c r="O112" s="8">
        <f>IFERROR(N112/N444, "NA")</f>
        <v>0</v>
      </c>
      <c r="P112" s="9"/>
      <c r="Q112" s="7">
        <v>0</v>
      </c>
      <c r="R112" s="8">
        <f>IFERROR(Q112/Q444, "NA")</f>
        <v>0</v>
      </c>
      <c r="S112" s="9"/>
      <c r="T112" s="7">
        <v>0</v>
      </c>
      <c r="U112" s="8">
        <f>IFERROR(T112/T444, "NA")</f>
        <v>0</v>
      </c>
      <c r="V112" s="9"/>
      <c r="W112" s="10">
        <f t="shared" si="26"/>
        <v>0</v>
      </c>
      <c r="X112" s="8">
        <f>IFERROR(W112/W444, "NA")</f>
        <v>0</v>
      </c>
      <c r="Y112" s="9"/>
      <c r="Z112" s="7">
        <v>0</v>
      </c>
      <c r="AA112" s="8">
        <f>IFERROR(Z112/Z444, "NA")</f>
        <v>0</v>
      </c>
      <c r="AB112" s="9"/>
      <c r="AC112" s="10">
        <f t="shared" si="27"/>
        <v>0</v>
      </c>
      <c r="AD112" s="8">
        <f>IFERROR(AC112/AC444, "NA")</f>
        <v>0</v>
      </c>
    </row>
    <row r="113" spans="1:30" ht="16.5" hidden="1" customHeight="1" x14ac:dyDescent="0.45">
      <c r="A113" s="12" t="s">
        <v>108</v>
      </c>
      <c r="B113" s="7">
        <v>0</v>
      </c>
      <c r="C113" s="8">
        <f>IFERROR(B113/B444, "NA")</f>
        <v>0</v>
      </c>
      <c r="D113" s="9"/>
      <c r="E113" s="7">
        <v>0</v>
      </c>
      <c r="F113" s="8">
        <f>IFERROR(E113/E444, "NA")</f>
        <v>0</v>
      </c>
      <c r="G113" s="9"/>
      <c r="H113" s="10">
        <f t="shared" si="24"/>
        <v>0</v>
      </c>
      <c r="I113" s="8">
        <f>IFERROR(H113/H444, "NA")</f>
        <v>0</v>
      </c>
      <c r="J113" s="9"/>
      <c r="K113" s="7">
        <v>0</v>
      </c>
      <c r="L113" s="8">
        <f>IFERROR(K113/K444, "NA")</f>
        <v>0</v>
      </c>
      <c r="M113" s="9"/>
      <c r="N113" s="10">
        <f t="shared" si="25"/>
        <v>0</v>
      </c>
      <c r="O113" s="8">
        <f>IFERROR(N113/N444, "NA")</f>
        <v>0</v>
      </c>
      <c r="P113" s="9"/>
      <c r="Q113" s="7">
        <v>0</v>
      </c>
      <c r="R113" s="8">
        <f>IFERROR(Q113/Q444, "NA")</f>
        <v>0</v>
      </c>
      <c r="S113" s="9"/>
      <c r="T113" s="7">
        <v>0</v>
      </c>
      <c r="U113" s="8">
        <f>IFERROR(T113/T444, "NA")</f>
        <v>0</v>
      </c>
      <c r="V113" s="9"/>
      <c r="W113" s="10">
        <f t="shared" si="26"/>
        <v>0</v>
      </c>
      <c r="X113" s="8">
        <f>IFERROR(W113/W444, "NA")</f>
        <v>0</v>
      </c>
      <c r="Y113" s="9"/>
      <c r="Z113" s="7">
        <v>0</v>
      </c>
      <c r="AA113" s="8">
        <f>IFERROR(Z113/Z444, "NA")</f>
        <v>0</v>
      </c>
      <c r="AB113" s="9"/>
      <c r="AC113" s="10">
        <f t="shared" si="27"/>
        <v>0</v>
      </c>
      <c r="AD113" s="8">
        <f>IFERROR(AC113/AC444, "NA")</f>
        <v>0</v>
      </c>
    </row>
    <row r="114" spans="1:30" ht="16.5" hidden="1" customHeight="1" x14ac:dyDescent="0.45">
      <c r="A114" s="12" t="s">
        <v>109</v>
      </c>
      <c r="B114" s="7">
        <v>0</v>
      </c>
      <c r="C114" s="8">
        <f>IFERROR(B114/B444, "NA")</f>
        <v>0</v>
      </c>
      <c r="D114" s="9"/>
      <c r="E114" s="7">
        <v>0</v>
      </c>
      <c r="F114" s="8">
        <f>IFERROR(E114/E444, "NA")</f>
        <v>0</v>
      </c>
      <c r="G114" s="9"/>
      <c r="H114" s="10">
        <f t="shared" si="24"/>
        <v>0</v>
      </c>
      <c r="I114" s="8">
        <f>IFERROR(H114/H444, "NA")</f>
        <v>0</v>
      </c>
      <c r="J114" s="9"/>
      <c r="K114" s="7">
        <v>0</v>
      </c>
      <c r="L114" s="8">
        <f>IFERROR(K114/K444, "NA")</f>
        <v>0</v>
      </c>
      <c r="M114" s="9"/>
      <c r="N114" s="10">
        <f t="shared" si="25"/>
        <v>0</v>
      </c>
      <c r="O114" s="8">
        <f>IFERROR(N114/N444, "NA")</f>
        <v>0</v>
      </c>
      <c r="P114" s="9"/>
      <c r="Q114" s="7">
        <v>0</v>
      </c>
      <c r="R114" s="8">
        <f>IFERROR(Q114/Q444, "NA")</f>
        <v>0</v>
      </c>
      <c r="S114" s="9"/>
      <c r="T114" s="7">
        <v>0</v>
      </c>
      <c r="U114" s="8">
        <f>IFERROR(T114/T444, "NA")</f>
        <v>0</v>
      </c>
      <c r="V114" s="9"/>
      <c r="W114" s="10">
        <f t="shared" si="26"/>
        <v>0</v>
      </c>
      <c r="X114" s="8">
        <f>IFERROR(W114/W444, "NA")</f>
        <v>0</v>
      </c>
      <c r="Y114" s="9"/>
      <c r="Z114" s="7">
        <v>0</v>
      </c>
      <c r="AA114" s="8">
        <f>IFERROR(Z114/Z444, "NA")</f>
        <v>0</v>
      </c>
      <c r="AB114" s="9"/>
      <c r="AC114" s="10">
        <f t="shared" si="27"/>
        <v>0</v>
      </c>
      <c r="AD114" s="8">
        <f>IFERROR(AC114/AC444, "NA")</f>
        <v>0</v>
      </c>
    </row>
    <row r="115" spans="1:30" ht="16.5" hidden="1" customHeight="1" x14ac:dyDescent="0.45">
      <c r="A115" s="12" t="s">
        <v>110</v>
      </c>
      <c r="B115" s="7">
        <v>0</v>
      </c>
      <c r="C115" s="8">
        <f>IFERROR(B115/B444, "NA")</f>
        <v>0</v>
      </c>
      <c r="D115" s="9"/>
      <c r="E115" s="7">
        <v>0</v>
      </c>
      <c r="F115" s="8">
        <f>IFERROR(E115/E444, "NA")</f>
        <v>0</v>
      </c>
      <c r="G115" s="9"/>
      <c r="H115" s="10">
        <f t="shared" si="24"/>
        <v>0</v>
      </c>
      <c r="I115" s="8">
        <f>IFERROR(H115/H444, "NA")</f>
        <v>0</v>
      </c>
      <c r="J115" s="9"/>
      <c r="K115" s="7">
        <v>0</v>
      </c>
      <c r="L115" s="8">
        <f>IFERROR(K115/K444, "NA")</f>
        <v>0</v>
      </c>
      <c r="M115" s="9"/>
      <c r="N115" s="10">
        <f t="shared" si="25"/>
        <v>0</v>
      </c>
      <c r="O115" s="8">
        <f>IFERROR(N115/N444, "NA")</f>
        <v>0</v>
      </c>
      <c r="P115" s="9"/>
      <c r="Q115" s="7">
        <v>0</v>
      </c>
      <c r="R115" s="8">
        <f>IFERROR(Q115/Q444, "NA")</f>
        <v>0</v>
      </c>
      <c r="S115" s="9"/>
      <c r="T115" s="7">
        <v>0</v>
      </c>
      <c r="U115" s="8">
        <f>IFERROR(T115/T444, "NA")</f>
        <v>0</v>
      </c>
      <c r="V115" s="9"/>
      <c r="W115" s="10">
        <f t="shared" si="26"/>
        <v>0</v>
      </c>
      <c r="X115" s="8">
        <f>IFERROR(W115/W444, "NA")</f>
        <v>0</v>
      </c>
      <c r="Y115" s="9"/>
      <c r="Z115" s="7">
        <v>0</v>
      </c>
      <c r="AA115" s="8">
        <f>IFERROR(Z115/Z444, "NA")</f>
        <v>0</v>
      </c>
      <c r="AB115" s="9"/>
      <c r="AC115" s="10">
        <f t="shared" si="27"/>
        <v>0</v>
      </c>
      <c r="AD115" s="8">
        <f>IFERROR(AC115/AC444, "NA")</f>
        <v>0</v>
      </c>
    </row>
    <row r="116" spans="1:30" ht="16.5" hidden="1" customHeight="1" x14ac:dyDescent="0.45">
      <c r="A116" s="12" t="s">
        <v>111</v>
      </c>
      <c r="B116" s="7">
        <v>0</v>
      </c>
      <c r="C116" s="8">
        <f>IFERROR(B116/B444, "NA")</f>
        <v>0</v>
      </c>
      <c r="D116" s="9"/>
      <c r="E116" s="7">
        <v>0</v>
      </c>
      <c r="F116" s="8">
        <f>IFERROR(E116/E444, "NA")</f>
        <v>0</v>
      </c>
      <c r="G116" s="9"/>
      <c r="H116" s="10">
        <f t="shared" si="24"/>
        <v>0</v>
      </c>
      <c r="I116" s="8">
        <f>IFERROR(H116/H444, "NA")</f>
        <v>0</v>
      </c>
      <c r="J116" s="9"/>
      <c r="K116" s="7">
        <v>0</v>
      </c>
      <c r="L116" s="8">
        <f>IFERROR(K116/K444, "NA")</f>
        <v>0</v>
      </c>
      <c r="M116" s="9"/>
      <c r="N116" s="10">
        <f t="shared" si="25"/>
        <v>0</v>
      </c>
      <c r="O116" s="8">
        <f>IFERROR(N116/N444, "NA")</f>
        <v>0</v>
      </c>
      <c r="P116" s="9"/>
      <c r="Q116" s="7">
        <v>0</v>
      </c>
      <c r="R116" s="8">
        <f>IFERROR(Q116/Q444, "NA")</f>
        <v>0</v>
      </c>
      <c r="S116" s="9"/>
      <c r="T116" s="7">
        <v>0</v>
      </c>
      <c r="U116" s="8">
        <f>IFERROR(T116/T444, "NA")</f>
        <v>0</v>
      </c>
      <c r="V116" s="9"/>
      <c r="W116" s="10">
        <f t="shared" si="26"/>
        <v>0</v>
      </c>
      <c r="X116" s="8">
        <f>IFERROR(W116/W444, "NA")</f>
        <v>0</v>
      </c>
      <c r="Y116" s="9"/>
      <c r="Z116" s="7">
        <v>0</v>
      </c>
      <c r="AA116" s="8">
        <f>IFERROR(Z116/Z444, "NA")</f>
        <v>0</v>
      </c>
      <c r="AB116" s="9"/>
      <c r="AC116" s="10">
        <f t="shared" si="27"/>
        <v>0</v>
      </c>
      <c r="AD116" s="8">
        <f>IFERROR(AC116/AC444, "NA")</f>
        <v>0</v>
      </c>
    </row>
    <row r="117" spans="1:30" ht="16.5" hidden="1" customHeight="1" x14ac:dyDescent="0.45">
      <c r="A117" s="12" t="s">
        <v>112</v>
      </c>
      <c r="B117" s="7">
        <v>0</v>
      </c>
      <c r="C117" s="8">
        <f>IFERROR(B117/B444, "NA")</f>
        <v>0</v>
      </c>
      <c r="D117" s="9"/>
      <c r="E117" s="7">
        <v>0</v>
      </c>
      <c r="F117" s="8">
        <f>IFERROR(E117/E444, "NA")</f>
        <v>0</v>
      </c>
      <c r="G117" s="9"/>
      <c r="H117" s="10">
        <f t="shared" si="24"/>
        <v>0</v>
      </c>
      <c r="I117" s="8">
        <f>IFERROR(H117/H444, "NA")</f>
        <v>0</v>
      </c>
      <c r="J117" s="9"/>
      <c r="K117" s="7">
        <v>0</v>
      </c>
      <c r="L117" s="8">
        <f>IFERROR(K117/K444, "NA")</f>
        <v>0</v>
      </c>
      <c r="M117" s="9"/>
      <c r="N117" s="10">
        <f t="shared" si="25"/>
        <v>0</v>
      </c>
      <c r="O117" s="8">
        <f>IFERROR(N117/N444, "NA")</f>
        <v>0</v>
      </c>
      <c r="P117" s="9"/>
      <c r="Q117" s="7">
        <v>0</v>
      </c>
      <c r="R117" s="8">
        <f>IFERROR(Q117/Q444, "NA")</f>
        <v>0</v>
      </c>
      <c r="S117" s="9"/>
      <c r="T117" s="7">
        <v>0</v>
      </c>
      <c r="U117" s="8">
        <f>IFERROR(T117/T444, "NA")</f>
        <v>0</v>
      </c>
      <c r="V117" s="9"/>
      <c r="W117" s="10">
        <f t="shared" si="26"/>
        <v>0</v>
      </c>
      <c r="X117" s="8">
        <f>IFERROR(W117/W444, "NA")</f>
        <v>0</v>
      </c>
      <c r="Y117" s="9"/>
      <c r="Z117" s="7">
        <v>0</v>
      </c>
      <c r="AA117" s="8">
        <f>IFERROR(Z117/Z444, "NA")</f>
        <v>0</v>
      </c>
      <c r="AB117" s="9"/>
      <c r="AC117" s="10">
        <f t="shared" si="27"/>
        <v>0</v>
      </c>
      <c r="AD117" s="8">
        <f>IFERROR(AC117/AC444, "NA")</f>
        <v>0</v>
      </c>
    </row>
    <row r="118" spans="1:30" ht="16.5" customHeight="1" x14ac:dyDescent="0.45">
      <c r="A118" s="13" t="s">
        <v>113</v>
      </c>
      <c r="B118" s="14">
        <f>IFERROR(B94+B95+B96+B97+B98+B99+B100+B101+B102+B103+B104+B105+B106+B107+B108+B109+B110+B111+B112+B113+B114+B115+B116+B117, "NA")</f>
        <v>-4316.87</v>
      </c>
      <c r="C118" s="15">
        <f>IFERROR(B118/B444, "NA")</f>
        <v>-6.3589427073973359E-2</v>
      </c>
      <c r="D118" s="2"/>
      <c r="E118" s="14">
        <f>IFERROR(E94+E95+E96+E97+E98+E99+E100+E101+E102+E103+E104+E105+E106+E107+E108+E109+E110+E111+E112+E113+E114+E115+E116+E117, "NA")</f>
        <v>-3869.01</v>
      </c>
      <c r="F118" s="15">
        <f>IFERROR(E118/E444, "NA")</f>
        <v>-5.8999982615713015E-2</v>
      </c>
      <c r="G118" s="2"/>
      <c r="H118" s="14">
        <f t="shared" si="24"/>
        <v>-447.85999999999967</v>
      </c>
      <c r="I118" s="15">
        <f>IFERROR(H118/H444, "NA")</f>
        <v>-0.19386703836131133</v>
      </c>
      <c r="J118" s="2"/>
      <c r="K118" s="14">
        <f>IFERROR(K94+K95+K96+K97+K98+K99+K100+K101+K102+K103+K104+K105+K106+K107+K108+K109+K110+K111+K112+K113+K114+K115+K116+K117, "NA")</f>
        <v>-4496.5600000000004</v>
      </c>
      <c r="L118" s="15">
        <f>IFERROR(K118/K444, "NA")</f>
        <v>-7.0455397619950816E-2</v>
      </c>
      <c r="M118" s="2"/>
      <c r="N118" s="14">
        <f t="shared" si="25"/>
        <v>179.69000000000051</v>
      </c>
      <c r="O118" s="15">
        <f>IFERROR(N118/N444, "NA")</f>
        <v>4.4201681085695117E-2</v>
      </c>
      <c r="P118" s="2"/>
      <c r="Q118" s="14">
        <f>IFERROR(Q94+Q95+Q96+Q97+Q98+Q99+Q100+Q101+Q102+Q103+Q104+Q105+Q106+Q107+Q108+Q109+Q110+Q111+Q112+Q113+Q114+Q115+Q116+Q117, "NA")</f>
        <v>-4316.87</v>
      </c>
      <c r="R118" s="15">
        <f>IFERROR(Q118/Q444, "NA")</f>
        <v>-6.3589427073973359E-2</v>
      </c>
      <c r="S118" s="2"/>
      <c r="T118" s="14">
        <f>IFERROR(T94+T95+T96+T97+T98+T99+T100+T101+T102+T103+T104+T105+T106+T107+T108+T109+T110+T111+T112+T113+T114+T115+T116+T117, "NA")</f>
        <v>-3869.01</v>
      </c>
      <c r="U118" s="15">
        <f>IFERROR(T118/T444, "NA")</f>
        <v>-5.8999982615713015E-2</v>
      </c>
      <c r="V118" s="2"/>
      <c r="W118" s="14">
        <f t="shared" si="26"/>
        <v>-447.85999999999967</v>
      </c>
      <c r="X118" s="15">
        <f>IFERROR(W118/W444, "NA")</f>
        <v>-0.19386703836131133</v>
      </c>
      <c r="Y118" s="2"/>
      <c r="Z118" s="14">
        <f>IFERROR(Z94+Z95+Z96+Z97+Z98+Z99+Z100+Z101+Z102+Z103+Z104+Z105+Z106+Z107+Z108+Z109+Z110+Z111+Z112+Z113+Z114+Z115+Z116+Z117, "NA")</f>
        <v>-4496.5600000000004</v>
      </c>
      <c r="AA118" s="15">
        <f>IFERROR(Z118/Z444, "NA")</f>
        <v>-7.0455397619950816E-2</v>
      </c>
      <c r="AB118" s="2"/>
      <c r="AC118" s="14">
        <f t="shared" si="27"/>
        <v>179.69000000000051</v>
      </c>
      <c r="AD118" s="15">
        <f>IFERROR(AC118/AC444, "NA")</f>
        <v>4.4201681085695117E-2</v>
      </c>
    </row>
    <row r="119" spans="1:30" ht="16.5" hidden="1" customHeight="1" x14ac:dyDescent="0.45">
      <c r="A119" s="6" t="s">
        <v>114</v>
      </c>
      <c r="B119" s="7">
        <v>0</v>
      </c>
      <c r="C119" s="8">
        <f>IFERROR(B119/B444, "NA")</f>
        <v>0</v>
      </c>
      <c r="D119" s="9"/>
      <c r="E119" s="7">
        <v>0</v>
      </c>
      <c r="F119" s="8">
        <f>IFERROR(E119/E444, "NA")</f>
        <v>0</v>
      </c>
      <c r="G119" s="9"/>
      <c r="H119" s="10">
        <f t="shared" si="24"/>
        <v>0</v>
      </c>
      <c r="I119" s="8">
        <f>IFERROR(H119/H444, "NA")</f>
        <v>0</v>
      </c>
      <c r="J119" s="9"/>
      <c r="K119" s="7">
        <v>0</v>
      </c>
      <c r="L119" s="8">
        <f>IFERROR(K119/K444, "NA")</f>
        <v>0</v>
      </c>
      <c r="M119" s="9"/>
      <c r="N119" s="10">
        <f t="shared" si="25"/>
        <v>0</v>
      </c>
      <c r="O119" s="8">
        <f>IFERROR(N119/N444, "NA")</f>
        <v>0</v>
      </c>
      <c r="P119" s="9"/>
      <c r="Q119" s="7">
        <v>0</v>
      </c>
      <c r="R119" s="8">
        <f>IFERROR(Q119/Q444, "NA")</f>
        <v>0</v>
      </c>
      <c r="S119" s="9"/>
      <c r="T119" s="7">
        <v>0</v>
      </c>
      <c r="U119" s="8">
        <f>IFERROR(T119/T444, "NA")</f>
        <v>0</v>
      </c>
      <c r="V119" s="9"/>
      <c r="W119" s="10">
        <f t="shared" si="26"/>
        <v>0</v>
      </c>
      <c r="X119" s="8">
        <f>IFERROR(W119/W444, "NA")</f>
        <v>0</v>
      </c>
      <c r="Y119" s="9"/>
      <c r="Z119" s="7">
        <v>0</v>
      </c>
      <c r="AA119" s="8">
        <f>IFERROR(Z119/Z444, "NA")</f>
        <v>0</v>
      </c>
      <c r="AB119" s="9"/>
      <c r="AC119" s="10">
        <f t="shared" si="27"/>
        <v>0</v>
      </c>
      <c r="AD119" s="8">
        <f>IFERROR(AC119/AC444, "NA")</f>
        <v>0</v>
      </c>
    </row>
    <row r="120" spans="1:30" ht="16.5" hidden="1" customHeight="1" x14ac:dyDescent="0.45">
      <c r="A120" s="6" t="s">
        <v>115</v>
      </c>
      <c r="B120" s="7">
        <v>0</v>
      </c>
      <c r="C120" s="8">
        <f>IFERROR(B120/B444, "NA")</f>
        <v>0</v>
      </c>
      <c r="D120" s="9"/>
      <c r="E120" s="7">
        <v>0</v>
      </c>
      <c r="F120" s="8">
        <f>IFERROR(E120/E444, "NA")</f>
        <v>0</v>
      </c>
      <c r="G120" s="9"/>
      <c r="H120" s="10">
        <f t="shared" si="24"/>
        <v>0</v>
      </c>
      <c r="I120" s="8">
        <f>IFERROR(H120/H444, "NA")</f>
        <v>0</v>
      </c>
      <c r="J120" s="9"/>
      <c r="K120" s="7">
        <v>0</v>
      </c>
      <c r="L120" s="8">
        <f>IFERROR(K120/K444, "NA")</f>
        <v>0</v>
      </c>
      <c r="M120" s="9"/>
      <c r="N120" s="10">
        <f t="shared" si="25"/>
        <v>0</v>
      </c>
      <c r="O120" s="8">
        <f>IFERROR(N120/N444, "NA")</f>
        <v>0</v>
      </c>
      <c r="P120" s="9"/>
      <c r="Q120" s="7">
        <v>0</v>
      </c>
      <c r="R120" s="8">
        <f>IFERROR(Q120/Q444, "NA")</f>
        <v>0</v>
      </c>
      <c r="S120" s="9"/>
      <c r="T120" s="7">
        <v>0</v>
      </c>
      <c r="U120" s="8">
        <f>IFERROR(T120/T444, "NA")</f>
        <v>0</v>
      </c>
      <c r="V120" s="9"/>
      <c r="W120" s="10">
        <f t="shared" si="26"/>
        <v>0</v>
      </c>
      <c r="X120" s="8">
        <f>IFERROR(W120/W444, "NA")</f>
        <v>0</v>
      </c>
      <c r="Y120" s="9"/>
      <c r="Z120" s="7">
        <v>0</v>
      </c>
      <c r="AA120" s="8">
        <f>IFERROR(Z120/Z444, "NA")</f>
        <v>0</v>
      </c>
      <c r="AB120" s="9"/>
      <c r="AC120" s="10">
        <f t="shared" si="27"/>
        <v>0</v>
      </c>
      <c r="AD120" s="8">
        <f>IFERROR(AC120/AC444, "NA")</f>
        <v>0</v>
      </c>
    </row>
    <row r="121" spans="1:30" ht="16.5" hidden="1" customHeight="1" x14ac:dyDescent="0.45">
      <c r="A121" s="6" t="s">
        <v>116</v>
      </c>
      <c r="B121" s="7">
        <v>0</v>
      </c>
      <c r="C121" s="8">
        <f>IFERROR(B121/B444, "NA")</f>
        <v>0</v>
      </c>
      <c r="D121" s="9"/>
      <c r="E121" s="7">
        <v>0</v>
      </c>
      <c r="F121" s="8">
        <f>IFERROR(E121/E444, "NA")</f>
        <v>0</v>
      </c>
      <c r="G121" s="9"/>
      <c r="H121" s="10">
        <f t="shared" si="24"/>
        <v>0</v>
      </c>
      <c r="I121" s="8">
        <f>IFERROR(H121/H444, "NA")</f>
        <v>0</v>
      </c>
      <c r="J121" s="9"/>
      <c r="K121" s="7">
        <v>0</v>
      </c>
      <c r="L121" s="8">
        <f>IFERROR(K121/K444, "NA")</f>
        <v>0</v>
      </c>
      <c r="M121" s="9"/>
      <c r="N121" s="10">
        <f t="shared" si="25"/>
        <v>0</v>
      </c>
      <c r="O121" s="8">
        <f>IFERROR(N121/N444, "NA")</f>
        <v>0</v>
      </c>
      <c r="P121" s="9"/>
      <c r="Q121" s="7">
        <v>0</v>
      </c>
      <c r="R121" s="8">
        <f>IFERROR(Q121/Q444, "NA")</f>
        <v>0</v>
      </c>
      <c r="S121" s="9"/>
      <c r="T121" s="7">
        <v>0</v>
      </c>
      <c r="U121" s="8">
        <f>IFERROR(T121/T444, "NA")</f>
        <v>0</v>
      </c>
      <c r="V121" s="9"/>
      <c r="W121" s="10">
        <f t="shared" si="26"/>
        <v>0</v>
      </c>
      <c r="X121" s="8">
        <f>IFERROR(W121/W444, "NA")</f>
        <v>0</v>
      </c>
      <c r="Y121" s="9"/>
      <c r="Z121" s="7">
        <v>0</v>
      </c>
      <c r="AA121" s="8">
        <f>IFERROR(Z121/Z444, "NA")</f>
        <v>0</v>
      </c>
      <c r="AB121" s="9"/>
      <c r="AC121" s="10">
        <f t="shared" si="27"/>
        <v>0</v>
      </c>
      <c r="AD121" s="8">
        <f>IFERROR(AC121/AC444, "NA")</f>
        <v>0</v>
      </c>
    </row>
    <row r="122" spans="1:30" ht="16.5" customHeight="1" x14ac:dyDescent="0.45">
      <c r="A122" s="19" t="s">
        <v>117</v>
      </c>
      <c r="B122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67886.60000000002</v>
      </c>
      <c r="C122" s="15">
        <f>IFERROR(B122/B444, "NA")</f>
        <v>1.0000000000000002</v>
      </c>
      <c r="D122" s="2"/>
      <c r="E122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65576.460000000006</v>
      </c>
      <c r="F122" s="15">
        <f>IFERROR(E122/E444, "NA")</f>
        <v>1</v>
      </c>
      <c r="G122" s="2"/>
      <c r="H122" s="14">
        <f t="shared" si="24"/>
        <v>2310.140000000014</v>
      </c>
      <c r="I122" s="15">
        <f>IFERROR(H122/H444, "NA")</f>
        <v>1.0000000000000062</v>
      </c>
      <c r="J122" s="2"/>
      <c r="K122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63821.369999999995</v>
      </c>
      <c r="L122" s="15">
        <f>IFERROR(K122/K444, "NA")</f>
        <v>0.99999999999999989</v>
      </c>
      <c r="M122" s="2"/>
      <c r="N122" s="14">
        <f t="shared" si="25"/>
        <v>4065.230000000025</v>
      </c>
      <c r="O122" s="15">
        <f>IFERROR(N122/N444, "NA")</f>
        <v>1.0000000000000053</v>
      </c>
      <c r="P122" s="2"/>
      <c r="Q122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67886.60000000002</v>
      </c>
      <c r="R122" s="15">
        <f>IFERROR(Q122/Q444, "NA")</f>
        <v>1.0000000000000002</v>
      </c>
      <c r="S122" s="2"/>
      <c r="T122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65576.460000000006</v>
      </c>
      <c r="U122" s="15">
        <f>IFERROR(T122/T444, "NA")</f>
        <v>1</v>
      </c>
      <c r="V122" s="2"/>
      <c r="W122" s="14">
        <f t="shared" si="26"/>
        <v>2310.140000000014</v>
      </c>
      <c r="X122" s="15">
        <f>IFERROR(W122/W444, "NA")</f>
        <v>1.0000000000000062</v>
      </c>
      <c r="Y122" s="2"/>
      <c r="Z122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63821.369999999995</v>
      </c>
      <c r="AA122" s="15">
        <f>IFERROR(Z122/Z444, "NA")</f>
        <v>0.99999999999999989</v>
      </c>
      <c r="AB122" s="2"/>
      <c r="AC122" s="14">
        <f t="shared" si="27"/>
        <v>4065.230000000025</v>
      </c>
      <c r="AD122" s="15">
        <f>IFERROR(AC122/AC444, "NA")</f>
        <v>1.0000000000000053</v>
      </c>
    </row>
    <row r="123" spans="1:30" ht="16.5" hidden="1" customHeight="1" x14ac:dyDescent="0.45">
      <c r="A123" s="20" t="s">
        <v>118</v>
      </c>
      <c r="B123" s="7">
        <v>0</v>
      </c>
      <c r="C123" s="8">
        <f>IFERROR(B123/B444, "NA")</f>
        <v>0</v>
      </c>
      <c r="D123" s="9"/>
      <c r="E123" s="7">
        <v>0</v>
      </c>
      <c r="F123" s="8">
        <f>IFERROR(E123/E444, "NA")</f>
        <v>0</v>
      </c>
      <c r="G123" s="9"/>
      <c r="H123" s="10">
        <f t="shared" si="24"/>
        <v>0</v>
      </c>
      <c r="I123" s="8">
        <f>IFERROR(H123/H444, "NA")</f>
        <v>0</v>
      </c>
      <c r="J123" s="9"/>
      <c r="K123" s="7">
        <v>0</v>
      </c>
      <c r="L123" s="8">
        <f>IFERROR(K123/K444, "NA")</f>
        <v>0</v>
      </c>
      <c r="M123" s="9"/>
      <c r="N123" s="10">
        <f t="shared" si="25"/>
        <v>0</v>
      </c>
      <c r="O123" s="8">
        <f>IFERROR(N123/N444, "NA")</f>
        <v>0</v>
      </c>
      <c r="P123" s="9"/>
      <c r="Q123" s="7">
        <v>0</v>
      </c>
      <c r="R123" s="8">
        <f>IFERROR(Q123/Q444, "NA")</f>
        <v>0</v>
      </c>
      <c r="S123" s="9"/>
      <c r="T123" s="7">
        <v>0</v>
      </c>
      <c r="U123" s="8">
        <f>IFERROR(T123/T444, "NA")</f>
        <v>0</v>
      </c>
      <c r="V123" s="9"/>
      <c r="W123" s="10">
        <f t="shared" si="26"/>
        <v>0</v>
      </c>
      <c r="X123" s="8">
        <f>IFERROR(W123/W444, "NA")</f>
        <v>0</v>
      </c>
      <c r="Y123" s="9"/>
      <c r="Z123" s="7">
        <v>0</v>
      </c>
      <c r="AA123" s="8">
        <f>IFERROR(Z123/Z444, "NA")</f>
        <v>0</v>
      </c>
      <c r="AB123" s="9"/>
      <c r="AC123" s="10">
        <f t="shared" si="27"/>
        <v>0</v>
      </c>
      <c r="AD123" s="8">
        <f>IFERROR(AC123/AC444, "NA")</f>
        <v>0</v>
      </c>
    </row>
    <row r="124" spans="1:30" ht="16.5" customHeight="1" x14ac:dyDescent="0.45">
      <c r="A124" s="21" t="s">
        <v>117</v>
      </c>
      <c r="B124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67886.60000000002</v>
      </c>
      <c r="C124" s="15">
        <f>IFERROR(B124/B444, "NA")</f>
        <v>1.0000000000000002</v>
      </c>
      <c r="D124" s="2"/>
      <c r="E124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65576.460000000006</v>
      </c>
      <c r="F124" s="15">
        <f>IFERROR(E124/E444, "NA")</f>
        <v>1</v>
      </c>
      <c r="G124" s="2"/>
      <c r="H124" s="14">
        <f t="shared" si="24"/>
        <v>2310.140000000014</v>
      </c>
      <c r="I124" s="15">
        <f>IFERROR(H124/H444, "NA")</f>
        <v>1.0000000000000062</v>
      </c>
      <c r="J124" s="2"/>
      <c r="K124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63821.369999999995</v>
      </c>
      <c r="L124" s="15">
        <f>IFERROR(K124/K444, "NA")</f>
        <v>0.99999999999999989</v>
      </c>
      <c r="M124" s="2"/>
      <c r="N124" s="14">
        <f t="shared" si="25"/>
        <v>4065.230000000025</v>
      </c>
      <c r="O124" s="15">
        <f>IFERROR(N124/N444, "NA")</f>
        <v>1.0000000000000053</v>
      </c>
      <c r="P124" s="2"/>
      <c r="Q124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67886.60000000002</v>
      </c>
      <c r="R124" s="15">
        <f>IFERROR(Q124/Q444, "NA")</f>
        <v>1.0000000000000002</v>
      </c>
      <c r="S124" s="2"/>
      <c r="T124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65576.460000000006</v>
      </c>
      <c r="U124" s="15">
        <f>IFERROR(T124/T444, "NA")</f>
        <v>1</v>
      </c>
      <c r="V124" s="2"/>
      <c r="W124" s="14">
        <f t="shared" si="26"/>
        <v>2310.140000000014</v>
      </c>
      <c r="X124" s="15">
        <f>IFERROR(W124/W444, "NA")</f>
        <v>1.0000000000000062</v>
      </c>
      <c r="Y124" s="2"/>
      <c r="Z124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63821.369999999995</v>
      </c>
      <c r="AA124" s="15">
        <f>IFERROR(Z124/Z444, "NA")</f>
        <v>0.99999999999999989</v>
      </c>
      <c r="AB124" s="2"/>
      <c r="AC124" s="14">
        <f t="shared" si="27"/>
        <v>4065.230000000025</v>
      </c>
      <c r="AD124" s="15">
        <f>IFERROR(AC124/AC444, "NA")</f>
        <v>1.0000000000000053</v>
      </c>
    </row>
    <row r="125" spans="1:30" ht="16.5" customHeight="1" x14ac:dyDescent="0.45">
      <c r="A125" s="1" t="s">
        <v>119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45">
      <c r="A126" s="5" t="s">
        <v>120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45">
      <c r="A127" s="6" t="s">
        <v>120</v>
      </c>
      <c r="B127" s="7">
        <v>0</v>
      </c>
      <c r="C127" s="8">
        <f>IFERROR(B127/B444, "NA")</f>
        <v>0</v>
      </c>
      <c r="D127" s="9"/>
      <c r="E127" s="7">
        <v>0</v>
      </c>
      <c r="F127" s="8">
        <f>IFERROR(E127/E444, "NA")</f>
        <v>0</v>
      </c>
      <c r="G127" s="9"/>
      <c r="H127" s="10">
        <f>IFERROR(-(B127-E127), "NA")</f>
        <v>0</v>
      </c>
      <c r="I127" s="8">
        <f>IFERROR(H127/H444, "NA")</f>
        <v>0</v>
      </c>
      <c r="J127" s="9"/>
      <c r="K127" s="7">
        <v>0</v>
      </c>
      <c r="L127" s="8">
        <f>IFERROR(K127/K444, "NA")</f>
        <v>0</v>
      </c>
      <c r="M127" s="9"/>
      <c r="N127" s="10">
        <f>IFERROR(-(B127-K127), "NA")</f>
        <v>0</v>
      </c>
      <c r="O127" s="8">
        <f>IFERROR(N127/N444, "NA")</f>
        <v>0</v>
      </c>
      <c r="P127" s="9"/>
      <c r="Q127" s="7">
        <v>0</v>
      </c>
      <c r="R127" s="8">
        <f>IFERROR(Q127/Q444, "NA")</f>
        <v>0</v>
      </c>
      <c r="S127" s="9"/>
      <c r="T127" s="7">
        <v>0</v>
      </c>
      <c r="U127" s="8">
        <f>IFERROR(T127/T444, "NA")</f>
        <v>0</v>
      </c>
      <c r="V127" s="9"/>
      <c r="W127" s="10">
        <f>IFERROR(-(Q127-T127), "NA")</f>
        <v>0</v>
      </c>
      <c r="X127" s="8">
        <f>IFERROR(W127/W444, "NA")</f>
        <v>0</v>
      </c>
      <c r="Y127" s="9"/>
      <c r="Z127" s="7">
        <v>0</v>
      </c>
      <c r="AA127" s="8">
        <f>IFERROR(Z127/Z444, "NA")</f>
        <v>0</v>
      </c>
      <c r="AB127" s="9"/>
      <c r="AC127" s="10">
        <f>IFERROR(-(Q127-Z127), "NA")</f>
        <v>0</v>
      </c>
      <c r="AD127" s="8">
        <f>IFERROR(AC127/AC444, "NA")</f>
        <v>0</v>
      </c>
    </row>
    <row r="128" spans="1:30" ht="16.5" customHeight="1" x14ac:dyDescent="0.45">
      <c r="A128" s="11" t="s">
        <v>121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45">
      <c r="A129" s="12" t="s">
        <v>121</v>
      </c>
      <c r="B129" s="7">
        <v>0</v>
      </c>
      <c r="C129" s="8">
        <f>IFERROR(B129/B444, "NA")</f>
        <v>0</v>
      </c>
      <c r="D129" s="9"/>
      <c r="E129" s="7">
        <v>14426.82</v>
      </c>
      <c r="F129" s="8">
        <f>IFERROR(E129/E444, "NA")</f>
        <v>0.21999998170075052</v>
      </c>
      <c r="G129" s="9"/>
      <c r="H129" s="10">
        <f t="shared" ref="H129:H141" si="28">IFERROR(-(B129-E129), "NA")</f>
        <v>14426.82</v>
      </c>
      <c r="I129" s="8">
        <f>IFERROR(H129/H444, "NA")</f>
        <v>6.2449981386409492</v>
      </c>
      <c r="J129" s="9"/>
      <c r="K129" s="7">
        <v>0</v>
      </c>
      <c r="L129" s="8">
        <f>IFERROR(K129/K444, "NA")</f>
        <v>0</v>
      </c>
      <c r="M129" s="9"/>
      <c r="N129" s="10">
        <f t="shared" ref="N129:N141" si="29">IFERROR(-(B129-K129), "NA")</f>
        <v>0</v>
      </c>
      <c r="O129" s="8">
        <f>IFERROR(N129/N444, "NA")</f>
        <v>0</v>
      </c>
      <c r="P129" s="9"/>
      <c r="Q129" s="7">
        <v>0</v>
      </c>
      <c r="R129" s="8">
        <f>IFERROR(Q129/Q444, "NA")</f>
        <v>0</v>
      </c>
      <c r="S129" s="9"/>
      <c r="T129" s="7">
        <v>14426.82</v>
      </c>
      <c r="U129" s="8">
        <f>IFERROR(T129/T444, "NA")</f>
        <v>0.21999998170075052</v>
      </c>
      <c r="V129" s="9"/>
      <c r="W129" s="10">
        <f t="shared" ref="W129:W141" si="30">IFERROR(-(Q129-T129), "NA")</f>
        <v>14426.82</v>
      </c>
      <c r="X129" s="8">
        <f>IFERROR(W129/W444, "NA")</f>
        <v>6.2449981386409492</v>
      </c>
      <c r="Y129" s="9"/>
      <c r="Z129" s="7">
        <v>0</v>
      </c>
      <c r="AA129" s="8">
        <f>IFERROR(Z129/Z444, "NA")</f>
        <v>0</v>
      </c>
      <c r="AB129" s="9"/>
      <c r="AC129" s="10">
        <f t="shared" ref="AC129:AC141" si="31">IFERROR(-(Q129-Z129), "NA")</f>
        <v>0</v>
      </c>
      <c r="AD129" s="8">
        <f>IFERROR(AC129/AC444, "NA")</f>
        <v>0</v>
      </c>
    </row>
    <row r="130" spans="1:30" ht="16.5" customHeight="1" x14ac:dyDescent="0.45">
      <c r="A130" s="12" t="s">
        <v>122</v>
      </c>
      <c r="B130" s="7">
        <v>3293.49</v>
      </c>
      <c r="C130" s="8">
        <f>IFERROR(B130/B444, "NA")</f>
        <v>4.851458167002029E-2</v>
      </c>
      <c r="D130" s="9"/>
      <c r="E130" s="7">
        <v>0</v>
      </c>
      <c r="F130" s="8">
        <f>IFERROR(E130/E444, "NA")</f>
        <v>0</v>
      </c>
      <c r="G130" s="9"/>
      <c r="H130" s="10">
        <f t="shared" si="28"/>
        <v>-3293.49</v>
      </c>
      <c r="I130" s="8">
        <f>IFERROR(H130/H444, "NA")</f>
        <v>-1.4256668427021741</v>
      </c>
      <c r="J130" s="9"/>
      <c r="K130" s="7">
        <v>3558.16</v>
      </c>
      <c r="L130" s="8">
        <f>IFERROR(K130/K444, "NA")</f>
        <v>5.5751858664268718E-2</v>
      </c>
      <c r="M130" s="9"/>
      <c r="N130" s="10">
        <f t="shared" si="29"/>
        <v>264.67000000000007</v>
      </c>
      <c r="O130" s="8">
        <f>IFERROR(N130/N444, "NA")</f>
        <v>6.5105787372424159E-2</v>
      </c>
      <c r="P130" s="9"/>
      <c r="Q130" s="7">
        <v>3293.49</v>
      </c>
      <c r="R130" s="8">
        <f>IFERROR(Q130/Q444, "NA")</f>
        <v>4.851458167002029E-2</v>
      </c>
      <c r="S130" s="9"/>
      <c r="T130" s="7">
        <v>0</v>
      </c>
      <c r="U130" s="8">
        <f>IFERROR(T130/T444, "NA")</f>
        <v>0</v>
      </c>
      <c r="V130" s="9"/>
      <c r="W130" s="10">
        <f t="shared" si="30"/>
        <v>-3293.49</v>
      </c>
      <c r="X130" s="8">
        <f>IFERROR(W130/W444, "NA")</f>
        <v>-1.4256668427021741</v>
      </c>
      <c r="Y130" s="9"/>
      <c r="Z130" s="7">
        <v>3558.16</v>
      </c>
      <c r="AA130" s="8">
        <f>IFERROR(Z130/Z444, "NA")</f>
        <v>5.5751858664268718E-2</v>
      </c>
      <c r="AB130" s="9"/>
      <c r="AC130" s="10">
        <f t="shared" si="31"/>
        <v>264.67000000000007</v>
      </c>
      <c r="AD130" s="8">
        <f>IFERROR(AC130/AC444, "NA")</f>
        <v>6.5105787372424159E-2</v>
      </c>
    </row>
    <row r="131" spans="1:30" ht="16.5" customHeight="1" x14ac:dyDescent="0.45">
      <c r="A131" s="12" t="s">
        <v>123</v>
      </c>
      <c r="B131" s="7">
        <v>1862.85</v>
      </c>
      <c r="C131" s="8">
        <f>IFERROR(B131/B444, "NA")</f>
        <v>2.7440614200740645E-2</v>
      </c>
      <c r="D131" s="9"/>
      <c r="E131" s="7">
        <v>0</v>
      </c>
      <c r="F131" s="8">
        <f>IFERROR(E131/E444, "NA")</f>
        <v>0</v>
      </c>
      <c r="G131" s="9"/>
      <c r="H131" s="10">
        <f t="shared" si="28"/>
        <v>-1862.85</v>
      </c>
      <c r="I131" s="8">
        <f>IFERROR(H131/H444, "NA")</f>
        <v>-0.80637969993160608</v>
      </c>
      <c r="J131" s="9"/>
      <c r="K131" s="7">
        <v>1847.16</v>
      </c>
      <c r="L131" s="8">
        <f>IFERROR(K131/K444, "NA")</f>
        <v>2.8942656668134826E-2</v>
      </c>
      <c r="M131" s="9"/>
      <c r="N131" s="10">
        <f t="shared" si="29"/>
        <v>-15.689999999999827</v>
      </c>
      <c r="O131" s="8">
        <f>IFERROR(N131/N444, "NA")</f>
        <v>-3.8595602216848282E-3</v>
      </c>
      <c r="P131" s="9"/>
      <c r="Q131" s="7">
        <v>1862.85</v>
      </c>
      <c r="R131" s="8">
        <f>IFERROR(Q131/Q444, "NA")</f>
        <v>2.7440614200740645E-2</v>
      </c>
      <c r="S131" s="9"/>
      <c r="T131" s="7">
        <v>0</v>
      </c>
      <c r="U131" s="8">
        <f>IFERROR(T131/T444, "NA")</f>
        <v>0</v>
      </c>
      <c r="V131" s="9"/>
      <c r="W131" s="10">
        <f t="shared" si="30"/>
        <v>-1862.85</v>
      </c>
      <c r="X131" s="8">
        <f>IFERROR(W131/W444, "NA")</f>
        <v>-0.80637969993160608</v>
      </c>
      <c r="Y131" s="9"/>
      <c r="Z131" s="7">
        <v>1847.16</v>
      </c>
      <c r="AA131" s="8">
        <f>IFERROR(Z131/Z444, "NA")</f>
        <v>2.8942656668134826E-2</v>
      </c>
      <c r="AB131" s="9"/>
      <c r="AC131" s="10">
        <f t="shared" si="31"/>
        <v>-15.689999999999827</v>
      </c>
      <c r="AD131" s="8">
        <f>IFERROR(AC131/AC444, "NA")</f>
        <v>-3.8595602216848282E-3</v>
      </c>
    </row>
    <row r="132" spans="1:30" ht="16.5" customHeight="1" x14ac:dyDescent="0.45">
      <c r="A132" s="12" t="s">
        <v>124</v>
      </c>
      <c r="B132" s="7">
        <v>2122.36</v>
      </c>
      <c r="C132" s="8">
        <f>IFERROR(B132/B444, "NA")</f>
        <v>3.1263312641964684E-2</v>
      </c>
      <c r="D132" s="9"/>
      <c r="E132" s="7">
        <v>0</v>
      </c>
      <c r="F132" s="8">
        <f>IFERROR(E132/E444, "NA")</f>
        <v>0</v>
      </c>
      <c r="G132" s="9"/>
      <c r="H132" s="10">
        <f t="shared" si="28"/>
        <v>-2122.36</v>
      </c>
      <c r="I132" s="8">
        <f>IFERROR(H132/H444, "NA")</f>
        <v>-0.91871488308067939</v>
      </c>
      <c r="J132" s="9"/>
      <c r="K132" s="7">
        <v>2455.98</v>
      </c>
      <c r="L132" s="8">
        <f>IFERROR(K132/K444, "NA")</f>
        <v>3.848209463381936E-2</v>
      </c>
      <c r="M132" s="9"/>
      <c r="N132" s="10">
        <f t="shared" si="29"/>
        <v>333.61999999999989</v>
      </c>
      <c r="O132" s="8">
        <f>IFERROR(N132/N444, "NA")</f>
        <v>8.2066697333238126E-2</v>
      </c>
      <c r="P132" s="9"/>
      <c r="Q132" s="7">
        <v>2122.36</v>
      </c>
      <c r="R132" s="8">
        <f>IFERROR(Q132/Q444, "NA")</f>
        <v>3.1263312641964684E-2</v>
      </c>
      <c r="S132" s="9"/>
      <c r="T132" s="7">
        <v>0</v>
      </c>
      <c r="U132" s="8">
        <f>IFERROR(T132/T444, "NA")</f>
        <v>0</v>
      </c>
      <c r="V132" s="9"/>
      <c r="W132" s="10">
        <f t="shared" si="30"/>
        <v>-2122.36</v>
      </c>
      <c r="X132" s="8">
        <f>IFERROR(W132/W444, "NA")</f>
        <v>-0.91871488308067939</v>
      </c>
      <c r="Y132" s="9"/>
      <c r="Z132" s="7">
        <v>2455.98</v>
      </c>
      <c r="AA132" s="8">
        <f>IFERROR(Z132/Z444, "NA")</f>
        <v>3.848209463381936E-2</v>
      </c>
      <c r="AB132" s="9"/>
      <c r="AC132" s="10">
        <f t="shared" si="31"/>
        <v>333.61999999999989</v>
      </c>
      <c r="AD132" s="8">
        <f>IFERROR(AC132/AC444, "NA")</f>
        <v>8.2066697333238126E-2</v>
      </c>
    </row>
    <row r="133" spans="1:30" ht="16.5" customHeight="1" x14ac:dyDescent="0.45">
      <c r="A133" s="12" t="s">
        <v>125</v>
      </c>
      <c r="B133" s="7">
        <v>1583.84</v>
      </c>
      <c r="C133" s="8">
        <f>IFERROR(B133/B444, "NA")</f>
        <v>2.3330672032477687E-2</v>
      </c>
      <c r="D133" s="9"/>
      <c r="E133" s="7">
        <v>0</v>
      </c>
      <c r="F133" s="8">
        <f>IFERROR(E133/E444, "NA")</f>
        <v>0</v>
      </c>
      <c r="G133" s="9"/>
      <c r="H133" s="10">
        <f t="shared" si="28"/>
        <v>-1583.84</v>
      </c>
      <c r="I133" s="8">
        <f>IFERROR(H133/H444, "NA")</f>
        <v>-0.68560346991957211</v>
      </c>
      <c r="J133" s="9"/>
      <c r="K133" s="7">
        <v>1301.8499999999999</v>
      </c>
      <c r="L133" s="8">
        <f>IFERROR(K133/K444, "NA")</f>
        <v>2.0398339929086445E-2</v>
      </c>
      <c r="M133" s="9"/>
      <c r="N133" s="10">
        <f t="shared" si="29"/>
        <v>-281.99</v>
      </c>
      <c r="O133" s="8">
        <f>IFERROR(N133/N444, "NA")</f>
        <v>-6.9366308917330574E-2</v>
      </c>
      <c r="P133" s="9"/>
      <c r="Q133" s="7">
        <v>1583.84</v>
      </c>
      <c r="R133" s="8">
        <f>IFERROR(Q133/Q444, "NA")</f>
        <v>2.3330672032477687E-2</v>
      </c>
      <c r="S133" s="9"/>
      <c r="T133" s="7">
        <v>0</v>
      </c>
      <c r="U133" s="8">
        <f>IFERROR(T133/T444, "NA")</f>
        <v>0</v>
      </c>
      <c r="V133" s="9"/>
      <c r="W133" s="10">
        <f t="shared" si="30"/>
        <v>-1583.84</v>
      </c>
      <c r="X133" s="8">
        <f>IFERROR(W133/W444, "NA")</f>
        <v>-0.68560346991957211</v>
      </c>
      <c r="Y133" s="9"/>
      <c r="Z133" s="7">
        <v>1301.8499999999999</v>
      </c>
      <c r="AA133" s="8">
        <f>IFERROR(Z133/Z444, "NA")</f>
        <v>2.0398339929086445E-2</v>
      </c>
      <c r="AB133" s="9"/>
      <c r="AC133" s="10">
        <f t="shared" si="31"/>
        <v>-281.99</v>
      </c>
      <c r="AD133" s="8">
        <f>IFERROR(AC133/AC444, "NA")</f>
        <v>-6.9366308917330574E-2</v>
      </c>
    </row>
    <row r="134" spans="1:30" ht="16.5" customHeight="1" x14ac:dyDescent="0.45">
      <c r="A134" s="12" t="s">
        <v>126</v>
      </c>
      <c r="B134" s="7">
        <v>768.05</v>
      </c>
      <c r="C134" s="8">
        <f>IFERROR(B134/B444, "NA")</f>
        <v>1.1313720233448132E-2</v>
      </c>
      <c r="D134" s="9"/>
      <c r="E134" s="7">
        <v>0</v>
      </c>
      <c r="F134" s="8">
        <f>IFERROR(E134/E444, "NA")</f>
        <v>0</v>
      </c>
      <c r="G134" s="9"/>
      <c r="H134" s="10">
        <f t="shared" si="28"/>
        <v>-768.05</v>
      </c>
      <c r="I134" s="8">
        <f>IFERROR(H134/H444, "NA")</f>
        <v>-0.33246902785112598</v>
      </c>
      <c r="J134" s="9"/>
      <c r="K134" s="7">
        <v>511.36</v>
      </c>
      <c r="L134" s="8">
        <f>IFERROR(K134/K444, "NA")</f>
        <v>8.0123632570093684E-3</v>
      </c>
      <c r="M134" s="9"/>
      <c r="N134" s="10">
        <f t="shared" si="29"/>
        <v>-256.68999999999994</v>
      </c>
      <c r="O134" s="8">
        <f>IFERROR(N134/N444, "NA")</f>
        <v>-6.3142798808431433E-2</v>
      </c>
      <c r="P134" s="9"/>
      <c r="Q134" s="7">
        <v>768.05</v>
      </c>
      <c r="R134" s="8">
        <f>IFERROR(Q134/Q444, "NA")</f>
        <v>1.1313720233448132E-2</v>
      </c>
      <c r="S134" s="9"/>
      <c r="T134" s="7">
        <v>0</v>
      </c>
      <c r="U134" s="8">
        <f>IFERROR(T134/T444, "NA")</f>
        <v>0</v>
      </c>
      <c r="V134" s="9"/>
      <c r="W134" s="10">
        <f t="shared" si="30"/>
        <v>-768.05</v>
      </c>
      <c r="X134" s="8">
        <f>IFERROR(W134/W444, "NA")</f>
        <v>-0.33246902785112598</v>
      </c>
      <c r="Y134" s="9"/>
      <c r="Z134" s="7">
        <v>511.36</v>
      </c>
      <c r="AA134" s="8">
        <f>IFERROR(Z134/Z444, "NA")</f>
        <v>8.0123632570093684E-3</v>
      </c>
      <c r="AB134" s="9"/>
      <c r="AC134" s="10">
        <f t="shared" si="31"/>
        <v>-256.68999999999994</v>
      </c>
      <c r="AD134" s="8">
        <f>IFERROR(AC134/AC444, "NA")</f>
        <v>-6.3142798808431433E-2</v>
      </c>
    </row>
    <row r="135" spans="1:30" ht="16.5" customHeight="1" x14ac:dyDescent="0.45">
      <c r="A135" s="12" t="s">
        <v>127</v>
      </c>
      <c r="B135" s="7">
        <v>665.64</v>
      </c>
      <c r="C135" s="8">
        <f>IFERROR(B135/B444, "NA")</f>
        <v>9.8051751008299132E-3</v>
      </c>
      <c r="D135" s="9"/>
      <c r="E135" s="7">
        <v>0</v>
      </c>
      <c r="F135" s="8">
        <f>IFERROR(E135/E444, "NA")</f>
        <v>0</v>
      </c>
      <c r="G135" s="9"/>
      <c r="H135" s="10">
        <f t="shared" si="28"/>
        <v>-665.64</v>
      </c>
      <c r="I135" s="8">
        <f>IFERROR(H135/H444, "NA")</f>
        <v>-0.28813838122364888</v>
      </c>
      <c r="J135" s="9"/>
      <c r="K135" s="7">
        <v>471.15</v>
      </c>
      <c r="L135" s="8">
        <f>IFERROR(K135/K444, "NA")</f>
        <v>7.3823235070008672E-3</v>
      </c>
      <c r="M135" s="9"/>
      <c r="N135" s="10">
        <f t="shared" si="29"/>
        <v>-194.49</v>
      </c>
      <c r="O135" s="8">
        <f>IFERROR(N135/N444, "NA")</f>
        <v>-4.7842311505130054E-2</v>
      </c>
      <c r="P135" s="9"/>
      <c r="Q135" s="7">
        <v>665.64</v>
      </c>
      <c r="R135" s="8">
        <f>IFERROR(Q135/Q444, "NA")</f>
        <v>9.8051751008299132E-3</v>
      </c>
      <c r="S135" s="9"/>
      <c r="T135" s="7">
        <v>0</v>
      </c>
      <c r="U135" s="8">
        <f>IFERROR(T135/T444, "NA")</f>
        <v>0</v>
      </c>
      <c r="V135" s="9"/>
      <c r="W135" s="10">
        <f t="shared" si="30"/>
        <v>-665.64</v>
      </c>
      <c r="X135" s="8">
        <f>IFERROR(W135/W444, "NA")</f>
        <v>-0.28813838122364888</v>
      </c>
      <c r="Y135" s="9"/>
      <c r="Z135" s="7">
        <v>471.15</v>
      </c>
      <c r="AA135" s="8">
        <f>IFERROR(Z135/Z444, "NA")</f>
        <v>7.3823235070008672E-3</v>
      </c>
      <c r="AB135" s="9"/>
      <c r="AC135" s="10">
        <f t="shared" si="31"/>
        <v>-194.49</v>
      </c>
      <c r="AD135" s="8">
        <f>IFERROR(AC135/AC444, "NA")</f>
        <v>-4.7842311505130054E-2</v>
      </c>
    </row>
    <row r="136" spans="1:30" ht="16.5" customHeight="1" x14ac:dyDescent="0.45">
      <c r="A136" s="12" t="s">
        <v>128</v>
      </c>
      <c r="B136" s="7">
        <v>0</v>
      </c>
      <c r="C136" s="8">
        <f>IFERROR(B136/B444, "NA")</f>
        <v>0</v>
      </c>
      <c r="D136" s="9"/>
      <c r="E136" s="7">
        <v>0</v>
      </c>
      <c r="F136" s="8">
        <f>IFERROR(E136/E444, "NA")</f>
        <v>0</v>
      </c>
      <c r="G136" s="9"/>
      <c r="H136" s="10">
        <f t="shared" si="28"/>
        <v>0</v>
      </c>
      <c r="I136" s="8">
        <f>IFERROR(H136/H444, "NA")</f>
        <v>0</v>
      </c>
      <c r="J136" s="9"/>
      <c r="K136" s="7">
        <v>637.16</v>
      </c>
      <c r="L136" s="8">
        <f>IFERROR(K136/K444, "NA")</f>
        <v>9.9834898561406617E-3</v>
      </c>
      <c r="M136" s="9"/>
      <c r="N136" s="10">
        <f t="shared" si="29"/>
        <v>637.16</v>
      </c>
      <c r="O136" s="8">
        <f>IFERROR(N136/N444, "NA")</f>
        <v>0.15673405932751638</v>
      </c>
      <c r="P136" s="9"/>
      <c r="Q136" s="7">
        <v>0</v>
      </c>
      <c r="R136" s="8">
        <f>IFERROR(Q136/Q444, "NA")</f>
        <v>0</v>
      </c>
      <c r="S136" s="9"/>
      <c r="T136" s="7">
        <v>0</v>
      </c>
      <c r="U136" s="8">
        <f>IFERROR(T136/T444, "NA")</f>
        <v>0</v>
      </c>
      <c r="V136" s="9"/>
      <c r="W136" s="10">
        <f t="shared" si="30"/>
        <v>0</v>
      </c>
      <c r="X136" s="8">
        <f>IFERROR(W136/W444, "NA")</f>
        <v>0</v>
      </c>
      <c r="Y136" s="9"/>
      <c r="Z136" s="7">
        <v>637.16</v>
      </c>
      <c r="AA136" s="8">
        <f>IFERROR(Z136/Z444, "NA")</f>
        <v>9.9834898561406617E-3</v>
      </c>
      <c r="AB136" s="9"/>
      <c r="AC136" s="10">
        <f t="shared" si="31"/>
        <v>637.16</v>
      </c>
      <c r="AD136" s="8">
        <f>IFERROR(AC136/AC444, "NA")</f>
        <v>0.15673405932751638</v>
      </c>
    </row>
    <row r="137" spans="1:30" ht="16.5" customHeight="1" x14ac:dyDescent="0.45">
      <c r="A137" s="12" t="s">
        <v>129</v>
      </c>
      <c r="B137" s="7">
        <v>329.1</v>
      </c>
      <c r="C137" s="8">
        <f>IFERROR(B137/B444, "NA")</f>
        <v>4.847790285564456E-3</v>
      </c>
      <c r="D137" s="9"/>
      <c r="E137" s="7">
        <v>0</v>
      </c>
      <c r="F137" s="8">
        <f>IFERROR(E137/E444, "NA")</f>
        <v>0</v>
      </c>
      <c r="G137" s="9"/>
      <c r="H137" s="10">
        <f t="shared" si="28"/>
        <v>-329.1</v>
      </c>
      <c r="I137" s="8">
        <f>IFERROR(H137/H444, "NA")</f>
        <v>-0.14245889859489039</v>
      </c>
      <c r="J137" s="9"/>
      <c r="K137" s="7">
        <v>548.15</v>
      </c>
      <c r="L137" s="8">
        <f>IFERROR(K137/K444, "NA")</f>
        <v>8.5888159404914049E-3</v>
      </c>
      <c r="M137" s="9"/>
      <c r="N137" s="10">
        <f t="shared" si="29"/>
        <v>219.04999999999995</v>
      </c>
      <c r="O137" s="8">
        <f>IFERROR(N137/N444, "NA")</f>
        <v>5.388379009305741E-2</v>
      </c>
      <c r="P137" s="9"/>
      <c r="Q137" s="7">
        <v>329.1</v>
      </c>
      <c r="R137" s="8">
        <f>IFERROR(Q137/Q444, "NA")</f>
        <v>4.847790285564456E-3</v>
      </c>
      <c r="S137" s="9"/>
      <c r="T137" s="7">
        <v>0</v>
      </c>
      <c r="U137" s="8">
        <f>IFERROR(T137/T444, "NA")</f>
        <v>0</v>
      </c>
      <c r="V137" s="9"/>
      <c r="W137" s="10">
        <f t="shared" si="30"/>
        <v>-329.1</v>
      </c>
      <c r="X137" s="8">
        <f>IFERROR(W137/W444, "NA")</f>
        <v>-0.14245889859489039</v>
      </c>
      <c r="Y137" s="9"/>
      <c r="Z137" s="7">
        <v>548.15</v>
      </c>
      <c r="AA137" s="8">
        <f>IFERROR(Z137/Z444, "NA")</f>
        <v>8.5888159404914049E-3</v>
      </c>
      <c r="AB137" s="9"/>
      <c r="AC137" s="10">
        <f t="shared" si="31"/>
        <v>219.04999999999995</v>
      </c>
      <c r="AD137" s="8">
        <f>IFERROR(AC137/AC444, "NA")</f>
        <v>5.388379009305741E-2</v>
      </c>
    </row>
    <row r="138" spans="1:30" ht="16.5" customHeight="1" x14ac:dyDescent="0.45">
      <c r="A138" s="12" t="s">
        <v>130</v>
      </c>
      <c r="B138" s="7">
        <v>4992.8500000000004</v>
      </c>
      <c r="C138" s="8">
        <f>IFERROR(B138/B444, "NA")</f>
        <v>7.3546915002371607E-2</v>
      </c>
      <c r="D138" s="9"/>
      <c r="E138" s="7">
        <v>0</v>
      </c>
      <c r="F138" s="8">
        <f>IFERROR(E138/E444, "NA")</f>
        <v>0</v>
      </c>
      <c r="G138" s="9"/>
      <c r="H138" s="10">
        <f t="shared" si="28"/>
        <v>-4992.8500000000004</v>
      </c>
      <c r="I138" s="8">
        <f>IFERROR(H138/H444, "NA")</f>
        <v>-2.1612759399863219</v>
      </c>
      <c r="J138" s="9"/>
      <c r="K138" s="7">
        <v>3251.83</v>
      </c>
      <c r="L138" s="8">
        <f>IFERROR(K138/K444, "NA")</f>
        <v>5.0952055714253701E-2</v>
      </c>
      <c r="M138" s="9"/>
      <c r="N138" s="10">
        <f t="shared" si="29"/>
        <v>-1741.0200000000004</v>
      </c>
      <c r="O138" s="8">
        <f>IFERROR(N138/N444, "NA")</f>
        <v>-0.42827097113816415</v>
      </c>
      <c r="P138" s="9"/>
      <c r="Q138" s="7">
        <v>4992.8500000000004</v>
      </c>
      <c r="R138" s="8">
        <f>IFERROR(Q138/Q444, "NA")</f>
        <v>7.3546915002371607E-2</v>
      </c>
      <c r="S138" s="9"/>
      <c r="T138" s="7">
        <v>0</v>
      </c>
      <c r="U138" s="8">
        <f>IFERROR(T138/T444, "NA")</f>
        <v>0</v>
      </c>
      <c r="V138" s="9"/>
      <c r="W138" s="10">
        <f t="shared" si="30"/>
        <v>-4992.8500000000004</v>
      </c>
      <c r="X138" s="8">
        <f>IFERROR(W138/W444, "NA")</f>
        <v>-2.1612759399863219</v>
      </c>
      <c r="Y138" s="9"/>
      <c r="Z138" s="7">
        <v>3251.83</v>
      </c>
      <c r="AA138" s="8">
        <f>IFERROR(Z138/Z444, "NA")</f>
        <v>5.0952055714253701E-2</v>
      </c>
      <c r="AB138" s="9"/>
      <c r="AC138" s="10">
        <f t="shared" si="31"/>
        <v>-1741.0200000000004</v>
      </c>
      <c r="AD138" s="8">
        <f>IFERROR(AC138/AC444, "NA")</f>
        <v>-0.42827097113816415</v>
      </c>
    </row>
    <row r="139" spans="1:30" ht="16.5" hidden="1" customHeight="1" x14ac:dyDescent="0.45">
      <c r="A139" s="12" t="s">
        <v>131</v>
      </c>
      <c r="B139" s="7">
        <v>0</v>
      </c>
      <c r="C139" s="8">
        <f>IFERROR(B139/B444, "NA")</f>
        <v>0</v>
      </c>
      <c r="D139" s="9"/>
      <c r="E139" s="7">
        <v>0</v>
      </c>
      <c r="F139" s="8">
        <f>IFERROR(E139/E444, "NA")</f>
        <v>0</v>
      </c>
      <c r="G139" s="9"/>
      <c r="H139" s="10">
        <f t="shared" si="28"/>
        <v>0</v>
      </c>
      <c r="I139" s="8">
        <f>IFERROR(H139/H444, "NA")</f>
        <v>0</v>
      </c>
      <c r="J139" s="9"/>
      <c r="K139" s="7">
        <v>0</v>
      </c>
      <c r="L139" s="8">
        <f>IFERROR(K139/K444, "NA")</f>
        <v>0</v>
      </c>
      <c r="M139" s="9"/>
      <c r="N139" s="10">
        <f t="shared" si="29"/>
        <v>0</v>
      </c>
      <c r="O139" s="8">
        <f>IFERROR(N139/N444, "NA")</f>
        <v>0</v>
      </c>
      <c r="P139" s="9"/>
      <c r="Q139" s="7">
        <v>0</v>
      </c>
      <c r="R139" s="8">
        <f>IFERROR(Q139/Q444, "NA")</f>
        <v>0</v>
      </c>
      <c r="S139" s="9"/>
      <c r="T139" s="7">
        <v>0</v>
      </c>
      <c r="U139" s="8">
        <f>IFERROR(T139/T444, "NA")</f>
        <v>0</v>
      </c>
      <c r="V139" s="9"/>
      <c r="W139" s="10">
        <f t="shared" si="30"/>
        <v>0</v>
      </c>
      <c r="X139" s="8">
        <f>IFERROR(W139/W444, "NA")</f>
        <v>0</v>
      </c>
      <c r="Y139" s="9"/>
      <c r="Z139" s="7">
        <v>0</v>
      </c>
      <c r="AA139" s="8">
        <f>IFERROR(Z139/Z444, "NA")</f>
        <v>0</v>
      </c>
      <c r="AB139" s="9"/>
      <c r="AC139" s="10">
        <f t="shared" si="31"/>
        <v>0</v>
      </c>
      <c r="AD139" s="8">
        <f>IFERROR(AC139/AC444, "NA")</f>
        <v>0</v>
      </c>
    </row>
    <row r="140" spans="1:30" ht="16.5" hidden="1" customHeight="1" x14ac:dyDescent="0.45">
      <c r="A140" s="12" t="s">
        <v>132</v>
      </c>
      <c r="B140" s="7">
        <v>0</v>
      </c>
      <c r="C140" s="8">
        <f>IFERROR(B140/B444, "NA")</f>
        <v>0</v>
      </c>
      <c r="D140" s="9"/>
      <c r="E140" s="7">
        <v>0</v>
      </c>
      <c r="F140" s="8">
        <f>IFERROR(E140/E444, "NA")</f>
        <v>0</v>
      </c>
      <c r="G140" s="9"/>
      <c r="H140" s="10">
        <f t="shared" si="28"/>
        <v>0</v>
      </c>
      <c r="I140" s="8">
        <f>IFERROR(H140/H444, "NA")</f>
        <v>0</v>
      </c>
      <c r="J140" s="9"/>
      <c r="K140" s="7">
        <v>0</v>
      </c>
      <c r="L140" s="8">
        <f>IFERROR(K140/K444, "NA")</f>
        <v>0</v>
      </c>
      <c r="M140" s="9"/>
      <c r="N140" s="10">
        <f t="shared" si="29"/>
        <v>0</v>
      </c>
      <c r="O140" s="8">
        <f>IFERROR(N140/N444, "NA")</f>
        <v>0</v>
      </c>
      <c r="P140" s="9"/>
      <c r="Q140" s="7">
        <v>0</v>
      </c>
      <c r="R140" s="8">
        <f>IFERROR(Q140/Q444, "NA")</f>
        <v>0</v>
      </c>
      <c r="S140" s="9"/>
      <c r="T140" s="7">
        <v>0</v>
      </c>
      <c r="U140" s="8">
        <f>IFERROR(T140/T444, "NA")</f>
        <v>0</v>
      </c>
      <c r="V140" s="9"/>
      <c r="W140" s="10">
        <f t="shared" si="30"/>
        <v>0</v>
      </c>
      <c r="X140" s="8">
        <f>IFERROR(W140/W444, "NA")</f>
        <v>0</v>
      </c>
      <c r="Y140" s="9"/>
      <c r="Z140" s="7">
        <v>0</v>
      </c>
      <c r="AA140" s="8">
        <f>IFERROR(Z140/Z444, "NA")</f>
        <v>0</v>
      </c>
      <c r="AB140" s="9"/>
      <c r="AC140" s="10">
        <f t="shared" si="31"/>
        <v>0</v>
      </c>
      <c r="AD140" s="8">
        <f>IFERROR(AC140/AC444, "NA")</f>
        <v>0</v>
      </c>
    </row>
    <row r="141" spans="1:30" ht="16.5" customHeight="1" x14ac:dyDescent="0.45">
      <c r="A141" s="13" t="s">
        <v>133</v>
      </c>
      <c r="B141" s="14">
        <f>IFERROR(B129+B130+B131+B132+B133+B134+B135+B136+B137+B138+B139+B140, "NA")</f>
        <v>15618.18</v>
      </c>
      <c r="C141" s="15">
        <f>IFERROR(B141/B444, "NA")</f>
        <v>0.23006278116741741</v>
      </c>
      <c r="D141" s="2"/>
      <c r="E141" s="14">
        <f>IFERROR(E129+E130+E131+E132+E133+E134+E135+E136+E137+E138+E139+E140, "NA")</f>
        <v>14426.82</v>
      </c>
      <c r="F141" s="15">
        <f>IFERROR(E141/E444, "NA")</f>
        <v>0.21999998170075052</v>
      </c>
      <c r="G141" s="2"/>
      <c r="H141" s="14">
        <f t="shared" si="28"/>
        <v>-1191.3600000000006</v>
      </c>
      <c r="I141" s="15">
        <f>IFERROR(H141/H444, "NA")</f>
        <v>-0.51570900464906932</v>
      </c>
      <c r="J141" s="2"/>
      <c r="K141" s="14">
        <f>IFERROR(K129+K130+K131+K132+K133+K134+K135+K136+K137+K138+K139+K140, "NA")</f>
        <v>14582.8</v>
      </c>
      <c r="L141" s="15">
        <f>IFERROR(K141/K444, "NA")</f>
        <v>0.22849399817020535</v>
      </c>
      <c r="M141" s="2"/>
      <c r="N141" s="14">
        <f t="shared" si="29"/>
        <v>-1035.380000000001</v>
      </c>
      <c r="O141" s="15">
        <f>IFERROR(N141/N444, "NA")</f>
        <v>-0.25469161646450511</v>
      </c>
      <c r="P141" s="2"/>
      <c r="Q141" s="14">
        <f>IFERROR(Q129+Q130+Q131+Q132+Q133+Q134+Q135+Q136+Q137+Q138+Q139+Q140, "NA")</f>
        <v>15618.18</v>
      </c>
      <c r="R141" s="15">
        <f>IFERROR(Q141/Q444, "NA")</f>
        <v>0.23006278116741741</v>
      </c>
      <c r="S141" s="2"/>
      <c r="T141" s="14">
        <f>IFERROR(T129+T130+T131+T132+T133+T134+T135+T136+T137+T138+T139+T140, "NA")</f>
        <v>14426.82</v>
      </c>
      <c r="U141" s="15">
        <f>IFERROR(T141/T444, "NA")</f>
        <v>0.21999998170075052</v>
      </c>
      <c r="V141" s="2"/>
      <c r="W141" s="14">
        <f t="shared" si="30"/>
        <v>-1191.3600000000006</v>
      </c>
      <c r="X141" s="15">
        <f>IFERROR(W141/W444, "NA")</f>
        <v>-0.51570900464906932</v>
      </c>
      <c r="Y141" s="2"/>
      <c r="Z141" s="14">
        <f>IFERROR(Z129+Z130+Z131+Z132+Z133+Z134+Z135+Z136+Z137+Z138+Z139+Z140, "NA")</f>
        <v>14582.8</v>
      </c>
      <c r="AA141" s="15">
        <f>IFERROR(Z141/Z444, "NA")</f>
        <v>0.22849399817020535</v>
      </c>
      <c r="AB141" s="2"/>
      <c r="AC141" s="14">
        <f t="shared" si="31"/>
        <v>-1035.380000000001</v>
      </c>
      <c r="AD141" s="15">
        <f>IFERROR(AC141/AC444, "NA")</f>
        <v>-0.25469161646450511</v>
      </c>
    </row>
    <row r="142" spans="1:30" ht="16.5" customHeight="1" x14ac:dyDescent="0.45">
      <c r="A142" s="11" t="s">
        <v>134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45">
      <c r="A143" s="12" t="s">
        <v>134</v>
      </c>
      <c r="B143" s="7">
        <v>0</v>
      </c>
      <c r="C143" s="8">
        <f>IFERROR(B143/B444, "NA")</f>
        <v>0</v>
      </c>
      <c r="D143" s="9"/>
      <c r="E143" s="7">
        <v>786.92</v>
      </c>
      <c r="F143" s="8">
        <f>IFERROR(E143/E444, "NA")</f>
        <v>1.2000037818448875E-2</v>
      </c>
      <c r="G143" s="9"/>
      <c r="H143" s="10">
        <f t="shared" ref="H143:H149" si="32">IFERROR(-(B143-E143), "NA")</f>
        <v>786.92</v>
      </c>
      <c r="I143" s="8">
        <f>IFERROR(H143/H444, "NA")</f>
        <v>0.34063736396928329</v>
      </c>
      <c r="J143" s="9"/>
      <c r="K143" s="7">
        <v>0</v>
      </c>
      <c r="L143" s="8">
        <f>IFERROR(K143/K444, "NA")</f>
        <v>0</v>
      </c>
      <c r="M143" s="9"/>
      <c r="N143" s="10">
        <f t="shared" ref="N143:N149" si="33">IFERROR(-(B143-K143), "NA")</f>
        <v>0</v>
      </c>
      <c r="O143" s="8">
        <f>IFERROR(N143/N444, "NA")</f>
        <v>0</v>
      </c>
      <c r="P143" s="9"/>
      <c r="Q143" s="7">
        <v>0</v>
      </c>
      <c r="R143" s="8">
        <f>IFERROR(Q143/Q444, "NA")</f>
        <v>0</v>
      </c>
      <c r="S143" s="9"/>
      <c r="T143" s="7">
        <v>786.92</v>
      </c>
      <c r="U143" s="8">
        <f>IFERROR(T143/T444, "NA")</f>
        <v>1.2000037818448875E-2</v>
      </c>
      <c r="V143" s="9"/>
      <c r="W143" s="10">
        <f t="shared" ref="W143:W149" si="34">IFERROR(-(Q143-T143), "NA")</f>
        <v>786.92</v>
      </c>
      <c r="X143" s="8">
        <f>IFERROR(W143/W444, "NA")</f>
        <v>0.34063736396928329</v>
      </c>
      <c r="Y143" s="9"/>
      <c r="Z143" s="7">
        <v>0</v>
      </c>
      <c r="AA143" s="8">
        <f>IFERROR(Z143/Z444, "NA")</f>
        <v>0</v>
      </c>
      <c r="AB143" s="9"/>
      <c r="AC143" s="10">
        <f t="shared" ref="AC143:AC149" si="35">IFERROR(-(Q143-Z143), "NA")</f>
        <v>0</v>
      </c>
      <c r="AD143" s="8">
        <f>IFERROR(AC143/AC444, "NA")</f>
        <v>0</v>
      </c>
    </row>
    <row r="144" spans="1:30" ht="16.5" customHeight="1" x14ac:dyDescent="0.45">
      <c r="A144" s="12" t="s">
        <v>135</v>
      </c>
      <c r="B144" s="7">
        <v>841.03</v>
      </c>
      <c r="C144" s="8">
        <f>IFERROR(B144/B444, "NA")</f>
        <v>1.2388748294950696E-2</v>
      </c>
      <c r="D144" s="9"/>
      <c r="E144" s="7">
        <v>0</v>
      </c>
      <c r="F144" s="8">
        <f>IFERROR(E144/E444, "NA")</f>
        <v>0</v>
      </c>
      <c r="G144" s="9"/>
      <c r="H144" s="10">
        <f t="shared" si="32"/>
        <v>-841.03</v>
      </c>
      <c r="I144" s="8">
        <f>IFERROR(H144/H444, "NA")</f>
        <v>-0.364060186828504</v>
      </c>
      <c r="J144" s="9"/>
      <c r="K144" s="7">
        <v>528.91999999999996</v>
      </c>
      <c r="L144" s="8">
        <f>IFERROR(K144/K444, "NA")</f>
        <v>8.2875062067768197E-3</v>
      </c>
      <c r="M144" s="9"/>
      <c r="N144" s="10">
        <f t="shared" si="33"/>
        <v>-312.11</v>
      </c>
      <c r="O144" s="8">
        <f>IFERROR(N144/N444, "NA")</f>
        <v>-7.677548379796463E-2</v>
      </c>
      <c r="P144" s="9"/>
      <c r="Q144" s="7">
        <v>841.03</v>
      </c>
      <c r="R144" s="8">
        <f>IFERROR(Q144/Q444, "NA")</f>
        <v>1.2388748294950696E-2</v>
      </c>
      <c r="S144" s="9"/>
      <c r="T144" s="7">
        <v>0</v>
      </c>
      <c r="U144" s="8">
        <f>IFERROR(T144/T444, "NA")</f>
        <v>0</v>
      </c>
      <c r="V144" s="9"/>
      <c r="W144" s="10">
        <f t="shared" si="34"/>
        <v>-841.03</v>
      </c>
      <c r="X144" s="8">
        <f>IFERROR(W144/W444, "NA")</f>
        <v>-0.364060186828504</v>
      </c>
      <c r="Y144" s="9"/>
      <c r="Z144" s="7">
        <v>528.91999999999996</v>
      </c>
      <c r="AA144" s="8">
        <f>IFERROR(Z144/Z444, "NA")</f>
        <v>8.2875062067768197E-3</v>
      </c>
      <c r="AB144" s="9"/>
      <c r="AC144" s="10">
        <f t="shared" si="35"/>
        <v>-312.11</v>
      </c>
      <c r="AD144" s="8">
        <f>IFERROR(AC144/AC444, "NA")</f>
        <v>-7.677548379796463E-2</v>
      </c>
    </row>
    <row r="145" spans="1:30" ht="16.5" customHeight="1" x14ac:dyDescent="0.45">
      <c r="A145" s="12" t="s">
        <v>136</v>
      </c>
      <c r="B145" s="7">
        <v>83.92</v>
      </c>
      <c r="C145" s="8">
        <f>IFERROR(B145/B444, "NA")</f>
        <v>1.2361791575951659E-3</v>
      </c>
      <c r="D145" s="9"/>
      <c r="E145" s="7">
        <v>0</v>
      </c>
      <c r="F145" s="8">
        <f>IFERROR(E145/E444, "NA")</f>
        <v>0</v>
      </c>
      <c r="G145" s="9"/>
      <c r="H145" s="10">
        <f t="shared" si="32"/>
        <v>-83.92</v>
      </c>
      <c r="I145" s="8">
        <f>IFERROR(H145/H444, "NA")</f>
        <v>-3.6326802704597996E-2</v>
      </c>
      <c r="J145" s="9"/>
      <c r="K145" s="7">
        <v>39.549999999999997</v>
      </c>
      <c r="L145" s="8">
        <f>IFERROR(K145/K444, "NA")</f>
        <v>6.1969838629286707E-4</v>
      </c>
      <c r="M145" s="9"/>
      <c r="N145" s="10">
        <f t="shared" si="33"/>
        <v>-44.370000000000005</v>
      </c>
      <c r="O145" s="8">
        <f>IFERROR(N145/N444, "NA")</f>
        <v>-1.0914511602049568E-2</v>
      </c>
      <c r="P145" s="9"/>
      <c r="Q145" s="7">
        <v>83.92</v>
      </c>
      <c r="R145" s="8">
        <f>IFERROR(Q145/Q444, "NA")</f>
        <v>1.2361791575951659E-3</v>
      </c>
      <c r="S145" s="9"/>
      <c r="T145" s="7">
        <v>0</v>
      </c>
      <c r="U145" s="8">
        <f>IFERROR(T145/T444, "NA")</f>
        <v>0</v>
      </c>
      <c r="V145" s="9"/>
      <c r="W145" s="10">
        <f t="shared" si="34"/>
        <v>-83.92</v>
      </c>
      <c r="X145" s="8">
        <f>IFERROR(W145/W444, "NA")</f>
        <v>-3.6326802704597996E-2</v>
      </c>
      <c r="Y145" s="9"/>
      <c r="Z145" s="7">
        <v>39.549999999999997</v>
      </c>
      <c r="AA145" s="8">
        <f>IFERROR(Z145/Z444, "NA")</f>
        <v>6.1969838629286707E-4</v>
      </c>
      <c r="AB145" s="9"/>
      <c r="AC145" s="10">
        <f t="shared" si="35"/>
        <v>-44.370000000000005</v>
      </c>
      <c r="AD145" s="8">
        <f>IFERROR(AC145/AC444, "NA")</f>
        <v>-1.0914511602049568E-2</v>
      </c>
    </row>
    <row r="146" spans="1:30" ht="16.5" customHeight="1" x14ac:dyDescent="0.45">
      <c r="A146" s="12" t="s">
        <v>137</v>
      </c>
      <c r="B146" s="7">
        <v>0</v>
      </c>
      <c r="C146" s="8">
        <f>IFERROR(B146/B444, "NA")</f>
        <v>0</v>
      </c>
      <c r="D146" s="9"/>
      <c r="E146" s="7">
        <v>0</v>
      </c>
      <c r="F146" s="8">
        <f>IFERROR(E146/E444, "NA")</f>
        <v>0</v>
      </c>
      <c r="G146" s="9"/>
      <c r="H146" s="10">
        <f t="shared" si="32"/>
        <v>0</v>
      </c>
      <c r="I146" s="8">
        <f>IFERROR(H146/H444, "NA")</f>
        <v>0</v>
      </c>
      <c r="J146" s="9"/>
      <c r="K146" s="7">
        <v>78.14</v>
      </c>
      <c r="L146" s="8">
        <f>IFERROR(K146/K444, "NA")</f>
        <v>1.2243547889993587E-3</v>
      </c>
      <c r="M146" s="9"/>
      <c r="N146" s="10">
        <f t="shared" si="33"/>
        <v>78.14</v>
      </c>
      <c r="O146" s="8">
        <f>IFERROR(N146/N444, "NA")</f>
        <v>1.9221544660449702E-2</v>
      </c>
      <c r="P146" s="9"/>
      <c r="Q146" s="7">
        <v>0</v>
      </c>
      <c r="R146" s="8">
        <f>IFERROR(Q146/Q444, "NA")</f>
        <v>0</v>
      </c>
      <c r="S146" s="9"/>
      <c r="T146" s="7">
        <v>0</v>
      </c>
      <c r="U146" s="8">
        <f>IFERROR(T146/T444, "NA")</f>
        <v>0</v>
      </c>
      <c r="V146" s="9"/>
      <c r="W146" s="10">
        <f t="shared" si="34"/>
        <v>0</v>
      </c>
      <c r="X146" s="8">
        <f>IFERROR(W146/W444, "NA")</f>
        <v>0</v>
      </c>
      <c r="Y146" s="9"/>
      <c r="Z146" s="7">
        <v>78.14</v>
      </c>
      <c r="AA146" s="8">
        <f>IFERROR(Z146/Z444, "NA")</f>
        <v>1.2243547889993587E-3</v>
      </c>
      <c r="AB146" s="9"/>
      <c r="AC146" s="10">
        <f t="shared" si="35"/>
        <v>78.14</v>
      </c>
      <c r="AD146" s="8">
        <f>IFERROR(AC146/AC444, "NA")</f>
        <v>1.9221544660449702E-2</v>
      </c>
    </row>
    <row r="147" spans="1:30" ht="16.5" customHeight="1" x14ac:dyDescent="0.45">
      <c r="A147" s="12" t="s">
        <v>138</v>
      </c>
      <c r="B147" s="7">
        <v>3.01</v>
      </c>
      <c r="C147" s="8">
        <f>IFERROR(B147/B444, "NA")</f>
        <v>4.4338647096776087E-5</v>
      </c>
      <c r="D147" s="9"/>
      <c r="E147" s="7">
        <v>0</v>
      </c>
      <c r="F147" s="8">
        <f>IFERROR(E147/E444, "NA")</f>
        <v>0</v>
      </c>
      <c r="G147" s="9"/>
      <c r="H147" s="10">
        <f t="shared" si="32"/>
        <v>-3.01</v>
      </c>
      <c r="I147" s="8">
        <f>IFERROR(H147/H444, "NA")</f>
        <v>-1.3029513362826498E-3</v>
      </c>
      <c r="J147" s="9"/>
      <c r="K147" s="7">
        <v>27.72</v>
      </c>
      <c r="L147" s="8">
        <f>IFERROR(K147/K444, "NA")</f>
        <v>4.3433727605659357E-4</v>
      </c>
      <c r="M147" s="9"/>
      <c r="N147" s="10">
        <f t="shared" si="33"/>
        <v>24.71</v>
      </c>
      <c r="O147" s="8">
        <f>IFERROR(N147/N444, "NA")</f>
        <v>6.078376869205428E-3</v>
      </c>
      <c r="P147" s="9"/>
      <c r="Q147" s="7">
        <v>3.01</v>
      </c>
      <c r="R147" s="8">
        <f>IFERROR(Q147/Q444, "NA")</f>
        <v>4.4338647096776087E-5</v>
      </c>
      <c r="S147" s="9"/>
      <c r="T147" s="7">
        <v>0</v>
      </c>
      <c r="U147" s="8">
        <f>IFERROR(T147/T444, "NA")</f>
        <v>0</v>
      </c>
      <c r="V147" s="9"/>
      <c r="W147" s="10">
        <f t="shared" si="34"/>
        <v>-3.01</v>
      </c>
      <c r="X147" s="8">
        <f>IFERROR(W147/W444, "NA")</f>
        <v>-1.3029513362826498E-3</v>
      </c>
      <c r="Y147" s="9"/>
      <c r="Z147" s="7">
        <v>27.72</v>
      </c>
      <c r="AA147" s="8">
        <f>IFERROR(Z147/Z444, "NA")</f>
        <v>4.3433727605659357E-4</v>
      </c>
      <c r="AB147" s="9"/>
      <c r="AC147" s="10">
        <f t="shared" si="35"/>
        <v>24.71</v>
      </c>
      <c r="AD147" s="8">
        <f>IFERROR(AC147/AC444, "NA")</f>
        <v>6.078376869205428E-3</v>
      </c>
    </row>
    <row r="148" spans="1:30" ht="16.5" customHeight="1" x14ac:dyDescent="0.45">
      <c r="A148" s="13" t="s">
        <v>139</v>
      </c>
      <c r="B148" s="14">
        <f>IFERROR(B143+B144+B145+B146+B147, "NA")</f>
        <v>927.95999999999992</v>
      </c>
      <c r="C148" s="15">
        <f>IFERROR(B148/B444, "NA")</f>
        <v>1.3669266099642637E-2</v>
      </c>
      <c r="D148" s="2"/>
      <c r="E148" s="14">
        <f>IFERROR(E143+E144+E145+E146+E147, "NA")</f>
        <v>786.92</v>
      </c>
      <c r="F148" s="15">
        <f>IFERROR(E148/E444, "NA")</f>
        <v>1.2000037818448875E-2</v>
      </c>
      <c r="G148" s="2"/>
      <c r="H148" s="14">
        <f t="shared" si="32"/>
        <v>-141.03999999999996</v>
      </c>
      <c r="I148" s="15">
        <f>IFERROR(H148/H444, "NA")</f>
        <v>-6.1052576900101289E-2</v>
      </c>
      <c r="J148" s="2"/>
      <c r="K148" s="14">
        <f>IFERROR(K143+K144+K145+K146+K147, "NA")</f>
        <v>674.32999999999993</v>
      </c>
      <c r="L148" s="15">
        <f>IFERROR(K148/K444, "NA")</f>
        <v>1.0565896658125639E-2</v>
      </c>
      <c r="M148" s="2"/>
      <c r="N148" s="14">
        <f t="shared" si="33"/>
        <v>-253.63</v>
      </c>
      <c r="O148" s="15">
        <f>IFERROR(N148/N444, "NA")</f>
        <v>-6.2390073870359067E-2</v>
      </c>
      <c r="P148" s="2"/>
      <c r="Q148" s="14">
        <f>IFERROR(Q143+Q144+Q145+Q146+Q147, "NA")</f>
        <v>927.95999999999992</v>
      </c>
      <c r="R148" s="15">
        <f>IFERROR(Q148/Q444, "NA")</f>
        <v>1.3669266099642637E-2</v>
      </c>
      <c r="S148" s="2"/>
      <c r="T148" s="14">
        <f>IFERROR(T143+T144+T145+T146+T147, "NA")</f>
        <v>786.92</v>
      </c>
      <c r="U148" s="15">
        <f>IFERROR(T148/T444, "NA")</f>
        <v>1.2000037818448875E-2</v>
      </c>
      <c r="V148" s="2"/>
      <c r="W148" s="14">
        <f t="shared" si="34"/>
        <v>-141.03999999999996</v>
      </c>
      <c r="X148" s="15">
        <f>IFERROR(W148/W444, "NA")</f>
        <v>-6.1052576900101289E-2</v>
      </c>
      <c r="Y148" s="2"/>
      <c r="Z148" s="14">
        <f>IFERROR(Z143+Z144+Z145+Z146+Z147, "NA")</f>
        <v>674.32999999999993</v>
      </c>
      <c r="AA148" s="15">
        <f>IFERROR(Z148/Z444, "NA")</f>
        <v>1.0565896658125639E-2</v>
      </c>
      <c r="AB148" s="2"/>
      <c r="AC148" s="14">
        <f t="shared" si="35"/>
        <v>-253.63</v>
      </c>
      <c r="AD148" s="15">
        <f>IFERROR(AC148/AC444, "NA")</f>
        <v>-6.2390073870359067E-2</v>
      </c>
    </row>
    <row r="149" spans="1:30" ht="16.5" customHeight="1" x14ac:dyDescent="0.45">
      <c r="A149" s="19" t="s">
        <v>140</v>
      </c>
      <c r="B149" s="14">
        <f>IFERROR(B127+B129+B130+B131+B132+B133+B134+B135+B136+B137+B138+B139+B140+B143+B144+B145+B146+B147, "NA")</f>
        <v>16546.139999999996</v>
      </c>
      <c r="C149" s="15">
        <f>IFERROR(B149/B444, "NA")</f>
        <v>0.24373204726705999</v>
      </c>
      <c r="D149" s="2"/>
      <c r="E149" s="14">
        <f>IFERROR(E127+E129+E130+E131+E132+E133+E134+E135+E136+E137+E138+E139+E140+E143+E144+E145+E146+E147, "NA")</f>
        <v>15213.74</v>
      </c>
      <c r="F149" s="15">
        <f>IFERROR(E149/E444, "NA")</f>
        <v>0.23200001951919941</v>
      </c>
      <c r="G149" s="2"/>
      <c r="H149" s="14">
        <f t="shared" si="32"/>
        <v>-1332.399999999996</v>
      </c>
      <c r="I149" s="15">
        <f>IFERROR(H149/H444, "NA")</f>
        <v>-0.57676158154916857</v>
      </c>
      <c r="J149" s="2"/>
      <c r="K149" s="14">
        <f>IFERROR(K127+K129+K130+K131+K132+K133+K134+K135+K136+K137+K138+K139+K140+K143+K144+K145+K146+K147, "NA")</f>
        <v>15257.129999999997</v>
      </c>
      <c r="L149" s="15">
        <f>IFERROR(K149/K444, "NA")</f>
        <v>0.23905989482833095</v>
      </c>
      <c r="M149" s="2"/>
      <c r="N149" s="14">
        <f t="shared" si="33"/>
        <v>-1289.0099999999984</v>
      </c>
      <c r="O149" s="15">
        <f>IFERROR(N149/N444, "NA")</f>
        <v>-0.31708169033486355</v>
      </c>
      <c r="P149" s="2"/>
      <c r="Q149" s="14">
        <f>IFERROR(Q127+Q129+Q130+Q131+Q132+Q133+Q134+Q135+Q136+Q137+Q138+Q139+Q140+Q143+Q144+Q145+Q146+Q147, "NA")</f>
        <v>16546.139999999996</v>
      </c>
      <c r="R149" s="15">
        <f>IFERROR(Q149/Q444, "NA")</f>
        <v>0.24373204726705999</v>
      </c>
      <c r="S149" s="2"/>
      <c r="T149" s="14">
        <f>IFERROR(T127+T129+T130+T131+T132+T133+T134+T135+T136+T137+T138+T139+T140+T143+T144+T145+T146+T147, "NA")</f>
        <v>15213.74</v>
      </c>
      <c r="U149" s="15">
        <f>IFERROR(T149/T444, "NA")</f>
        <v>0.23200001951919941</v>
      </c>
      <c r="V149" s="2"/>
      <c r="W149" s="14">
        <f t="shared" si="34"/>
        <v>-1332.399999999996</v>
      </c>
      <c r="X149" s="15">
        <f>IFERROR(W149/W444, "NA")</f>
        <v>-0.57676158154916857</v>
      </c>
      <c r="Y149" s="2"/>
      <c r="Z149" s="14">
        <f>IFERROR(Z127+Z129+Z130+Z131+Z132+Z133+Z134+Z135+Z136+Z137+Z138+Z139+Z140+Z143+Z144+Z145+Z146+Z147, "NA")</f>
        <v>15257.129999999997</v>
      </c>
      <c r="AA149" s="15">
        <f>IFERROR(Z149/Z444, "NA")</f>
        <v>0.23905989482833095</v>
      </c>
      <c r="AB149" s="2"/>
      <c r="AC149" s="14">
        <f t="shared" si="35"/>
        <v>-1289.0099999999984</v>
      </c>
      <c r="AD149" s="15">
        <f>IFERROR(AC149/AC444, "NA")</f>
        <v>-0.31708169033486355</v>
      </c>
    </row>
    <row r="150" spans="1:30" ht="16.5" customHeight="1" x14ac:dyDescent="0.45">
      <c r="A150" s="5" t="s">
        <v>141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45">
      <c r="A151" s="6" t="s">
        <v>141</v>
      </c>
      <c r="B151" s="7">
        <v>0</v>
      </c>
      <c r="C151" s="8">
        <f>IFERROR(B151/B444, "NA")</f>
        <v>0</v>
      </c>
      <c r="D151" s="9"/>
      <c r="E151" s="7">
        <v>0</v>
      </c>
      <c r="F151" s="8">
        <f>IFERROR(E151/E444, "NA")</f>
        <v>0</v>
      </c>
      <c r="G151" s="9"/>
      <c r="H151" s="10">
        <f>IFERROR(-(B151-E151), "NA")</f>
        <v>0</v>
      </c>
      <c r="I151" s="8">
        <f>IFERROR(H151/H444, "NA")</f>
        <v>0</v>
      </c>
      <c r="J151" s="9"/>
      <c r="K151" s="7">
        <v>0</v>
      </c>
      <c r="L151" s="8">
        <f>IFERROR(K151/K444, "NA")</f>
        <v>0</v>
      </c>
      <c r="M151" s="9"/>
      <c r="N151" s="10">
        <f>IFERROR(-(B151-K151), "NA")</f>
        <v>0</v>
      </c>
      <c r="O151" s="8">
        <f>IFERROR(N151/N444, "NA")</f>
        <v>0</v>
      </c>
      <c r="P151" s="9"/>
      <c r="Q151" s="7">
        <v>0</v>
      </c>
      <c r="R151" s="8">
        <f>IFERROR(Q151/Q444, "NA")</f>
        <v>0</v>
      </c>
      <c r="S151" s="9"/>
      <c r="T151" s="7">
        <v>0</v>
      </c>
      <c r="U151" s="8">
        <f>IFERROR(T151/T444, "NA")</f>
        <v>0</v>
      </c>
      <c r="V151" s="9"/>
      <c r="W151" s="10">
        <f>IFERROR(-(Q151-T151), "NA")</f>
        <v>0</v>
      </c>
      <c r="X151" s="8">
        <f>IFERROR(W151/W444, "NA")</f>
        <v>0</v>
      </c>
      <c r="Y151" s="9"/>
      <c r="Z151" s="7">
        <v>0</v>
      </c>
      <c r="AA151" s="8">
        <f>IFERROR(Z151/Z444, "NA")</f>
        <v>0</v>
      </c>
      <c r="AB151" s="9"/>
      <c r="AC151" s="10">
        <f>IFERROR(-(Q151-Z151), "NA")</f>
        <v>0</v>
      </c>
      <c r="AD151" s="8">
        <f>IFERROR(AC151/AC444, "NA")</f>
        <v>0</v>
      </c>
    </row>
    <row r="152" spans="1:30" ht="16.5" customHeight="1" x14ac:dyDescent="0.45">
      <c r="A152" s="11" t="s">
        <v>142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45">
      <c r="A153" s="12" t="s">
        <v>142</v>
      </c>
      <c r="B153" s="7">
        <v>0</v>
      </c>
      <c r="C153" s="8">
        <f>IFERROR(B153/B444, "NA")</f>
        <v>0</v>
      </c>
      <c r="D153" s="9"/>
      <c r="E153" s="7">
        <v>2623.06</v>
      </c>
      <c r="F153" s="8">
        <f>IFERROR(E153/E444, "NA")</f>
        <v>4.0000024398999273E-2</v>
      </c>
      <c r="G153" s="9"/>
      <c r="H153" s="10">
        <f t="shared" ref="H153:H158" si="36">IFERROR(-(B153-E153), "NA")</f>
        <v>2623.06</v>
      </c>
      <c r="I153" s="8">
        <f>IFERROR(H153/H444, "NA")</f>
        <v>1.1354549940696237</v>
      </c>
      <c r="J153" s="9"/>
      <c r="K153" s="7">
        <v>0</v>
      </c>
      <c r="L153" s="8">
        <f>IFERROR(K153/K444, "NA")</f>
        <v>0</v>
      </c>
      <c r="M153" s="9"/>
      <c r="N153" s="10">
        <f t="shared" ref="N153:N158" si="37">IFERROR(-(B153-K153), "NA")</f>
        <v>0</v>
      </c>
      <c r="O153" s="8">
        <f>IFERROR(N153/N444, "NA")</f>
        <v>0</v>
      </c>
      <c r="P153" s="9"/>
      <c r="Q153" s="7">
        <v>0</v>
      </c>
      <c r="R153" s="8">
        <f>IFERROR(Q153/Q444, "NA")</f>
        <v>0</v>
      </c>
      <c r="S153" s="9"/>
      <c r="T153" s="7">
        <v>2623.06</v>
      </c>
      <c r="U153" s="8">
        <f>IFERROR(T153/T444, "NA")</f>
        <v>4.0000024398999273E-2</v>
      </c>
      <c r="V153" s="9"/>
      <c r="W153" s="10">
        <f t="shared" ref="W153:W158" si="38">IFERROR(-(Q153-T153), "NA")</f>
        <v>2623.06</v>
      </c>
      <c r="X153" s="8">
        <f>IFERROR(W153/W444, "NA")</f>
        <v>1.1354549940696237</v>
      </c>
      <c r="Y153" s="9"/>
      <c r="Z153" s="7">
        <v>0</v>
      </c>
      <c r="AA153" s="8">
        <f>IFERROR(Z153/Z444, "NA")</f>
        <v>0</v>
      </c>
      <c r="AB153" s="9"/>
      <c r="AC153" s="10">
        <f t="shared" ref="AC153:AC158" si="39">IFERROR(-(Q153-Z153), "NA")</f>
        <v>0</v>
      </c>
      <c r="AD153" s="8">
        <f>IFERROR(AC153/AC444, "NA")</f>
        <v>0</v>
      </c>
    </row>
    <row r="154" spans="1:30" ht="16.5" customHeight="1" x14ac:dyDescent="0.45">
      <c r="A154" s="12" t="s">
        <v>143</v>
      </c>
      <c r="B154" s="7">
        <v>2184.69</v>
      </c>
      <c r="C154" s="8">
        <f>IFERROR(B154/B444, "NA")</f>
        <v>3.2181461437161385E-2</v>
      </c>
      <c r="D154" s="9"/>
      <c r="E154" s="7">
        <v>0</v>
      </c>
      <c r="F154" s="8">
        <f>IFERROR(E154/E444, "NA")</f>
        <v>0</v>
      </c>
      <c r="G154" s="9"/>
      <c r="H154" s="10">
        <f t="shared" si="36"/>
        <v>-2184.69</v>
      </c>
      <c r="I154" s="8">
        <f>IFERROR(H154/H444, "NA")</f>
        <v>-0.94569593184828649</v>
      </c>
      <c r="J154" s="9"/>
      <c r="K154" s="7">
        <v>1944.4</v>
      </c>
      <c r="L154" s="8">
        <f>IFERROR(K154/K444, "NA")</f>
        <v>3.0466284255571449E-2</v>
      </c>
      <c r="M154" s="9"/>
      <c r="N154" s="10">
        <f t="shared" si="37"/>
        <v>-240.28999999999996</v>
      </c>
      <c r="O154" s="8">
        <f>IFERROR(N154/N444, "NA")</f>
        <v>-5.9108586722030433E-2</v>
      </c>
      <c r="P154" s="9"/>
      <c r="Q154" s="7">
        <v>2184.69</v>
      </c>
      <c r="R154" s="8">
        <f>IFERROR(Q154/Q444, "NA")</f>
        <v>3.2181461437161385E-2</v>
      </c>
      <c r="S154" s="9"/>
      <c r="T154" s="7">
        <v>0</v>
      </c>
      <c r="U154" s="8">
        <f>IFERROR(T154/T444, "NA")</f>
        <v>0</v>
      </c>
      <c r="V154" s="9"/>
      <c r="W154" s="10">
        <f t="shared" si="38"/>
        <v>-2184.69</v>
      </c>
      <c r="X154" s="8">
        <f>IFERROR(W154/W444, "NA")</f>
        <v>-0.94569593184828649</v>
      </c>
      <c r="Y154" s="9"/>
      <c r="Z154" s="7">
        <v>1944.4</v>
      </c>
      <c r="AA154" s="8">
        <f>IFERROR(Z154/Z444, "NA")</f>
        <v>3.0466284255571449E-2</v>
      </c>
      <c r="AB154" s="9"/>
      <c r="AC154" s="10">
        <f t="shared" si="39"/>
        <v>-240.28999999999996</v>
      </c>
      <c r="AD154" s="8">
        <f>IFERROR(AC154/AC444, "NA")</f>
        <v>-5.9108586722030433E-2</v>
      </c>
    </row>
    <row r="155" spans="1:30" ht="16.5" customHeight="1" x14ac:dyDescent="0.45">
      <c r="A155" s="12" t="s">
        <v>144</v>
      </c>
      <c r="B155" s="7">
        <v>1696.34</v>
      </c>
      <c r="C155" s="8">
        <f>IFERROR(B155/B444, "NA")</f>
        <v>2.4987847380779121E-2</v>
      </c>
      <c r="D155" s="9"/>
      <c r="E155" s="7">
        <v>0</v>
      </c>
      <c r="F155" s="8">
        <f>IFERROR(E155/E444, "NA")</f>
        <v>0</v>
      </c>
      <c r="G155" s="9"/>
      <c r="H155" s="10">
        <f t="shared" si="36"/>
        <v>-1696.34</v>
      </c>
      <c r="I155" s="8">
        <f>IFERROR(H155/H444, "NA")</f>
        <v>-0.73430181720588372</v>
      </c>
      <c r="J155" s="9"/>
      <c r="K155" s="7">
        <v>766.43</v>
      </c>
      <c r="L155" s="8">
        <f>IFERROR(K155/K444, "NA")</f>
        <v>1.2008986958443543E-2</v>
      </c>
      <c r="M155" s="9"/>
      <c r="N155" s="10">
        <f t="shared" si="37"/>
        <v>-929.91</v>
      </c>
      <c r="O155" s="8">
        <f>IFERROR(N155/N444, "NA")</f>
        <v>-0.22874720495519299</v>
      </c>
      <c r="P155" s="9"/>
      <c r="Q155" s="7">
        <v>1696.34</v>
      </c>
      <c r="R155" s="8">
        <f>IFERROR(Q155/Q444, "NA")</f>
        <v>2.4987847380779121E-2</v>
      </c>
      <c r="S155" s="9"/>
      <c r="T155" s="7">
        <v>0</v>
      </c>
      <c r="U155" s="8">
        <f>IFERROR(T155/T444, "NA")</f>
        <v>0</v>
      </c>
      <c r="V155" s="9"/>
      <c r="W155" s="10">
        <f t="shared" si="38"/>
        <v>-1696.34</v>
      </c>
      <c r="X155" s="8">
        <f>IFERROR(W155/W444, "NA")</f>
        <v>-0.73430181720588372</v>
      </c>
      <c r="Y155" s="9"/>
      <c r="Z155" s="7">
        <v>766.43</v>
      </c>
      <c r="AA155" s="8">
        <f>IFERROR(Z155/Z444, "NA")</f>
        <v>1.2008986958443543E-2</v>
      </c>
      <c r="AB155" s="9"/>
      <c r="AC155" s="10">
        <f t="shared" si="39"/>
        <v>-929.91</v>
      </c>
      <c r="AD155" s="8">
        <f>IFERROR(AC155/AC444, "NA")</f>
        <v>-0.22874720495519299</v>
      </c>
    </row>
    <row r="156" spans="1:30" ht="16.5" customHeight="1" x14ac:dyDescent="0.45">
      <c r="A156" s="12" t="s">
        <v>145</v>
      </c>
      <c r="B156" s="7">
        <v>74.2</v>
      </c>
      <c r="C156" s="8">
        <f>IFERROR(B156/B444, "NA")</f>
        <v>1.0929992075019222E-3</v>
      </c>
      <c r="D156" s="9"/>
      <c r="E156" s="7">
        <v>0</v>
      </c>
      <c r="F156" s="8">
        <f>IFERROR(E156/E444, "NA")</f>
        <v>0</v>
      </c>
      <c r="G156" s="9"/>
      <c r="H156" s="10">
        <f t="shared" si="36"/>
        <v>-74.2</v>
      </c>
      <c r="I156" s="8">
        <f>IFERROR(H156/H444, "NA")</f>
        <v>-3.2119265499060676E-2</v>
      </c>
      <c r="J156" s="9"/>
      <c r="K156" s="7">
        <v>0</v>
      </c>
      <c r="L156" s="8">
        <f>IFERROR(K156/K444, "NA")</f>
        <v>0</v>
      </c>
      <c r="M156" s="9"/>
      <c r="N156" s="10">
        <f t="shared" si="37"/>
        <v>-74.2</v>
      </c>
      <c r="O156" s="8">
        <f>IFERROR(N156/N444, "NA")</f>
        <v>-1.8252349805546044E-2</v>
      </c>
      <c r="P156" s="9"/>
      <c r="Q156" s="7">
        <v>74.2</v>
      </c>
      <c r="R156" s="8">
        <f>IFERROR(Q156/Q444, "NA")</f>
        <v>1.0929992075019222E-3</v>
      </c>
      <c r="S156" s="9"/>
      <c r="T156" s="7">
        <v>0</v>
      </c>
      <c r="U156" s="8">
        <f>IFERROR(T156/T444, "NA")</f>
        <v>0</v>
      </c>
      <c r="V156" s="9"/>
      <c r="W156" s="10">
        <f t="shared" si="38"/>
        <v>-74.2</v>
      </c>
      <c r="X156" s="8">
        <f>IFERROR(W156/W444, "NA")</f>
        <v>-3.2119265499060676E-2</v>
      </c>
      <c r="Y156" s="9"/>
      <c r="Z156" s="7">
        <v>0</v>
      </c>
      <c r="AA156" s="8">
        <f>IFERROR(Z156/Z444, "NA")</f>
        <v>0</v>
      </c>
      <c r="AB156" s="9"/>
      <c r="AC156" s="10">
        <f t="shared" si="39"/>
        <v>-74.2</v>
      </c>
      <c r="AD156" s="8">
        <f>IFERROR(AC156/AC444, "NA")</f>
        <v>-1.8252349805546044E-2</v>
      </c>
    </row>
    <row r="157" spans="1:30" ht="16.5" hidden="1" customHeight="1" x14ac:dyDescent="0.45">
      <c r="A157" s="12" t="s">
        <v>146</v>
      </c>
      <c r="B157" s="7">
        <v>0</v>
      </c>
      <c r="C157" s="8">
        <f>IFERROR(B157/B444, "NA")</f>
        <v>0</v>
      </c>
      <c r="D157" s="9"/>
      <c r="E157" s="7">
        <v>0</v>
      </c>
      <c r="F157" s="8">
        <f>IFERROR(E157/E444, "NA")</f>
        <v>0</v>
      </c>
      <c r="G157" s="9"/>
      <c r="H157" s="10">
        <f t="shared" si="36"/>
        <v>0</v>
      </c>
      <c r="I157" s="8">
        <f>IFERROR(H157/H444, "NA")</f>
        <v>0</v>
      </c>
      <c r="J157" s="9"/>
      <c r="K157" s="7">
        <v>0</v>
      </c>
      <c r="L157" s="8">
        <f>IFERROR(K157/K444, "NA")</f>
        <v>0</v>
      </c>
      <c r="M157" s="9"/>
      <c r="N157" s="10">
        <f t="shared" si="37"/>
        <v>0</v>
      </c>
      <c r="O157" s="8">
        <f>IFERROR(N157/N444, "NA")</f>
        <v>0</v>
      </c>
      <c r="P157" s="9"/>
      <c r="Q157" s="7">
        <v>0</v>
      </c>
      <c r="R157" s="8">
        <f>IFERROR(Q157/Q444, "NA")</f>
        <v>0</v>
      </c>
      <c r="S157" s="9"/>
      <c r="T157" s="7">
        <v>0</v>
      </c>
      <c r="U157" s="8">
        <f>IFERROR(T157/T444, "NA")</f>
        <v>0</v>
      </c>
      <c r="V157" s="9"/>
      <c r="W157" s="10">
        <f t="shared" si="38"/>
        <v>0</v>
      </c>
      <c r="X157" s="8">
        <f>IFERROR(W157/W444, "NA")</f>
        <v>0</v>
      </c>
      <c r="Y157" s="9"/>
      <c r="Z157" s="7">
        <v>0</v>
      </c>
      <c r="AA157" s="8">
        <f>IFERROR(Z157/Z444, "NA")</f>
        <v>0</v>
      </c>
      <c r="AB157" s="9"/>
      <c r="AC157" s="10">
        <f t="shared" si="39"/>
        <v>0</v>
      </c>
      <c r="AD157" s="8">
        <f>IFERROR(AC157/AC444, "NA")</f>
        <v>0</v>
      </c>
    </row>
    <row r="158" spans="1:30" ht="16.5" customHeight="1" x14ac:dyDescent="0.45">
      <c r="A158" s="13" t="s">
        <v>147</v>
      </c>
      <c r="B158" s="14">
        <f>IFERROR(B153+B154+B155+B156+B157, "NA")</f>
        <v>3955.2299999999996</v>
      </c>
      <c r="C158" s="15">
        <f>IFERROR(B158/B444, "NA")</f>
        <v>5.8262308025442418E-2</v>
      </c>
      <c r="D158" s="2"/>
      <c r="E158" s="14">
        <f>IFERROR(E153+E154+E155+E156+E157, "NA")</f>
        <v>2623.06</v>
      </c>
      <c r="F158" s="15">
        <f>IFERROR(E158/E444, "NA")</f>
        <v>4.0000024398999273E-2</v>
      </c>
      <c r="G158" s="2"/>
      <c r="H158" s="14">
        <f t="shared" si="36"/>
        <v>-1332.1699999999996</v>
      </c>
      <c r="I158" s="15">
        <f>IFERROR(H158/H444, "NA")</f>
        <v>-0.57666202048360704</v>
      </c>
      <c r="J158" s="2"/>
      <c r="K158" s="14">
        <f>IFERROR(K153+K154+K155+K156+K157, "NA")</f>
        <v>2710.83</v>
      </c>
      <c r="L158" s="15">
        <f>IFERROR(K158/K444, "NA")</f>
        <v>4.2475271214014988E-2</v>
      </c>
      <c r="M158" s="2"/>
      <c r="N158" s="14">
        <f t="shared" si="37"/>
        <v>-1244.3999999999996</v>
      </c>
      <c r="O158" s="15">
        <f>IFERROR(N158/N444, "NA")</f>
        <v>-0.30610814148276938</v>
      </c>
      <c r="P158" s="2"/>
      <c r="Q158" s="14">
        <f>IFERROR(Q153+Q154+Q155+Q156+Q157, "NA")</f>
        <v>3955.2299999999996</v>
      </c>
      <c r="R158" s="15">
        <f>IFERROR(Q158/Q444, "NA")</f>
        <v>5.8262308025442418E-2</v>
      </c>
      <c r="S158" s="2"/>
      <c r="T158" s="14">
        <f>IFERROR(T153+T154+T155+T156+T157, "NA")</f>
        <v>2623.06</v>
      </c>
      <c r="U158" s="15">
        <f>IFERROR(T158/T444, "NA")</f>
        <v>4.0000024398999273E-2</v>
      </c>
      <c r="V158" s="2"/>
      <c r="W158" s="14">
        <f t="shared" si="38"/>
        <v>-1332.1699999999996</v>
      </c>
      <c r="X158" s="15">
        <f>IFERROR(W158/W444, "NA")</f>
        <v>-0.57666202048360704</v>
      </c>
      <c r="Y158" s="2"/>
      <c r="Z158" s="14">
        <f>IFERROR(Z153+Z154+Z155+Z156+Z157, "NA")</f>
        <v>2710.83</v>
      </c>
      <c r="AA158" s="15">
        <f>IFERROR(Z158/Z444, "NA")</f>
        <v>4.2475271214014988E-2</v>
      </c>
      <c r="AB158" s="2"/>
      <c r="AC158" s="14">
        <f t="shared" si="39"/>
        <v>-1244.3999999999996</v>
      </c>
      <c r="AD158" s="15">
        <f>IFERROR(AC158/AC444, "NA")</f>
        <v>-0.30610814148276938</v>
      </c>
    </row>
    <row r="159" spans="1:30" ht="16.5" customHeight="1" x14ac:dyDescent="0.45">
      <c r="A159" s="11" t="s">
        <v>148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45">
      <c r="A160" s="12" t="s">
        <v>148</v>
      </c>
      <c r="B160" s="7">
        <v>0</v>
      </c>
      <c r="C160" s="8">
        <f>IFERROR(B160/B444, "NA")</f>
        <v>0</v>
      </c>
      <c r="D160" s="9"/>
      <c r="E160" s="7">
        <v>0</v>
      </c>
      <c r="F160" s="8">
        <f>IFERROR(E160/E444, "NA")</f>
        <v>0</v>
      </c>
      <c r="G160" s="9"/>
      <c r="H160" s="10">
        <f t="shared" ref="H160:H171" si="40">IFERROR(-(B160-E160), "NA")</f>
        <v>0</v>
      </c>
      <c r="I160" s="8">
        <f>IFERROR(H160/H444, "NA")</f>
        <v>0</v>
      </c>
      <c r="J160" s="9"/>
      <c r="K160" s="7">
        <v>0</v>
      </c>
      <c r="L160" s="8">
        <f>IFERROR(K160/K444, "NA")</f>
        <v>0</v>
      </c>
      <c r="M160" s="9"/>
      <c r="N160" s="10">
        <f t="shared" ref="N160:N171" si="41">IFERROR(-(B160-K160), "NA")</f>
        <v>0</v>
      </c>
      <c r="O160" s="8">
        <f>IFERROR(N160/N444, "NA")</f>
        <v>0</v>
      </c>
      <c r="P160" s="9"/>
      <c r="Q160" s="7">
        <v>0</v>
      </c>
      <c r="R160" s="8">
        <f>IFERROR(Q160/Q444, "NA")</f>
        <v>0</v>
      </c>
      <c r="S160" s="9"/>
      <c r="T160" s="7">
        <v>0</v>
      </c>
      <c r="U160" s="8">
        <f>IFERROR(T160/T444, "NA")</f>
        <v>0</v>
      </c>
      <c r="V160" s="9"/>
      <c r="W160" s="10">
        <f t="shared" ref="W160:W171" si="42">IFERROR(-(Q160-T160), "NA")</f>
        <v>0</v>
      </c>
      <c r="X160" s="8">
        <f>IFERROR(W160/W444, "NA")</f>
        <v>0</v>
      </c>
      <c r="Y160" s="9"/>
      <c r="Z160" s="7">
        <v>0</v>
      </c>
      <c r="AA160" s="8">
        <f>IFERROR(Z160/Z444, "NA")</f>
        <v>0</v>
      </c>
      <c r="AB160" s="9"/>
      <c r="AC160" s="10">
        <f t="shared" ref="AC160:AC171" si="43">IFERROR(-(Q160-Z160), "NA")</f>
        <v>0</v>
      </c>
      <c r="AD160" s="8">
        <f>IFERROR(AC160/AC444, "NA")</f>
        <v>0</v>
      </c>
    </row>
    <row r="161" spans="1:30" ht="16.5" customHeight="1" x14ac:dyDescent="0.45">
      <c r="A161" s="12" t="s">
        <v>149</v>
      </c>
      <c r="B161" s="7">
        <v>316.52999999999997</v>
      </c>
      <c r="C161" s="8">
        <f>IFERROR(B161/B444, "NA")</f>
        <v>4.6626285599809083E-3</v>
      </c>
      <c r="D161" s="9"/>
      <c r="E161" s="7">
        <v>0</v>
      </c>
      <c r="F161" s="8">
        <f>IFERROR(E161/E444, "NA")</f>
        <v>0</v>
      </c>
      <c r="G161" s="9"/>
      <c r="H161" s="10">
        <f t="shared" si="40"/>
        <v>-316.52999999999997</v>
      </c>
      <c r="I161" s="8">
        <f>IFERROR(H161/H444, "NA")</f>
        <v>-0.13701766992476649</v>
      </c>
      <c r="J161" s="9"/>
      <c r="K161" s="7">
        <v>320.69</v>
      </c>
      <c r="L161" s="8">
        <f>IFERROR(K161/K444, "NA")</f>
        <v>5.0248059544945522E-3</v>
      </c>
      <c r="M161" s="9"/>
      <c r="N161" s="10">
        <f t="shared" si="41"/>
        <v>4.160000000000025</v>
      </c>
      <c r="O161" s="8">
        <f>IFERROR(N161/N444, "NA")</f>
        <v>1.0233123341114824E-3</v>
      </c>
      <c r="P161" s="9"/>
      <c r="Q161" s="7">
        <v>316.52999999999997</v>
      </c>
      <c r="R161" s="8">
        <f>IFERROR(Q161/Q444, "NA")</f>
        <v>4.6626285599809083E-3</v>
      </c>
      <c r="S161" s="9"/>
      <c r="T161" s="7">
        <v>0</v>
      </c>
      <c r="U161" s="8">
        <f>IFERROR(T161/T444, "NA")</f>
        <v>0</v>
      </c>
      <c r="V161" s="9"/>
      <c r="W161" s="10">
        <f t="shared" si="42"/>
        <v>-316.52999999999997</v>
      </c>
      <c r="X161" s="8">
        <f>IFERROR(W161/W444, "NA")</f>
        <v>-0.13701766992476649</v>
      </c>
      <c r="Y161" s="9"/>
      <c r="Z161" s="7">
        <v>320.69</v>
      </c>
      <c r="AA161" s="8">
        <f>IFERROR(Z161/Z444, "NA")</f>
        <v>5.0248059544945522E-3</v>
      </c>
      <c r="AB161" s="9"/>
      <c r="AC161" s="10">
        <f t="shared" si="43"/>
        <v>4.160000000000025</v>
      </c>
      <c r="AD161" s="8">
        <f>IFERROR(AC161/AC444, "NA")</f>
        <v>1.0233123341114824E-3</v>
      </c>
    </row>
    <row r="162" spans="1:30" ht="16.5" hidden="1" customHeight="1" x14ac:dyDescent="0.45">
      <c r="A162" s="12" t="s">
        <v>150</v>
      </c>
      <c r="B162" s="7">
        <v>0</v>
      </c>
      <c r="C162" s="8">
        <f>IFERROR(B162/B444, "NA")</f>
        <v>0</v>
      </c>
      <c r="D162" s="9"/>
      <c r="E162" s="7">
        <v>0</v>
      </c>
      <c r="F162" s="8">
        <f>IFERROR(E162/E444, "NA")</f>
        <v>0</v>
      </c>
      <c r="G162" s="9"/>
      <c r="H162" s="10">
        <f t="shared" si="40"/>
        <v>0</v>
      </c>
      <c r="I162" s="8">
        <f>IFERROR(H162/H444, "NA")</f>
        <v>0</v>
      </c>
      <c r="J162" s="9"/>
      <c r="K162" s="7">
        <v>0</v>
      </c>
      <c r="L162" s="8">
        <f>IFERROR(K162/K444, "NA")</f>
        <v>0</v>
      </c>
      <c r="M162" s="9"/>
      <c r="N162" s="10">
        <f t="shared" si="41"/>
        <v>0</v>
      </c>
      <c r="O162" s="8">
        <f>IFERROR(N162/N444, "NA")</f>
        <v>0</v>
      </c>
      <c r="P162" s="9"/>
      <c r="Q162" s="7">
        <v>0</v>
      </c>
      <c r="R162" s="8">
        <f>IFERROR(Q162/Q444, "NA")</f>
        <v>0</v>
      </c>
      <c r="S162" s="9"/>
      <c r="T162" s="7">
        <v>0</v>
      </c>
      <c r="U162" s="8">
        <f>IFERROR(T162/T444, "NA")</f>
        <v>0</v>
      </c>
      <c r="V162" s="9"/>
      <c r="W162" s="10">
        <f t="shared" si="42"/>
        <v>0</v>
      </c>
      <c r="X162" s="8">
        <f>IFERROR(W162/W444, "NA")</f>
        <v>0</v>
      </c>
      <c r="Y162" s="9"/>
      <c r="Z162" s="7">
        <v>0</v>
      </c>
      <c r="AA162" s="8">
        <f>IFERROR(Z162/Z444, "NA")</f>
        <v>0</v>
      </c>
      <c r="AB162" s="9"/>
      <c r="AC162" s="10">
        <f t="shared" si="43"/>
        <v>0</v>
      </c>
      <c r="AD162" s="8">
        <f>IFERROR(AC162/AC444, "NA")</f>
        <v>0</v>
      </c>
    </row>
    <row r="163" spans="1:30" ht="16.5" hidden="1" customHeight="1" x14ac:dyDescent="0.45">
      <c r="A163" s="12" t="s">
        <v>151</v>
      </c>
      <c r="B163" s="7">
        <v>0</v>
      </c>
      <c r="C163" s="8">
        <f>IFERROR(B163/B444, "NA")</f>
        <v>0</v>
      </c>
      <c r="D163" s="9"/>
      <c r="E163" s="7">
        <v>0</v>
      </c>
      <c r="F163" s="8">
        <f>IFERROR(E163/E444, "NA")</f>
        <v>0</v>
      </c>
      <c r="G163" s="9"/>
      <c r="H163" s="10">
        <f t="shared" si="40"/>
        <v>0</v>
      </c>
      <c r="I163" s="8">
        <f>IFERROR(H163/H444, "NA")</f>
        <v>0</v>
      </c>
      <c r="J163" s="9"/>
      <c r="K163" s="7">
        <v>0</v>
      </c>
      <c r="L163" s="8">
        <f>IFERROR(K163/K444, "NA")</f>
        <v>0</v>
      </c>
      <c r="M163" s="9"/>
      <c r="N163" s="10">
        <f t="shared" si="41"/>
        <v>0</v>
      </c>
      <c r="O163" s="8">
        <f>IFERROR(N163/N444, "NA")</f>
        <v>0</v>
      </c>
      <c r="P163" s="9"/>
      <c r="Q163" s="7">
        <v>0</v>
      </c>
      <c r="R163" s="8">
        <f>IFERROR(Q163/Q444, "NA")</f>
        <v>0</v>
      </c>
      <c r="S163" s="9"/>
      <c r="T163" s="7">
        <v>0</v>
      </c>
      <c r="U163" s="8">
        <f>IFERROR(T163/T444, "NA")</f>
        <v>0</v>
      </c>
      <c r="V163" s="9"/>
      <c r="W163" s="10">
        <f t="shared" si="42"/>
        <v>0</v>
      </c>
      <c r="X163" s="8">
        <f>IFERROR(W163/W444, "NA")</f>
        <v>0</v>
      </c>
      <c r="Y163" s="9"/>
      <c r="Z163" s="7">
        <v>0</v>
      </c>
      <c r="AA163" s="8">
        <f>IFERROR(Z163/Z444, "NA")</f>
        <v>0</v>
      </c>
      <c r="AB163" s="9"/>
      <c r="AC163" s="10">
        <f t="shared" si="43"/>
        <v>0</v>
      </c>
      <c r="AD163" s="8">
        <f>IFERROR(AC163/AC444, "NA")</f>
        <v>0</v>
      </c>
    </row>
    <row r="164" spans="1:30" ht="16.5" hidden="1" customHeight="1" x14ac:dyDescent="0.45">
      <c r="A164" s="12" t="s">
        <v>152</v>
      </c>
      <c r="B164" s="7">
        <v>0</v>
      </c>
      <c r="C164" s="8">
        <f>IFERROR(B164/B444, "NA")</f>
        <v>0</v>
      </c>
      <c r="D164" s="9"/>
      <c r="E164" s="7">
        <v>0</v>
      </c>
      <c r="F164" s="8">
        <f>IFERROR(E164/E444, "NA")</f>
        <v>0</v>
      </c>
      <c r="G164" s="9"/>
      <c r="H164" s="10">
        <f t="shared" si="40"/>
        <v>0</v>
      </c>
      <c r="I164" s="8">
        <f>IFERROR(H164/H444, "NA")</f>
        <v>0</v>
      </c>
      <c r="J164" s="9"/>
      <c r="K164" s="7">
        <v>0</v>
      </c>
      <c r="L164" s="8">
        <f>IFERROR(K164/K444, "NA")</f>
        <v>0</v>
      </c>
      <c r="M164" s="9"/>
      <c r="N164" s="10">
        <f t="shared" si="41"/>
        <v>0</v>
      </c>
      <c r="O164" s="8">
        <f>IFERROR(N164/N444, "NA")</f>
        <v>0</v>
      </c>
      <c r="P164" s="9"/>
      <c r="Q164" s="7">
        <v>0</v>
      </c>
      <c r="R164" s="8">
        <f>IFERROR(Q164/Q444, "NA")</f>
        <v>0</v>
      </c>
      <c r="S164" s="9"/>
      <c r="T164" s="7">
        <v>0</v>
      </c>
      <c r="U164" s="8">
        <f>IFERROR(T164/T444, "NA")</f>
        <v>0</v>
      </c>
      <c r="V164" s="9"/>
      <c r="W164" s="10">
        <f t="shared" si="42"/>
        <v>0</v>
      </c>
      <c r="X164" s="8">
        <f>IFERROR(W164/W444, "NA")</f>
        <v>0</v>
      </c>
      <c r="Y164" s="9"/>
      <c r="Z164" s="7">
        <v>0</v>
      </c>
      <c r="AA164" s="8">
        <f>IFERROR(Z164/Z444, "NA")</f>
        <v>0</v>
      </c>
      <c r="AB164" s="9"/>
      <c r="AC164" s="10">
        <f t="shared" si="43"/>
        <v>0</v>
      </c>
      <c r="AD164" s="8">
        <f>IFERROR(AC164/AC444, "NA")</f>
        <v>0</v>
      </c>
    </row>
    <row r="165" spans="1:30" ht="16.5" hidden="1" customHeight="1" x14ac:dyDescent="0.45">
      <c r="A165" s="12" t="s">
        <v>153</v>
      </c>
      <c r="B165" s="7">
        <v>0</v>
      </c>
      <c r="C165" s="8">
        <f>IFERROR(B165/B444, "NA")</f>
        <v>0</v>
      </c>
      <c r="D165" s="9"/>
      <c r="E165" s="7">
        <v>0</v>
      </c>
      <c r="F165" s="8">
        <f>IFERROR(E165/E444, "NA")</f>
        <v>0</v>
      </c>
      <c r="G165" s="9"/>
      <c r="H165" s="10">
        <f t="shared" si="40"/>
        <v>0</v>
      </c>
      <c r="I165" s="8">
        <f>IFERROR(H165/H444, "NA")</f>
        <v>0</v>
      </c>
      <c r="J165" s="9"/>
      <c r="K165" s="7">
        <v>0</v>
      </c>
      <c r="L165" s="8">
        <f>IFERROR(K165/K444, "NA")</f>
        <v>0</v>
      </c>
      <c r="M165" s="9"/>
      <c r="N165" s="10">
        <f t="shared" si="41"/>
        <v>0</v>
      </c>
      <c r="O165" s="8">
        <f>IFERROR(N165/N444, "NA")</f>
        <v>0</v>
      </c>
      <c r="P165" s="9"/>
      <c r="Q165" s="7">
        <v>0</v>
      </c>
      <c r="R165" s="8">
        <f>IFERROR(Q165/Q444, "NA")</f>
        <v>0</v>
      </c>
      <c r="S165" s="9"/>
      <c r="T165" s="7">
        <v>0</v>
      </c>
      <c r="U165" s="8">
        <f>IFERROR(T165/T444, "NA")</f>
        <v>0</v>
      </c>
      <c r="V165" s="9"/>
      <c r="W165" s="10">
        <f t="shared" si="42"/>
        <v>0</v>
      </c>
      <c r="X165" s="8">
        <f>IFERROR(W165/W444, "NA")</f>
        <v>0</v>
      </c>
      <c r="Y165" s="9"/>
      <c r="Z165" s="7">
        <v>0</v>
      </c>
      <c r="AA165" s="8">
        <f>IFERROR(Z165/Z444, "NA")</f>
        <v>0</v>
      </c>
      <c r="AB165" s="9"/>
      <c r="AC165" s="10">
        <f t="shared" si="43"/>
        <v>0</v>
      </c>
      <c r="AD165" s="8">
        <f>IFERROR(AC165/AC444, "NA")</f>
        <v>0</v>
      </c>
    </row>
    <row r="166" spans="1:30" ht="16.5" customHeight="1" x14ac:dyDescent="0.45">
      <c r="A166" s="13" t="s">
        <v>154</v>
      </c>
      <c r="B166" s="14">
        <f>IFERROR(B160+B161+B162+B163+B164+B165, "NA")</f>
        <v>316.52999999999997</v>
      </c>
      <c r="C166" s="15">
        <f>IFERROR(B166/B444, "NA")</f>
        <v>4.6626285599809083E-3</v>
      </c>
      <c r="D166" s="2"/>
      <c r="E166" s="14">
        <f>IFERROR(E160+E161+E162+E163+E164+E165, "NA")</f>
        <v>0</v>
      </c>
      <c r="F166" s="15">
        <f>IFERROR(E166/E444, "NA")</f>
        <v>0</v>
      </c>
      <c r="G166" s="2"/>
      <c r="H166" s="14">
        <f t="shared" si="40"/>
        <v>-316.52999999999997</v>
      </c>
      <c r="I166" s="15">
        <f>IFERROR(H166/H444, "NA")</f>
        <v>-0.13701766992476649</v>
      </c>
      <c r="J166" s="2"/>
      <c r="K166" s="14">
        <f>IFERROR(K160+K161+K162+K163+K164+K165, "NA")</f>
        <v>320.69</v>
      </c>
      <c r="L166" s="15">
        <f>IFERROR(K166/K444, "NA")</f>
        <v>5.0248059544945522E-3</v>
      </c>
      <c r="M166" s="2"/>
      <c r="N166" s="14">
        <f t="shared" si="41"/>
        <v>4.160000000000025</v>
      </c>
      <c r="O166" s="15">
        <f>IFERROR(N166/N444, "NA")</f>
        <v>1.0233123341114824E-3</v>
      </c>
      <c r="P166" s="2"/>
      <c r="Q166" s="14">
        <f>IFERROR(Q160+Q161+Q162+Q163+Q164+Q165, "NA")</f>
        <v>316.52999999999997</v>
      </c>
      <c r="R166" s="15">
        <f>IFERROR(Q166/Q444, "NA")</f>
        <v>4.6626285599809083E-3</v>
      </c>
      <c r="S166" s="2"/>
      <c r="T166" s="14">
        <f>IFERROR(T160+T161+T162+T163+T164+T165, "NA")</f>
        <v>0</v>
      </c>
      <c r="U166" s="15">
        <f>IFERROR(T166/T444, "NA")</f>
        <v>0</v>
      </c>
      <c r="V166" s="2"/>
      <c r="W166" s="14">
        <f t="shared" si="42"/>
        <v>-316.52999999999997</v>
      </c>
      <c r="X166" s="15">
        <f>IFERROR(W166/W444, "NA")</f>
        <v>-0.13701766992476649</v>
      </c>
      <c r="Y166" s="2"/>
      <c r="Z166" s="14">
        <f>IFERROR(Z160+Z161+Z162+Z163+Z164+Z165, "NA")</f>
        <v>320.69</v>
      </c>
      <c r="AA166" s="15">
        <f>IFERROR(Z166/Z444, "NA")</f>
        <v>5.0248059544945522E-3</v>
      </c>
      <c r="AB166" s="2"/>
      <c r="AC166" s="14">
        <f t="shared" si="43"/>
        <v>4.160000000000025</v>
      </c>
      <c r="AD166" s="15">
        <f>IFERROR(AC166/AC444, "NA")</f>
        <v>1.0233123341114824E-3</v>
      </c>
    </row>
    <row r="167" spans="1:30" ht="16.5" customHeight="1" x14ac:dyDescent="0.45">
      <c r="A167" s="6" t="s">
        <v>155</v>
      </c>
      <c r="B167" s="7">
        <v>59.58</v>
      </c>
      <c r="C167" s="8">
        <f>IFERROR(B167/B444, "NA")</f>
        <v>8.7764006446043835E-4</v>
      </c>
      <c r="D167" s="9"/>
      <c r="E167" s="7">
        <v>0</v>
      </c>
      <c r="F167" s="8">
        <f>IFERROR(E167/E444, "NA")</f>
        <v>0</v>
      </c>
      <c r="G167" s="9"/>
      <c r="H167" s="10">
        <f t="shared" si="40"/>
        <v>-59.58</v>
      </c>
      <c r="I167" s="8">
        <f>IFERROR(H167/H444, "NA")</f>
        <v>-2.5790644722830658E-2</v>
      </c>
      <c r="J167" s="9"/>
      <c r="K167" s="7">
        <v>86.09</v>
      </c>
      <c r="L167" s="8">
        <f>IFERROR(K167/K444, "NA")</f>
        <v>1.3489212155740312E-3</v>
      </c>
      <c r="M167" s="9"/>
      <c r="N167" s="10">
        <f t="shared" si="41"/>
        <v>26.510000000000005</v>
      </c>
      <c r="O167" s="8">
        <f>IFERROR(N167/N444, "NA")</f>
        <v>6.5211562445421254E-3</v>
      </c>
      <c r="P167" s="9"/>
      <c r="Q167" s="7">
        <v>59.58</v>
      </c>
      <c r="R167" s="8">
        <f>IFERROR(Q167/Q444, "NA")</f>
        <v>8.7764006446043835E-4</v>
      </c>
      <c r="S167" s="9"/>
      <c r="T167" s="7">
        <v>0</v>
      </c>
      <c r="U167" s="8">
        <f>IFERROR(T167/T444, "NA")</f>
        <v>0</v>
      </c>
      <c r="V167" s="9"/>
      <c r="W167" s="10">
        <f t="shared" si="42"/>
        <v>-59.58</v>
      </c>
      <c r="X167" s="8">
        <f>IFERROR(W167/W444, "NA")</f>
        <v>-2.5790644722830658E-2</v>
      </c>
      <c r="Y167" s="9"/>
      <c r="Z167" s="7">
        <v>86.09</v>
      </c>
      <c r="AA167" s="8">
        <f>IFERROR(Z167/Z444, "NA")</f>
        <v>1.3489212155740312E-3</v>
      </c>
      <c r="AB167" s="9"/>
      <c r="AC167" s="10">
        <f t="shared" si="43"/>
        <v>26.510000000000005</v>
      </c>
      <c r="AD167" s="8">
        <f>IFERROR(AC167/AC444, "NA")</f>
        <v>6.5211562445421254E-3</v>
      </c>
    </row>
    <row r="168" spans="1:30" ht="16.5" customHeight="1" x14ac:dyDescent="0.45">
      <c r="A168" s="6" t="s">
        <v>156</v>
      </c>
      <c r="B168" s="7">
        <v>18</v>
      </c>
      <c r="C168" s="8">
        <f>IFERROR(B168/B444, "NA")</f>
        <v>2.651480557282291E-4</v>
      </c>
      <c r="D168" s="9"/>
      <c r="E168" s="7">
        <v>0</v>
      </c>
      <c r="F168" s="8">
        <f>IFERROR(E168/E444, "NA")</f>
        <v>0</v>
      </c>
      <c r="G168" s="9"/>
      <c r="H168" s="10">
        <f t="shared" si="40"/>
        <v>-18</v>
      </c>
      <c r="I168" s="8">
        <f>IFERROR(H168/H444, "NA")</f>
        <v>-7.7917355658098661E-3</v>
      </c>
      <c r="J168" s="9"/>
      <c r="K168" s="7">
        <v>32.6</v>
      </c>
      <c r="L168" s="8">
        <f>IFERROR(K168/K444, "NA")</f>
        <v>5.1080069262066921E-4</v>
      </c>
      <c r="M168" s="9"/>
      <c r="N168" s="10">
        <f t="shared" si="41"/>
        <v>14.600000000000001</v>
      </c>
      <c r="O168" s="8">
        <f>IFERROR(N168/N444, "NA")</f>
        <v>3.5914327110643162E-3</v>
      </c>
      <c r="P168" s="9"/>
      <c r="Q168" s="7">
        <v>18</v>
      </c>
      <c r="R168" s="8">
        <f>IFERROR(Q168/Q444, "NA")</f>
        <v>2.651480557282291E-4</v>
      </c>
      <c r="S168" s="9"/>
      <c r="T168" s="7">
        <v>0</v>
      </c>
      <c r="U168" s="8">
        <f>IFERROR(T168/T444, "NA")</f>
        <v>0</v>
      </c>
      <c r="V168" s="9"/>
      <c r="W168" s="10">
        <f t="shared" si="42"/>
        <v>-18</v>
      </c>
      <c r="X168" s="8">
        <f>IFERROR(W168/W444, "NA")</f>
        <v>-7.7917355658098661E-3</v>
      </c>
      <c r="Y168" s="9"/>
      <c r="Z168" s="7">
        <v>32.6</v>
      </c>
      <c r="AA168" s="8">
        <f>IFERROR(Z168/Z444, "NA")</f>
        <v>5.1080069262066921E-4</v>
      </c>
      <c r="AB168" s="9"/>
      <c r="AC168" s="10">
        <f t="shared" si="43"/>
        <v>14.600000000000001</v>
      </c>
      <c r="AD168" s="8">
        <f>IFERROR(AC168/AC444, "NA")</f>
        <v>3.5914327110643162E-3</v>
      </c>
    </row>
    <row r="169" spans="1:30" ht="16.5" customHeight="1" x14ac:dyDescent="0.45">
      <c r="A169" s="6" t="s">
        <v>157</v>
      </c>
      <c r="B169" s="7">
        <v>-1070.46</v>
      </c>
      <c r="C169" s="8">
        <f>IFERROR(B169/B444, "NA")</f>
        <v>-1.5768354874157786E-2</v>
      </c>
      <c r="D169" s="9"/>
      <c r="E169" s="7">
        <v>0</v>
      </c>
      <c r="F169" s="8">
        <f>IFERROR(E169/E444, "NA")</f>
        <v>0</v>
      </c>
      <c r="G169" s="9"/>
      <c r="H169" s="10">
        <f t="shared" si="40"/>
        <v>1070.46</v>
      </c>
      <c r="I169" s="8">
        <f>IFERROR(H169/H444, "NA")</f>
        <v>0.46337451409871278</v>
      </c>
      <c r="J169" s="9"/>
      <c r="K169" s="7">
        <v>-2049.2800000000002</v>
      </c>
      <c r="L169" s="8">
        <f>IFERROR(K169/K444, "NA")</f>
        <v>-3.2109620962382977E-2</v>
      </c>
      <c r="M169" s="9"/>
      <c r="N169" s="10">
        <f t="shared" si="41"/>
        <v>-978.82000000000016</v>
      </c>
      <c r="O169" s="8">
        <f>IFERROR(N169/N444, "NA")</f>
        <v>-0.24077850453725849</v>
      </c>
      <c r="P169" s="9"/>
      <c r="Q169" s="7">
        <v>-1070.46</v>
      </c>
      <c r="R169" s="8">
        <f>IFERROR(Q169/Q444, "NA")</f>
        <v>-1.5768354874157786E-2</v>
      </c>
      <c r="S169" s="9"/>
      <c r="T169" s="7">
        <v>0</v>
      </c>
      <c r="U169" s="8">
        <f>IFERROR(T169/T444, "NA")</f>
        <v>0</v>
      </c>
      <c r="V169" s="9"/>
      <c r="W169" s="10">
        <f t="shared" si="42"/>
        <v>1070.46</v>
      </c>
      <c r="X169" s="8">
        <f>IFERROR(W169/W444, "NA")</f>
        <v>0.46337451409871278</v>
      </c>
      <c r="Y169" s="9"/>
      <c r="Z169" s="7">
        <v>-2049.2800000000002</v>
      </c>
      <c r="AA169" s="8">
        <f>IFERROR(Z169/Z444, "NA")</f>
        <v>-3.2109620962382977E-2</v>
      </c>
      <c r="AB169" s="9"/>
      <c r="AC169" s="10">
        <f t="shared" si="43"/>
        <v>-978.82000000000016</v>
      </c>
      <c r="AD169" s="8">
        <f>IFERROR(AC169/AC444, "NA")</f>
        <v>-0.24077850453725849</v>
      </c>
    </row>
    <row r="170" spans="1:30" ht="16.5" customHeight="1" x14ac:dyDescent="0.45">
      <c r="A170" s="19" t="s">
        <v>158</v>
      </c>
      <c r="B170" s="14">
        <f>IFERROR(B151+B153+B154+B155+B156+B157+B160+B161+B162+B163+B164+B165+B167+B168+B169, "NA")</f>
        <v>3278.8799999999992</v>
      </c>
      <c r="C170" s="15">
        <f>IFERROR(B170/B444, "NA")</f>
        <v>4.8299369831454206E-2</v>
      </c>
      <c r="D170" s="2"/>
      <c r="E170" s="14">
        <f>IFERROR(E151+E153+E154+E155+E156+E157+E160+E161+E162+E163+E164+E165+E167+E168+E169, "NA")</f>
        <v>2623.06</v>
      </c>
      <c r="F170" s="15">
        <f>IFERROR(E170/E444, "NA")</f>
        <v>4.0000024398999273E-2</v>
      </c>
      <c r="G170" s="2"/>
      <c r="H170" s="14">
        <f t="shared" si="40"/>
        <v>-655.81999999999925</v>
      </c>
      <c r="I170" s="15">
        <f>IFERROR(H170/H444, "NA")</f>
        <v>-0.28388755659830117</v>
      </c>
      <c r="J170" s="2"/>
      <c r="K170" s="14">
        <f>IFERROR(K151+K153+K154+K155+K156+K157+K160+K161+K162+K163+K164+K165+K167+K168+K169, "NA")</f>
        <v>1100.9299999999998</v>
      </c>
      <c r="L170" s="15">
        <f>IFERROR(K170/K444, "NA")</f>
        <v>1.7250178114321266E-2</v>
      </c>
      <c r="M170" s="2"/>
      <c r="N170" s="14">
        <f t="shared" si="41"/>
        <v>-2177.9499999999994</v>
      </c>
      <c r="O170" s="15">
        <f>IFERROR(N170/N444, "NA")</f>
        <v>-0.53575074473030992</v>
      </c>
      <c r="P170" s="2"/>
      <c r="Q170" s="14">
        <f>IFERROR(Q151+Q153+Q154+Q155+Q156+Q157+Q160+Q161+Q162+Q163+Q164+Q165+Q167+Q168+Q169, "NA")</f>
        <v>3278.8799999999992</v>
      </c>
      <c r="R170" s="15">
        <f>IFERROR(Q170/Q444, "NA")</f>
        <v>4.8299369831454206E-2</v>
      </c>
      <c r="S170" s="2"/>
      <c r="T170" s="14">
        <f>IFERROR(T151+T153+T154+T155+T156+T157+T160+T161+T162+T163+T164+T165+T167+T168+T169, "NA")</f>
        <v>2623.06</v>
      </c>
      <c r="U170" s="15">
        <f>IFERROR(T170/T444, "NA")</f>
        <v>4.0000024398999273E-2</v>
      </c>
      <c r="V170" s="2"/>
      <c r="W170" s="14">
        <f t="shared" si="42"/>
        <v>-655.81999999999925</v>
      </c>
      <c r="X170" s="15">
        <f>IFERROR(W170/W444, "NA")</f>
        <v>-0.28388755659830117</v>
      </c>
      <c r="Y170" s="2"/>
      <c r="Z170" s="14">
        <f>IFERROR(Z151+Z153+Z154+Z155+Z156+Z157+Z160+Z161+Z162+Z163+Z164+Z165+Z167+Z168+Z169, "NA")</f>
        <v>1100.9299999999998</v>
      </c>
      <c r="AA170" s="15">
        <f>IFERROR(Z170/Z444, "NA")</f>
        <v>1.7250178114321266E-2</v>
      </c>
      <c r="AB170" s="2"/>
      <c r="AC170" s="14">
        <f t="shared" si="43"/>
        <v>-2177.9499999999994</v>
      </c>
      <c r="AD170" s="15">
        <f>IFERROR(AC170/AC444, "NA")</f>
        <v>-0.53575074473030992</v>
      </c>
    </row>
    <row r="171" spans="1:30" ht="16.5" customHeight="1" x14ac:dyDescent="0.45">
      <c r="A171" s="21" t="s">
        <v>159</v>
      </c>
      <c r="B171" s="14">
        <f>IFERROR(B127+B129+B130+B131+B132+B133+B134+B135+B136+B137+B138+B139+B140+B143+B144+B145+B146+B147+B151+B153+B154+B155+B156+B157+B160+B161+B162+B163+B164+B165+B167+B168+B169, "NA")</f>
        <v>19825.019999999997</v>
      </c>
      <c r="C171" s="15">
        <f>IFERROR(B171/B444, "NA")</f>
        <v>0.29203141709851421</v>
      </c>
      <c r="D171" s="2"/>
      <c r="E171" s="14">
        <f>IFERROR(E127+E129+E130+E131+E132+E133+E134+E135+E136+E137+E138+E139+E140+E143+E144+E145+E146+E147+E151+E153+E154+E155+E156+E157+E160+E161+E162+E163+E164+E165+E167+E168+E169, "NA")</f>
        <v>17836.8</v>
      </c>
      <c r="F171" s="15">
        <f>IFERROR(E171/E444, "NA")</f>
        <v>0.27200004391819865</v>
      </c>
      <c r="G171" s="2"/>
      <c r="H171" s="14">
        <f t="shared" si="40"/>
        <v>-1988.2199999999975</v>
      </c>
      <c r="I171" s="15">
        <f>IFERROR(H171/H444, "NA")</f>
        <v>-0.86064913814747068</v>
      </c>
      <c r="J171" s="2"/>
      <c r="K171" s="14">
        <f>IFERROR(K127+K129+K130+K131+K132+K133+K134+K135+K136+K137+K138+K139+K140+K143+K144+K145+K146+K147+K151+K153+K154+K155+K156+K157+K160+K161+K162+K163+K164+K165+K167+K168+K169, "NA")</f>
        <v>16358.059999999996</v>
      </c>
      <c r="L171" s="15">
        <f>IFERROR(K171/K444, "NA")</f>
        <v>0.25631007294265218</v>
      </c>
      <c r="M171" s="2"/>
      <c r="N171" s="14">
        <f t="shared" si="41"/>
        <v>-3466.9600000000009</v>
      </c>
      <c r="O171" s="15">
        <f>IFERROR(N171/N444, "NA")</f>
        <v>-0.85283243506517425</v>
      </c>
      <c r="P171" s="2"/>
      <c r="Q171" s="14">
        <f>IFERROR(Q127+Q129+Q130+Q131+Q132+Q133+Q134+Q135+Q136+Q137+Q138+Q139+Q140+Q143+Q144+Q145+Q146+Q147+Q151+Q153+Q154+Q155+Q156+Q157+Q160+Q161+Q162+Q163+Q164+Q165+Q167+Q168+Q169, "NA")</f>
        <v>19825.019999999997</v>
      </c>
      <c r="R171" s="15">
        <f>IFERROR(Q171/Q444, "NA")</f>
        <v>0.29203141709851421</v>
      </c>
      <c r="S171" s="2"/>
      <c r="T171" s="14">
        <f>IFERROR(T127+T129+T130+T131+T132+T133+T134+T135+T136+T137+T138+T139+T140+T143+T144+T145+T146+T147+T151+T153+T154+T155+T156+T157+T160+T161+T162+T163+T164+T165+T167+T168+T169, "NA")</f>
        <v>17836.8</v>
      </c>
      <c r="U171" s="15">
        <f>IFERROR(T171/T444, "NA")</f>
        <v>0.27200004391819865</v>
      </c>
      <c r="V171" s="2"/>
      <c r="W171" s="14">
        <f t="shared" si="42"/>
        <v>-1988.2199999999975</v>
      </c>
      <c r="X171" s="15">
        <f>IFERROR(W171/W444, "NA")</f>
        <v>-0.86064913814747068</v>
      </c>
      <c r="Y171" s="2"/>
      <c r="Z171" s="14">
        <f>IFERROR(Z127+Z129+Z130+Z131+Z132+Z133+Z134+Z135+Z136+Z137+Z138+Z139+Z140+Z143+Z144+Z145+Z146+Z147+Z151+Z153+Z154+Z155+Z156+Z157+Z160+Z161+Z162+Z163+Z164+Z165+Z167+Z168+Z169, "NA")</f>
        <v>16358.059999999996</v>
      </c>
      <c r="AA171" s="15">
        <f>IFERROR(Z171/Z444, "NA")</f>
        <v>0.25631007294265218</v>
      </c>
      <c r="AB171" s="2"/>
      <c r="AC171" s="14">
        <f t="shared" si="43"/>
        <v>-3466.9600000000009</v>
      </c>
      <c r="AD171" s="15">
        <f>IFERROR(AC171/AC444, "NA")</f>
        <v>-0.85283243506517425</v>
      </c>
    </row>
    <row r="172" spans="1:30" ht="16.5" customHeight="1" x14ac:dyDescent="0.45">
      <c r="A172" s="22" t="s">
        <v>160</v>
      </c>
      <c r="B172" s="23">
        <f>IFERROR(B124-B171, "NA")</f>
        <v>48061.580000000024</v>
      </c>
      <c r="C172" s="24">
        <f>IFERROR(B172/B444, "NA")</f>
        <v>0.70796858290148601</v>
      </c>
      <c r="D172" s="25"/>
      <c r="E172" s="23">
        <f>IFERROR(E124-E171, "NA")</f>
        <v>47739.66</v>
      </c>
      <c r="F172" s="24">
        <f>IFERROR(E172/E444, "NA")</f>
        <v>0.72799995608180124</v>
      </c>
      <c r="G172" s="25"/>
      <c r="H172" s="23">
        <f>IFERROR(B172-E172, "NA")</f>
        <v>321.92000000002008</v>
      </c>
      <c r="I172" s="24">
        <f>IFERROR(H172/H444, "NA")</f>
        <v>0.13935086185253714</v>
      </c>
      <c r="J172" s="25"/>
      <c r="K172" s="23">
        <f>IFERROR(K124-K171, "NA")</f>
        <v>47463.31</v>
      </c>
      <c r="L172" s="24">
        <f>IFERROR(K172/K444, "NA")</f>
        <v>0.7436899270573476</v>
      </c>
      <c r="M172" s="25"/>
      <c r="N172" s="23">
        <f>IFERROR(B172-K172, "NA")</f>
        <v>598.2700000000259</v>
      </c>
      <c r="O172" s="24">
        <f>IFERROR(N172/N444, "NA")</f>
        <v>0.1471675649348316</v>
      </c>
      <c r="P172" s="25"/>
      <c r="Q172" s="23">
        <f>IFERROR(Q124-Q171, "NA")</f>
        <v>48061.580000000024</v>
      </c>
      <c r="R172" s="24">
        <f>IFERROR(Q172/Q444, "NA")</f>
        <v>0.70796858290148601</v>
      </c>
      <c r="S172" s="25"/>
      <c r="T172" s="23">
        <f>IFERROR(T124-T171, "NA")</f>
        <v>47739.66</v>
      </c>
      <c r="U172" s="24">
        <f>IFERROR(T172/T444, "NA")</f>
        <v>0.72799995608180124</v>
      </c>
      <c r="V172" s="25"/>
      <c r="W172" s="23">
        <f>IFERROR(Q172-T172, "NA")</f>
        <v>321.92000000002008</v>
      </c>
      <c r="X172" s="24">
        <f>IFERROR(W172/W444, "NA")</f>
        <v>0.13935086185253714</v>
      </c>
      <c r="Y172" s="25"/>
      <c r="Z172" s="23">
        <f>IFERROR(Z124-Z171, "NA")</f>
        <v>47463.31</v>
      </c>
      <c r="AA172" s="24">
        <f>IFERROR(Z172/Z444, "NA")</f>
        <v>0.7436899270573476</v>
      </c>
      <c r="AB172" s="25"/>
      <c r="AC172" s="23">
        <f>IFERROR(Q172-Z172, "NA")</f>
        <v>598.2700000000259</v>
      </c>
      <c r="AD172" s="24">
        <f>IFERROR(AC172/AC444, "NA")</f>
        <v>0.1471675649348316</v>
      </c>
    </row>
    <row r="173" spans="1:30" ht="16.5" customHeight="1" x14ac:dyDescent="0.45">
      <c r="A173" s="1" t="s">
        <v>161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45">
      <c r="A174" s="5" t="s">
        <v>161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45">
      <c r="A175" s="6" t="s">
        <v>161</v>
      </c>
      <c r="B175" s="7">
        <v>0</v>
      </c>
      <c r="C175" s="8">
        <f>IFERROR(B175/B444, "NA")</f>
        <v>0</v>
      </c>
      <c r="D175" s="9"/>
      <c r="E175" s="7">
        <v>0</v>
      </c>
      <c r="F175" s="8">
        <f>IFERROR(E175/E444, "NA")</f>
        <v>0</v>
      </c>
      <c r="G175" s="9"/>
      <c r="H175" s="10">
        <f>IFERROR(-(B175-E175), "NA")</f>
        <v>0</v>
      </c>
      <c r="I175" s="8">
        <f>IFERROR(H175/H444, "NA")</f>
        <v>0</v>
      </c>
      <c r="J175" s="9"/>
      <c r="K175" s="7">
        <v>0</v>
      </c>
      <c r="L175" s="8">
        <f>IFERROR(K175/K444, "NA")</f>
        <v>0</v>
      </c>
      <c r="M175" s="9"/>
      <c r="N175" s="10">
        <f>IFERROR(-(B175-K175), "NA")</f>
        <v>0</v>
      </c>
      <c r="O175" s="8">
        <f>IFERROR(N175/N444, "NA")</f>
        <v>0</v>
      </c>
      <c r="P175" s="9"/>
      <c r="Q175" s="7">
        <v>0</v>
      </c>
      <c r="R175" s="8">
        <f>IFERROR(Q175/Q444, "NA")</f>
        <v>0</v>
      </c>
      <c r="S175" s="9"/>
      <c r="T175" s="7">
        <v>0</v>
      </c>
      <c r="U175" s="8">
        <f>IFERROR(T175/T444, "NA")</f>
        <v>0</v>
      </c>
      <c r="V175" s="9"/>
      <c r="W175" s="10">
        <f>IFERROR(-(Q175-T175), "NA")</f>
        <v>0</v>
      </c>
      <c r="X175" s="8">
        <f>IFERROR(W175/W444, "NA")</f>
        <v>0</v>
      </c>
      <c r="Y175" s="9"/>
      <c r="Z175" s="7">
        <v>0</v>
      </c>
      <c r="AA175" s="8">
        <f>IFERROR(Z175/Z444, "NA")</f>
        <v>0</v>
      </c>
      <c r="AB175" s="9"/>
      <c r="AC175" s="10">
        <f>IFERROR(-(Q175-Z175), "NA")</f>
        <v>0</v>
      </c>
      <c r="AD175" s="8">
        <f>IFERROR(AC175/AC444, "NA")</f>
        <v>0</v>
      </c>
    </row>
    <row r="176" spans="1:30" ht="16.5" customHeight="1" x14ac:dyDescent="0.45">
      <c r="A176" s="11" t="s">
        <v>162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45">
      <c r="A177" s="12" t="s">
        <v>162</v>
      </c>
      <c r="B177" s="7">
        <v>0</v>
      </c>
      <c r="C177" s="8">
        <f>IFERROR(B177/B444, "NA")</f>
        <v>0</v>
      </c>
      <c r="D177" s="9"/>
      <c r="E177" s="7">
        <v>0</v>
      </c>
      <c r="F177" s="8">
        <f>IFERROR(E177/E444, "NA")</f>
        <v>0</v>
      </c>
      <c r="G177" s="9"/>
      <c r="H177" s="10">
        <f t="shared" ref="H177:H184" si="44">IFERROR(-(B177-E177), "NA")</f>
        <v>0</v>
      </c>
      <c r="I177" s="8">
        <f>IFERROR(H177/H444, "NA")</f>
        <v>0</v>
      </c>
      <c r="J177" s="9"/>
      <c r="K177" s="7">
        <v>0</v>
      </c>
      <c r="L177" s="8">
        <f>IFERROR(K177/K444, "NA")</f>
        <v>0</v>
      </c>
      <c r="M177" s="9"/>
      <c r="N177" s="10">
        <f t="shared" ref="N177:N184" si="45">IFERROR(-(B177-K177), "NA")</f>
        <v>0</v>
      </c>
      <c r="O177" s="8">
        <f>IFERROR(N177/N444, "NA")</f>
        <v>0</v>
      </c>
      <c r="P177" s="9"/>
      <c r="Q177" s="7">
        <v>0</v>
      </c>
      <c r="R177" s="8">
        <f>IFERROR(Q177/Q444, "NA")</f>
        <v>0</v>
      </c>
      <c r="S177" s="9"/>
      <c r="T177" s="7">
        <v>0</v>
      </c>
      <c r="U177" s="8">
        <f>IFERROR(T177/T444, "NA")</f>
        <v>0</v>
      </c>
      <c r="V177" s="9"/>
      <c r="W177" s="10">
        <f t="shared" ref="W177:W184" si="46">IFERROR(-(Q177-T177), "NA")</f>
        <v>0</v>
      </c>
      <c r="X177" s="8">
        <f>IFERROR(W177/W444, "NA")</f>
        <v>0</v>
      </c>
      <c r="Y177" s="9"/>
      <c r="Z177" s="7">
        <v>0</v>
      </c>
      <c r="AA177" s="8">
        <f>IFERROR(Z177/Z444, "NA")</f>
        <v>0</v>
      </c>
      <c r="AB177" s="9"/>
      <c r="AC177" s="10">
        <f t="shared" ref="AC177:AC184" si="47">IFERROR(-(Q177-Z177), "NA")</f>
        <v>0</v>
      </c>
      <c r="AD177" s="8">
        <f>IFERROR(AC177/AC444, "NA")</f>
        <v>0</v>
      </c>
    </row>
    <row r="178" spans="1:30" ht="16.5" customHeight="1" x14ac:dyDescent="0.45">
      <c r="A178" s="12" t="s">
        <v>163</v>
      </c>
      <c r="B178" s="7">
        <v>5076.92</v>
      </c>
      <c r="C178" s="8">
        <f>IFERROR(B178/B444, "NA")</f>
        <v>7.4785303727097838E-2</v>
      </c>
      <c r="D178" s="9"/>
      <c r="E178" s="7">
        <v>4615.3999999999996</v>
      </c>
      <c r="F178" s="8">
        <f>IFERROR(E178/E444, "NA")</f>
        <v>7.0381963283775897E-2</v>
      </c>
      <c r="G178" s="9"/>
      <c r="H178" s="10">
        <f t="shared" si="44"/>
        <v>-461.52000000000044</v>
      </c>
      <c r="I178" s="8">
        <f>IFERROR(H178/H444, "NA")</f>
        <v>-0.19978009990736517</v>
      </c>
      <c r="J178" s="9"/>
      <c r="K178" s="7">
        <v>4615.3999999999996</v>
      </c>
      <c r="L178" s="8">
        <f>IFERROR(K178/K444, "NA")</f>
        <v>7.2317469838080878E-2</v>
      </c>
      <c r="M178" s="9"/>
      <c r="N178" s="10">
        <f t="shared" si="45"/>
        <v>-461.52000000000044</v>
      </c>
      <c r="O178" s="8">
        <f>IFERROR(N178/N444, "NA")</f>
        <v>-0.11352863183632908</v>
      </c>
      <c r="P178" s="9"/>
      <c r="Q178" s="7">
        <v>5076.92</v>
      </c>
      <c r="R178" s="8">
        <f>IFERROR(Q178/Q444, "NA")</f>
        <v>7.4785303727097838E-2</v>
      </c>
      <c r="S178" s="9"/>
      <c r="T178" s="7">
        <v>4615.3999999999996</v>
      </c>
      <c r="U178" s="8">
        <f>IFERROR(T178/T444, "NA")</f>
        <v>7.0381963283775897E-2</v>
      </c>
      <c r="V178" s="9"/>
      <c r="W178" s="10">
        <f t="shared" si="46"/>
        <v>-461.52000000000044</v>
      </c>
      <c r="X178" s="8">
        <f>IFERROR(W178/W444, "NA")</f>
        <v>-0.19978009990736517</v>
      </c>
      <c r="Y178" s="9"/>
      <c r="Z178" s="7">
        <v>4615.3999999999996</v>
      </c>
      <c r="AA178" s="8">
        <f>IFERROR(Z178/Z444, "NA")</f>
        <v>7.2317469838080878E-2</v>
      </c>
      <c r="AB178" s="9"/>
      <c r="AC178" s="10">
        <f t="shared" si="47"/>
        <v>-461.52000000000044</v>
      </c>
      <c r="AD178" s="8">
        <f>IFERROR(AC178/AC444, "NA")</f>
        <v>-0.11352863183632908</v>
      </c>
    </row>
    <row r="179" spans="1:30" ht="16.5" hidden="1" customHeight="1" x14ac:dyDescent="0.45">
      <c r="A179" s="12" t="s">
        <v>164</v>
      </c>
      <c r="B179" s="7">
        <v>0</v>
      </c>
      <c r="C179" s="8">
        <f>IFERROR(B179/B444, "NA")</f>
        <v>0</v>
      </c>
      <c r="D179" s="9"/>
      <c r="E179" s="7">
        <v>0</v>
      </c>
      <c r="F179" s="8">
        <f>IFERROR(E179/E444, "NA")</f>
        <v>0</v>
      </c>
      <c r="G179" s="9"/>
      <c r="H179" s="10">
        <f t="shared" si="44"/>
        <v>0</v>
      </c>
      <c r="I179" s="8">
        <f>IFERROR(H179/H444, "NA")</f>
        <v>0</v>
      </c>
      <c r="J179" s="9"/>
      <c r="K179" s="7">
        <v>0</v>
      </c>
      <c r="L179" s="8">
        <f>IFERROR(K179/K444, "NA")</f>
        <v>0</v>
      </c>
      <c r="M179" s="9"/>
      <c r="N179" s="10">
        <f t="shared" si="45"/>
        <v>0</v>
      </c>
      <c r="O179" s="8">
        <f>IFERROR(N179/N444, "NA")</f>
        <v>0</v>
      </c>
      <c r="P179" s="9"/>
      <c r="Q179" s="7">
        <v>0</v>
      </c>
      <c r="R179" s="8">
        <f>IFERROR(Q179/Q444, "NA")</f>
        <v>0</v>
      </c>
      <c r="S179" s="9"/>
      <c r="T179" s="7">
        <v>0</v>
      </c>
      <c r="U179" s="8">
        <f>IFERROR(T179/T444, "NA")</f>
        <v>0</v>
      </c>
      <c r="V179" s="9"/>
      <c r="W179" s="10">
        <f t="shared" si="46"/>
        <v>0</v>
      </c>
      <c r="X179" s="8">
        <f>IFERROR(W179/W444, "NA")</f>
        <v>0</v>
      </c>
      <c r="Y179" s="9"/>
      <c r="Z179" s="7">
        <v>0</v>
      </c>
      <c r="AA179" s="8">
        <f>IFERROR(Z179/Z444, "NA")</f>
        <v>0</v>
      </c>
      <c r="AB179" s="9"/>
      <c r="AC179" s="10">
        <f t="shared" si="47"/>
        <v>0</v>
      </c>
      <c r="AD179" s="8">
        <f>IFERROR(AC179/AC444, "NA")</f>
        <v>0</v>
      </c>
    </row>
    <row r="180" spans="1:30" ht="16.5" customHeight="1" x14ac:dyDescent="0.45">
      <c r="A180" s="12" t="s">
        <v>165</v>
      </c>
      <c r="B180" s="7">
        <v>15489.83</v>
      </c>
      <c r="C180" s="8">
        <f>IFERROR(B180/B444, "NA")</f>
        <v>0.22817212822559974</v>
      </c>
      <c r="D180" s="9"/>
      <c r="E180" s="7">
        <v>13443.17</v>
      </c>
      <c r="F180" s="8">
        <f>IFERROR(E180/E444, "NA")</f>
        <v>0.20499993442768943</v>
      </c>
      <c r="G180" s="9"/>
      <c r="H180" s="10">
        <f t="shared" si="44"/>
        <v>-2046.6599999999999</v>
      </c>
      <c r="I180" s="8">
        <f>IFERROR(H180/H444, "NA")</f>
        <v>-0.8859463062844678</v>
      </c>
      <c r="J180" s="9"/>
      <c r="K180" s="7">
        <v>13398.61</v>
      </c>
      <c r="L180" s="8">
        <f>IFERROR(K180/K444, "NA")</f>
        <v>0.20993924135442407</v>
      </c>
      <c r="M180" s="9"/>
      <c r="N180" s="10">
        <f t="shared" si="45"/>
        <v>-2091.2199999999993</v>
      </c>
      <c r="O180" s="8">
        <f>IFERROR(N180/N444, "NA")</f>
        <v>-0.51441615849533673</v>
      </c>
      <c r="P180" s="9"/>
      <c r="Q180" s="7">
        <v>15489.83</v>
      </c>
      <c r="R180" s="8">
        <f>IFERROR(Q180/Q444, "NA")</f>
        <v>0.22817212822559974</v>
      </c>
      <c r="S180" s="9"/>
      <c r="T180" s="7">
        <v>13443.17</v>
      </c>
      <c r="U180" s="8">
        <f>IFERROR(T180/T444, "NA")</f>
        <v>0.20499993442768943</v>
      </c>
      <c r="V180" s="9"/>
      <c r="W180" s="10">
        <f t="shared" si="46"/>
        <v>-2046.6599999999999</v>
      </c>
      <c r="X180" s="8">
        <f>IFERROR(W180/W444, "NA")</f>
        <v>-0.8859463062844678</v>
      </c>
      <c r="Y180" s="9"/>
      <c r="Z180" s="7">
        <v>13398.61</v>
      </c>
      <c r="AA180" s="8">
        <f>IFERROR(Z180/Z444, "NA")</f>
        <v>0.20993924135442407</v>
      </c>
      <c r="AB180" s="9"/>
      <c r="AC180" s="10">
        <f t="shared" si="47"/>
        <v>-2091.2199999999993</v>
      </c>
      <c r="AD180" s="8">
        <f>IFERROR(AC180/AC444, "NA")</f>
        <v>-0.51441615849533673</v>
      </c>
    </row>
    <row r="181" spans="1:30" ht="16.5" customHeight="1" x14ac:dyDescent="0.45">
      <c r="A181" s="12" t="s">
        <v>166</v>
      </c>
      <c r="B181" s="7">
        <v>194.4</v>
      </c>
      <c r="C181" s="8">
        <f>IFERROR(B181/B444, "NA")</f>
        <v>2.8635990018648747E-3</v>
      </c>
      <c r="D181" s="9"/>
      <c r="E181" s="7">
        <v>0</v>
      </c>
      <c r="F181" s="8">
        <f>IFERROR(E181/E444, "NA")</f>
        <v>0</v>
      </c>
      <c r="G181" s="9"/>
      <c r="H181" s="10">
        <f t="shared" si="44"/>
        <v>-194.4</v>
      </c>
      <c r="I181" s="8">
        <f>IFERROR(H181/H444, "NA")</f>
        <v>-8.4150744110746564E-2</v>
      </c>
      <c r="J181" s="9"/>
      <c r="K181" s="7">
        <v>0</v>
      </c>
      <c r="L181" s="8">
        <f>IFERROR(K181/K444, "NA")</f>
        <v>0</v>
      </c>
      <c r="M181" s="9"/>
      <c r="N181" s="10">
        <f t="shared" si="45"/>
        <v>-194.4</v>
      </c>
      <c r="O181" s="8">
        <f>IFERROR(N181/N444, "NA")</f>
        <v>-4.7820172536363219E-2</v>
      </c>
      <c r="P181" s="9"/>
      <c r="Q181" s="7">
        <v>194.4</v>
      </c>
      <c r="R181" s="8">
        <f>IFERROR(Q181/Q444, "NA")</f>
        <v>2.8635990018648747E-3</v>
      </c>
      <c r="S181" s="9"/>
      <c r="T181" s="7">
        <v>0</v>
      </c>
      <c r="U181" s="8">
        <f>IFERROR(T181/T444, "NA")</f>
        <v>0</v>
      </c>
      <c r="V181" s="9"/>
      <c r="W181" s="10">
        <f t="shared" si="46"/>
        <v>-194.4</v>
      </c>
      <c r="X181" s="8">
        <f>IFERROR(W181/W444, "NA")</f>
        <v>-8.4150744110746564E-2</v>
      </c>
      <c r="Y181" s="9"/>
      <c r="Z181" s="7">
        <v>0</v>
      </c>
      <c r="AA181" s="8">
        <f>IFERROR(Z181/Z444, "NA")</f>
        <v>0</v>
      </c>
      <c r="AB181" s="9"/>
      <c r="AC181" s="10">
        <f t="shared" si="47"/>
        <v>-194.4</v>
      </c>
      <c r="AD181" s="8">
        <f>IFERROR(AC181/AC444, "NA")</f>
        <v>-4.7820172536363219E-2</v>
      </c>
    </row>
    <row r="182" spans="1:30" ht="16.5" customHeight="1" x14ac:dyDescent="0.45">
      <c r="A182" s="13" t="s">
        <v>167</v>
      </c>
      <c r="B182" s="14">
        <f>IFERROR(B177+B178+B179+B180+B181, "NA")</f>
        <v>20761.150000000001</v>
      </c>
      <c r="C182" s="15">
        <f>IFERROR(B182/B444, "NA")</f>
        <v>0.30582103095456248</v>
      </c>
      <c r="D182" s="2"/>
      <c r="E182" s="14">
        <f>IFERROR(E177+E178+E179+E180+E181, "NA")</f>
        <v>18058.57</v>
      </c>
      <c r="F182" s="15">
        <f>IFERROR(E182/E444, "NA")</f>
        <v>0.27538189771146532</v>
      </c>
      <c r="G182" s="2"/>
      <c r="H182" s="14">
        <f t="shared" si="44"/>
        <v>-2702.5800000000017</v>
      </c>
      <c r="I182" s="15">
        <f>IFERROR(H182/H444, "NA")</f>
        <v>-1.1698771503025802</v>
      </c>
      <c r="J182" s="2"/>
      <c r="K182" s="14">
        <f>IFERROR(K177+K178+K179+K180+K181, "NA")</f>
        <v>18014.010000000002</v>
      </c>
      <c r="L182" s="15">
        <f>IFERROR(K182/K444, "NA")</f>
        <v>0.28225671119250495</v>
      </c>
      <c r="M182" s="2"/>
      <c r="N182" s="14">
        <f t="shared" si="45"/>
        <v>-2747.1399999999994</v>
      </c>
      <c r="O182" s="15">
        <f>IFERROR(N182/N444, "NA")</f>
        <v>-0.6757649628680289</v>
      </c>
      <c r="P182" s="2"/>
      <c r="Q182" s="14">
        <f>IFERROR(Q177+Q178+Q179+Q180+Q181, "NA")</f>
        <v>20761.150000000001</v>
      </c>
      <c r="R182" s="15">
        <f>IFERROR(Q182/Q444, "NA")</f>
        <v>0.30582103095456248</v>
      </c>
      <c r="S182" s="2"/>
      <c r="T182" s="14">
        <f>IFERROR(T177+T178+T179+T180+T181, "NA")</f>
        <v>18058.57</v>
      </c>
      <c r="U182" s="15">
        <f>IFERROR(T182/T444, "NA")</f>
        <v>0.27538189771146532</v>
      </c>
      <c r="V182" s="2"/>
      <c r="W182" s="14">
        <f t="shared" si="46"/>
        <v>-2702.5800000000017</v>
      </c>
      <c r="X182" s="15">
        <f>IFERROR(W182/W444, "NA")</f>
        <v>-1.1698771503025802</v>
      </c>
      <c r="Y182" s="2"/>
      <c r="Z182" s="14">
        <f>IFERROR(Z177+Z178+Z179+Z180+Z181, "NA")</f>
        <v>18014.010000000002</v>
      </c>
      <c r="AA182" s="15">
        <f>IFERROR(Z182/Z444, "NA")</f>
        <v>0.28225671119250495</v>
      </c>
      <c r="AB182" s="2"/>
      <c r="AC182" s="14">
        <f t="shared" si="47"/>
        <v>-2747.1399999999994</v>
      </c>
      <c r="AD182" s="15">
        <f>IFERROR(AC182/AC444, "NA")</f>
        <v>-0.6757649628680289</v>
      </c>
    </row>
    <row r="183" spans="1:30" ht="16.5" hidden="1" customHeight="1" x14ac:dyDescent="0.45">
      <c r="A183" s="6" t="s">
        <v>168</v>
      </c>
      <c r="B183" s="7">
        <v>0</v>
      </c>
      <c r="C183" s="8">
        <f>IFERROR(B183/B444, "NA")</f>
        <v>0</v>
      </c>
      <c r="D183" s="9"/>
      <c r="E183" s="7">
        <v>0</v>
      </c>
      <c r="F183" s="8">
        <f>IFERROR(E183/E444, "NA")</f>
        <v>0</v>
      </c>
      <c r="G183" s="9"/>
      <c r="H183" s="10">
        <f t="shared" si="44"/>
        <v>0</v>
      </c>
      <c r="I183" s="8">
        <f>IFERROR(H183/H444, "NA")</f>
        <v>0</v>
      </c>
      <c r="J183" s="9"/>
      <c r="K183" s="7">
        <v>0</v>
      </c>
      <c r="L183" s="8">
        <f>IFERROR(K183/K444, "NA")</f>
        <v>0</v>
      </c>
      <c r="M183" s="9"/>
      <c r="N183" s="10">
        <f t="shared" si="45"/>
        <v>0</v>
      </c>
      <c r="O183" s="8">
        <f>IFERROR(N183/N444, "NA")</f>
        <v>0</v>
      </c>
      <c r="P183" s="9"/>
      <c r="Q183" s="7">
        <v>0</v>
      </c>
      <c r="R183" s="8">
        <f>IFERROR(Q183/Q444, "NA")</f>
        <v>0</v>
      </c>
      <c r="S183" s="9"/>
      <c r="T183" s="7">
        <v>0</v>
      </c>
      <c r="U183" s="8">
        <f>IFERROR(T183/T444, "NA")</f>
        <v>0</v>
      </c>
      <c r="V183" s="9"/>
      <c r="W183" s="10">
        <f t="shared" si="46"/>
        <v>0</v>
      </c>
      <c r="X183" s="8">
        <f>IFERROR(W183/W444, "NA")</f>
        <v>0</v>
      </c>
      <c r="Y183" s="9"/>
      <c r="Z183" s="7">
        <v>0</v>
      </c>
      <c r="AA183" s="8">
        <f>IFERROR(Z183/Z444, "NA")</f>
        <v>0</v>
      </c>
      <c r="AB183" s="9"/>
      <c r="AC183" s="10">
        <f t="shared" si="47"/>
        <v>0</v>
      </c>
      <c r="AD183" s="8">
        <f>IFERROR(AC183/AC444, "NA")</f>
        <v>0</v>
      </c>
    </row>
    <row r="184" spans="1:30" ht="16.5" customHeight="1" x14ac:dyDescent="0.45">
      <c r="A184" s="6" t="s">
        <v>169</v>
      </c>
      <c r="B184" s="7">
        <v>165</v>
      </c>
      <c r="C184" s="8">
        <f>IFERROR(B184/B444, "NA")</f>
        <v>2.4305238441754335E-3</v>
      </c>
      <c r="D184" s="9"/>
      <c r="E184" s="7">
        <v>165</v>
      </c>
      <c r="F184" s="8">
        <f>IFERROR(E184/E444, "NA")</f>
        <v>2.5161468002389878E-3</v>
      </c>
      <c r="G184" s="9"/>
      <c r="H184" s="10">
        <f t="shared" si="44"/>
        <v>0</v>
      </c>
      <c r="I184" s="8">
        <f>IFERROR(H184/H444, "NA")</f>
        <v>0</v>
      </c>
      <c r="J184" s="9"/>
      <c r="K184" s="7">
        <v>300</v>
      </c>
      <c r="L184" s="8">
        <f>IFERROR(K184/K444, "NA")</f>
        <v>4.7006198707423546E-3</v>
      </c>
      <c r="M184" s="9"/>
      <c r="N184" s="10">
        <f t="shared" si="45"/>
        <v>135</v>
      </c>
      <c r="O184" s="8">
        <f>IFERROR(N184/N444, "NA")</f>
        <v>3.3208453150252233E-2</v>
      </c>
      <c r="P184" s="9"/>
      <c r="Q184" s="7">
        <v>165</v>
      </c>
      <c r="R184" s="8">
        <f>IFERROR(Q184/Q444, "NA")</f>
        <v>2.4305238441754335E-3</v>
      </c>
      <c r="S184" s="9"/>
      <c r="T184" s="7">
        <v>165</v>
      </c>
      <c r="U184" s="8">
        <f>IFERROR(T184/T444, "NA")</f>
        <v>2.5161468002389878E-3</v>
      </c>
      <c r="V184" s="9"/>
      <c r="W184" s="10">
        <f t="shared" si="46"/>
        <v>0</v>
      </c>
      <c r="X184" s="8">
        <f>IFERROR(W184/W444, "NA")</f>
        <v>0</v>
      </c>
      <c r="Y184" s="9"/>
      <c r="Z184" s="7">
        <v>300</v>
      </c>
      <c r="AA184" s="8">
        <f>IFERROR(Z184/Z444, "NA")</f>
        <v>4.7006198707423546E-3</v>
      </c>
      <c r="AB184" s="9"/>
      <c r="AC184" s="10">
        <f t="shared" si="47"/>
        <v>135</v>
      </c>
      <c r="AD184" s="8">
        <f>IFERROR(AC184/AC444, "NA")</f>
        <v>3.3208453150252233E-2</v>
      </c>
    </row>
    <row r="185" spans="1:30" ht="16.5" customHeight="1" x14ac:dyDescent="0.45">
      <c r="A185" s="11" t="s">
        <v>170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45">
      <c r="A186" s="12" t="s">
        <v>170</v>
      </c>
      <c r="B186" s="7">
        <v>2511.35</v>
      </c>
      <c r="C186" s="8">
        <f>IFERROR(B186/B444, "NA")</f>
        <v>3.6993309430727123E-2</v>
      </c>
      <c r="D186" s="9"/>
      <c r="E186" s="7">
        <v>3047.34</v>
      </c>
      <c r="F186" s="8">
        <f>IFERROR(E186/E444, "NA")</f>
        <v>4.6470029031759258E-2</v>
      </c>
      <c r="G186" s="9"/>
      <c r="H186" s="10">
        <f t="shared" ref="H186:H197" si="48">IFERROR(-(B186-E186), "NA")</f>
        <v>535.99000000000024</v>
      </c>
      <c r="I186" s="8">
        <f>IFERROR(H186/H444, "NA")</f>
        <v>0.2320162414399129</v>
      </c>
      <c r="J186" s="9"/>
      <c r="K186" s="7">
        <v>2965.78</v>
      </c>
      <c r="L186" s="8">
        <f>IFERROR(K186/K444, "NA")</f>
        <v>4.6470014667500871E-2</v>
      </c>
      <c r="M186" s="9"/>
      <c r="N186" s="10">
        <f t="shared" ref="N186:N197" si="49">IFERROR(-(B186-K186), "NA")</f>
        <v>454.43000000000029</v>
      </c>
      <c r="O186" s="8">
        <f>IFERROR(N186/N444, "NA")</f>
        <v>0.11178457307458617</v>
      </c>
      <c r="P186" s="9"/>
      <c r="Q186" s="7">
        <v>2511.35</v>
      </c>
      <c r="R186" s="8">
        <f>IFERROR(Q186/Q444, "NA")</f>
        <v>3.6993309430727123E-2</v>
      </c>
      <c r="S186" s="9"/>
      <c r="T186" s="7">
        <v>3047.34</v>
      </c>
      <c r="U186" s="8">
        <f>IFERROR(T186/T444, "NA")</f>
        <v>4.6470029031759258E-2</v>
      </c>
      <c r="V186" s="9"/>
      <c r="W186" s="10">
        <f t="shared" ref="W186:W197" si="50">IFERROR(-(Q186-T186), "NA")</f>
        <v>535.99000000000024</v>
      </c>
      <c r="X186" s="8">
        <f>IFERROR(W186/W444, "NA")</f>
        <v>0.2320162414399129</v>
      </c>
      <c r="Y186" s="9"/>
      <c r="Z186" s="7">
        <v>2965.78</v>
      </c>
      <c r="AA186" s="8">
        <f>IFERROR(Z186/Z444, "NA")</f>
        <v>4.6470014667500871E-2</v>
      </c>
      <c r="AB186" s="9"/>
      <c r="AC186" s="10">
        <f t="shared" ref="AC186:AC197" si="51">IFERROR(-(Q186-Z186), "NA")</f>
        <v>454.43000000000029</v>
      </c>
      <c r="AD186" s="8">
        <f>IFERROR(AC186/AC444, "NA")</f>
        <v>0.11178457307458617</v>
      </c>
    </row>
    <row r="187" spans="1:30" ht="16.5" hidden="1" customHeight="1" x14ac:dyDescent="0.45">
      <c r="A187" s="12" t="s">
        <v>171</v>
      </c>
      <c r="B187" s="7">
        <v>0</v>
      </c>
      <c r="C187" s="8">
        <f>IFERROR(B187/B444, "NA")</f>
        <v>0</v>
      </c>
      <c r="D187" s="9"/>
      <c r="E187" s="7">
        <v>0</v>
      </c>
      <c r="F187" s="8">
        <f>IFERROR(E187/E444, "NA")</f>
        <v>0</v>
      </c>
      <c r="G187" s="9"/>
      <c r="H187" s="10">
        <f t="shared" si="48"/>
        <v>0</v>
      </c>
      <c r="I187" s="8">
        <f>IFERROR(H187/H444, "NA")</f>
        <v>0</v>
      </c>
      <c r="J187" s="9"/>
      <c r="K187" s="7">
        <v>0</v>
      </c>
      <c r="L187" s="8">
        <f>IFERROR(K187/K444, "NA")</f>
        <v>0</v>
      </c>
      <c r="M187" s="9"/>
      <c r="N187" s="10">
        <f t="shared" si="49"/>
        <v>0</v>
      </c>
      <c r="O187" s="8">
        <f>IFERROR(N187/N444, "NA")</f>
        <v>0</v>
      </c>
      <c r="P187" s="9"/>
      <c r="Q187" s="7">
        <v>0</v>
      </c>
      <c r="R187" s="8">
        <f>IFERROR(Q187/Q444, "NA")</f>
        <v>0</v>
      </c>
      <c r="S187" s="9"/>
      <c r="T187" s="7">
        <v>0</v>
      </c>
      <c r="U187" s="8">
        <f>IFERROR(T187/T444, "NA")</f>
        <v>0</v>
      </c>
      <c r="V187" s="9"/>
      <c r="W187" s="10">
        <f t="shared" si="50"/>
        <v>0</v>
      </c>
      <c r="X187" s="8">
        <f>IFERROR(W187/W444, "NA")</f>
        <v>0</v>
      </c>
      <c r="Y187" s="9"/>
      <c r="Z187" s="7">
        <v>0</v>
      </c>
      <c r="AA187" s="8">
        <f>IFERROR(Z187/Z444, "NA")</f>
        <v>0</v>
      </c>
      <c r="AB187" s="9"/>
      <c r="AC187" s="10">
        <f t="shared" si="51"/>
        <v>0</v>
      </c>
      <c r="AD187" s="8">
        <f>IFERROR(AC187/AC444, "NA")</f>
        <v>0</v>
      </c>
    </row>
    <row r="188" spans="1:30" ht="16.5" hidden="1" customHeight="1" x14ac:dyDescent="0.45">
      <c r="A188" s="12" t="s">
        <v>172</v>
      </c>
      <c r="B188" s="7">
        <v>0</v>
      </c>
      <c r="C188" s="8">
        <f>IFERROR(B188/B444, "NA")</f>
        <v>0</v>
      </c>
      <c r="D188" s="9"/>
      <c r="E188" s="7">
        <v>0</v>
      </c>
      <c r="F188" s="8">
        <f>IFERROR(E188/E444, "NA")</f>
        <v>0</v>
      </c>
      <c r="G188" s="9"/>
      <c r="H188" s="10">
        <f t="shared" si="48"/>
        <v>0</v>
      </c>
      <c r="I188" s="8">
        <f>IFERROR(H188/H444, "NA")</f>
        <v>0</v>
      </c>
      <c r="J188" s="9"/>
      <c r="K188" s="7">
        <v>0</v>
      </c>
      <c r="L188" s="8">
        <f>IFERROR(K188/K444, "NA")</f>
        <v>0</v>
      </c>
      <c r="M188" s="9"/>
      <c r="N188" s="10">
        <f t="shared" si="49"/>
        <v>0</v>
      </c>
      <c r="O188" s="8">
        <f>IFERROR(N188/N444, "NA")</f>
        <v>0</v>
      </c>
      <c r="P188" s="9"/>
      <c r="Q188" s="7">
        <v>0</v>
      </c>
      <c r="R188" s="8">
        <f>IFERROR(Q188/Q444, "NA")</f>
        <v>0</v>
      </c>
      <c r="S188" s="9"/>
      <c r="T188" s="7">
        <v>0</v>
      </c>
      <c r="U188" s="8">
        <f>IFERROR(T188/T444, "NA")</f>
        <v>0</v>
      </c>
      <c r="V188" s="9"/>
      <c r="W188" s="10">
        <f t="shared" si="50"/>
        <v>0</v>
      </c>
      <c r="X188" s="8">
        <f>IFERROR(W188/W444, "NA")</f>
        <v>0</v>
      </c>
      <c r="Y188" s="9"/>
      <c r="Z188" s="7">
        <v>0</v>
      </c>
      <c r="AA188" s="8">
        <f>IFERROR(Z188/Z444, "NA")</f>
        <v>0</v>
      </c>
      <c r="AB188" s="9"/>
      <c r="AC188" s="10">
        <f t="shared" si="51"/>
        <v>0</v>
      </c>
      <c r="AD188" s="8">
        <f>IFERROR(AC188/AC444, "NA")</f>
        <v>0</v>
      </c>
    </row>
    <row r="189" spans="1:30" ht="16.5" hidden="1" customHeight="1" x14ac:dyDescent="0.45">
      <c r="A189" s="12" t="s">
        <v>173</v>
      </c>
      <c r="B189" s="7">
        <v>0</v>
      </c>
      <c r="C189" s="8">
        <f>IFERROR(B189/B444, "NA")</f>
        <v>0</v>
      </c>
      <c r="D189" s="9"/>
      <c r="E189" s="7">
        <v>0</v>
      </c>
      <c r="F189" s="8">
        <f>IFERROR(E189/E444, "NA")</f>
        <v>0</v>
      </c>
      <c r="G189" s="9"/>
      <c r="H189" s="10">
        <f t="shared" si="48"/>
        <v>0</v>
      </c>
      <c r="I189" s="8">
        <f>IFERROR(H189/H444, "NA")</f>
        <v>0</v>
      </c>
      <c r="J189" s="9"/>
      <c r="K189" s="7">
        <v>0</v>
      </c>
      <c r="L189" s="8">
        <f>IFERROR(K189/K444, "NA")</f>
        <v>0</v>
      </c>
      <c r="M189" s="9"/>
      <c r="N189" s="10">
        <f t="shared" si="49"/>
        <v>0</v>
      </c>
      <c r="O189" s="8">
        <f>IFERROR(N189/N444, "NA")</f>
        <v>0</v>
      </c>
      <c r="P189" s="9"/>
      <c r="Q189" s="7">
        <v>0</v>
      </c>
      <c r="R189" s="8">
        <f>IFERROR(Q189/Q444, "NA")</f>
        <v>0</v>
      </c>
      <c r="S189" s="9"/>
      <c r="T189" s="7">
        <v>0</v>
      </c>
      <c r="U189" s="8">
        <f>IFERROR(T189/T444, "NA")</f>
        <v>0</v>
      </c>
      <c r="V189" s="9"/>
      <c r="W189" s="10">
        <f t="shared" si="50"/>
        <v>0</v>
      </c>
      <c r="X189" s="8">
        <f>IFERROR(W189/W444, "NA")</f>
        <v>0</v>
      </c>
      <c r="Y189" s="9"/>
      <c r="Z189" s="7">
        <v>0</v>
      </c>
      <c r="AA189" s="8">
        <f>IFERROR(Z189/Z444, "NA")</f>
        <v>0</v>
      </c>
      <c r="AB189" s="9"/>
      <c r="AC189" s="10">
        <f t="shared" si="51"/>
        <v>0</v>
      </c>
      <c r="AD189" s="8">
        <f>IFERROR(AC189/AC444, "NA")</f>
        <v>0</v>
      </c>
    </row>
    <row r="190" spans="1:30" ht="16.5" hidden="1" customHeight="1" x14ac:dyDescent="0.45">
      <c r="A190" s="12" t="s">
        <v>174</v>
      </c>
      <c r="B190" s="7">
        <v>0</v>
      </c>
      <c r="C190" s="8">
        <f>IFERROR(B190/B444, "NA")</f>
        <v>0</v>
      </c>
      <c r="D190" s="9"/>
      <c r="E190" s="7">
        <v>0</v>
      </c>
      <c r="F190" s="8">
        <f>IFERROR(E190/E444, "NA")</f>
        <v>0</v>
      </c>
      <c r="G190" s="9"/>
      <c r="H190" s="10">
        <f t="shared" si="48"/>
        <v>0</v>
      </c>
      <c r="I190" s="8">
        <f>IFERROR(H190/H444, "NA")</f>
        <v>0</v>
      </c>
      <c r="J190" s="9"/>
      <c r="K190" s="7">
        <v>0</v>
      </c>
      <c r="L190" s="8">
        <f>IFERROR(K190/K444, "NA")</f>
        <v>0</v>
      </c>
      <c r="M190" s="9"/>
      <c r="N190" s="10">
        <f t="shared" si="49"/>
        <v>0</v>
      </c>
      <c r="O190" s="8">
        <f>IFERROR(N190/N444, "NA")</f>
        <v>0</v>
      </c>
      <c r="P190" s="9"/>
      <c r="Q190" s="7">
        <v>0</v>
      </c>
      <c r="R190" s="8">
        <f>IFERROR(Q190/Q444, "NA")</f>
        <v>0</v>
      </c>
      <c r="S190" s="9"/>
      <c r="T190" s="7">
        <v>0</v>
      </c>
      <c r="U190" s="8">
        <f>IFERROR(T190/T444, "NA")</f>
        <v>0</v>
      </c>
      <c r="V190" s="9"/>
      <c r="W190" s="10">
        <f t="shared" si="50"/>
        <v>0</v>
      </c>
      <c r="X190" s="8">
        <f>IFERROR(W190/W444, "NA")</f>
        <v>0</v>
      </c>
      <c r="Y190" s="9"/>
      <c r="Z190" s="7">
        <v>0</v>
      </c>
      <c r="AA190" s="8">
        <f>IFERROR(Z190/Z444, "NA")</f>
        <v>0</v>
      </c>
      <c r="AB190" s="9"/>
      <c r="AC190" s="10">
        <f t="shared" si="51"/>
        <v>0</v>
      </c>
      <c r="AD190" s="8">
        <f>IFERROR(AC190/AC444, "NA")</f>
        <v>0</v>
      </c>
    </row>
    <row r="191" spans="1:30" ht="16.5" hidden="1" customHeight="1" x14ac:dyDescent="0.45">
      <c r="A191" s="12" t="s">
        <v>175</v>
      </c>
      <c r="B191" s="7">
        <v>0</v>
      </c>
      <c r="C191" s="8">
        <f>IFERROR(B191/B444, "NA")</f>
        <v>0</v>
      </c>
      <c r="D191" s="9"/>
      <c r="E191" s="7">
        <v>0</v>
      </c>
      <c r="F191" s="8">
        <f>IFERROR(E191/E444, "NA")</f>
        <v>0</v>
      </c>
      <c r="G191" s="9"/>
      <c r="H191" s="10">
        <f t="shared" si="48"/>
        <v>0</v>
      </c>
      <c r="I191" s="8">
        <f>IFERROR(H191/H444, "NA")</f>
        <v>0</v>
      </c>
      <c r="J191" s="9"/>
      <c r="K191" s="7">
        <v>0</v>
      </c>
      <c r="L191" s="8">
        <f>IFERROR(K191/K444, "NA")</f>
        <v>0</v>
      </c>
      <c r="M191" s="9"/>
      <c r="N191" s="10">
        <f t="shared" si="49"/>
        <v>0</v>
      </c>
      <c r="O191" s="8">
        <f>IFERROR(N191/N444, "NA")</f>
        <v>0</v>
      </c>
      <c r="P191" s="9"/>
      <c r="Q191" s="7">
        <v>0</v>
      </c>
      <c r="R191" s="8">
        <f>IFERROR(Q191/Q444, "NA")</f>
        <v>0</v>
      </c>
      <c r="S191" s="9"/>
      <c r="T191" s="7">
        <v>0</v>
      </c>
      <c r="U191" s="8">
        <f>IFERROR(T191/T444, "NA")</f>
        <v>0</v>
      </c>
      <c r="V191" s="9"/>
      <c r="W191" s="10">
        <f t="shared" si="50"/>
        <v>0</v>
      </c>
      <c r="X191" s="8">
        <f>IFERROR(W191/W444, "NA")</f>
        <v>0</v>
      </c>
      <c r="Y191" s="9"/>
      <c r="Z191" s="7">
        <v>0</v>
      </c>
      <c r="AA191" s="8">
        <f>IFERROR(Z191/Z444, "NA")</f>
        <v>0</v>
      </c>
      <c r="AB191" s="9"/>
      <c r="AC191" s="10">
        <f t="shared" si="51"/>
        <v>0</v>
      </c>
      <c r="AD191" s="8">
        <f>IFERROR(AC191/AC444, "NA")</f>
        <v>0</v>
      </c>
    </row>
    <row r="192" spans="1:30" ht="16.5" hidden="1" customHeight="1" x14ac:dyDescent="0.45">
      <c r="A192" s="12" t="s">
        <v>176</v>
      </c>
      <c r="B192" s="7">
        <v>0</v>
      </c>
      <c r="C192" s="8">
        <f>IFERROR(B192/B444, "NA")</f>
        <v>0</v>
      </c>
      <c r="D192" s="9"/>
      <c r="E192" s="7">
        <v>0</v>
      </c>
      <c r="F192" s="8">
        <f>IFERROR(E192/E444, "NA")</f>
        <v>0</v>
      </c>
      <c r="G192" s="9"/>
      <c r="H192" s="10">
        <f t="shared" si="48"/>
        <v>0</v>
      </c>
      <c r="I192" s="8">
        <f>IFERROR(H192/H444, "NA")</f>
        <v>0</v>
      </c>
      <c r="J192" s="9"/>
      <c r="K192" s="7">
        <v>0</v>
      </c>
      <c r="L192" s="8">
        <f>IFERROR(K192/K444, "NA")</f>
        <v>0</v>
      </c>
      <c r="M192" s="9"/>
      <c r="N192" s="10">
        <f t="shared" si="49"/>
        <v>0</v>
      </c>
      <c r="O192" s="8">
        <f>IFERROR(N192/N444, "NA")</f>
        <v>0</v>
      </c>
      <c r="P192" s="9"/>
      <c r="Q192" s="7">
        <v>0</v>
      </c>
      <c r="R192" s="8">
        <f>IFERROR(Q192/Q444, "NA")</f>
        <v>0</v>
      </c>
      <c r="S192" s="9"/>
      <c r="T192" s="7">
        <v>0</v>
      </c>
      <c r="U192" s="8">
        <f>IFERROR(T192/T444, "NA")</f>
        <v>0</v>
      </c>
      <c r="V192" s="9"/>
      <c r="W192" s="10">
        <f t="shared" si="50"/>
        <v>0</v>
      </c>
      <c r="X192" s="8">
        <f>IFERROR(W192/W444, "NA")</f>
        <v>0</v>
      </c>
      <c r="Y192" s="9"/>
      <c r="Z192" s="7">
        <v>0</v>
      </c>
      <c r="AA192" s="8">
        <f>IFERROR(Z192/Z444, "NA")</f>
        <v>0</v>
      </c>
      <c r="AB192" s="9"/>
      <c r="AC192" s="10">
        <f t="shared" si="51"/>
        <v>0</v>
      </c>
      <c r="AD192" s="8">
        <f>IFERROR(AC192/AC444, "NA")</f>
        <v>0</v>
      </c>
    </row>
    <row r="193" spans="1:30" ht="16.5" customHeight="1" x14ac:dyDescent="0.45">
      <c r="A193" s="13" t="s">
        <v>177</v>
      </c>
      <c r="B193" s="14">
        <f>IFERROR(B186+B187+B188+B189+B190+B191+B192, "NA")</f>
        <v>2511.35</v>
      </c>
      <c r="C193" s="15">
        <f>IFERROR(B193/B444, "NA")</f>
        <v>3.6993309430727123E-2</v>
      </c>
      <c r="D193" s="2"/>
      <c r="E193" s="14">
        <f>IFERROR(E186+E187+E188+E189+E190+E191+E192, "NA")</f>
        <v>3047.34</v>
      </c>
      <c r="F193" s="15">
        <f>IFERROR(E193/E444, "NA")</f>
        <v>4.6470029031759258E-2</v>
      </c>
      <c r="G193" s="2"/>
      <c r="H193" s="14">
        <f t="shared" si="48"/>
        <v>535.99000000000024</v>
      </c>
      <c r="I193" s="15">
        <f>IFERROR(H193/H444, "NA")</f>
        <v>0.2320162414399129</v>
      </c>
      <c r="J193" s="2"/>
      <c r="K193" s="14">
        <f>IFERROR(K186+K187+K188+K189+K190+K191+K192, "NA")</f>
        <v>2965.78</v>
      </c>
      <c r="L193" s="15">
        <f>IFERROR(K193/K444, "NA")</f>
        <v>4.6470014667500871E-2</v>
      </c>
      <c r="M193" s="2"/>
      <c r="N193" s="14">
        <f t="shared" si="49"/>
        <v>454.43000000000029</v>
      </c>
      <c r="O193" s="15">
        <f>IFERROR(N193/N444, "NA")</f>
        <v>0.11178457307458617</v>
      </c>
      <c r="P193" s="2"/>
      <c r="Q193" s="14">
        <f>IFERROR(Q186+Q187+Q188+Q189+Q190+Q191+Q192, "NA")</f>
        <v>2511.35</v>
      </c>
      <c r="R193" s="15">
        <f>IFERROR(Q193/Q444, "NA")</f>
        <v>3.6993309430727123E-2</v>
      </c>
      <c r="S193" s="2"/>
      <c r="T193" s="14">
        <f>IFERROR(T186+T187+T188+T189+T190+T191+T192, "NA")</f>
        <v>3047.34</v>
      </c>
      <c r="U193" s="15">
        <f>IFERROR(T193/T444, "NA")</f>
        <v>4.6470029031759258E-2</v>
      </c>
      <c r="V193" s="2"/>
      <c r="W193" s="14">
        <f t="shared" si="50"/>
        <v>535.99000000000024</v>
      </c>
      <c r="X193" s="15">
        <f>IFERROR(W193/W444, "NA")</f>
        <v>0.2320162414399129</v>
      </c>
      <c r="Y193" s="2"/>
      <c r="Z193" s="14">
        <f>IFERROR(Z186+Z187+Z188+Z189+Z190+Z191+Z192, "NA")</f>
        <v>2965.78</v>
      </c>
      <c r="AA193" s="15">
        <f>IFERROR(Z193/Z444, "NA")</f>
        <v>4.6470014667500871E-2</v>
      </c>
      <c r="AB193" s="2"/>
      <c r="AC193" s="14">
        <f t="shared" si="51"/>
        <v>454.43000000000029</v>
      </c>
      <c r="AD193" s="15">
        <f>IFERROR(AC193/AC444, "NA")</f>
        <v>0.11178457307458617</v>
      </c>
    </row>
    <row r="194" spans="1:30" ht="16.5" customHeight="1" x14ac:dyDescent="0.45">
      <c r="A194" s="6" t="s">
        <v>178</v>
      </c>
      <c r="B194" s="7">
        <v>301.04000000000002</v>
      </c>
      <c r="C194" s="8">
        <f>IFERROR(B194/B444, "NA")</f>
        <v>4.4344539275792275E-3</v>
      </c>
      <c r="D194" s="9"/>
      <c r="E194" s="7">
        <v>145.79</v>
      </c>
      <c r="F194" s="8">
        <f>IFERROR(E194/E444, "NA")</f>
        <v>2.2232063151929821E-3</v>
      </c>
      <c r="G194" s="9"/>
      <c r="H194" s="10">
        <f t="shared" si="48"/>
        <v>-155.25000000000003</v>
      </c>
      <c r="I194" s="8">
        <f>IFERROR(H194/H444, "NA")</f>
        <v>-6.7203719255110109E-2</v>
      </c>
      <c r="J194" s="9"/>
      <c r="K194" s="7">
        <v>224.72</v>
      </c>
      <c r="L194" s="8">
        <f>IFERROR(K194/K444, "NA")</f>
        <v>3.5210776578440731E-3</v>
      </c>
      <c r="M194" s="9"/>
      <c r="N194" s="10">
        <f t="shared" si="49"/>
        <v>-76.320000000000022</v>
      </c>
      <c r="O194" s="8">
        <f>IFERROR(N194/N444, "NA")</f>
        <v>-1.8773845514275935E-2</v>
      </c>
      <c r="P194" s="9"/>
      <c r="Q194" s="7">
        <v>301.04000000000002</v>
      </c>
      <c r="R194" s="8">
        <f>IFERROR(Q194/Q444, "NA")</f>
        <v>4.4344539275792275E-3</v>
      </c>
      <c r="S194" s="9"/>
      <c r="T194" s="7">
        <v>145.79</v>
      </c>
      <c r="U194" s="8">
        <f>IFERROR(T194/T444, "NA")</f>
        <v>2.2232063151929821E-3</v>
      </c>
      <c r="V194" s="9"/>
      <c r="W194" s="10">
        <f t="shared" si="50"/>
        <v>-155.25000000000003</v>
      </c>
      <c r="X194" s="8">
        <f>IFERROR(W194/W444, "NA")</f>
        <v>-6.7203719255110109E-2</v>
      </c>
      <c r="Y194" s="9"/>
      <c r="Z194" s="7">
        <v>224.72</v>
      </c>
      <c r="AA194" s="8">
        <f>IFERROR(Z194/Z444, "NA")</f>
        <v>3.5210776578440731E-3</v>
      </c>
      <c r="AB194" s="9"/>
      <c r="AC194" s="10">
        <f t="shared" si="51"/>
        <v>-76.320000000000022</v>
      </c>
      <c r="AD194" s="8">
        <f>IFERROR(AC194/AC444, "NA")</f>
        <v>-1.8773845514275935E-2</v>
      </c>
    </row>
    <row r="195" spans="1:30" ht="16.5" customHeight="1" x14ac:dyDescent="0.45">
      <c r="A195" s="6" t="s">
        <v>179</v>
      </c>
      <c r="B195" s="7">
        <v>3.57</v>
      </c>
      <c r="C195" s="8">
        <f>IFERROR(B195/B444, "NA")</f>
        <v>5.2587697719432106E-5</v>
      </c>
      <c r="D195" s="9"/>
      <c r="E195" s="7">
        <v>0</v>
      </c>
      <c r="F195" s="8">
        <f>IFERROR(E195/E444, "NA")</f>
        <v>0</v>
      </c>
      <c r="G195" s="9"/>
      <c r="H195" s="10">
        <f t="shared" si="48"/>
        <v>-3.57</v>
      </c>
      <c r="I195" s="8">
        <f>IFERROR(H195/H444, "NA")</f>
        <v>-1.5453608872189567E-3</v>
      </c>
      <c r="J195" s="9"/>
      <c r="K195" s="7">
        <v>-172.78</v>
      </c>
      <c r="L195" s="8">
        <f>IFERROR(K195/K444, "NA")</f>
        <v>-2.7072436708895468E-3</v>
      </c>
      <c r="M195" s="9"/>
      <c r="N195" s="10">
        <f t="shared" si="49"/>
        <v>-176.35</v>
      </c>
      <c r="O195" s="8">
        <f>IFERROR(N195/N444, "NA")</f>
        <v>-4.3380079355903566E-2</v>
      </c>
      <c r="P195" s="9"/>
      <c r="Q195" s="7">
        <v>3.57</v>
      </c>
      <c r="R195" s="8">
        <f>IFERROR(Q195/Q444, "NA")</f>
        <v>5.2587697719432106E-5</v>
      </c>
      <c r="S195" s="9"/>
      <c r="T195" s="7">
        <v>0</v>
      </c>
      <c r="U195" s="8">
        <f>IFERROR(T195/T444, "NA")</f>
        <v>0</v>
      </c>
      <c r="V195" s="9"/>
      <c r="W195" s="10">
        <f t="shared" si="50"/>
        <v>-3.57</v>
      </c>
      <c r="X195" s="8">
        <f>IFERROR(W195/W444, "NA")</f>
        <v>-1.5453608872189567E-3</v>
      </c>
      <c r="Y195" s="9"/>
      <c r="Z195" s="7">
        <v>-172.78</v>
      </c>
      <c r="AA195" s="8">
        <f>IFERROR(Z195/Z444, "NA")</f>
        <v>-2.7072436708895468E-3</v>
      </c>
      <c r="AB195" s="9"/>
      <c r="AC195" s="10">
        <f t="shared" si="51"/>
        <v>-176.35</v>
      </c>
      <c r="AD195" s="8">
        <f>IFERROR(AC195/AC444, "NA")</f>
        <v>-4.3380079355903566E-2</v>
      </c>
    </row>
    <row r="196" spans="1:30" ht="16.5" customHeight="1" x14ac:dyDescent="0.45">
      <c r="A196" s="19" t="s">
        <v>180</v>
      </c>
      <c r="B196" s="14">
        <f>IFERROR(B175+B177+B178+B179+B180+B181+B183+B184+B186+B187+B188+B189+B190+B191+B192+B194+B195, "NA")</f>
        <v>23742.11</v>
      </c>
      <c r="C196" s="15">
        <f>IFERROR(B196/B444, "NA")</f>
        <v>0.34973190585476366</v>
      </c>
      <c r="D196" s="2"/>
      <c r="E196" s="14">
        <f>IFERROR(E175+E177+E178+E179+E180+E181+E183+E184+E186+E187+E188+E189+E190+E191+E192+E194+E195, "NA")</f>
        <v>21416.7</v>
      </c>
      <c r="F196" s="15">
        <f>IFERROR(E196/E444, "NA")</f>
        <v>0.3265912798586566</v>
      </c>
      <c r="G196" s="2"/>
      <c r="H196" s="14">
        <f t="shared" si="48"/>
        <v>-2325.41</v>
      </c>
      <c r="I196" s="15">
        <f>IFERROR(H196/H444, "NA")</f>
        <v>-1.0066099890049955</v>
      </c>
      <c r="J196" s="2"/>
      <c r="K196" s="14">
        <f>IFERROR(K175+K177+K178+K179+K180+K181+K183+K184+K186+K187+K188+K189+K190+K191+K192+K194+K195, "NA")</f>
        <v>21331.730000000003</v>
      </c>
      <c r="L196" s="15">
        <f>IFERROR(K196/K444, "NA")</f>
        <v>0.33424117971770273</v>
      </c>
      <c r="M196" s="2"/>
      <c r="N196" s="14">
        <f t="shared" si="49"/>
        <v>-2410.3799999999974</v>
      </c>
      <c r="O196" s="15">
        <f>IFERROR(N196/N444, "NA")</f>
        <v>-0.59292586151336957</v>
      </c>
      <c r="P196" s="2"/>
      <c r="Q196" s="14">
        <f>IFERROR(Q175+Q177+Q178+Q179+Q180+Q181+Q183+Q184+Q186+Q187+Q188+Q189+Q190+Q191+Q192+Q194+Q195, "NA")</f>
        <v>23742.11</v>
      </c>
      <c r="R196" s="15">
        <f>IFERROR(Q196/Q444, "NA")</f>
        <v>0.34973190585476366</v>
      </c>
      <c r="S196" s="2"/>
      <c r="T196" s="14">
        <f>IFERROR(T175+T177+T178+T179+T180+T181+T183+T184+T186+T187+T188+T189+T190+T191+T192+T194+T195, "NA")</f>
        <v>21416.7</v>
      </c>
      <c r="U196" s="15">
        <f>IFERROR(T196/T444, "NA")</f>
        <v>0.3265912798586566</v>
      </c>
      <c r="V196" s="2"/>
      <c r="W196" s="14">
        <f t="shared" si="50"/>
        <v>-2325.41</v>
      </c>
      <c r="X196" s="15">
        <f>IFERROR(W196/W444, "NA")</f>
        <v>-1.0066099890049955</v>
      </c>
      <c r="Y196" s="2"/>
      <c r="Z196" s="14">
        <f>IFERROR(Z175+Z177+Z178+Z179+Z180+Z181+Z183+Z184+Z186+Z187+Z188+Z189+Z190+Z191+Z192+Z194+Z195, "NA")</f>
        <v>21331.730000000003</v>
      </c>
      <c r="AA196" s="15">
        <f>IFERROR(Z196/Z444, "NA")</f>
        <v>0.33424117971770273</v>
      </c>
      <c r="AB196" s="2"/>
      <c r="AC196" s="14">
        <f t="shared" si="51"/>
        <v>-2410.3799999999974</v>
      </c>
      <c r="AD196" s="15">
        <f>IFERROR(AC196/AC444, "NA")</f>
        <v>-0.59292586151336957</v>
      </c>
    </row>
    <row r="197" spans="1:30" ht="16.5" customHeight="1" x14ac:dyDescent="0.45">
      <c r="A197" s="21" t="s">
        <v>180</v>
      </c>
      <c r="B197" s="14">
        <f>IFERROR(B175+B177+B178+B179+B180+B181+B183+B184+B186+B187+B188+B189+B190+B191+B192+B194+B195, "NA")</f>
        <v>23742.11</v>
      </c>
      <c r="C197" s="15">
        <f>IFERROR(B197/B444, "NA")</f>
        <v>0.34973190585476366</v>
      </c>
      <c r="D197" s="2"/>
      <c r="E197" s="14">
        <f>IFERROR(E175+E177+E178+E179+E180+E181+E183+E184+E186+E187+E188+E189+E190+E191+E192+E194+E195, "NA")</f>
        <v>21416.7</v>
      </c>
      <c r="F197" s="15">
        <f>IFERROR(E197/E444, "NA")</f>
        <v>0.3265912798586566</v>
      </c>
      <c r="G197" s="2"/>
      <c r="H197" s="14">
        <f t="shared" si="48"/>
        <v>-2325.41</v>
      </c>
      <c r="I197" s="15">
        <f>IFERROR(H197/H444, "NA")</f>
        <v>-1.0066099890049955</v>
      </c>
      <c r="J197" s="2"/>
      <c r="K197" s="14">
        <f>IFERROR(K175+K177+K178+K179+K180+K181+K183+K184+K186+K187+K188+K189+K190+K191+K192+K194+K195, "NA")</f>
        <v>21331.730000000003</v>
      </c>
      <c r="L197" s="15">
        <f>IFERROR(K197/K444, "NA")</f>
        <v>0.33424117971770273</v>
      </c>
      <c r="M197" s="2"/>
      <c r="N197" s="14">
        <f t="shared" si="49"/>
        <v>-2410.3799999999974</v>
      </c>
      <c r="O197" s="15">
        <f>IFERROR(N197/N444, "NA")</f>
        <v>-0.59292586151336957</v>
      </c>
      <c r="P197" s="2"/>
      <c r="Q197" s="14">
        <f>IFERROR(Q175+Q177+Q178+Q179+Q180+Q181+Q183+Q184+Q186+Q187+Q188+Q189+Q190+Q191+Q192+Q194+Q195, "NA")</f>
        <v>23742.11</v>
      </c>
      <c r="R197" s="15">
        <f>IFERROR(Q197/Q444, "NA")</f>
        <v>0.34973190585476366</v>
      </c>
      <c r="S197" s="2"/>
      <c r="T197" s="14">
        <f>IFERROR(T175+T177+T178+T179+T180+T181+T183+T184+T186+T187+T188+T189+T190+T191+T192+T194+T195, "NA")</f>
        <v>21416.7</v>
      </c>
      <c r="U197" s="15">
        <f>IFERROR(T197/T444, "NA")</f>
        <v>0.3265912798586566</v>
      </c>
      <c r="V197" s="2"/>
      <c r="W197" s="14">
        <f t="shared" si="50"/>
        <v>-2325.41</v>
      </c>
      <c r="X197" s="15">
        <f>IFERROR(W197/W444, "NA")</f>
        <v>-1.0066099890049955</v>
      </c>
      <c r="Y197" s="2"/>
      <c r="Z197" s="14">
        <f>IFERROR(Z175+Z177+Z178+Z179+Z180+Z181+Z183+Z184+Z186+Z187+Z188+Z189+Z190+Z191+Z192+Z194+Z195, "NA")</f>
        <v>21331.730000000003</v>
      </c>
      <c r="AA197" s="15">
        <f>IFERROR(Z197/Z444, "NA")</f>
        <v>0.33424117971770273</v>
      </c>
      <c r="AB197" s="2"/>
      <c r="AC197" s="14">
        <f t="shared" si="51"/>
        <v>-2410.3799999999974</v>
      </c>
      <c r="AD197" s="15">
        <f>IFERROR(AC197/AC444, "NA")</f>
        <v>-0.59292586151336957</v>
      </c>
    </row>
    <row r="198" spans="1:30" ht="16.5" customHeight="1" x14ac:dyDescent="0.45">
      <c r="A198" s="22" t="s">
        <v>181</v>
      </c>
      <c r="B198" s="23">
        <f>IFERROR(B172-B197, "NA")</f>
        <v>24319.470000000023</v>
      </c>
      <c r="C198" s="24">
        <f>IFERROR(B198/B444, "NA")</f>
        <v>0.35823667704672235</v>
      </c>
      <c r="D198" s="25"/>
      <c r="E198" s="23">
        <f>IFERROR(E172-E197, "NA")</f>
        <v>26322.960000000003</v>
      </c>
      <c r="F198" s="24">
        <f>IFERROR(E198/E444, "NA")</f>
        <v>0.40140867622314469</v>
      </c>
      <c r="G198" s="25"/>
      <c r="H198" s="23">
        <f>IFERROR(B198-E198, "NA")</f>
        <v>-2003.4899999999798</v>
      </c>
      <c r="I198" s="24">
        <f>IFERROR(H198/H444, "NA")</f>
        <v>-0.86725912715245845</v>
      </c>
      <c r="J198" s="25"/>
      <c r="K198" s="23">
        <f>IFERROR(K172-K197, "NA")</f>
        <v>26131.579999999994</v>
      </c>
      <c r="L198" s="24">
        <f>IFERROR(K198/K444, "NA")</f>
        <v>0.40944874733964493</v>
      </c>
      <c r="M198" s="25"/>
      <c r="N198" s="23">
        <f>IFERROR(B198-K198, "NA")</f>
        <v>-1812.1099999999715</v>
      </c>
      <c r="O198" s="24">
        <f>IFERROR(N198/N444, "NA")</f>
        <v>-0.44575829657853799</v>
      </c>
      <c r="P198" s="25"/>
      <c r="Q198" s="23">
        <f>IFERROR(Q172-Q197, "NA")</f>
        <v>24319.470000000023</v>
      </c>
      <c r="R198" s="24">
        <f>IFERROR(Q198/Q444, "NA")</f>
        <v>0.35823667704672235</v>
      </c>
      <c r="S198" s="25"/>
      <c r="T198" s="23">
        <f>IFERROR(T172-T197, "NA")</f>
        <v>26322.960000000003</v>
      </c>
      <c r="U198" s="24">
        <f>IFERROR(T198/T444, "NA")</f>
        <v>0.40140867622314469</v>
      </c>
      <c r="V198" s="25"/>
      <c r="W198" s="23">
        <f>IFERROR(Q198-T198, "NA")</f>
        <v>-2003.4899999999798</v>
      </c>
      <c r="X198" s="24">
        <f>IFERROR(W198/W444, "NA")</f>
        <v>-0.86725912715245845</v>
      </c>
      <c r="Y198" s="25"/>
      <c r="Z198" s="23">
        <f>IFERROR(Z172-Z197, "NA")</f>
        <v>26131.579999999994</v>
      </c>
      <c r="AA198" s="24">
        <f>IFERROR(Z198/Z444, "NA")</f>
        <v>0.40944874733964493</v>
      </c>
      <c r="AB198" s="25"/>
      <c r="AC198" s="23">
        <f>IFERROR(Q198-Z198, "NA")</f>
        <v>-1812.1099999999715</v>
      </c>
      <c r="AD198" s="24">
        <f>IFERROR(AC198/AC444, "NA")</f>
        <v>-0.44575829657853799</v>
      </c>
    </row>
    <row r="199" spans="1:30" ht="16.5" customHeight="1" x14ac:dyDescent="0.45">
      <c r="A199" s="1" t="s">
        <v>182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45">
      <c r="A200" s="5" t="s">
        <v>183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45">
      <c r="A201" s="6" t="s">
        <v>183</v>
      </c>
      <c r="B201" s="7">
        <v>0</v>
      </c>
      <c r="C201" s="8">
        <f>IFERROR(B201/B444, "NA")</f>
        <v>0</v>
      </c>
      <c r="D201" s="9"/>
      <c r="E201" s="7">
        <v>0</v>
      </c>
      <c r="F201" s="8">
        <f>IFERROR(E201/E444, "NA")</f>
        <v>0</v>
      </c>
      <c r="G201" s="9"/>
      <c r="H201" s="10">
        <f t="shared" ref="H201:H209" si="52">IFERROR(-(B201-E201), "NA")</f>
        <v>0</v>
      </c>
      <c r="I201" s="8">
        <f>IFERROR(H201/H444, "NA")</f>
        <v>0</v>
      </c>
      <c r="J201" s="9"/>
      <c r="K201" s="7">
        <v>0</v>
      </c>
      <c r="L201" s="8">
        <f>IFERROR(K201/K444, "NA")</f>
        <v>0</v>
      </c>
      <c r="M201" s="9"/>
      <c r="N201" s="10">
        <f t="shared" ref="N201:N209" si="53">IFERROR(-(B201-K201), "NA")</f>
        <v>0</v>
      </c>
      <c r="O201" s="8">
        <f>IFERROR(N201/N444, "NA")</f>
        <v>0</v>
      </c>
      <c r="P201" s="9"/>
      <c r="Q201" s="7">
        <v>0</v>
      </c>
      <c r="R201" s="8">
        <f>IFERROR(Q201/Q444, "NA")</f>
        <v>0</v>
      </c>
      <c r="S201" s="9"/>
      <c r="T201" s="7">
        <v>0</v>
      </c>
      <c r="U201" s="8">
        <f>IFERROR(T201/T444, "NA")</f>
        <v>0</v>
      </c>
      <c r="V201" s="9"/>
      <c r="W201" s="10">
        <f t="shared" ref="W201:W209" si="54">IFERROR(-(Q201-T201), "NA")</f>
        <v>0</v>
      </c>
      <c r="X201" s="8">
        <f>IFERROR(W201/W444, "NA")</f>
        <v>0</v>
      </c>
      <c r="Y201" s="9"/>
      <c r="Z201" s="7">
        <v>0</v>
      </c>
      <c r="AA201" s="8">
        <f>IFERROR(Z201/Z444, "NA")</f>
        <v>0</v>
      </c>
      <c r="AB201" s="9"/>
      <c r="AC201" s="10">
        <f t="shared" ref="AC201:AC209" si="55">IFERROR(-(Q201-Z201), "NA")</f>
        <v>0</v>
      </c>
      <c r="AD201" s="8">
        <f>IFERROR(AC201/AC444, "NA")</f>
        <v>0</v>
      </c>
    </row>
    <row r="202" spans="1:30" ht="16.5" customHeight="1" x14ac:dyDescent="0.45">
      <c r="A202" s="6" t="s">
        <v>184</v>
      </c>
      <c r="B202" s="7">
        <v>456.44</v>
      </c>
      <c r="C202" s="8">
        <f>IFERROR(B202/B444, "NA")</f>
        <v>6.7235654753662723E-3</v>
      </c>
      <c r="D202" s="9"/>
      <c r="E202" s="7">
        <v>524.61</v>
      </c>
      <c r="F202" s="8">
        <f>IFERROR(E202/E444, "NA")</f>
        <v>7.9999743810507604E-3</v>
      </c>
      <c r="G202" s="9"/>
      <c r="H202" s="10">
        <f t="shared" si="52"/>
        <v>68.170000000000016</v>
      </c>
      <c r="I202" s="8">
        <f>IFERROR(H202/H444, "NA")</f>
        <v>2.9509034084514371E-2</v>
      </c>
      <c r="J202" s="9"/>
      <c r="K202" s="7">
        <v>555.36</v>
      </c>
      <c r="L202" s="8">
        <f>IFERROR(K202/K444, "NA")</f>
        <v>8.7017875047182471E-3</v>
      </c>
      <c r="M202" s="9"/>
      <c r="N202" s="10">
        <f t="shared" si="53"/>
        <v>98.920000000000016</v>
      </c>
      <c r="O202" s="8">
        <f>IFERROR(N202/N444, "NA")</f>
        <v>2.4333186560170011E-2</v>
      </c>
      <c r="P202" s="9"/>
      <c r="Q202" s="7">
        <v>456.44</v>
      </c>
      <c r="R202" s="8">
        <f>IFERROR(Q202/Q444, "NA")</f>
        <v>6.7235654753662723E-3</v>
      </c>
      <c r="S202" s="9"/>
      <c r="T202" s="7">
        <v>524.61</v>
      </c>
      <c r="U202" s="8">
        <f>IFERROR(T202/T444, "NA")</f>
        <v>7.9999743810507604E-3</v>
      </c>
      <c r="V202" s="9"/>
      <c r="W202" s="10">
        <f t="shared" si="54"/>
        <v>68.170000000000016</v>
      </c>
      <c r="X202" s="8">
        <f>IFERROR(W202/W444, "NA")</f>
        <v>2.9509034084514371E-2</v>
      </c>
      <c r="Y202" s="9"/>
      <c r="Z202" s="7">
        <v>555.36</v>
      </c>
      <c r="AA202" s="8">
        <f>IFERROR(Z202/Z444, "NA")</f>
        <v>8.7017875047182471E-3</v>
      </c>
      <c r="AB202" s="9"/>
      <c r="AC202" s="10">
        <f t="shared" si="55"/>
        <v>98.920000000000016</v>
      </c>
      <c r="AD202" s="8">
        <f>IFERROR(AC202/AC444, "NA")</f>
        <v>2.4333186560170011E-2</v>
      </c>
    </row>
    <row r="203" spans="1:30" ht="16.5" customHeight="1" x14ac:dyDescent="0.45">
      <c r="A203" s="6" t="s">
        <v>185</v>
      </c>
      <c r="B203" s="7">
        <v>401.66</v>
      </c>
      <c r="C203" s="8">
        <f>IFERROR(B203/B444, "NA")</f>
        <v>5.9166315591000287E-3</v>
      </c>
      <c r="D203" s="9"/>
      <c r="E203" s="7">
        <v>590.19000000000005</v>
      </c>
      <c r="F203" s="8">
        <f>IFERROR(E203/E444, "NA")</f>
        <v>9.0000283638366572E-3</v>
      </c>
      <c r="G203" s="9"/>
      <c r="H203" s="10">
        <f t="shared" si="52"/>
        <v>188.53000000000003</v>
      </c>
      <c r="I203" s="8">
        <f>IFERROR(H203/H444, "NA")</f>
        <v>8.1609772567896352E-2</v>
      </c>
      <c r="J203" s="9"/>
      <c r="K203" s="7">
        <v>382.84</v>
      </c>
      <c r="L203" s="8">
        <f>IFERROR(K203/K444, "NA")</f>
        <v>5.9986177043833428E-3</v>
      </c>
      <c r="M203" s="9"/>
      <c r="N203" s="10">
        <f t="shared" si="53"/>
        <v>-18.82000000000005</v>
      </c>
      <c r="O203" s="8">
        <f>IFERROR(N203/N444, "NA")</f>
        <v>-4.629504357687028E-3</v>
      </c>
      <c r="P203" s="9"/>
      <c r="Q203" s="7">
        <v>401.66</v>
      </c>
      <c r="R203" s="8">
        <f>IFERROR(Q203/Q444, "NA")</f>
        <v>5.9166315591000287E-3</v>
      </c>
      <c r="S203" s="9"/>
      <c r="T203" s="7">
        <v>590.19000000000005</v>
      </c>
      <c r="U203" s="8">
        <f>IFERROR(T203/T444, "NA")</f>
        <v>9.0000283638366572E-3</v>
      </c>
      <c r="V203" s="9"/>
      <c r="W203" s="10">
        <f t="shared" si="54"/>
        <v>188.53000000000003</v>
      </c>
      <c r="X203" s="8">
        <f>IFERROR(W203/W444, "NA")</f>
        <v>8.1609772567896352E-2</v>
      </c>
      <c r="Y203" s="9"/>
      <c r="Z203" s="7">
        <v>382.84</v>
      </c>
      <c r="AA203" s="8">
        <f>IFERROR(Z203/Z444, "NA")</f>
        <v>5.9986177043833428E-3</v>
      </c>
      <c r="AB203" s="9"/>
      <c r="AC203" s="10">
        <f t="shared" si="55"/>
        <v>-18.82000000000005</v>
      </c>
      <c r="AD203" s="8">
        <f>IFERROR(AC203/AC444, "NA")</f>
        <v>-4.629504357687028E-3</v>
      </c>
    </row>
    <row r="204" spans="1:30" ht="16.5" customHeight="1" x14ac:dyDescent="0.45">
      <c r="A204" s="6" t="s">
        <v>186</v>
      </c>
      <c r="B204" s="7">
        <v>21.48</v>
      </c>
      <c r="C204" s="8">
        <f>IFERROR(B204/B444, "NA")</f>
        <v>3.1641001316902006E-4</v>
      </c>
      <c r="D204" s="9"/>
      <c r="E204" s="7">
        <v>131.15</v>
      </c>
      <c r="F204" s="8">
        <f>IFERROR(E204/E444, "NA")</f>
        <v>1.9999554718263231E-3</v>
      </c>
      <c r="G204" s="9"/>
      <c r="H204" s="10">
        <f t="shared" si="52"/>
        <v>109.67</v>
      </c>
      <c r="I204" s="8">
        <f>IFERROR(H204/H444, "NA")</f>
        <v>4.7473313305687111E-2</v>
      </c>
      <c r="J204" s="9"/>
      <c r="K204" s="7">
        <v>26.62</v>
      </c>
      <c r="L204" s="8">
        <f>IFERROR(K204/K444, "NA")</f>
        <v>4.1710166986387164E-4</v>
      </c>
      <c r="M204" s="9"/>
      <c r="N204" s="10">
        <f t="shared" si="53"/>
        <v>5.1400000000000006</v>
      </c>
      <c r="O204" s="8">
        <f>IFERROR(N204/N444, "NA")</f>
        <v>1.2643811051281223E-3</v>
      </c>
      <c r="P204" s="9"/>
      <c r="Q204" s="7">
        <v>21.48</v>
      </c>
      <c r="R204" s="8">
        <f>IFERROR(Q204/Q444, "NA")</f>
        <v>3.1641001316902006E-4</v>
      </c>
      <c r="S204" s="9"/>
      <c r="T204" s="7">
        <v>131.15</v>
      </c>
      <c r="U204" s="8">
        <f>IFERROR(T204/T444, "NA")</f>
        <v>1.9999554718263231E-3</v>
      </c>
      <c r="V204" s="9"/>
      <c r="W204" s="10">
        <f t="shared" si="54"/>
        <v>109.67</v>
      </c>
      <c r="X204" s="8">
        <f>IFERROR(W204/W444, "NA")</f>
        <v>4.7473313305687111E-2</v>
      </c>
      <c r="Y204" s="9"/>
      <c r="Z204" s="7">
        <v>26.62</v>
      </c>
      <c r="AA204" s="8">
        <f>IFERROR(Z204/Z444, "NA")</f>
        <v>4.1710166986387164E-4</v>
      </c>
      <c r="AB204" s="9"/>
      <c r="AC204" s="10">
        <f t="shared" si="55"/>
        <v>5.1400000000000006</v>
      </c>
      <c r="AD204" s="8">
        <f>IFERROR(AC204/AC444, "NA")</f>
        <v>1.2643811051281223E-3</v>
      </c>
    </row>
    <row r="205" spans="1:30" ht="16.5" customHeight="1" x14ac:dyDescent="0.45">
      <c r="A205" s="6" t="s">
        <v>187</v>
      </c>
      <c r="B205" s="7">
        <v>330.16</v>
      </c>
      <c r="C205" s="8">
        <f>IFERROR(B205/B444, "NA")</f>
        <v>4.8634045599573409E-3</v>
      </c>
      <c r="D205" s="9"/>
      <c r="E205" s="7">
        <v>196.73</v>
      </c>
      <c r="F205" s="8">
        <f>IFERROR(E205/E444, "NA")</f>
        <v>3.0000094546122186E-3</v>
      </c>
      <c r="G205" s="9"/>
      <c r="H205" s="10">
        <f t="shared" si="52"/>
        <v>-133.43000000000004</v>
      </c>
      <c r="I205" s="8">
        <f>IFERROR(H205/H444, "NA")</f>
        <v>-5.7758404252556149E-2</v>
      </c>
      <c r="J205" s="9"/>
      <c r="K205" s="7">
        <v>288.64</v>
      </c>
      <c r="L205" s="8">
        <f>IFERROR(K205/K444, "NA")</f>
        <v>4.5226230649702435E-3</v>
      </c>
      <c r="M205" s="9"/>
      <c r="N205" s="10">
        <f t="shared" si="53"/>
        <v>-41.520000000000039</v>
      </c>
      <c r="O205" s="8">
        <f>IFERROR(N205/N444, "NA")</f>
        <v>-1.0213444257766475E-2</v>
      </c>
      <c r="P205" s="9"/>
      <c r="Q205" s="7">
        <v>330.16</v>
      </c>
      <c r="R205" s="8">
        <f>IFERROR(Q205/Q444, "NA")</f>
        <v>4.8634045599573409E-3</v>
      </c>
      <c r="S205" s="9"/>
      <c r="T205" s="7">
        <v>196.73</v>
      </c>
      <c r="U205" s="8">
        <f>IFERROR(T205/T444, "NA")</f>
        <v>3.0000094546122186E-3</v>
      </c>
      <c r="V205" s="9"/>
      <c r="W205" s="10">
        <f t="shared" si="54"/>
        <v>-133.43000000000004</v>
      </c>
      <c r="X205" s="8">
        <f>IFERROR(W205/W444, "NA")</f>
        <v>-5.7758404252556149E-2</v>
      </c>
      <c r="Y205" s="9"/>
      <c r="Z205" s="7">
        <v>288.64</v>
      </c>
      <c r="AA205" s="8">
        <f>IFERROR(Z205/Z444, "NA")</f>
        <v>4.5226230649702435E-3</v>
      </c>
      <c r="AB205" s="9"/>
      <c r="AC205" s="10">
        <f t="shared" si="55"/>
        <v>-41.520000000000039</v>
      </c>
      <c r="AD205" s="8">
        <f>IFERROR(AC205/AC444, "NA")</f>
        <v>-1.0213444257766475E-2</v>
      </c>
    </row>
    <row r="206" spans="1:30" ht="16.5" customHeight="1" x14ac:dyDescent="0.45">
      <c r="A206" s="6" t="s">
        <v>188</v>
      </c>
      <c r="B206" s="7">
        <v>0</v>
      </c>
      <c r="C206" s="8">
        <f>IFERROR(B206/B444, "NA")</f>
        <v>0</v>
      </c>
      <c r="D206" s="9"/>
      <c r="E206" s="7">
        <v>65.58</v>
      </c>
      <c r="F206" s="8">
        <f>IFERROR(E206/E444, "NA")</f>
        <v>1.0000539827858959E-3</v>
      </c>
      <c r="G206" s="9"/>
      <c r="H206" s="10">
        <f t="shared" si="52"/>
        <v>65.58</v>
      </c>
      <c r="I206" s="8">
        <f>IFERROR(H206/H444, "NA")</f>
        <v>2.8387889911433945E-2</v>
      </c>
      <c r="J206" s="9"/>
      <c r="K206" s="7">
        <v>0</v>
      </c>
      <c r="L206" s="8">
        <f>IFERROR(K206/K444, "NA")</f>
        <v>0</v>
      </c>
      <c r="M206" s="9"/>
      <c r="N206" s="10">
        <f t="shared" si="53"/>
        <v>0</v>
      </c>
      <c r="O206" s="8">
        <f>IFERROR(N206/N444, "NA")</f>
        <v>0</v>
      </c>
      <c r="P206" s="9"/>
      <c r="Q206" s="7">
        <v>0</v>
      </c>
      <c r="R206" s="8">
        <f>IFERROR(Q206/Q444, "NA")</f>
        <v>0</v>
      </c>
      <c r="S206" s="9"/>
      <c r="T206" s="7">
        <v>65.58</v>
      </c>
      <c r="U206" s="8">
        <f>IFERROR(T206/T444, "NA")</f>
        <v>1.0000539827858959E-3</v>
      </c>
      <c r="V206" s="9"/>
      <c r="W206" s="10">
        <f t="shared" si="54"/>
        <v>65.58</v>
      </c>
      <c r="X206" s="8">
        <f>IFERROR(W206/W444, "NA")</f>
        <v>2.8387889911433945E-2</v>
      </c>
      <c r="Y206" s="9"/>
      <c r="Z206" s="7">
        <v>0</v>
      </c>
      <c r="AA206" s="8">
        <f>IFERROR(Z206/Z444, "NA")</f>
        <v>0</v>
      </c>
      <c r="AB206" s="9"/>
      <c r="AC206" s="10">
        <f t="shared" si="55"/>
        <v>0</v>
      </c>
      <c r="AD206" s="8">
        <f>IFERROR(AC206/AC444, "NA")</f>
        <v>0</v>
      </c>
    </row>
    <row r="207" spans="1:30" ht="16.5" customHeight="1" x14ac:dyDescent="0.45">
      <c r="A207" s="6" t="s">
        <v>189</v>
      </c>
      <c r="B207" s="7">
        <v>0</v>
      </c>
      <c r="C207" s="8">
        <f>IFERROR(B207/B444, "NA")</f>
        <v>0</v>
      </c>
      <c r="D207" s="9"/>
      <c r="E207" s="7">
        <v>100</v>
      </c>
      <c r="F207" s="8">
        <f>IFERROR(E207/E444, "NA")</f>
        <v>1.5249374546902957E-3</v>
      </c>
      <c r="G207" s="9"/>
      <c r="H207" s="10">
        <f t="shared" si="52"/>
        <v>100</v>
      </c>
      <c r="I207" s="8">
        <f>IFERROR(H207/H444, "NA")</f>
        <v>4.3287419810054815E-2</v>
      </c>
      <c r="J207" s="9"/>
      <c r="K207" s="7">
        <v>99.59</v>
      </c>
      <c r="L207" s="8">
        <f>IFERROR(K207/K444, "NA")</f>
        <v>1.5604491097574371E-3</v>
      </c>
      <c r="M207" s="9"/>
      <c r="N207" s="10">
        <f t="shared" si="53"/>
        <v>99.59</v>
      </c>
      <c r="O207" s="8">
        <f>IFERROR(N207/N444, "NA")</f>
        <v>2.4497998883212E-2</v>
      </c>
      <c r="P207" s="9"/>
      <c r="Q207" s="7">
        <v>0</v>
      </c>
      <c r="R207" s="8">
        <f>IFERROR(Q207/Q444, "NA")</f>
        <v>0</v>
      </c>
      <c r="S207" s="9"/>
      <c r="T207" s="7">
        <v>100</v>
      </c>
      <c r="U207" s="8">
        <f>IFERROR(T207/T444, "NA")</f>
        <v>1.5249374546902957E-3</v>
      </c>
      <c r="V207" s="9"/>
      <c r="W207" s="10">
        <f t="shared" si="54"/>
        <v>100</v>
      </c>
      <c r="X207" s="8">
        <f>IFERROR(W207/W444, "NA")</f>
        <v>4.3287419810054815E-2</v>
      </c>
      <c r="Y207" s="9"/>
      <c r="Z207" s="7">
        <v>99.59</v>
      </c>
      <c r="AA207" s="8">
        <f>IFERROR(Z207/Z444, "NA")</f>
        <v>1.5604491097574371E-3</v>
      </c>
      <c r="AB207" s="9"/>
      <c r="AC207" s="10">
        <f t="shared" si="55"/>
        <v>99.59</v>
      </c>
      <c r="AD207" s="8">
        <f>IFERROR(AC207/AC444, "NA")</f>
        <v>2.4497998883212E-2</v>
      </c>
    </row>
    <row r="208" spans="1:30" ht="16.5" customHeight="1" x14ac:dyDescent="0.45">
      <c r="A208" s="6" t="s">
        <v>190</v>
      </c>
      <c r="B208" s="7">
        <v>20.86</v>
      </c>
      <c r="C208" s="8">
        <f>IFERROR(B208/B444, "NA")</f>
        <v>3.0727713569393662E-4</v>
      </c>
      <c r="D208" s="9"/>
      <c r="E208" s="7">
        <v>100</v>
      </c>
      <c r="F208" s="8">
        <f>IFERROR(E208/E444, "NA")</f>
        <v>1.5249374546902957E-3</v>
      </c>
      <c r="G208" s="9"/>
      <c r="H208" s="10">
        <f t="shared" si="52"/>
        <v>79.14</v>
      </c>
      <c r="I208" s="8">
        <f>IFERROR(H208/H444, "NA")</f>
        <v>3.4257664037677382E-2</v>
      </c>
      <c r="J208" s="9"/>
      <c r="K208" s="7">
        <v>166.86</v>
      </c>
      <c r="L208" s="8">
        <f>IFERROR(K208/K444, "NA")</f>
        <v>2.6144847721068978E-3</v>
      </c>
      <c r="M208" s="9"/>
      <c r="N208" s="10">
        <f t="shared" si="53"/>
        <v>146</v>
      </c>
      <c r="O208" s="8">
        <f>IFERROR(N208/N444, "NA")</f>
        <v>3.5914327110643157E-2</v>
      </c>
      <c r="P208" s="9"/>
      <c r="Q208" s="7">
        <v>20.86</v>
      </c>
      <c r="R208" s="8">
        <f>IFERROR(Q208/Q444, "NA")</f>
        <v>3.0727713569393662E-4</v>
      </c>
      <c r="S208" s="9"/>
      <c r="T208" s="7">
        <v>100</v>
      </c>
      <c r="U208" s="8">
        <f>IFERROR(T208/T444, "NA")</f>
        <v>1.5249374546902957E-3</v>
      </c>
      <c r="V208" s="9"/>
      <c r="W208" s="10">
        <f t="shared" si="54"/>
        <v>79.14</v>
      </c>
      <c r="X208" s="8">
        <f>IFERROR(W208/W444, "NA")</f>
        <v>3.4257664037677382E-2</v>
      </c>
      <c r="Y208" s="9"/>
      <c r="Z208" s="7">
        <v>166.86</v>
      </c>
      <c r="AA208" s="8">
        <f>IFERROR(Z208/Z444, "NA")</f>
        <v>2.6144847721068978E-3</v>
      </c>
      <c r="AB208" s="9"/>
      <c r="AC208" s="10">
        <f t="shared" si="55"/>
        <v>146</v>
      </c>
      <c r="AD208" s="8">
        <f>IFERROR(AC208/AC444, "NA")</f>
        <v>3.5914327110643157E-2</v>
      </c>
    </row>
    <row r="209" spans="1:30" ht="16.5" customHeight="1" x14ac:dyDescent="0.45">
      <c r="A209" s="19" t="s">
        <v>191</v>
      </c>
      <c r="B209" s="14">
        <f>IFERROR(B201+B202+B203+B204+B205+B206+B207+B208, "NA")</f>
        <v>1230.5999999999999</v>
      </c>
      <c r="C209" s="15">
        <f>IFERROR(B209/B444, "NA")</f>
        <v>1.8127288743286597E-2</v>
      </c>
      <c r="D209" s="2"/>
      <c r="E209" s="14">
        <f>IFERROR(E201+E202+E203+E204+E205+E206+E207+E208, "NA")</f>
        <v>1708.2600000000002</v>
      </c>
      <c r="F209" s="15">
        <f>IFERROR(E209/E444, "NA")</f>
        <v>2.604989656349245E-2</v>
      </c>
      <c r="G209" s="2"/>
      <c r="H209" s="14">
        <f t="shared" si="52"/>
        <v>477.66000000000031</v>
      </c>
      <c r="I209" s="15">
        <f>IFERROR(H209/H444, "NA")</f>
        <v>0.20676668946470794</v>
      </c>
      <c r="J209" s="2"/>
      <c r="K209" s="14">
        <f>IFERROR(K201+K202+K203+K204+K205+K206+K207+K208, "NA")</f>
        <v>1519.9099999999999</v>
      </c>
      <c r="L209" s="15">
        <f>IFERROR(K209/K444, "NA")</f>
        <v>2.3815063825800037E-2</v>
      </c>
      <c r="M209" s="2"/>
      <c r="N209" s="14">
        <f t="shared" si="53"/>
        <v>289.30999999999995</v>
      </c>
      <c r="O209" s="15">
        <f>IFERROR(N209/N444, "NA")</f>
        <v>7.1166945043699789E-2</v>
      </c>
      <c r="P209" s="2"/>
      <c r="Q209" s="14">
        <f>IFERROR(Q201+Q202+Q203+Q204+Q205+Q206+Q207+Q208, "NA")</f>
        <v>1230.5999999999999</v>
      </c>
      <c r="R209" s="15">
        <f>IFERROR(Q209/Q444, "NA")</f>
        <v>1.8127288743286597E-2</v>
      </c>
      <c r="S209" s="2"/>
      <c r="T209" s="14">
        <f>IFERROR(T201+T202+T203+T204+T205+T206+T207+T208, "NA")</f>
        <v>1708.2600000000002</v>
      </c>
      <c r="U209" s="15">
        <f>IFERROR(T209/T444, "NA")</f>
        <v>2.604989656349245E-2</v>
      </c>
      <c r="V209" s="2"/>
      <c r="W209" s="14">
        <f t="shared" si="54"/>
        <v>477.66000000000031</v>
      </c>
      <c r="X209" s="15">
        <f>IFERROR(W209/W444, "NA")</f>
        <v>0.20676668946470794</v>
      </c>
      <c r="Y209" s="2"/>
      <c r="Z209" s="14">
        <f>IFERROR(Z201+Z202+Z203+Z204+Z205+Z206+Z207+Z208, "NA")</f>
        <v>1519.9099999999999</v>
      </c>
      <c r="AA209" s="15">
        <f>IFERROR(Z209/Z444, "NA")</f>
        <v>2.3815063825800037E-2</v>
      </c>
      <c r="AB209" s="2"/>
      <c r="AC209" s="14">
        <f t="shared" si="55"/>
        <v>289.30999999999995</v>
      </c>
      <c r="AD209" s="15">
        <f>IFERROR(AC209/AC444, "NA")</f>
        <v>7.1166945043699789E-2</v>
      </c>
    </row>
    <row r="210" spans="1:30" ht="16.5" customHeight="1" x14ac:dyDescent="0.45">
      <c r="A210" s="5" t="s">
        <v>192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45">
      <c r="A211" s="6" t="s">
        <v>192</v>
      </c>
      <c r="B211" s="7">
        <v>0</v>
      </c>
      <c r="C211" s="8">
        <f>IFERROR(B211/B444, "NA")</f>
        <v>0</v>
      </c>
      <c r="D211" s="9"/>
      <c r="E211" s="7">
        <v>0</v>
      </c>
      <c r="F211" s="8">
        <f>IFERROR(E211/E444, "NA")</f>
        <v>0</v>
      </c>
      <c r="G211" s="9"/>
      <c r="H211" s="10">
        <f>IFERROR(-(B211-E211), "NA")</f>
        <v>0</v>
      </c>
      <c r="I211" s="8">
        <f>IFERROR(H211/H444, "NA")</f>
        <v>0</v>
      </c>
      <c r="J211" s="9"/>
      <c r="K211" s="7">
        <v>0</v>
      </c>
      <c r="L211" s="8">
        <f>IFERROR(K211/K444, "NA")</f>
        <v>0</v>
      </c>
      <c r="M211" s="9"/>
      <c r="N211" s="10">
        <f>IFERROR(-(B211-K211), "NA")</f>
        <v>0</v>
      </c>
      <c r="O211" s="8">
        <f>IFERROR(N211/N444, "NA")</f>
        <v>0</v>
      </c>
      <c r="P211" s="9"/>
      <c r="Q211" s="7">
        <v>0</v>
      </c>
      <c r="R211" s="8">
        <f>IFERROR(Q211/Q444, "NA")</f>
        <v>0</v>
      </c>
      <c r="S211" s="9"/>
      <c r="T211" s="7">
        <v>0</v>
      </c>
      <c r="U211" s="8">
        <f>IFERROR(T211/T444, "NA")</f>
        <v>0</v>
      </c>
      <c r="V211" s="9"/>
      <c r="W211" s="10">
        <f>IFERROR(-(Q211-T211), "NA")</f>
        <v>0</v>
      </c>
      <c r="X211" s="8">
        <f>IFERROR(W211/W444, "NA")</f>
        <v>0</v>
      </c>
      <c r="Y211" s="9"/>
      <c r="Z211" s="7">
        <v>0</v>
      </c>
      <c r="AA211" s="8">
        <f>IFERROR(Z211/Z444, "NA")</f>
        <v>0</v>
      </c>
      <c r="AB211" s="9"/>
      <c r="AC211" s="10">
        <f>IFERROR(-(Q211-Z211), "NA")</f>
        <v>0</v>
      </c>
      <c r="AD211" s="8">
        <f>IFERROR(AC211/AC444, "NA")</f>
        <v>0</v>
      </c>
    </row>
    <row r="212" spans="1:30" ht="16.5" customHeight="1" x14ac:dyDescent="0.45">
      <c r="A212" s="11" t="s">
        <v>193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45">
      <c r="A213" s="12" t="s">
        <v>193</v>
      </c>
      <c r="B213" s="7">
        <v>0</v>
      </c>
      <c r="C213" s="8">
        <f>IFERROR(B213/B444, "NA")</f>
        <v>0</v>
      </c>
      <c r="D213" s="9"/>
      <c r="E213" s="7">
        <v>1901.72</v>
      </c>
      <c r="F213" s="8">
        <f>IFERROR(E213/E444, "NA")</f>
        <v>2.9000040563336292E-2</v>
      </c>
      <c r="G213" s="9"/>
      <c r="H213" s="10">
        <f t="shared" ref="H213:H227" si="56">IFERROR(-(B213-E213), "NA")</f>
        <v>1901.72</v>
      </c>
      <c r="I213" s="8">
        <f>IFERROR(H213/H444, "NA")</f>
        <v>0.82320552001177438</v>
      </c>
      <c r="J213" s="9"/>
      <c r="K213" s="7">
        <v>0</v>
      </c>
      <c r="L213" s="8">
        <f>IFERROR(K213/K444, "NA")</f>
        <v>0</v>
      </c>
      <c r="M213" s="9"/>
      <c r="N213" s="10">
        <f t="shared" ref="N213:N227" si="57">IFERROR(-(B213-K213), "NA")</f>
        <v>0</v>
      </c>
      <c r="O213" s="8">
        <f>IFERROR(N213/N444, "NA")</f>
        <v>0</v>
      </c>
      <c r="P213" s="9"/>
      <c r="Q213" s="7">
        <v>0</v>
      </c>
      <c r="R213" s="8">
        <f>IFERROR(Q213/Q444, "NA")</f>
        <v>0</v>
      </c>
      <c r="S213" s="9"/>
      <c r="T213" s="7">
        <v>1901.72</v>
      </c>
      <c r="U213" s="8">
        <f>IFERROR(T213/T444, "NA")</f>
        <v>2.9000040563336292E-2</v>
      </c>
      <c r="V213" s="9"/>
      <c r="W213" s="10">
        <f t="shared" ref="W213:W227" si="58">IFERROR(-(Q213-T213), "NA")</f>
        <v>1901.72</v>
      </c>
      <c r="X213" s="8">
        <f>IFERROR(W213/W444, "NA")</f>
        <v>0.82320552001177438</v>
      </c>
      <c r="Y213" s="9"/>
      <c r="Z213" s="7">
        <v>0</v>
      </c>
      <c r="AA213" s="8">
        <f>IFERROR(Z213/Z444, "NA")</f>
        <v>0</v>
      </c>
      <c r="AB213" s="9"/>
      <c r="AC213" s="10">
        <f t="shared" ref="AC213:AC227" si="59">IFERROR(-(Q213-Z213), "NA")</f>
        <v>0</v>
      </c>
      <c r="AD213" s="8">
        <f>IFERROR(AC213/AC444, "NA")</f>
        <v>0</v>
      </c>
    </row>
    <row r="214" spans="1:30" ht="16.5" customHeight="1" x14ac:dyDescent="0.45">
      <c r="A214" s="12" t="s">
        <v>194</v>
      </c>
      <c r="B214" s="7">
        <v>708.52</v>
      </c>
      <c r="C214" s="8">
        <f>IFERROR(B214/B444, "NA")</f>
        <v>1.0436816691364715E-2</v>
      </c>
      <c r="D214" s="9"/>
      <c r="E214" s="7">
        <v>0</v>
      </c>
      <c r="F214" s="8">
        <f>IFERROR(E214/E444, "NA")</f>
        <v>0</v>
      </c>
      <c r="G214" s="9"/>
      <c r="H214" s="10">
        <f t="shared" si="56"/>
        <v>-708.52</v>
      </c>
      <c r="I214" s="8">
        <f>IFERROR(H214/H444, "NA")</f>
        <v>-0.30670002683820036</v>
      </c>
      <c r="J214" s="9"/>
      <c r="K214" s="7">
        <v>1097.23</v>
      </c>
      <c r="L214" s="8">
        <f>IFERROR(K214/K444, "NA")</f>
        <v>1.7192203802582112E-2</v>
      </c>
      <c r="M214" s="9"/>
      <c r="N214" s="10">
        <f t="shared" si="57"/>
        <v>388.71000000000004</v>
      </c>
      <c r="O214" s="8">
        <f>IFERROR(N214/N444, "NA")</f>
        <v>9.5618206103959616E-2</v>
      </c>
      <c r="P214" s="9"/>
      <c r="Q214" s="7">
        <v>708.52</v>
      </c>
      <c r="R214" s="8">
        <f>IFERROR(Q214/Q444, "NA")</f>
        <v>1.0436816691364715E-2</v>
      </c>
      <c r="S214" s="9"/>
      <c r="T214" s="7">
        <v>0</v>
      </c>
      <c r="U214" s="8">
        <f>IFERROR(T214/T444, "NA")</f>
        <v>0</v>
      </c>
      <c r="V214" s="9"/>
      <c r="W214" s="10">
        <f t="shared" si="58"/>
        <v>-708.52</v>
      </c>
      <c r="X214" s="8">
        <f>IFERROR(W214/W444, "NA")</f>
        <v>-0.30670002683820036</v>
      </c>
      <c r="Y214" s="9"/>
      <c r="Z214" s="7">
        <v>1097.23</v>
      </c>
      <c r="AA214" s="8">
        <f>IFERROR(Z214/Z444, "NA")</f>
        <v>1.7192203802582112E-2</v>
      </c>
      <c r="AB214" s="9"/>
      <c r="AC214" s="10">
        <f t="shared" si="59"/>
        <v>388.71000000000004</v>
      </c>
      <c r="AD214" s="8">
        <f>IFERROR(AC214/AC444, "NA")</f>
        <v>9.5618206103959616E-2</v>
      </c>
    </row>
    <row r="215" spans="1:30" ht="16.5" hidden="1" customHeight="1" x14ac:dyDescent="0.45">
      <c r="A215" s="12" t="s">
        <v>195</v>
      </c>
      <c r="B215" s="7">
        <v>0</v>
      </c>
      <c r="C215" s="8">
        <f>IFERROR(B215/B444, "NA")</f>
        <v>0</v>
      </c>
      <c r="D215" s="9"/>
      <c r="E215" s="7">
        <v>0</v>
      </c>
      <c r="F215" s="8">
        <f>IFERROR(E215/E444, "NA")</f>
        <v>0</v>
      </c>
      <c r="G215" s="9"/>
      <c r="H215" s="10">
        <f t="shared" si="56"/>
        <v>0</v>
      </c>
      <c r="I215" s="8">
        <f>IFERROR(H215/H444, "NA")</f>
        <v>0</v>
      </c>
      <c r="J215" s="9"/>
      <c r="K215" s="7">
        <v>0</v>
      </c>
      <c r="L215" s="8">
        <f>IFERROR(K215/K444, "NA")</f>
        <v>0</v>
      </c>
      <c r="M215" s="9"/>
      <c r="N215" s="10">
        <f t="shared" si="57"/>
        <v>0</v>
      </c>
      <c r="O215" s="8">
        <f>IFERROR(N215/N444, "NA")</f>
        <v>0</v>
      </c>
      <c r="P215" s="9"/>
      <c r="Q215" s="7">
        <v>0</v>
      </c>
      <c r="R215" s="8">
        <f>IFERROR(Q215/Q444, "NA")</f>
        <v>0</v>
      </c>
      <c r="S215" s="9"/>
      <c r="T215" s="7">
        <v>0</v>
      </c>
      <c r="U215" s="8">
        <f>IFERROR(T215/T444, "NA")</f>
        <v>0</v>
      </c>
      <c r="V215" s="9"/>
      <c r="W215" s="10">
        <f t="shared" si="58"/>
        <v>0</v>
      </c>
      <c r="X215" s="8">
        <f>IFERROR(W215/W444, "NA")</f>
        <v>0</v>
      </c>
      <c r="Y215" s="9"/>
      <c r="Z215" s="7">
        <v>0</v>
      </c>
      <c r="AA215" s="8">
        <f>IFERROR(Z215/Z444, "NA")</f>
        <v>0</v>
      </c>
      <c r="AB215" s="9"/>
      <c r="AC215" s="10">
        <f t="shared" si="59"/>
        <v>0</v>
      </c>
      <c r="AD215" s="8">
        <f>IFERROR(AC215/AC444, "NA")</f>
        <v>0</v>
      </c>
    </row>
    <row r="216" spans="1:30" ht="16.5" hidden="1" customHeight="1" x14ac:dyDescent="0.45">
      <c r="A216" s="12" t="s">
        <v>196</v>
      </c>
      <c r="B216" s="7">
        <v>0</v>
      </c>
      <c r="C216" s="8">
        <f>IFERROR(B216/B444, "NA")</f>
        <v>0</v>
      </c>
      <c r="D216" s="9"/>
      <c r="E216" s="7">
        <v>0</v>
      </c>
      <c r="F216" s="8">
        <f>IFERROR(E216/E444, "NA")</f>
        <v>0</v>
      </c>
      <c r="G216" s="9"/>
      <c r="H216" s="10">
        <f t="shared" si="56"/>
        <v>0</v>
      </c>
      <c r="I216" s="8">
        <f>IFERROR(H216/H444, "NA")</f>
        <v>0</v>
      </c>
      <c r="J216" s="9"/>
      <c r="K216" s="7">
        <v>0</v>
      </c>
      <c r="L216" s="8">
        <f>IFERROR(K216/K444, "NA")</f>
        <v>0</v>
      </c>
      <c r="M216" s="9"/>
      <c r="N216" s="10">
        <f t="shared" si="57"/>
        <v>0</v>
      </c>
      <c r="O216" s="8">
        <f>IFERROR(N216/N444, "NA")</f>
        <v>0</v>
      </c>
      <c r="P216" s="9"/>
      <c r="Q216" s="7">
        <v>0</v>
      </c>
      <c r="R216" s="8">
        <f>IFERROR(Q216/Q444, "NA")</f>
        <v>0</v>
      </c>
      <c r="S216" s="9"/>
      <c r="T216" s="7">
        <v>0</v>
      </c>
      <c r="U216" s="8">
        <f>IFERROR(T216/T444, "NA")</f>
        <v>0</v>
      </c>
      <c r="V216" s="9"/>
      <c r="W216" s="10">
        <f t="shared" si="58"/>
        <v>0</v>
      </c>
      <c r="X216" s="8">
        <f>IFERROR(W216/W444, "NA")</f>
        <v>0</v>
      </c>
      <c r="Y216" s="9"/>
      <c r="Z216" s="7">
        <v>0</v>
      </c>
      <c r="AA216" s="8">
        <f>IFERROR(Z216/Z444, "NA")</f>
        <v>0</v>
      </c>
      <c r="AB216" s="9"/>
      <c r="AC216" s="10">
        <f t="shared" si="59"/>
        <v>0</v>
      </c>
      <c r="AD216" s="8">
        <f>IFERROR(AC216/AC444, "NA")</f>
        <v>0</v>
      </c>
    </row>
    <row r="217" spans="1:30" ht="16.5" customHeight="1" x14ac:dyDescent="0.45">
      <c r="A217" s="12" t="s">
        <v>197</v>
      </c>
      <c r="B217" s="7">
        <v>834.77</v>
      </c>
      <c r="C217" s="8">
        <f>IFERROR(B217/B444, "NA")</f>
        <v>1.2296535693347434E-2</v>
      </c>
      <c r="D217" s="9"/>
      <c r="E217" s="7">
        <v>0</v>
      </c>
      <c r="F217" s="8">
        <f>IFERROR(E217/E444, "NA")</f>
        <v>0</v>
      </c>
      <c r="G217" s="9"/>
      <c r="H217" s="10">
        <f t="shared" si="56"/>
        <v>-834.77</v>
      </c>
      <c r="I217" s="8">
        <f>IFERROR(H217/H444, "NA")</f>
        <v>-0.36135039434839455</v>
      </c>
      <c r="J217" s="9"/>
      <c r="K217" s="7">
        <v>2009.17</v>
      </c>
      <c r="L217" s="8">
        <f>IFERROR(K217/K444, "NA")</f>
        <v>3.1481148085664726E-2</v>
      </c>
      <c r="M217" s="9"/>
      <c r="N217" s="10">
        <f t="shared" si="57"/>
        <v>1174.4000000000001</v>
      </c>
      <c r="O217" s="8">
        <f>IFERROR(N217/N444, "NA")</f>
        <v>0.28888894355300909</v>
      </c>
      <c r="P217" s="9"/>
      <c r="Q217" s="7">
        <v>834.77</v>
      </c>
      <c r="R217" s="8">
        <f>IFERROR(Q217/Q444, "NA")</f>
        <v>1.2296535693347434E-2</v>
      </c>
      <c r="S217" s="9"/>
      <c r="T217" s="7">
        <v>0</v>
      </c>
      <c r="U217" s="8">
        <f>IFERROR(T217/T444, "NA")</f>
        <v>0</v>
      </c>
      <c r="V217" s="9"/>
      <c r="W217" s="10">
        <f t="shared" si="58"/>
        <v>-834.77</v>
      </c>
      <c r="X217" s="8">
        <f>IFERROR(W217/W444, "NA")</f>
        <v>-0.36135039434839455</v>
      </c>
      <c r="Y217" s="9"/>
      <c r="Z217" s="7">
        <v>2009.17</v>
      </c>
      <c r="AA217" s="8">
        <f>IFERROR(Z217/Z444, "NA")</f>
        <v>3.1481148085664726E-2</v>
      </c>
      <c r="AB217" s="9"/>
      <c r="AC217" s="10">
        <f t="shared" si="59"/>
        <v>1174.4000000000001</v>
      </c>
      <c r="AD217" s="8">
        <f>IFERROR(AC217/AC444, "NA")</f>
        <v>0.28888894355300909</v>
      </c>
    </row>
    <row r="218" spans="1:30" ht="16.5" customHeight="1" x14ac:dyDescent="0.45">
      <c r="A218" s="13" t="s">
        <v>198</v>
      </c>
      <c r="B218" s="14">
        <f>IFERROR(B213+B214+B215+B216+B217, "NA")</f>
        <v>1543.29</v>
      </c>
      <c r="C218" s="15">
        <f>IFERROR(B218/B444, "NA")</f>
        <v>2.2733352384712149E-2</v>
      </c>
      <c r="D218" s="2"/>
      <c r="E218" s="14">
        <f>IFERROR(E213+E214+E215+E216+E217, "NA")</f>
        <v>1901.72</v>
      </c>
      <c r="F218" s="15">
        <f>IFERROR(E218/E444, "NA")</f>
        <v>2.9000040563336292E-2</v>
      </c>
      <c r="G218" s="2"/>
      <c r="H218" s="14">
        <f t="shared" si="56"/>
        <v>358.43000000000006</v>
      </c>
      <c r="I218" s="15">
        <f>IFERROR(H218/H444, "NA")</f>
        <v>0.1551550988251795</v>
      </c>
      <c r="J218" s="2"/>
      <c r="K218" s="14">
        <f>IFERROR(K213+K214+K215+K216+K217, "NA")</f>
        <v>3106.4</v>
      </c>
      <c r="L218" s="15">
        <f>IFERROR(K218/K444, "NA")</f>
        <v>4.8673351888246834E-2</v>
      </c>
      <c r="M218" s="2"/>
      <c r="N218" s="14">
        <f t="shared" si="57"/>
        <v>1563.1100000000001</v>
      </c>
      <c r="O218" s="15">
        <f>IFERROR(N218/N444, "NA")</f>
        <v>0.38450714965696869</v>
      </c>
      <c r="P218" s="2"/>
      <c r="Q218" s="14">
        <f>IFERROR(Q213+Q214+Q215+Q216+Q217, "NA")</f>
        <v>1543.29</v>
      </c>
      <c r="R218" s="15">
        <f>IFERROR(Q218/Q444, "NA")</f>
        <v>2.2733352384712149E-2</v>
      </c>
      <c r="S218" s="2"/>
      <c r="T218" s="14">
        <f>IFERROR(T213+T214+T215+T216+T217, "NA")</f>
        <v>1901.72</v>
      </c>
      <c r="U218" s="15">
        <f>IFERROR(T218/T444, "NA")</f>
        <v>2.9000040563336292E-2</v>
      </c>
      <c r="V218" s="2"/>
      <c r="W218" s="14">
        <f t="shared" si="58"/>
        <v>358.43000000000006</v>
      </c>
      <c r="X218" s="15">
        <f>IFERROR(W218/W444, "NA")</f>
        <v>0.1551550988251795</v>
      </c>
      <c r="Y218" s="2"/>
      <c r="Z218" s="14">
        <f>IFERROR(Z213+Z214+Z215+Z216+Z217, "NA")</f>
        <v>3106.4</v>
      </c>
      <c r="AA218" s="15">
        <f>IFERROR(Z218/Z444, "NA")</f>
        <v>4.8673351888246834E-2</v>
      </c>
      <c r="AB218" s="2"/>
      <c r="AC218" s="14">
        <f t="shared" si="59"/>
        <v>1563.1100000000001</v>
      </c>
      <c r="AD218" s="15">
        <f>IFERROR(AC218/AC444, "NA")</f>
        <v>0.38450714965696869</v>
      </c>
    </row>
    <row r="219" spans="1:30" ht="16.5" hidden="1" customHeight="1" x14ac:dyDescent="0.45">
      <c r="A219" s="6" t="s">
        <v>199</v>
      </c>
      <c r="B219" s="7">
        <v>0</v>
      </c>
      <c r="C219" s="8">
        <f>IFERROR(B219/B444, "NA")</f>
        <v>0</v>
      </c>
      <c r="D219" s="9"/>
      <c r="E219" s="7">
        <v>0</v>
      </c>
      <c r="F219" s="8">
        <f>IFERROR(E219/E444, "NA")</f>
        <v>0</v>
      </c>
      <c r="G219" s="9"/>
      <c r="H219" s="10">
        <f t="shared" si="56"/>
        <v>0</v>
      </c>
      <c r="I219" s="8">
        <f>IFERROR(H219/H444, "NA")</f>
        <v>0</v>
      </c>
      <c r="J219" s="9"/>
      <c r="K219" s="7">
        <v>0</v>
      </c>
      <c r="L219" s="8">
        <f>IFERROR(K219/K444, "NA")</f>
        <v>0</v>
      </c>
      <c r="M219" s="9"/>
      <c r="N219" s="10">
        <f t="shared" si="57"/>
        <v>0</v>
      </c>
      <c r="O219" s="8">
        <f>IFERROR(N219/N444, "NA")</f>
        <v>0</v>
      </c>
      <c r="P219" s="9"/>
      <c r="Q219" s="7">
        <v>0</v>
      </c>
      <c r="R219" s="8">
        <f>IFERROR(Q219/Q444, "NA")</f>
        <v>0</v>
      </c>
      <c r="S219" s="9"/>
      <c r="T219" s="7">
        <v>0</v>
      </c>
      <c r="U219" s="8">
        <f>IFERROR(T219/T444, "NA")</f>
        <v>0</v>
      </c>
      <c r="V219" s="9"/>
      <c r="W219" s="10">
        <f t="shared" si="58"/>
        <v>0</v>
      </c>
      <c r="X219" s="8">
        <f>IFERROR(W219/W444, "NA")</f>
        <v>0</v>
      </c>
      <c r="Y219" s="9"/>
      <c r="Z219" s="7">
        <v>0</v>
      </c>
      <c r="AA219" s="8">
        <f>IFERROR(Z219/Z444, "NA")</f>
        <v>0</v>
      </c>
      <c r="AB219" s="9"/>
      <c r="AC219" s="10">
        <f t="shared" si="59"/>
        <v>0</v>
      </c>
      <c r="AD219" s="8">
        <f>IFERROR(AC219/AC444, "NA")</f>
        <v>0</v>
      </c>
    </row>
    <row r="220" spans="1:30" ht="16.5" hidden="1" customHeight="1" x14ac:dyDescent="0.45">
      <c r="A220" s="6" t="s">
        <v>200</v>
      </c>
      <c r="B220" s="7">
        <v>0</v>
      </c>
      <c r="C220" s="8">
        <f>IFERROR(B220/B444, "NA")</f>
        <v>0</v>
      </c>
      <c r="D220" s="9"/>
      <c r="E220" s="7">
        <v>0</v>
      </c>
      <c r="F220" s="8">
        <f>IFERROR(E220/E444, "NA")</f>
        <v>0</v>
      </c>
      <c r="G220" s="9"/>
      <c r="H220" s="10">
        <f t="shared" si="56"/>
        <v>0</v>
      </c>
      <c r="I220" s="8">
        <f>IFERROR(H220/H444, "NA")</f>
        <v>0</v>
      </c>
      <c r="J220" s="9"/>
      <c r="K220" s="7">
        <v>0</v>
      </c>
      <c r="L220" s="8">
        <f>IFERROR(K220/K444, "NA")</f>
        <v>0</v>
      </c>
      <c r="M220" s="9"/>
      <c r="N220" s="10">
        <f t="shared" si="57"/>
        <v>0</v>
      </c>
      <c r="O220" s="8">
        <f>IFERROR(N220/N444, "NA")</f>
        <v>0</v>
      </c>
      <c r="P220" s="9"/>
      <c r="Q220" s="7">
        <v>0</v>
      </c>
      <c r="R220" s="8">
        <f>IFERROR(Q220/Q444, "NA")</f>
        <v>0</v>
      </c>
      <c r="S220" s="9"/>
      <c r="T220" s="7">
        <v>0</v>
      </c>
      <c r="U220" s="8">
        <f>IFERROR(T220/T444, "NA")</f>
        <v>0</v>
      </c>
      <c r="V220" s="9"/>
      <c r="W220" s="10">
        <f t="shared" si="58"/>
        <v>0</v>
      </c>
      <c r="X220" s="8">
        <f>IFERROR(W220/W444, "NA")</f>
        <v>0</v>
      </c>
      <c r="Y220" s="9"/>
      <c r="Z220" s="7">
        <v>0</v>
      </c>
      <c r="AA220" s="8">
        <f>IFERROR(Z220/Z444, "NA")</f>
        <v>0</v>
      </c>
      <c r="AB220" s="9"/>
      <c r="AC220" s="10">
        <f t="shared" si="59"/>
        <v>0</v>
      </c>
      <c r="AD220" s="8">
        <f>IFERROR(AC220/AC444, "NA")</f>
        <v>0</v>
      </c>
    </row>
    <row r="221" spans="1:30" ht="16.5" hidden="1" customHeight="1" x14ac:dyDescent="0.45">
      <c r="A221" s="6" t="s">
        <v>201</v>
      </c>
      <c r="B221" s="7">
        <v>0</v>
      </c>
      <c r="C221" s="8">
        <f>IFERROR(B221/B444, "NA")</f>
        <v>0</v>
      </c>
      <c r="D221" s="9"/>
      <c r="E221" s="7">
        <v>0</v>
      </c>
      <c r="F221" s="8">
        <f>IFERROR(E221/E444, "NA")</f>
        <v>0</v>
      </c>
      <c r="G221" s="9"/>
      <c r="H221" s="10">
        <f t="shared" si="56"/>
        <v>0</v>
      </c>
      <c r="I221" s="8">
        <f>IFERROR(H221/H444, "NA")</f>
        <v>0</v>
      </c>
      <c r="J221" s="9"/>
      <c r="K221" s="7">
        <v>0</v>
      </c>
      <c r="L221" s="8">
        <f>IFERROR(K221/K444, "NA")</f>
        <v>0</v>
      </c>
      <c r="M221" s="9"/>
      <c r="N221" s="10">
        <f t="shared" si="57"/>
        <v>0</v>
      </c>
      <c r="O221" s="8">
        <f>IFERROR(N221/N444, "NA")</f>
        <v>0</v>
      </c>
      <c r="P221" s="9"/>
      <c r="Q221" s="7">
        <v>0</v>
      </c>
      <c r="R221" s="8">
        <f>IFERROR(Q221/Q444, "NA")</f>
        <v>0</v>
      </c>
      <c r="S221" s="9"/>
      <c r="T221" s="7">
        <v>0</v>
      </c>
      <c r="U221" s="8">
        <f>IFERROR(T221/T444, "NA")</f>
        <v>0</v>
      </c>
      <c r="V221" s="9"/>
      <c r="W221" s="10">
        <f t="shared" si="58"/>
        <v>0</v>
      </c>
      <c r="X221" s="8">
        <f>IFERROR(W221/W444, "NA")</f>
        <v>0</v>
      </c>
      <c r="Y221" s="9"/>
      <c r="Z221" s="7">
        <v>0</v>
      </c>
      <c r="AA221" s="8">
        <f>IFERROR(Z221/Z444, "NA")</f>
        <v>0</v>
      </c>
      <c r="AB221" s="9"/>
      <c r="AC221" s="10">
        <f t="shared" si="59"/>
        <v>0</v>
      </c>
      <c r="AD221" s="8">
        <f>IFERROR(AC221/AC444, "NA")</f>
        <v>0</v>
      </c>
    </row>
    <row r="222" spans="1:30" ht="16.5" customHeight="1" x14ac:dyDescent="0.45">
      <c r="A222" s="6" t="s">
        <v>202</v>
      </c>
      <c r="B222" s="7">
        <v>66.67</v>
      </c>
      <c r="C222" s="8">
        <f>IFERROR(B222/B444, "NA")</f>
        <v>9.8207893752227981E-4</v>
      </c>
      <c r="D222" s="9"/>
      <c r="E222" s="7">
        <v>100</v>
      </c>
      <c r="F222" s="8">
        <f>IFERROR(E222/E444, "NA")</f>
        <v>1.5249374546902957E-3</v>
      </c>
      <c r="G222" s="9"/>
      <c r="H222" s="10">
        <f t="shared" si="56"/>
        <v>33.33</v>
      </c>
      <c r="I222" s="8">
        <f>IFERROR(H222/H444, "NA")</f>
        <v>1.4427697022691269E-2</v>
      </c>
      <c r="J222" s="9"/>
      <c r="K222" s="7">
        <v>97.47</v>
      </c>
      <c r="L222" s="8">
        <f>IFERROR(K222/K444, "NA")</f>
        <v>1.527231396004191E-3</v>
      </c>
      <c r="M222" s="9"/>
      <c r="N222" s="10">
        <f t="shared" si="57"/>
        <v>30.799999999999997</v>
      </c>
      <c r="O222" s="8">
        <f>IFERROR(N222/N444, "NA")</f>
        <v>7.5764470890945833E-3</v>
      </c>
      <c r="P222" s="9"/>
      <c r="Q222" s="7">
        <v>66.67</v>
      </c>
      <c r="R222" s="8">
        <f>IFERROR(Q222/Q444, "NA")</f>
        <v>9.8207893752227981E-4</v>
      </c>
      <c r="S222" s="9"/>
      <c r="T222" s="7">
        <v>100</v>
      </c>
      <c r="U222" s="8">
        <f>IFERROR(T222/T444, "NA")</f>
        <v>1.5249374546902957E-3</v>
      </c>
      <c r="V222" s="9"/>
      <c r="W222" s="10">
        <f t="shared" si="58"/>
        <v>33.33</v>
      </c>
      <c r="X222" s="8">
        <f>IFERROR(W222/W444, "NA")</f>
        <v>1.4427697022691269E-2</v>
      </c>
      <c r="Y222" s="9"/>
      <c r="Z222" s="7">
        <v>97.47</v>
      </c>
      <c r="AA222" s="8">
        <f>IFERROR(Z222/Z444, "NA")</f>
        <v>1.527231396004191E-3</v>
      </c>
      <c r="AB222" s="9"/>
      <c r="AC222" s="10">
        <f t="shared" si="59"/>
        <v>30.799999999999997</v>
      </c>
      <c r="AD222" s="8">
        <f>IFERROR(AC222/AC444, "NA")</f>
        <v>7.5764470890945833E-3</v>
      </c>
    </row>
    <row r="223" spans="1:30" ht="16.5" hidden="1" customHeight="1" x14ac:dyDescent="0.45">
      <c r="A223" s="6" t="s">
        <v>203</v>
      </c>
      <c r="B223" s="7">
        <v>0</v>
      </c>
      <c r="C223" s="8">
        <f>IFERROR(B223/B444, "NA")</f>
        <v>0</v>
      </c>
      <c r="D223" s="9"/>
      <c r="E223" s="7">
        <v>0</v>
      </c>
      <c r="F223" s="8">
        <f>IFERROR(E223/E444, "NA")</f>
        <v>0</v>
      </c>
      <c r="G223" s="9"/>
      <c r="H223" s="10">
        <f t="shared" si="56"/>
        <v>0</v>
      </c>
      <c r="I223" s="8">
        <f>IFERROR(H223/H444, "NA")</f>
        <v>0</v>
      </c>
      <c r="J223" s="9"/>
      <c r="K223" s="7">
        <v>0</v>
      </c>
      <c r="L223" s="8">
        <f>IFERROR(K223/K444, "NA")</f>
        <v>0</v>
      </c>
      <c r="M223" s="9"/>
      <c r="N223" s="10">
        <f t="shared" si="57"/>
        <v>0</v>
      </c>
      <c r="O223" s="8">
        <f>IFERROR(N223/N444, "NA")</f>
        <v>0</v>
      </c>
      <c r="P223" s="9"/>
      <c r="Q223" s="7">
        <v>0</v>
      </c>
      <c r="R223" s="8">
        <f>IFERROR(Q223/Q444, "NA")</f>
        <v>0</v>
      </c>
      <c r="S223" s="9"/>
      <c r="T223" s="7">
        <v>0</v>
      </c>
      <c r="U223" s="8">
        <f>IFERROR(T223/T444, "NA")</f>
        <v>0</v>
      </c>
      <c r="V223" s="9"/>
      <c r="W223" s="10">
        <f t="shared" si="58"/>
        <v>0</v>
      </c>
      <c r="X223" s="8">
        <f>IFERROR(W223/W444, "NA")</f>
        <v>0</v>
      </c>
      <c r="Y223" s="9"/>
      <c r="Z223" s="7">
        <v>0</v>
      </c>
      <c r="AA223" s="8">
        <f>IFERROR(Z223/Z444, "NA")</f>
        <v>0</v>
      </c>
      <c r="AB223" s="9"/>
      <c r="AC223" s="10">
        <f t="shared" si="59"/>
        <v>0</v>
      </c>
      <c r="AD223" s="8">
        <f>IFERROR(AC223/AC444, "NA")</f>
        <v>0</v>
      </c>
    </row>
    <row r="224" spans="1:30" ht="16.5" hidden="1" customHeight="1" x14ac:dyDescent="0.45">
      <c r="A224" s="6" t="s">
        <v>204</v>
      </c>
      <c r="B224" s="7">
        <v>0</v>
      </c>
      <c r="C224" s="8">
        <f>IFERROR(B224/B444, "NA")</f>
        <v>0</v>
      </c>
      <c r="D224" s="9"/>
      <c r="E224" s="7">
        <v>0</v>
      </c>
      <c r="F224" s="8">
        <f>IFERROR(E224/E444, "NA")</f>
        <v>0</v>
      </c>
      <c r="G224" s="9"/>
      <c r="H224" s="10">
        <f t="shared" si="56"/>
        <v>0</v>
      </c>
      <c r="I224" s="8">
        <f>IFERROR(H224/H444, "NA")</f>
        <v>0</v>
      </c>
      <c r="J224" s="9"/>
      <c r="K224" s="7">
        <v>0</v>
      </c>
      <c r="L224" s="8">
        <f>IFERROR(K224/K444, "NA")</f>
        <v>0</v>
      </c>
      <c r="M224" s="9"/>
      <c r="N224" s="10">
        <f t="shared" si="57"/>
        <v>0</v>
      </c>
      <c r="O224" s="8">
        <f>IFERROR(N224/N444, "NA")</f>
        <v>0</v>
      </c>
      <c r="P224" s="9"/>
      <c r="Q224" s="7">
        <v>0</v>
      </c>
      <c r="R224" s="8">
        <f>IFERROR(Q224/Q444, "NA")</f>
        <v>0</v>
      </c>
      <c r="S224" s="9"/>
      <c r="T224" s="7">
        <v>0</v>
      </c>
      <c r="U224" s="8">
        <f>IFERROR(T224/T444, "NA")</f>
        <v>0</v>
      </c>
      <c r="V224" s="9"/>
      <c r="W224" s="10">
        <f t="shared" si="58"/>
        <v>0</v>
      </c>
      <c r="X224" s="8">
        <f>IFERROR(W224/W444, "NA")</f>
        <v>0</v>
      </c>
      <c r="Y224" s="9"/>
      <c r="Z224" s="7">
        <v>0</v>
      </c>
      <c r="AA224" s="8">
        <f>IFERROR(Z224/Z444, "NA")</f>
        <v>0</v>
      </c>
      <c r="AB224" s="9"/>
      <c r="AC224" s="10">
        <f t="shared" si="59"/>
        <v>0</v>
      </c>
      <c r="AD224" s="8">
        <f>IFERROR(AC224/AC444, "NA")</f>
        <v>0</v>
      </c>
    </row>
    <row r="225" spans="1:30" ht="16.5" hidden="1" customHeight="1" x14ac:dyDescent="0.45">
      <c r="A225" s="6" t="s">
        <v>205</v>
      </c>
      <c r="B225" s="7">
        <v>0</v>
      </c>
      <c r="C225" s="8">
        <f>IFERROR(B225/B444, "NA")</f>
        <v>0</v>
      </c>
      <c r="D225" s="9"/>
      <c r="E225" s="7">
        <v>0</v>
      </c>
      <c r="F225" s="8">
        <f>IFERROR(E225/E444, "NA")</f>
        <v>0</v>
      </c>
      <c r="G225" s="9"/>
      <c r="H225" s="10">
        <f t="shared" si="56"/>
        <v>0</v>
      </c>
      <c r="I225" s="8">
        <f>IFERROR(H225/H444, "NA")</f>
        <v>0</v>
      </c>
      <c r="J225" s="9"/>
      <c r="K225" s="7">
        <v>0</v>
      </c>
      <c r="L225" s="8">
        <f>IFERROR(K225/K444, "NA")</f>
        <v>0</v>
      </c>
      <c r="M225" s="9"/>
      <c r="N225" s="10">
        <f t="shared" si="57"/>
        <v>0</v>
      </c>
      <c r="O225" s="8">
        <f>IFERROR(N225/N444, "NA")</f>
        <v>0</v>
      </c>
      <c r="P225" s="9"/>
      <c r="Q225" s="7">
        <v>0</v>
      </c>
      <c r="R225" s="8">
        <f>IFERROR(Q225/Q444, "NA")</f>
        <v>0</v>
      </c>
      <c r="S225" s="9"/>
      <c r="T225" s="7">
        <v>0</v>
      </c>
      <c r="U225" s="8">
        <f>IFERROR(T225/T444, "NA")</f>
        <v>0</v>
      </c>
      <c r="V225" s="9"/>
      <c r="W225" s="10">
        <f t="shared" si="58"/>
        <v>0</v>
      </c>
      <c r="X225" s="8">
        <f>IFERROR(W225/W444, "NA")</f>
        <v>0</v>
      </c>
      <c r="Y225" s="9"/>
      <c r="Z225" s="7">
        <v>0</v>
      </c>
      <c r="AA225" s="8">
        <f>IFERROR(Z225/Z444, "NA")</f>
        <v>0</v>
      </c>
      <c r="AB225" s="9"/>
      <c r="AC225" s="10">
        <f t="shared" si="59"/>
        <v>0</v>
      </c>
      <c r="AD225" s="8">
        <f>IFERROR(AC225/AC444, "NA")</f>
        <v>0</v>
      </c>
    </row>
    <row r="226" spans="1:30" ht="16.5" hidden="1" customHeight="1" x14ac:dyDescent="0.45">
      <c r="A226" s="6" t="s">
        <v>206</v>
      </c>
      <c r="B226" s="7">
        <v>0</v>
      </c>
      <c r="C226" s="8">
        <f>IFERROR(B226/B444, "NA")</f>
        <v>0</v>
      </c>
      <c r="D226" s="9"/>
      <c r="E226" s="7">
        <v>0</v>
      </c>
      <c r="F226" s="8">
        <f>IFERROR(E226/E444, "NA")</f>
        <v>0</v>
      </c>
      <c r="G226" s="9"/>
      <c r="H226" s="10">
        <f t="shared" si="56"/>
        <v>0</v>
      </c>
      <c r="I226" s="8">
        <f>IFERROR(H226/H444, "NA")</f>
        <v>0</v>
      </c>
      <c r="J226" s="9"/>
      <c r="K226" s="7">
        <v>0</v>
      </c>
      <c r="L226" s="8">
        <f>IFERROR(K226/K444, "NA")</f>
        <v>0</v>
      </c>
      <c r="M226" s="9"/>
      <c r="N226" s="10">
        <f t="shared" si="57"/>
        <v>0</v>
      </c>
      <c r="O226" s="8">
        <f>IFERROR(N226/N444, "NA")</f>
        <v>0</v>
      </c>
      <c r="P226" s="9"/>
      <c r="Q226" s="7">
        <v>0</v>
      </c>
      <c r="R226" s="8">
        <f>IFERROR(Q226/Q444, "NA")</f>
        <v>0</v>
      </c>
      <c r="S226" s="9"/>
      <c r="T226" s="7">
        <v>0</v>
      </c>
      <c r="U226" s="8">
        <f>IFERROR(T226/T444, "NA")</f>
        <v>0</v>
      </c>
      <c r="V226" s="9"/>
      <c r="W226" s="10">
        <f t="shared" si="58"/>
        <v>0</v>
      </c>
      <c r="X226" s="8">
        <f>IFERROR(W226/W444, "NA")</f>
        <v>0</v>
      </c>
      <c r="Y226" s="9"/>
      <c r="Z226" s="7">
        <v>0</v>
      </c>
      <c r="AA226" s="8">
        <f>IFERROR(Z226/Z444, "NA")</f>
        <v>0</v>
      </c>
      <c r="AB226" s="9"/>
      <c r="AC226" s="10">
        <f t="shared" si="59"/>
        <v>0</v>
      </c>
      <c r="AD226" s="8">
        <f>IFERROR(AC226/AC444, "NA")</f>
        <v>0</v>
      </c>
    </row>
    <row r="227" spans="1:30" ht="16.5" customHeight="1" x14ac:dyDescent="0.45">
      <c r="A227" s="19" t="s">
        <v>207</v>
      </c>
      <c r="B227" s="14">
        <f>IFERROR(B211+B213+B214+B215+B216+B217+B219+B220+B221+B222+B223+B224+B225+B226, "NA")</f>
        <v>1609.96</v>
      </c>
      <c r="C227" s="15">
        <f>IFERROR(B227/B444, "NA")</f>
        <v>2.3715431322234432E-2</v>
      </c>
      <c r="D227" s="2"/>
      <c r="E227" s="14">
        <f>IFERROR(E211+E213+E214+E215+E216+E217+E219+E220+E221+E222+E223+E224+E225+E226, "NA")</f>
        <v>2001.72</v>
      </c>
      <c r="F227" s="15">
        <f>IFERROR(E227/E444, "NA")</f>
        <v>3.0524978018026588E-2</v>
      </c>
      <c r="G227" s="2"/>
      <c r="H227" s="14">
        <f t="shared" si="56"/>
        <v>391.76</v>
      </c>
      <c r="I227" s="15">
        <f>IFERROR(H227/H444, "NA")</f>
        <v>0.16958279584787073</v>
      </c>
      <c r="J227" s="2"/>
      <c r="K227" s="14">
        <f>IFERROR(K211+K213+K214+K215+K216+K217+K219+K220+K221+K222+K223+K224+K225+K226, "NA")</f>
        <v>3203.87</v>
      </c>
      <c r="L227" s="15">
        <f>IFERROR(K227/K444, "NA")</f>
        <v>5.0200583284251026E-2</v>
      </c>
      <c r="M227" s="2"/>
      <c r="N227" s="14">
        <f t="shared" si="57"/>
        <v>1593.9099999999999</v>
      </c>
      <c r="O227" s="15">
        <f>IFERROR(N227/N444, "NA")</f>
        <v>0.39208359674606325</v>
      </c>
      <c r="P227" s="2"/>
      <c r="Q227" s="14">
        <f>IFERROR(Q211+Q213+Q214+Q215+Q216+Q217+Q219+Q220+Q221+Q222+Q223+Q224+Q225+Q226, "NA")</f>
        <v>1609.96</v>
      </c>
      <c r="R227" s="15">
        <f>IFERROR(Q227/Q444, "NA")</f>
        <v>2.3715431322234432E-2</v>
      </c>
      <c r="S227" s="2"/>
      <c r="T227" s="14">
        <f>IFERROR(T211+T213+T214+T215+T216+T217+T219+T220+T221+T222+T223+T224+T225+T226, "NA")</f>
        <v>2001.72</v>
      </c>
      <c r="U227" s="15">
        <f>IFERROR(T227/T444, "NA")</f>
        <v>3.0524978018026588E-2</v>
      </c>
      <c r="V227" s="2"/>
      <c r="W227" s="14">
        <f t="shared" si="58"/>
        <v>391.76</v>
      </c>
      <c r="X227" s="15">
        <f>IFERROR(W227/W444, "NA")</f>
        <v>0.16958279584787073</v>
      </c>
      <c r="Y227" s="2"/>
      <c r="Z227" s="14">
        <f>IFERROR(Z211+Z213+Z214+Z215+Z216+Z217+Z219+Z220+Z221+Z222+Z223+Z224+Z225+Z226, "NA")</f>
        <v>3203.87</v>
      </c>
      <c r="AA227" s="15">
        <f>IFERROR(Z227/Z444, "NA")</f>
        <v>5.0200583284251026E-2</v>
      </c>
      <c r="AB227" s="2"/>
      <c r="AC227" s="14">
        <f t="shared" si="59"/>
        <v>1593.9099999999999</v>
      </c>
      <c r="AD227" s="15">
        <f>IFERROR(AC227/AC444, "NA")</f>
        <v>0.39208359674606325</v>
      </c>
    </row>
    <row r="228" spans="1:30" ht="16.5" customHeight="1" x14ac:dyDescent="0.45">
      <c r="A228" s="5" t="s">
        <v>208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45">
      <c r="A229" s="6" t="s">
        <v>208</v>
      </c>
      <c r="B229" s="7">
        <v>0</v>
      </c>
      <c r="C229" s="8">
        <f>IFERROR(B229/B444, "NA")</f>
        <v>0</v>
      </c>
      <c r="D229" s="9"/>
      <c r="E229" s="7">
        <v>524.61</v>
      </c>
      <c r="F229" s="8">
        <f>IFERROR(E229/E444, "NA")</f>
        <v>7.9999743810507604E-3</v>
      </c>
      <c r="G229" s="9"/>
      <c r="H229" s="10">
        <f t="shared" ref="H229:H236" si="60">IFERROR(-(B229-E229), "NA")</f>
        <v>524.61</v>
      </c>
      <c r="I229" s="8">
        <f>IFERROR(H229/H444, "NA")</f>
        <v>0.22709013306552855</v>
      </c>
      <c r="J229" s="9"/>
      <c r="K229" s="7">
        <v>0</v>
      </c>
      <c r="L229" s="8">
        <f>IFERROR(K229/K444, "NA")</f>
        <v>0</v>
      </c>
      <c r="M229" s="9"/>
      <c r="N229" s="10">
        <f t="shared" ref="N229:N236" si="61">IFERROR(-(B229-K229), "NA")</f>
        <v>0</v>
      </c>
      <c r="O229" s="8">
        <f>IFERROR(N229/N444, "NA")</f>
        <v>0</v>
      </c>
      <c r="P229" s="9"/>
      <c r="Q229" s="7">
        <v>0</v>
      </c>
      <c r="R229" s="8">
        <f>IFERROR(Q229/Q444, "NA")</f>
        <v>0</v>
      </c>
      <c r="S229" s="9"/>
      <c r="T229" s="7">
        <v>524.61</v>
      </c>
      <c r="U229" s="8">
        <f>IFERROR(T229/T444, "NA")</f>
        <v>7.9999743810507604E-3</v>
      </c>
      <c r="V229" s="9"/>
      <c r="W229" s="10">
        <f t="shared" ref="W229:W236" si="62">IFERROR(-(Q229-T229), "NA")</f>
        <v>524.61</v>
      </c>
      <c r="X229" s="8">
        <f>IFERROR(W229/W444, "NA")</f>
        <v>0.22709013306552855</v>
      </c>
      <c r="Y229" s="9"/>
      <c r="Z229" s="7">
        <v>0</v>
      </c>
      <c r="AA229" s="8">
        <f>IFERROR(Z229/Z444, "NA")</f>
        <v>0</v>
      </c>
      <c r="AB229" s="9"/>
      <c r="AC229" s="10">
        <f t="shared" ref="AC229:AC236" si="63">IFERROR(-(Q229-Z229), "NA")</f>
        <v>0</v>
      </c>
      <c r="AD229" s="8">
        <f>IFERROR(AC229/AC444, "NA")</f>
        <v>0</v>
      </c>
    </row>
    <row r="230" spans="1:30" ht="16.5" hidden="1" customHeight="1" x14ac:dyDescent="0.45">
      <c r="A230" s="6" t="s">
        <v>209</v>
      </c>
      <c r="B230" s="7">
        <v>0</v>
      </c>
      <c r="C230" s="8">
        <f>IFERROR(B230/B444, "NA")</f>
        <v>0</v>
      </c>
      <c r="D230" s="9"/>
      <c r="E230" s="7">
        <v>0</v>
      </c>
      <c r="F230" s="8">
        <f>IFERROR(E230/E444, "NA")</f>
        <v>0</v>
      </c>
      <c r="G230" s="9"/>
      <c r="H230" s="10">
        <f t="shared" si="60"/>
        <v>0</v>
      </c>
      <c r="I230" s="8">
        <f>IFERROR(H230/H444, "NA")</f>
        <v>0</v>
      </c>
      <c r="J230" s="9"/>
      <c r="K230" s="7">
        <v>0</v>
      </c>
      <c r="L230" s="8">
        <f>IFERROR(K230/K444, "NA")</f>
        <v>0</v>
      </c>
      <c r="M230" s="9"/>
      <c r="N230" s="10">
        <f t="shared" si="61"/>
        <v>0</v>
      </c>
      <c r="O230" s="8">
        <f>IFERROR(N230/N444, "NA")</f>
        <v>0</v>
      </c>
      <c r="P230" s="9"/>
      <c r="Q230" s="7">
        <v>0</v>
      </c>
      <c r="R230" s="8">
        <f>IFERROR(Q230/Q444, "NA")</f>
        <v>0</v>
      </c>
      <c r="S230" s="9"/>
      <c r="T230" s="7">
        <v>0</v>
      </c>
      <c r="U230" s="8">
        <f>IFERROR(T230/T444, "NA")</f>
        <v>0</v>
      </c>
      <c r="V230" s="9"/>
      <c r="W230" s="10">
        <f t="shared" si="62"/>
        <v>0</v>
      </c>
      <c r="X230" s="8">
        <f>IFERROR(W230/W444, "NA")</f>
        <v>0</v>
      </c>
      <c r="Y230" s="9"/>
      <c r="Z230" s="7">
        <v>0</v>
      </c>
      <c r="AA230" s="8">
        <f>IFERROR(Z230/Z444, "NA")</f>
        <v>0</v>
      </c>
      <c r="AB230" s="9"/>
      <c r="AC230" s="10">
        <f t="shared" si="63"/>
        <v>0</v>
      </c>
      <c r="AD230" s="8">
        <f>IFERROR(AC230/AC444, "NA")</f>
        <v>0</v>
      </c>
    </row>
    <row r="231" spans="1:30" ht="16.5" customHeight="1" x14ac:dyDescent="0.45">
      <c r="A231" s="6" t="s">
        <v>210</v>
      </c>
      <c r="B231" s="7">
        <v>126</v>
      </c>
      <c r="C231" s="8">
        <f>IFERROR(B231/B444, "NA")</f>
        <v>1.8560363900976039E-3</v>
      </c>
      <c r="D231" s="9"/>
      <c r="E231" s="7">
        <v>0</v>
      </c>
      <c r="F231" s="8">
        <f>IFERROR(E231/E444, "NA")</f>
        <v>0</v>
      </c>
      <c r="G231" s="9"/>
      <c r="H231" s="10">
        <f t="shared" si="60"/>
        <v>-126</v>
      </c>
      <c r="I231" s="8">
        <f>IFERROR(H231/H444, "NA")</f>
        <v>-5.4542148960669064E-2</v>
      </c>
      <c r="J231" s="9"/>
      <c r="K231" s="7">
        <v>142.88999999999999</v>
      </c>
      <c r="L231" s="8">
        <f>IFERROR(K231/K444, "NA")</f>
        <v>2.2389052444345835E-3</v>
      </c>
      <c r="M231" s="9"/>
      <c r="N231" s="10">
        <f t="shared" si="61"/>
        <v>16.889999999999986</v>
      </c>
      <c r="O231" s="8">
        <f>IFERROR(N231/N444, "NA")</f>
        <v>4.1547464719093319E-3</v>
      </c>
      <c r="P231" s="9"/>
      <c r="Q231" s="7">
        <v>126</v>
      </c>
      <c r="R231" s="8">
        <f>IFERROR(Q231/Q444, "NA")</f>
        <v>1.8560363900976039E-3</v>
      </c>
      <c r="S231" s="9"/>
      <c r="T231" s="7">
        <v>0</v>
      </c>
      <c r="U231" s="8">
        <f>IFERROR(T231/T444, "NA")</f>
        <v>0</v>
      </c>
      <c r="V231" s="9"/>
      <c r="W231" s="10">
        <f t="shared" si="62"/>
        <v>-126</v>
      </c>
      <c r="X231" s="8">
        <f>IFERROR(W231/W444, "NA")</f>
        <v>-5.4542148960669064E-2</v>
      </c>
      <c r="Y231" s="9"/>
      <c r="Z231" s="7">
        <v>142.88999999999999</v>
      </c>
      <c r="AA231" s="8">
        <f>IFERROR(Z231/Z444, "NA")</f>
        <v>2.2389052444345835E-3</v>
      </c>
      <c r="AB231" s="9"/>
      <c r="AC231" s="10">
        <f t="shared" si="63"/>
        <v>16.889999999999986</v>
      </c>
      <c r="AD231" s="8">
        <f>IFERROR(AC231/AC444, "NA")</f>
        <v>4.1547464719093319E-3</v>
      </c>
    </row>
    <row r="232" spans="1:30" ht="16.5" hidden="1" customHeight="1" x14ac:dyDescent="0.45">
      <c r="A232" s="6" t="s">
        <v>211</v>
      </c>
      <c r="B232" s="7">
        <v>0</v>
      </c>
      <c r="C232" s="8">
        <f>IFERROR(B232/B444, "NA")</f>
        <v>0</v>
      </c>
      <c r="D232" s="9"/>
      <c r="E232" s="7">
        <v>0</v>
      </c>
      <c r="F232" s="8">
        <f>IFERROR(E232/E444, "NA")</f>
        <v>0</v>
      </c>
      <c r="G232" s="9"/>
      <c r="H232" s="10">
        <f t="shared" si="60"/>
        <v>0</v>
      </c>
      <c r="I232" s="8">
        <f>IFERROR(H232/H444, "NA")</f>
        <v>0</v>
      </c>
      <c r="J232" s="9"/>
      <c r="K232" s="7">
        <v>0</v>
      </c>
      <c r="L232" s="8">
        <f>IFERROR(K232/K444, "NA")</f>
        <v>0</v>
      </c>
      <c r="M232" s="9"/>
      <c r="N232" s="10">
        <f t="shared" si="61"/>
        <v>0</v>
      </c>
      <c r="O232" s="8">
        <f>IFERROR(N232/N444, "NA")</f>
        <v>0</v>
      </c>
      <c r="P232" s="9"/>
      <c r="Q232" s="7">
        <v>0</v>
      </c>
      <c r="R232" s="8">
        <f>IFERROR(Q232/Q444, "NA")</f>
        <v>0</v>
      </c>
      <c r="S232" s="9"/>
      <c r="T232" s="7">
        <v>0</v>
      </c>
      <c r="U232" s="8">
        <f>IFERROR(T232/T444, "NA")</f>
        <v>0</v>
      </c>
      <c r="V232" s="9"/>
      <c r="W232" s="10">
        <f t="shared" si="62"/>
        <v>0</v>
      </c>
      <c r="X232" s="8">
        <f>IFERROR(W232/W444, "NA")</f>
        <v>0</v>
      </c>
      <c r="Y232" s="9"/>
      <c r="Z232" s="7">
        <v>0</v>
      </c>
      <c r="AA232" s="8">
        <f>IFERROR(Z232/Z444, "NA")</f>
        <v>0</v>
      </c>
      <c r="AB232" s="9"/>
      <c r="AC232" s="10">
        <f t="shared" si="63"/>
        <v>0</v>
      </c>
      <c r="AD232" s="8">
        <f>IFERROR(AC232/AC444, "NA")</f>
        <v>0</v>
      </c>
    </row>
    <row r="233" spans="1:30" ht="16.5" hidden="1" customHeight="1" x14ac:dyDescent="0.45">
      <c r="A233" s="6" t="s">
        <v>212</v>
      </c>
      <c r="B233" s="7">
        <v>0</v>
      </c>
      <c r="C233" s="8">
        <f>IFERROR(B233/B444, "NA")</f>
        <v>0</v>
      </c>
      <c r="D233" s="9"/>
      <c r="E233" s="7">
        <v>0</v>
      </c>
      <c r="F233" s="8">
        <f>IFERROR(E233/E444, "NA")</f>
        <v>0</v>
      </c>
      <c r="G233" s="9"/>
      <c r="H233" s="10">
        <f t="shared" si="60"/>
        <v>0</v>
      </c>
      <c r="I233" s="8">
        <f>IFERROR(H233/H444, "NA")</f>
        <v>0</v>
      </c>
      <c r="J233" s="9"/>
      <c r="K233" s="7">
        <v>0</v>
      </c>
      <c r="L233" s="8">
        <f>IFERROR(K233/K444, "NA")</f>
        <v>0</v>
      </c>
      <c r="M233" s="9"/>
      <c r="N233" s="10">
        <f t="shared" si="61"/>
        <v>0</v>
      </c>
      <c r="O233" s="8">
        <f>IFERROR(N233/N444, "NA")</f>
        <v>0</v>
      </c>
      <c r="P233" s="9"/>
      <c r="Q233" s="7">
        <v>0</v>
      </c>
      <c r="R233" s="8">
        <f>IFERROR(Q233/Q444, "NA")</f>
        <v>0</v>
      </c>
      <c r="S233" s="9"/>
      <c r="T233" s="7">
        <v>0</v>
      </c>
      <c r="U233" s="8">
        <f>IFERROR(T233/T444, "NA")</f>
        <v>0</v>
      </c>
      <c r="V233" s="9"/>
      <c r="W233" s="10">
        <f t="shared" si="62"/>
        <v>0</v>
      </c>
      <c r="X233" s="8">
        <f>IFERROR(W233/W444, "NA")</f>
        <v>0</v>
      </c>
      <c r="Y233" s="9"/>
      <c r="Z233" s="7">
        <v>0</v>
      </c>
      <c r="AA233" s="8">
        <f>IFERROR(Z233/Z444, "NA")</f>
        <v>0</v>
      </c>
      <c r="AB233" s="9"/>
      <c r="AC233" s="10">
        <f t="shared" si="63"/>
        <v>0</v>
      </c>
      <c r="AD233" s="8">
        <f>IFERROR(AC233/AC444, "NA")</f>
        <v>0</v>
      </c>
    </row>
    <row r="234" spans="1:30" ht="16.5" customHeight="1" x14ac:dyDescent="0.45">
      <c r="A234" s="6" t="s">
        <v>213</v>
      </c>
      <c r="B234" s="7">
        <v>164.43</v>
      </c>
      <c r="C234" s="8">
        <f>IFERROR(B234/B444, "NA")</f>
        <v>2.4221274890773728E-3</v>
      </c>
      <c r="D234" s="9"/>
      <c r="E234" s="7">
        <v>0</v>
      </c>
      <c r="F234" s="8">
        <f>IFERROR(E234/E444, "NA")</f>
        <v>0</v>
      </c>
      <c r="G234" s="9"/>
      <c r="H234" s="10">
        <f t="shared" si="60"/>
        <v>-164.43</v>
      </c>
      <c r="I234" s="8">
        <f>IFERROR(H234/H444, "NA")</f>
        <v>-7.1177504393673138E-2</v>
      </c>
      <c r="J234" s="9"/>
      <c r="K234" s="7">
        <v>1248.1199999999999</v>
      </c>
      <c r="L234" s="8">
        <f>IFERROR(K234/K444, "NA")</f>
        <v>1.9556458910236489E-2</v>
      </c>
      <c r="M234" s="9"/>
      <c r="N234" s="10">
        <f t="shared" si="61"/>
        <v>1083.6899999999998</v>
      </c>
      <c r="O234" s="8">
        <f>IFERROR(N234/N444, "NA")</f>
        <v>0.26657532292145808</v>
      </c>
      <c r="P234" s="9"/>
      <c r="Q234" s="7">
        <v>164.43</v>
      </c>
      <c r="R234" s="8">
        <f>IFERROR(Q234/Q444, "NA")</f>
        <v>2.4221274890773728E-3</v>
      </c>
      <c r="S234" s="9"/>
      <c r="T234" s="7">
        <v>0</v>
      </c>
      <c r="U234" s="8">
        <f>IFERROR(T234/T444, "NA")</f>
        <v>0</v>
      </c>
      <c r="V234" s="9"/>
      <c r="W234" s="10">
        <f t="shared" si="62"/>
        <v>-164.43</v>
      </c>
      <c r="X234" s="8">
        <f>IFERROR(W234/W444, "NA")</f>
        <v>-7.1177504393673138E-2</v>
      </c>
      <c r="Y234" s="9"/>
      <c r="Z234" s="7">
        <v>1248.1199999999999</v>
      </c>
      <c r="AA234" s="8">
        <f>IFERROR(Z234/Z444, "NA")</f>
        <v>1.9556458910236489E-2</v>
      </c>
      <c r="AB234" s="9"/>
      <c r="AC234" s="10">
        <f t="shared" si="63"/>
        <v>1083.6899999999998</v>
      </c>
      <c r="AD234" s="8">
        <f>IFERROR(AC234/AC444, "NA")</f>
        <v>0.26657532292145808</v>
      </c>
    </row>
    <row r="235" spans="1:30" ht="16.5" customHeight="1" x14ac:dyDescent="0.45">
      <c r="A235" s="6" t="s">
        <v>214</v>
      </c>
      <c r="B235" s="7">
        <v>4.47</v>
      </c>
      <c r="C235" s="8">
        <f>IFERROR(B235/B444, "NA")</f>
        <v>6.5845100505843561E-5</v>
      </c>
      <c r="D235" s="9"/>
      <c r="E235" s="7">
        <v>0</v>
      </c>
      <c r="F235" s="8">
        <f>IFERROR(E235/E444, "NA")</f>
        <v>0</v>
      </c>
      <c r="G235" s="9"/>
      <c r="H235" s="10">
        <f t="shared" si="60"/>
        <v>-4.47</v>
      </c>
      <c r="I235" s="8">
        <f>IFERROR(H235/H444, "NA")</f>
        <v>-1.9349476655094501E-3</v>
      </c>
      <c r="J235" s="9"/>
      <c r="K235" s="7">
        <v>0</v>
      </c>
      <c r="L235" s="8">
        <f>IFERROR(K235/K444, "NA")</f>
        <v>0</v>
      </c>
      <c r="M235" s="9"/>
      <c r="N235" s="10">
        <f t="shared" si="61"/>
        <v>-4.47</v>
      </c>
      <c r="O235" s="8">
        <f>IFERROR(N235/N444, "NA")</f>
        <v>-1.0995687820861296E-3</v>
      </c>
      <c r="P235" s="9"/>
      <c r="Q235" s="7">
        <v>4.47</v>
      </c>
      <c r="R235" s="8">
        <f>IFERROR(Q235/Q444, "NA")</f>
        <v>6.5845100505843561E-5</v>
      </c>
      <c r="S235" s="9"/>
      <c r="T235" s="7">
        <v>0</v>
      </c>
      <c r="U235" s="8">
        <f>IFERROR(T235/T444, "NA")</f>
        <v>0</v>
      </c>
      <c r="V235" s="9"/>
      <c r="W235" s="10">
        <f t="shared" si="62"/>
        <v>-4.47</v>
      </c>
      <c r="X235" s="8">
        <f>IFERROR(W235/W444, "NA")</f>
        <v>-1.9349476655094501E-3</v>
      </c>
      <c r="Y235" s="9"/>
      <c r="Z235" s="7">
        <v>0</v>
      </c>
      <c r="AA235" s="8">
        <f>IFERROR(Z235/Z444, "NA")</f>
        <v>0</v>
      </c>
      <c r="AB235" s="9"/>
      <c r="AC235" s="10">
        <f t="shared" si="63"/>
        <v>-4.47</v>
      </c>
      <c r="AD235" s="8">
        <f>IFERROR(AC235/AC444, "NA")</f>
        <v>-1.0995687820861296E-3</v>
      </c>
    </row>
    <row r="236" spans="1:30" ht="16.5" customHeight="1" x14ac:dyDescent="0.45">
      <c r="A236" s="19" t="s">
        <v>215</v>
      </c>
      <c r="B236" s="14">
        <f>IFERROR(B229+B230+B231+B232+B233+B234+B235, "NA")</f>
        <v>294.90000000000003</v>
      </c>
      <c r="C236" s="15">
        <f>IFERROR(B236/B444, "NA")</f>
        <v>4.3440089796808207E-3</v>
      </c>
      <c r="D236" s="2"/>
      <c r="E236" s="14">
        <f>IFERROR(E229+E230+E231+E232+E233+E234+E235, "NA")</f>
        <v>524.61</v>
      </c>
      <c r="F236" s="15">
        <f>IFERROR(E236/E444, "NA")</f>
        <v>7.9999743810507604E-3</v>
      </c>
      <c r="G236" s="2"/>
      <c r="H236" s="14">
        <f t="shared" si="60"/>
        <v>229.70999999999998</v>
      </c>
      <c r="I236" s="15">
        <f>IFERROR(H236/H444, "NA")</f>
        <v>9.94355320456769E-2</v>
      </c>
      <c r="J236" s="2"/>
      <c r="K236" s="14">
        <f>IFERROR(K229+K230+K231+K232+K233+K234+K235, "NA")</f>
        <v>1391.0099999999998</v>
      </c>
      <c r="L236" s="15">
        <f>IFERROR(K236/K444, "NA")</f>
        <v>2.1795364154671072E-2</v>
      </c>
      <c r="M236" s="2"/>
      <c r="N236" s="14">
        <f t="shared" si="61"/>
        <v>1096.1099999999997</v>
      </c>
      <c r="O236" s="15">
        <f>IFERROR(N236/N444, "NA")</f>
        <v>0.26963050061128124</v>
      </c>
      <c r="P236" s="2"/>
      <c r="Q236" s="14">
        <f>IFERROR(Q229+Q230+Q231+Q232+Q233+Q234+Q235, "NA")</f>
        <v>294.90000000000003</v>
      </c>
      <c r="R236" s="15">
        <f>IFERROR(Q236/Q444, "NA")</f>
        <v>4.3440089796808207E-3</v>
      </c>
      <c r="S236" s="2"/>
      <c r="T236" s="14">
        <f>IFERROR(T229+T230+T231+T232+T233+T234+T235, "NA")</f>
        <v>524.61</v>
      </c>
      <c r="U236" s="15">
        <f>IFERROR(T236/T444, "NA")</f>
        <v>7.9999743810507604E-3</v>
      </c>
      <c r="V236" s="2"/>
      <c r="W236" s="14">
        <f t="shared" si="62"/>
        <v>229.70999999999998</v>
      </c>
      <c r="X236" s="15">
        <f>IFERROR(W236/W444, "NA")</f>
        <v>9.94355320456769E-2</v>
      </c>
      <c r="Y236" s="2"/>
      <c r="Z236" s="14">
        <f>IFERROR(Z229+Z230+Z231+Z232+Z233+Z234+Z235, "NA")</f>
        <v>1391.0099999999998</v>
      </c>
      <c r="AA236" s="15">
        <f>IFERROR(Z236/Z444, "NA")</f>
        <v>2.1795364154671072E-2</v>
      </c>
      <c r="AB236" s="2"/>
      <c r="AC236" s="14">
        <f t="shared" si="63"/>
        <v>1096.1099999999997</v>
      </c>
      <c r="AD236" s="15">
        <f>IFERROR(AC236/AC444, "NA")</f>
        <v>0.26963050061128124</v>
      </c>
    </row>
    <row r="237" spans="1:30" ht="16.5" customHeight="1" x14ac:dyDescent="0.45">
      <c r="A237" s="5" t="s">
        <v>216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45">
      <c r="A238" s="6" t="s">
        <v>216</v>
      </c>
      <c r="B238" s="7">
        <v>0</v>
      </c>
      <c r="C238" s="8">
        <f>IFERROR(B238/B444, "NA")</f>
        <v>0</v>
      </c>
      <c r="D238" s="9"/>
      <c r="E238" s="7">
        <v>0</v>
      </c>
      <c r="F238" s="8">
        <f>IFERROR(E238/E444, "NA")</f>
        <v>0</v>
      </c>
      <c r="G238" s="9"/>
      <c r="H238" s="10">
        <f>IFERROR(-(B238-E238), "NA")</f>
        <v>0</v>
      </c>
      <c r="I238" s="8">
        <f>IFERROR(H238/H444, "NA")</f>
        <v>0</v>
      </c>
      <c r="J238" s="9"/>
      <c r="K238" s="7">
        <v>0</v>
      </c>
      <c r="L238" s="8">
        <f>IFERROR(K238/K444, "NA")</f>
        <v>0</v>
      </c>
      <c r="M238" s="9"/>
      <c r="N238" s="10">
        <f>IFERROR(-(B238-K238), "NA")</f>
        <v>0</v>
      </c>
      <c r="O238" s="8">
        <f>IFERROR(N238/N444, "NA")</f>
        <v>0</v>
      </c>
      <c r="P238" s="9"/>
      <c r="Q238" s="7">
        <v>0</v>
      </c>
      <c r="R238" s="8">
        <f>IFERROR(Q238/Q444, "NA")</f>
        <v>0</v>
      </c>
      <c r="S238" s="9"/>
      <c r="T238" s="7">
        <v>0</v>
      </c>
      <c r="U238" s="8">
        <f>IFERROR(T238/T444, "NA")</f>
        <v>0</v>
      </c>
      <c r="V238" s="9"/>
      <c r="W238" s="10">
        <f>IFERROR(-(Q238-T238), "NA")</f>
        <v>0</v>
      </c>
      <c r="X238" s="8">
        <f>IFERROR(W238/W444, "NA")</f>
        <v>0</v>
      </c>
      <c r="Y238" s="9"/>
      <c r="Z238" s="7">
        <v>0</v>
      </c>
      <c r="AA238" s="8">
        <f>IFERROR(Z238/Z444, "NA")</f>
        <v>0</v>
      </c>
      <c r="AB238" s="9"/>
      <c r="AC238" s="10">
        <f>IFERROR(-(Q238-Z238), "NA")</f>
        <v>0</v>
      </c>
      <c r="AD238" s="8">
        <f>IFERROR(AC238/AC444, "NA")</f>
        <v>0</v>
      </c>
    </row>
    <row r="239" spans="1:30" ht="16.5" customHeight="1" x14ac:dyDescent="0.45">
      <c r="A239" s="11" t="s">
        <v>217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45">
      <c r="A240" s="12" t="s">
        <v>217</v>
      </c>
      <c r="B240" s="7">
        <v>0</v>
      </c>
      <c r="C240" s="8">
        <f>IFERROR(B240/B444, "NA")</f>
        <v>0</v>
      </c>
      <c r="D240" s="9"/>
      <c r="E240" s="7">
        <v>3541.13</v>
      </c>
      <c r="F240" s="8">
        <f>IFERROR(E240/E444, "NA")</f>
        <v>5.4000017689274468E-2</v>
      </c>
      <c r="G240" s="9"/>
      <c r="H240" s="10">
        <f t="shared" ref="H240:H263" si="64">IFERROR(-(B240-E240), "NA")</f>
        <v>3541.13</v>
      </c>
      <c r="I240" s="8">
        <f>IFERROR(H240/H444, "NA")</f>
        <v>1.5328638091197941</v>
      </c>
      <c r="J240" s="9"/>
      <c r="K240" s="7">
        <v>0</v>
      </c>
      <c r="L240" s="8">
        <f>IFERROR(K240/K444, "NA")</f>
        <v>0</v>
      </c>
      <c r="M240" s="9"/>
      <c r="N240" s="10">
        <f t="shared" ref="N240:N263" si="65">IFERROR(-(B240-K240), "NA")</f>
        <v>0</v>
      </c>
      <c r="O240" s="8">
        <f>IFERROR(N240/N444, "NA")</f>
        <v>0</v>
      </c>
      <c r="P240" s="9"/>
      <c r="Q240" s="7">
        <v>0</v>
      </c>
      <c r="R240" s="8">
        <f>IFERROR(Q240/Q444, "NA")</f>
        <v>0</v>
      </c>
      <c r="S240" s="9"/>
      <c r="T240" s="7">
        <v>3541.13</v>
      </c>
      <c r="U240" s="8">
        <f>IFERROR(T240/T444, "NA")</f>
        <v>5.4000017689274468E-2</v>
      </c>
      <c r="V240" s="9"/>
      <c r="W240" s="10">
        <f t="shared" ref="W240:W263" si="66">IFERROR(-(Q240-T240), "NA")</f>
        <v>3541.13</v>
      </c>
      <c r="X240" s="8">
        <f>IFERROR(W240/W444, "NA")</f>
        <v>1.5328638091197941</v>
      </c>
      <c r="Y240" s="9"/>
      <c r="Z240" s="7">
        <v>0</v>
      </c>
      <c r="AA240" s="8">
        <f>IFERROR(Z240/Z444, "NA")</f>
        <v>0</v>
      </c>
      <c r="AB240" s="9"/>
      <c r="AC240" s="10">
        <f t="shared" ref="AC240:AC263" si="67">IFERROR(-(Q240-Z240), "NA")</f>
        <v>0</v>
      </c>
      <c r="AD240" s="8">
        <f>IFERROR(AC240/AC444, "NA")</f>
        <v>0</v>
      </c>
    </row>
    <row r="241" spans="1:30" ht="16.5" customHeight="1" x14ac:dyDescent="0.45">
      <c r="A241" s="12" t="s">
        <v>218</v>
      </c>
      <c r="B241" s="7">
        <v>0</v>
      </c>
      <c r="C241" s="8">
        <f>IFERROR(B241/B444, "NA")</f>
        <v>0</v>
      </c>
      <c r="D241" s="9"/>
      <c r="E241" s="7">
        <v>0</v>
      </c>
      <c r="F241" s="8">
        <f>IFERROR(E241/E444, "NA")</f>
        <v>0</v>
      </c>
      <c r="G241" s="9"/>
      <c r="H241" s="10">
        <f t="shared" si="64"/>
        <v>0</v>
      </c>
      <c r="I241" s="8">
        <f>IFERROR(H241/H444, "NA")</f>
        <v>0</v>
      </c>
      <c r="J241" s="9"/>
      <c r="K241" s="7">
        <v>78.709999999999994</v>
      </c>
      <c r="L241" s="8">
        <f>IFERROR(K241/K444, "NA")</f>
        <v>1.233285966753769E-3</v>
      </c>
      <c r="M241" s="9"/>
      <c r="N241" s="10">
        <f t="shared" si="65"/>
        <v>78.709999999999994</v>
      </c>
      <c r="O241" s="8">
        <f>IFERROR(N241/N444, "NA")</f>
        <v>1.9361758129306319E-2</v>
      </c>
      <c r="P241" s="9"/>
      <c r="Q241" s="7">
        <v>0</v>
      </c>
      <c r="R241" s="8">
        <f>IFERROR(Q241/Q444, "NA")</f>
        <v>0</v>
      </c>
      <c r="S241" s="9"/>
      <c r="T241" s="7">
        <v>0</v>
      </c>
      <c r="U241" s="8">
        <f>IFERROR(T241/T444, "NA")</f>
        <v>0</v>
      </c>
      <c r="V241" s="9"/>
      <c r="W241" s="10">
        <f t="shared" si="66"/>
        <v>0</v>
      </c>
      <c r="X241" s="8">
        <f>IFERROR(W241/W444, "NA")</f>
        <v>0</v>
      </c>
      <c r="Y241" s="9"/>
      <c r="Z241" s="7">
        <v>78.709999999999994</v>
      </c>
      <c r="AA241" s="8">
        <f>IFERROR(Z241/Z444, "NA")</f>
        <v>1.233285966753769E-3</v>
      </c>
      <c r="AB241" s="9"/>
      <c r="AC241" s="10">
        <f t="shared" si="67"/>
        <v>78.709999999999994</v>
      </c>
      <c r="AD241" s="8">
        <f>IFERROR(AC241/AC444, "NA")</f>
        <v>1.9361758129306319E-2</v>
      </c>
    </row>
    <row r="242" spans="1:30" ht="16.5" customHeight="1" x14ac:dyDescent="0.45">
      <c r="A242" s="12" t="s">
        <v>219</v>
      </c>
      <c r="B242" s="7">
        <v>597.82000000000005</v>
      </c>
      <c r="C242" s="8">
        <f>IFERROR(B242/B444, "NA")</f>
        <v>8.8061561486361076E-3</v>
      </c>
      <c r="D242" s="9"/>
      <c r="E242" s="7">
        <v>0</v>
      </c>
      <c r="F242" s="8">
        <f>IFERROR(E242/E444, "NA")</f>
        <v>0</v>
      </c>
      <c r="G242" s="9"/>
      <c r="H242" s="10">
        <f t="shared" si="64"/>
        <v>-597.82000000000005</v>
      </c>
      <c r="I242" s="8">
        <f>IFERROR(H242/H444, "NA")</f>
        <v>-0.25878085310846971</v>
      </c>
      <c r="J242" s="9"/>
      <c r="K242" s="7">
        <v>488.91</v>
      </c>
      <c r="L242" s="8">
        <f>IFERROR(K242/K444, "NA")</f>
        <v>7.6606002033488153E-3</v>
      </c>
      <c r="M242" s="9"/>
      <c r="N242" s="10">
        <f t="shared" si="65"/>
        <v>-108.91000000000003</v>
      </c>
      <c r="O242" s="8">
        <f>IFERROR(N242/N444, "NA")</f>
        <v>-2.6790612093288681E-2</v>
      </c>
      <c r="P242" s="9"/>
      <c r="Q242" s="7">
        <v>597.82000000000005</v>
      </c>
      <c r="R242" s="8">
        <f>IFERROR(Q242/Q444, "NA")</f>
        <v>8.8061561486361076E-3</v>
      </c>
      <c r="S242" s="9"/>
      <c r="T242" s="7">
        <v>0</v>
      </c>
      <c r="U242" s="8">
        <f>IFERROR(T242/T444, "NA")</f>
        <v>0</v>
      </c>
      <c r="V242" s="9"/>
      <c r="W242" s="10">
        <f t="shared" si="66"/>
        <v>-597.82000000000005</v>
      </c>
      <c r="X242" s="8">
        <f>IFERROR(W242/W444, "NA")</f>
        <v>-0.25878085310846971</v>
      </c>
      <c r="Y242" s="9"/>
      <c r="Z242" s="7">
        <v>488.91</v>
      </c>
      <c r="AA242" s="8">
        <f>IFERROR(Z242/Z444, "NA")</f>
        <v>7.6606002033488153E-3</v>
      </c>
      <c r="AB242" s="9"/>
      <c r="AC242" s="10">
        <f t="shared" si="67"/>
        <v>-108.91000000000003</v>
      </c>
      <c r="AD242" s="8">
        <f>IFERROR(AC242/AC444, "NA")</f>
        <v>-2.6790612093288681E-2</v>
      </c>
    </row>
    <row r="243" spans="1:30" ht="16.5" customHeight="1" x14ac:dyDescent="0.45">
      <c r="A243" s="12" t="s">
        <v>220</v>
      </c>
      <c r="B243" s="7">
        <v>183.19</v>
      </c>
      <c r="C243" s="8">
        <f>IFERROR(B243/B444, "NA")</f>
        <v>2.6984706849363495E-3</v>
      </c>
      <c r="D243" s="9"/>
      <c r="E243" s="7">
        <v>0</v>
      </c>
      <c r="F243" s="8">
        <f>IFERROR(E243/E444, "NA")</f>
        <v>0</v>
      </c>
      <c r="G243" s="9"/>
      <c r="H243" s="10">
        <f t="shared" si="64"/>
        <v>-183.19</v>
      </c>
      <c r="I243" s="8">
        <f>IFERROR(H243/H444, "NA")</f>
        <v>-7.9298224350039415E-2</v>
      </c>
      <c r="J243" s="9"/>
      <c r="K243" s="7">
        <v>2137.88</v>
      </c>
      <c r="L243" s="8">
        <f>IFERROR(K243/K444, "NA")</f>
        <v>3.3497870697542217E-2</v>
      </c>
      <c r="M243" s="9"/>
      <c r="N243" s="10">
        <f t="shared" si="65"/>
        <v>1954.69</v>
      </c>
      <c r="O243" s="8">
        <f>IFERROR(N243/N444, "NA")</f>
        <v>0.48083134287604845</v>
      </c>
      <c r="P243" s="9"/>
      <c r="Q243" s="7">
        <v>183.19</v>
      </c>
      <c r="R243" s="8">
        <f>IFERROR(Q243/Q444, "NA")</f>
        <v>2.6984706849363495E-3</v>
      </c>
      <c r="S243" s="9"/>
      <c r="T243" s="7">
        <v>0</v>
      </c>
      <c r="U243" s="8">
        <f>IFERROR(T243/T444, "NA")</f>
        <v>0</v>
      </c>
      <c r="V243" s="9"/>
      <c r="W243" s="10">
        <f t="shared" si="66"/>
        <v>-183.19</v>
      </c>
      <c r="X243" s="8">
        <f>IFERROR(W243/W444, "NA")</f>
        <v>-7.9298224350039415E-2</v>
      </c>
      <c r="Y243" s="9"/>
      <c r="Z243" s="7">
        <v>2137.88</v>
      </c>
      <c r="AA243" s="8">
        <f>IFERROR(Z243/Z444, "NA")</f>
        <v>3.3497870697542217E-2</v>
      </c>
      <c r="AB243" s="9"/>
      <c r="AC243" s="10">
        <f t="shared" si="67"/>
        <v>1954.69</v>
      </c>
      <c r="AD243" s="8">
        <f>IFERROR(AC243/AC444, "NA")</f>
        <v>0.48083134287604845</v>
      </c>
    </row>
    <row r="244" spans="1:30" ht="16.5" customHeight="1" x14ac:dyDescent="0.45">
      <c r="A244" s="12" t="s">
        <v>221</v>
      </c>
      <c r="B244" s="7">
        <v>1087</v>
      </c>
      <c r="C244" s="8">
        <f>IFERROR(B244/B444, "NA")</f>
        <v>1.6011996476476945E-2</v>
      </c>
      <c r="D244" s="9"/>
      <c r="E244" s="7">
        <v>0</v>
      </c>
      <c r="F244" s="8">
        <f>IFERROR(E244/E444, "NA")</f>
        <v>0</v>
      </c>
      <c r="G244" s="9"/>
      <c r="H244" s="10">
        <f t="shared" si="64"/>
        <v>-1087</v>
      </c>
      <c r="I244" s="8">
        <f>IFERROR(H244/H444, "NA")</f>
        <v>-0.4705342533352958</v>
      </c>
      <c r="J244" s="9"/>
      <c r="K244" s="7">
        <v>0</v>
      </c>
      <c r="L244" s="8">
        <f>IFERROR(K244/K444, "NA")</f>
        <v>0</v>
      </c>
      <c r="M244" s="9"/>
      <c r="N244" s="10">
        <f t="shared" si="65"/>
        <v>-1087</v>
      </c>
      <c r="O244" s="8">
        <f>IFERROR(N244/N444, "NA")</f>
        <v>-0.2673895449949939</v>
      </c>
      <c r="P244" s="9"/>
      <c r="Q244" s="7">
        <v>1087</v>
      </c>
      <c r="R244" s="8">
        <f>IFERROR(Q244/Q444, "NA")</f>
        <v>1.6011996476476945E-2</v>
      </c>
      <c r="S244" s="9"/>
      <c r="T244" s="7">
        <v>0</v>
      </c>
      <c r="U244" s="8">
        <f>IFERROR(T244/T444, "NA")</f>
        <v>0</v>
      </c>
      <c r="V244" s="9"/>
      <c r="W244" s="10">
        <f t="shared" si="66"/>
        <v>-1087</v>
      </c>
      <c r="X244" s="8">
        <f>IFERROR(W244/W444, "NA")</f>
        <v>-0.4705342533352958</v>
      </c>
      <c r="Y244" s="9"/>
      <c r="Z244" s="7">
        <v>0</v>
      </c>
      <c r="AA244" s="8">
        <f>IFERROR(Z244/Z444, "NA")</f>
        <v>0</v>
      </c>
      <c r="AB244" s="9"/>
      <c r="AC244" s="10">
        <f t="shared" si="67"/>
        <v>-1087</v>
      </c>
      <c r="AD244" s="8">
        <f>IFERROR(AC244/AC444, "NA")</f>
        <v>-0.2673895449949939</v>
      </c>
    </row>
    <row r="245" spans="1:30" ht="16.5" hidden="1" customHeight="1" x14ac:dyDescent="0.45">
      <c r="A245" s="12" t="s">
        <v>222</v>
      </c>
      <c r="B245" s="7">
        <v>0</v>
      </c>
      <c r="C245" s="8">
        <f>IFERROR(B245/B444, "NA")</f>
        <v>0</v>
      </c>
      <c r="D245" s="9"/>
      <c r="E245" s="7">
        <v>0</v>
      </c>
      <c r="F245" s="8">
        <f>IFERROR(E245/E444, "NA")</f>
        <v>0</v>
      </c>
      <c r="G245" s="9"/>
      <c r="H245" s="10">
        <f t="shared" si="64"/>
        <v>0</v>
      </c>
      <c r="I245" s="8">
        <f>IFERROR(H245/H444, "NA")</f>
        <v>0</v>
      </c>
      <c r="J245" s="9"/>
      <c r="K245" s="7">
        <v>0</v>
      </c>
      <c r="L245" s="8">
        <f>IFERROR(K245/K444, "NA")</f>
        <v>0</v>
      </c>
      <c r="M245" s="9"/>
      <c r="N245" s="10">
        <f t="shared" si="65"/>
        <v>0</v>
      </c>
      <c r="O245" s="8">
        <f>IFERROR(N245/N444, "NA")</f>
        <v>0</v>
      </c>
      <c r="P245" s="9"/>
      <c r="Q245" s="7">
        <v>0</v>
      </c>
      <c r="R245" s="8">
        <f>IFERROR(Q245/Q444, "NA")</f>
        <v>0</v>
      </c>
      <c r="S245" s="9"/>
      <c r="T245" s="7">
        <v>0</v>
      </c>
      <c r="U245" s="8">
        <f>IFERROR(T245/T444, "NA")</f>
        <v>0</v>
      </c>
      <c r="V245" s="9"/>
      <c r="W245" s="10">
        <f t="shared" si="66"/>
        <v>0</v>
      </c>
      <c r="X245" s="8">
        <f>IFERROR(W245/W444, "NA")</f>
        <v>0</v>
      </c>
      <c r="Y245" s="9"/>
      <c r="Z245" s="7">
        <v>0</v>
      </c>
      <c r="AA245" s="8">
        <f>IFERROR(Z245/Z444, "NA")</f>
        <v>0</v>
      </c>
      <c r="AB245" s="9"/>
      <c r="AC245" s="10">
        <f t="shared" si="67"/>
        <v>0</v>
      </c>
      <c r="AD245" s="8">
        <f>IFERROR(AC245/AC444, "NA")</f>
        <v>0</v>
      </c>
    </row>
    <row r="246" spans="1:30" ht="16.5" customHeight="1" x14ac:dyDescent="0.45">
      <c r="A246" s="12" t="s">
        <v>223</v>
      </c>
      <c r="B246" s="7">
        <v>47.2</v>
      </c>
      <c r="C246" s="8">
        <f>IFERROR(B246/B444, "NA")</f>
        <v>6.9527712390957857E-4</v>
      </c>
      <c r="D246" s="9"/>
      <c r="E246" s="7">
        <v>0</v>
      </c>
      <c r="F246" s="8">
        <f>IFERROR(E246/E444, "NA")</f>
        <v>0</v>
      </c>
      <c r="G246" s="9"/>
      <c r="H246" s="10">
        <f t="shared" si="64"/>
        <v>-47.2</v>
      </c>
      <c r="I246" s="8">
        <f>IFERROR(H246/H444, "NA")</f>
        <v>-2.0431662150345874E-2</v>
      </c>
      <c r="J246" s="9"/>
      <c r="K246" s="7">
        <v>111.2</v>
      </c>
      <c r="L246" s="8">
        <f>IFERROR(K246/K444, "NA")</f>
        <v>1.7423630987551662E-3</v>
      </c>
      <c r="M246" s="9"/>
      <c r="N246" s="10">
        <f t="shared" si="65"/>
        <v>64</v>
      </c>
      <c r="O246" s="8">
        <f>IFERROR(N246/N444, "NA")</f>
        <v>1.5743266678638096E-2</v>
      </c>
      <c r="P246" s="9"/>
      <c r="Q246" s="7">
        <v>47.2</v>
      </c>
      <c r="R246" s="8">
        <f>IFERROR(Q246/Q444, "NA")</f>
        <v>6.9527712390957857E-4</v>
      </c>
      <c r="S246" s="9"/>
      <c r="T246" s="7">
        <v>0</v>
      </c>
      <c r="U246" s="8">
        <f>IFERROR(T246/T444, "NA")</f>
        <v>0</v>
      </c>
      <c r="V246" s="9"/>
      <c r="W246" s="10">
        <f t="shared" si="66"/>
        <v>-47.2</v>
      </c>
      <c r="X246" s="8">
        <f>IFERROR(W246/W444, "NA")</f>
        <v>-2.0431662150345874E-2</v>
      </c>
      <c r="Y246" s="9"/>
      <c r="Z246" s="7">
        <v>111.2</v>
      </c>
      <c r="AA246" s="8">
        <f>IFERROR(Z246/Z444, "NA")</f>
        <v>1.7423630987551662E-3</v>
      </c>
      <c r="AB246" s="9"/>
      <c r="AC246" s="10">
        <f t="shared" si="67"/>
        <v>64</v>
      </c>
      <c r="AD246" s="8">
        <f>IFERROR(AC246/AC444, "NA")</f>
        <v>1.5743266678638096E-2</v>
      </c>
    </row>
    <row r="247" spans="1:30" ht="16.5" hidden="1" customHeight="1" x14ac:dyDescent="0.45">
      <c r="A247" s="12" t="s">
        <v>224</v>
      </c>
      <c r="B247" s="7">
        <v>0</v>
      </c>
      <c r="C247" s="8">
        <f>IFERROR(B247/B444, "NA")</f>
        <v>0</v>
      </c>
      <c r="D247" s="9"/>
      <c r="E247" s="7">
        <v>0</v>
      </c>
      <c r="F247" s="8">
        <f>IFERROR(E247/E444, "NA")</f>
        <v>0</v>
      </c>
      <c r="G247" s="9"/>
      <c r="H247" s="10">
        <f t="shared" si="64"/>
        <v>0</v>
      </c>
      <c r="I247" s="8">
        <f>IFERROR(H247/H444, "NA")</f>
        <v>0</v>
      </c>
      <c r="J247" s="9"/>
      <c r="K247" s="7">
        <v>0</v>
      </c>
      <c r="L247" s="8">
        <f>IFERROR(K247/K444, "NA")</f>
        <v>0</v>
      </c>
      <c r="M247" s="9"/>
      <c r="N247" s="10">
        <f t="shared" si="65"/>
        <v>0</v>
      </c>
      <c r="O247" s="8">
        <f>IFERROR(N247/N444, "NA")</f>
        <v>0</v>
      </c>
      <c r="P247" s="9"/>
      <c r="Q247" s="7">
        <v>0</v>
      </c>
      <c r="R247" s="8">
        <f>IFERROR(Q247/Q444, "NA")</f>
        <v>0</v>
      </c>
      <c r="S247" s="9"/>
      <c r="T247" s="7">
        <v>0</v>
      </c>
      <c r="U247" s="8">
        <f>IFERROR(T247/T444, "NA")</f>
        <v>0</v>
      </c>
      <c r="V247" s="9"/>
      <c r="W247" s="10">
        <f t="shared" si="66"/>
        <v>0</v>
      </c>
      <c r="X247" s="8">
        <f>IFERROR(W247/W444, "NA")</f>
        <v>0</v>
      </c>
      <c r="Y247" s="9"/>
      <c r="Z247" s="7">
        <v>0</v>
      </c>
      <c r="AA247" s="8">
        <f>IFERROR(Z247/Z444, "NA")</f>
        <v>0</v>
      </c>
      <c r="AB247" s="9"/>
      <c r="AC247" s="10">
        <f t="shared" si="67"/>
        <v>0</v>
      </c>
      <c r="AD247" s="8">
        <f>IFERROR(AC247/AC444, "NA")</f>
        <v>0</v>
      </c>
    </row>
    <row r="248" spans="1:30" ht="16.5" customHeight="1" x14ac:dyDescent="0.45">
      <c r="A248" s="12" t="s">
        <v>225</v>
      </c>
      <c r="B248" s="7">
        <v>186.26</v>
      </c>
      <c r="C248" s="8">
        <f>IFERROR(B248/B444, "NA")</f>
        <v>2.7436931588855529E-3</v>
      </c>
      <c r="D248" s="9"/>
      <c r="E248" s="7">
        <v>0</v>
      </c>
      <c r="F248" s="8">
        <f>IFERROR(E248/E444, "NA")</f>
        <v>0</v>
      </c>
      <c r="G248" s="9"/>
      <c r="H248" s="10">
        <f t="shared" si="64"/>
        <v>-186.26</v>
      </c>
      <c r="I248" s="8">
        <f>IFERROR(H248/H444, "NA")</f>
        <v>-8.0627148138208093E-2</v>
      </c>
      <c r="J248" s="9"/>
      <c r="K248" s="7">
        <v>186.26</v>
      </c>
      <c r="L248" s="8">
        <f>IFERROR(K248/K444, "NA")</f>
        <v>2.9184581904149031E-3</v>
      </c>
      <c r="M248" s="9"/>
      <c r="N248" s="10">
        <f t="shared" si="65"/>
        <v>0</v>
      </c>
      <c r="O248" s="8">
        <f>IFERROR(N248/N444, "NA")</f>
        <v>0</v>
      </c>
      <c r="P248" s="9"/>
      <c r="Q248" s="7">
        <v>186.26</v>
      </c>
      <c r="R248" s="8">
        <f>IFERROR(Q248/Q444, "NA")</f>
        <v>2.7436931588855529E-3</v>
      </c>
      <c r="S248" s="9"/>
      <c r="T248" s="7">
        <v>0</v>
      </c>
      <c r="U248" s="8">
        <f>IFERROR(T248/T444, "NA")</f>
        <v>0</v>
      </c>
      <c r="V248" s="9"/>
      <c r="W248" s="10">
        <f t="shared" si="66"/>
        <v>-186.26</v>
      </c>
      <c r="X248" s="8">
        <f>IFERROR(W248/W444, "NA")</f>
        <v>-8.0627148138208093E-2</v>
      </c>
      <c r="Y248" s="9"/>
      <c r="Z248" s="7">
        <v>186.26</v>
      </c>
      <c r="AA248" s="8">
        <f>IFERROR(Z248/Z444, "NA")</f>
        <v>2.9184581904149031E-3</v>
      </c>
      <c r="AB248" s="9"/>
      <c r="AC248" s="10">
        <f t="shared" si="67"/>
        <v>0</v>
      </c>
      <c r="AD248" s="8">
        <f>IFERROR(AC248/AC444, "NA")</f>
        <v>0</v>
      </c>
    </row>
    <row r="249" spans="1:30" ht="16.5" customHeight="1" x14ac:dyDescent="0.45">
      <c r="A249" s="12" t="s">
        <v>226</v>
      </c>
      <c r="B249" s="7">
        <v>1371.16</v>
      </c>
      <c r="C249" s="8">
        <f>IFERROR(B249/B444, "NA")</f>
        <v>2.0197800449573259E-2</v>
      </c>
      <c r="D249" s="9"/>
      <c r="E249" s="7">
        <v>0</v>
      </c>
      <c r="F249" s="8">
        <f>IFERROR(E249/E444, "NA")</f>
        <v>0</v>
      </c>
      <c r="G249" s="9"/>
      <c r="H249" s="10">
        <f t="shared" si="64"/>
        <v>-1371.16</v>
      </c>
      <c r="I249" s="8">
        <f>IFERROR(H249/H444, "NA")</f>
        <v>-0.5935397854675476</v>
      </c>
      <c r="J249" s="9"/>
      <c r="K249" s="7">
        <v>1297.0899999999999</v>
      </c>
      <c r="L249" s="8">
        <f>IFERROR(K249/K444, "NA")</f>
        <v>2.0323756760470667E-2</v>
      </c>
      <c r="M249" s="9"/>
      <c r="N249" s="10">
        <f t="shared" si="65"/>
        <v>-74.070000000000164</v>
      </c>
      <c r="O249" s="8">
        <f>IFERROR(N249/N444, "NA")</f>
        <v>-1.8220371295105099E-2</v>
      </c>
      <c r="P249" s="9"/>
      <c r="Q249" s="7">
        <v>1371.16</v>
      </c>
      <c r="R249" s="8">
        <f>IFERROR(Q249/Q444, "NA")</f>
        <v>2.0197800449573259E-2</v>
      </c>
      <c r="S249" s="9"/>
      <c r="T249" s="7">
        <v>0</v>
      </c>
      <c r="U249" s="8">
        <f>IFERROR(T249/T444, "NA")</f>
        <v>0</v>
      </c>
      <c r="V249" s="9"/>
      <c r="W249" s="10">
        <f t="shared" si="66"/>
        <v>-1371.16</v>
      </c>
      <c r="X249" s="8">
        <f>IFERROR(W249/W444, "NA")</f>
        <v>-0.5935397854675476</v>
      </c>
      <c r="Y249" s="9"/>
      <c r="Z249" s="7">
        <v>1297.0899999999999</v>
      </c>
      <c r="AA249" s="8">
        <f>IFERROR(Z249/Z444, "NA")</f>
        <v>2.0323756760470667E-2</v>
      </c>
      <c r="AB249" s="9"/>
      <c r="AC249" s="10">
        <f t="shared" si="67"/>
        <v>-74.070000000000164</v>
      </c>
      <c r="AD249" s="8">
        <f>IFERROR(AC249/AC444, "NA")</f>
        <v>-1.8220371295105099E-2</v>
      </c>
    </row>
    <row r="250" spans="1:30" ht="16.5" hidden="1" customHeight="1" x14ac:dyDescent="0.45">
      <c r="A250" s="12" t="s">
        <v>227</v>
      </c>
      <c r="B250" s="7">
        <v>0</v>
      </c>
      <c r="C250" s="8">
        <f>IFERROR(B250/B444, "NA")</f>
        <v>0</v>
      </c>
      <c r="D250" s="9"/>
      <c r="E250" s="7">
        <v>0</v>
      </c>
      <c r="F250" s="8">
        <f>IFERROR(E250/E444, "NA")</f>
        <v>0</v>
      </c>
      <c r="G250" s="9"/>
      <c r="H250" s="10">
        <f t="shared" si="64"/>
        <v>0</v>
      </c>
      <c r="I250" s="8">
        <f>IFERROR(H250/H444, "NA")</f>
        <v>0</v>
      </c>
      <c r="J250" s="9"/>
      <c r="K250" s="7">
        <v>0</v>
      </c>
      <c r="L250" s="8">
        <f>IFERROR(K250/K444, "NA")</f>
        <v>0</v>
      </c>
      <c r="M250" s="9"/>
      <c r="N250" s="10">
        <f t="shared" si="65"/>
        <v>0</v>
      </c>
      <c r="O250" s="8">
        <f>IFERROR(N250/N444, "NA")</f>
        <v>0</v>
      </c>
      <c r="P250" s="9"/>
      <c r="Q250" s="7">
        <v>0</v>
      </c>
      <c r="R250" s="8">
        <f>IFERROR(Q250/Q444, "NA")</f>
        <v>0</v>
      </c>
      <c r="S250" s="9"/>
      <c r="T250" s="7">
        <v>0</v>
      </c>
      <c r="U250" s="8">
        <f>IFERROR(T250/T444, "NA")</f>
        <v>0</v>
      </c>
      <c r="V250" s="9"/>
      <c r="W250" s="10">
        <f t="shared" si="66"/>
        <v>0</v>
      </c>
      <c r="X250" s="8">
        <f>IFERROR(W250/W444, "NA")</f>
        <v>0</v>
      </c>
      <c r="Y250" s="9"/>
      <c r="Z250" s="7">
        <v>0</v>
      </c>
      <c r="AA250" s="8">
        <f>IFERROR(Z250/Z444, "NA")</f>
        <v>0</v>
      </c>
      <c r="AB250" s="9"/>
      <c r="AC250" s="10">
        <f t="shared" si="67"/>
        <v>0</v>
      </c>
      <c r="AD250" s="8">
        <f>IFERROR(AC250/AC444, "NA")</f>
        <v>0</v>
      </c>
    </row>
    <row r="251" spans="1:30" ht="16.5" customHeight="1" x14ac:dyDescent="0.45">
      <c r="A251" s="12" t="s">
        <v>228</v>
      </c>
      <c r="B251" s="7">
        <v>114.02</v>
      </c>
      <c r="C251" s="8">
        <f>IFERROR(B251/B444, "NA")</f>
        <v>1.6795656285629268E-3</v>
      </c>
      <c r="D251" s="9"/>
      <c r="E251" s="7">
        <v>0</v>
      </c>
      <c r="F251" s="8">
        <f>IFERROR(E251/E444, "NA")</f>
        <v>0</v>
      </c>
      <c r="G251" s="9"/>
      <c r="H251" s="10">
        <f t="shared" si="64"/>
        <v>-114.02</v>
      </c>
      <c r="I251" s="8">
        <f>IFERROR(H251/H444, "NA")</f>
        <v>-4.9356316067424494E-2</v>
      </c>
      <c r="J251" s="9"/>
      <c r="K251" s="7">
        <v>0</v>
      </c>
      <c r="L251" s="8">
        <f>IFERROR(K251/K444, "NA")</f>
        <v>0</v>
      </c>
      <c r="M251" s="9"/>
      <c r="N251" s="10">
        <f t="shared" si="65"/>
        <v>-114.02</v>
      </c>
      <c r="O251" s="8">
        <f>IFERROR(N251/N444, "NA")</f>
        <v>-2.8047613542161183E-2</v>
      </c>
      <c r="P251" s="9"/>
      <c r="Q251" s="7">
        <v>114.02</v>
      </c>
      <c r="R251" s="8">
        <f>IFERROR(Q251/Q444, "NA")</f>
        <v>1.6795656285629268E-3</v>
      </c>
      <c r="S251" s="9"/>
      <c r="T251" s="7">
        <v>0</v>
      </c>
      <c r="U251" s="8">
        <f>IFERROR(T251/T444, "NA")</f>
        <v>0</v>
      </c>
      <c r="V251" s="9"/>
      <c r="W251" s="10">
        <f t="shared" si="66"/>
        <v>-114.02</v>
      </c>
      <c r="X251" s="8">
        <f>IFERROR(W251/W444, "NA")</f>
        <v>-4.9356316067424494E-2</v>
      </c>
      <c r="Y251" s="9"/>
      <c r="Z251" s="7">
        <v>0</v>
      </c>
      <c r="AA251" s="8">
        <f>IFERROR(Z251/Z444, "NA")</f>
        <v>0</v>
      </c>
      <c r="AB251" s="9"/>
      <c r="AC251" s="10">
        <f t="shared" si="67"/>
        <v>-114.02</v>
      </c>
      <c r="AD251" s="8">
        <f>IFERROR(AC251/AC444, "NA")</f>
        <v>-2.8047613542161183E-2</v>
      </c>
    </row>
    <row r="252" spans="1:30" ht="16.5" hidden="1" customHeight="1" x14ac:dyDescent="0.45">
      <c r="A252" s="12" t="s">
        <v>229</v>
      </c>
      <c r="B252" s="7">
        <v>0</v>
      </c>
      <c r="C252" s="8">
        <f>IFERROR(B252/B444, "NA")</f>
        <v>0</v>
      </c>
      <c r="D252" s="9"/>
      <c r="E252" s="7">
        <v>0</v>
      </c>
      <c r="F252" s="8">
        <f>IFERROR(E252/E444, "NA")</f>
        <v>0</v>
      </c>
      <c r="G252" s="9"/>
      <c r="H252" s="10">
        <f t="shared" si="64"/>
        <v>0</v>
      </c>
      <c r="I252" s="8">
        <f>IFERROR(H252/H444, "NA")</f>
        <v>0</v>
      </c>
      <c r="J252" s="9"/>
      <c r="K252" s="7">
        <v>0</v>
      </c>
      <c r="L252" s="8">
        <f>IFERROR(K252/K444, "NA")</f>
        <v>0</v>
      </c>
      <c r="M252" s="9"/>
      <c r="N252" s="10">
        <f t="shared" si="65"/>
        <v>0</v>
      </c>
      <c r="O252" s="8">
        <f>IFERROR(N252/N444, "NA")</f>
        <v>0</v>
      </c>
      <c r="P252" s="9"/>
      <c r="Q252" s="7">
        <v>0</v>
      </c>
      <c r="R252" s="8">
        <f>IFERROR(Q252/Q444, "NA")</f>
        <v>0</v>
      </c>
      <c r="S252" s="9"/>
      <c r="T252" s="7">
        <v>0</v>
      </c>
      <c r="U252" s="8">
        <f>IFERROR(T252/T444, "NA")</f>
        <v>0</v>
      </c>
      <c r="V252" s="9"/>
      <c r="W252" s="10">
        <f t="shared" si="66"/>
        <v>0</v>
      </c>
      <c r="X252" s="8">
        <f>IFERROR(W252/W444, "NA")</f>
        <v>0</v>
      </c>
      <c r="Y252" s="9"/>
      <c r="Z252" s="7">
        <v>0</v>
      </c>
      <c r="AA252" s="8">
        <f>IFERROR(Z252/Z444, "NA")</f>
        <v>0</v>
      </c>
      <c r="AB252" s="9"/>
      <c r="AC252" s="10">
        <f t="shared" si="67"/>
        <v>0</v>
      </c>
      <c r="AD252" s="8">
        <f>IFERROR(AC252/AC444, "NA")</f>
        <v>0</v>
      </c>
    </row>
    <row r="253" spans="1:30" ht="16.5" customHeight="1" x14ac:dyDescent="0.45">
      <c r="A253" s="12" t="s">
        <v>230</v>
      </c>
      <c r="B253" s="7">
        <v>519.42999999999995</v>
      </c>
      <c r="C253" s="8">
        <f>IFERROR(B253/B444, "NA")</f>
        <v>7.6514363659396685E-3</v>
      </c>
      <c r="D253" s="9"/>
      <c r="E253" s="7">
        <v>0</v>
      </c>
      <c r="F253" s="8">
        <f>IFERROR(E253/E444, "NA")</f>
        <v>0</v>
      </c>
      <c r="G253" s="9"/>
      <c r="H253" s="10">
        <f t="shared" si="64"/>
        <v>-519.42999999999995</v>
      </c>
      <c r="I253" s="8">
        <f>IFERROR(H253/H444, "NA")</f>
        <v>-0.2248478447193677</v>
      </c>
      <c r="J253" s="9"/>
      <c r="K253" s="7">
        <v>0</v>
      </c>
      <c r="L253" s="8">
        <f>IFERROR(K253/K444, "NA")</f>
        <v>0</v>
      </c>
      <c r="M253" s="9"/>
      <c r="N253" s="10">
        <f t="shared" si="65"/>
        <v>-519.42999999999995</v>
      </c>
      <c r="O253" s="8">
        <f>IFERROR(N253/N444, "NA")</f>
        <v>-0.12777382829507791</v>
      </c>
      <c r="P253" s="9"/>
      <c r="Q253" s="7">
        <v>519.42999999999995</v>
      </c>
      <c r="R253" s="8">
        <f>IFERROR(Q253/Q444, "NA")</f>
        <v>7.6514363659396685E-3</v>
      </c>
      <c r="S253" s="9"/>
      <c r="T253" s="7">
        <v>0</v>
      </c>
      <c r="U253" s="8">
        <f>IFERROR(T253/T444, "NA")</f>
        <v>0</v>
      </c>
      <c r="V253" s="9"/>
      <c r="W253" s="10">
        <f t="shared" si="66"/>
        <v>-519.42999999999995</v>
      </c>
      <c r="X253" s="8">
        <f>IFERROR(W253/W444, "NA")</f>
        <v>-0.2248478447193677</v>
      </c>
      <c r="Y253" s="9"/>
      <c r="Z253" s="7">
        <v>0</v>
      </c>
      <c r="AA253" s="8">
        <f>IFERROR(Z253/Z444, "NA")</f>
        <v>0</v>
      </c>
      <c r="AB253" s="9"/>
      <c r="AC253" s="10">
        <f t="shared" si="67"/>
        <v>-519.42999999999995</v>
      </c>
      <c r="AD253" s="8">
        <f>IFERROR(AC253/AC444, "NA")</f>
        <v>-0.12777382829507791</v>
      </c>
    </row>
    <row r="254" spans="1:30" ht="16.5" customHeight="1" x14ac:dyDescent="0.45">
      <c r="A254" s="12" t="s">
        <v>231</v>
      </c>
      <c r="B254" s="7">
        <v>0</v>
      </c>
      <c r="C254" s="8">
        <f>IFERROR(B254/B444, "NA")</f>
        <v>0</v>
      </c>
      <c r="D254" s="9"/>
      <c r="E254" s="7">
        <v>0</v>
      </c>
      <c r="F254" s="8">
        <f>IFERROR(E254/E444, "NA")</f>
        <v>0</v>
      </c>
      <c r="G254" s="9"/>
      <c r="H254" s="10">
        <f t="shared" si="64"/>
        <v>0</v>
      </c>
      <c r="I254" s="8">
        <f>IFERROR(H254/H444, "NA")</f>
        <v>0</v>
      </c>
      <c r="J254" s="9"/>
      <c r="K254" s="7">
        <v>80.05</v>
      </c>
      <c r="L254" s="8">
        <f>IFERROR(K254/K444, "NA")</f>
        <v>1.2542820688430849E-3</v>
      </c>
      <c r="M254" s="9"/>
      <c r="N254" s="10">
        <f t="shared" si="65"/>
        <v>80.05</v>
      </c>
      <c r="O254" s="8">
        <f>IFERROR(N254/N444, "NA")</f>
        <v>1.9691382775390308E-2</v>
      </c>
      <c r="P254" s="9"/>
      <c r="Q254" s="7">
        <v>0</v>
      </c>
      <c r="R254" s="8">
        <f>IFERROR(Q254/Q444, "NA")</f>
        <v>0</v>
      </c>
      <c r="S254" s="9"/>
      <c r="T254" s="7">
        <v>0</v>
      </c>
      <c r="U254" s="8">
        <f>IFERROR(T254/T444, "NA")</f>
        <v>0</v>
      </c>
      <c r="V254" s="9"/>
      <c r="W254" s="10">
        <f t="shared" si="66"/>
        <v>0</v>
      </c>
      <c r="X254" s="8">
        <f>IFERROR(W254/W444, "NA")</f>
        <v>0</v>
      </c>
      <c r="Y254" s="9"/>
      <c r="Z254" s="7">
        <v>80.05</v>
      </c>
      <c r="AA254" s="8">
        <f>IFERROR(Z254/Z444, "NA")</f>
        <v>1.2542820688430849E-3</v>
      </c>
      <c r="AB254" s="9"/>
      <c r="AC254" s="10">
        <f t="shared" si="67"/>
        <v>80.05</v>
      </c>
      <c r="AD254" s="8">
        <f>IFERROR(AC254/AC444, "NA")</f>
        <v>1.9691382775390308E-2</v>
      </c>
    </row>
    <row r="255" spans="1:30" ht="16.5" hidden="1" customHeight="1" x14ac:dyDescent="0.45">
      <c r="A255" s="12" t="s">
        <v>232</v>
      </c>
      <c r="B255" s="7">
        <v>0</v>
      </c>
      <c r="C255" s="8">
        <f>IFERROR(B255/B444, "NA")</f>
        <v>0</v>
      </c>
      <c r="D255" s="9"/>
      <c r="E255" s="7">
        <v>0</v>
      </c>
      <c r="F255" s="8">
        <f>IFERROR(E255/E444, "NA")</f>
        <v>0</v>
      </c>
      <c r="G255" s="9"/>
      <c r="H255" s="10">
        <f t="shared" si="64"/>
        <v>0</v>
      </c>
      <c r="I255" s="8">
        <f>IFERROR(H255/H444, "NA")</f>
        <v>0</v>
      </c>
      <c r="J255" s="9"/>
      <c r="K255" s="7">
        <v>0</v>
      </c>
      <c r="L255" s="8">
        <f>IFERROR(K255/K444, "NA")</f>
        <v>0</v>
      </c>
      <c r="M255" s="9"/>
      <c r="N255" s="10">
        <f t="shared" si="65"/>
        <v>0</v>
      </c>
      <c r="O255" s="8">
        <f>IFERROR(N255/N444, "NA")</f>
        <v>0</v>
      </c>
      <c r="P255" s="9"/>
      <c r="Q255" s="7">
        <v>0</v>
      </c>
      <c r="R255" s="8">
        <f>IFERROR(Q255/Q444, "NA")</f>
        <v>0</v>
      </c>
      <c r="S255" s="9"/>
      <c r="T255" s="7">
        <v>0</v>
      </c>
      <c r="U255" s="8">
        <f>IFERROR(T255/T444, "NA")</f>
        <v>0</v>
      </c>
      <c r="V255" s="9"/>
      <c r="W255" s="10">
        <f t="shared" si="66"/>
        <v>0</v>
      </c>
      <c r="X255" s="8">
        <f>IFERROR(W255/W444, "NA")</f>
        <v>0</v>
      </c>
      <c r="Y255" s="9"/>
      <c r="Z255" s="7">
        <v>0</v>
      </c>
      <c r="AA255" s="8">
        <f>IFERROR(Z255/Z444, "NA")</f>
        <v>0</v>
      </c>
      <c r="AB255" s="9"/>
      <c r="AC255" s="10">
        <f t="shared" si="67"/>
        <v>0</v>
      </c>
      <c r="AD255" s="8">
        <f>IFERROR(AC255/AC444, "NA")</f>
        <v>0</v>
      </c>
    </row>
    <row r="256" spans="1:30" ht="16.5" hidden="1" customHeight="1" x14ac:dyDescent="0.45">
      <c r="A256" s="12" t="s">
        <v>233</v>
      </c>
      <c r="B256" s="7">
        <v>0</v>
      </c>
      <c r="C256" s="8">
        <f>IFERROR(B256/B444, "NA")</f>
        <v>0</v>
      </c>
      <c r="D256" s="9"/>
      <c r="E256" s="7">
        <v>0</v>
      </c>
      <c r="F256" s="8">
        <f>IFERROR(E256/E444, "NA")</f>
        <v>0</v>
      </c>
      <c r="G256" s="9"/>
      <c r="H256" s="10">
        <f t="shared" si="64"/>
        <v>0</v>
      </c>
      <c r="I256" s="8">
        <f>IFERROR(H256/H444, "NA")</f>
        <v>0</v>
      </c>
      <c r="J256" s="9"/>
      <c r="K256" s="7">
        <v>0</v>
      </c>
      <c r="L256" s="8">
        <f>IFERROR(K256/K444, "NA")</f>
        <v>0</v>
      </c>
      <c r="M256" s="9"/>
      <c r="N256" s="10">
        <f t="shared" si="65"/>
        <v>0</v>
      </c>
      <c r="O256" s="8">
        <f>IFERROR(N256/N444, "NA")</f>
        <v>0</v>
      </c>
      <c r="P256" s="9"/>
      <c r="Q256" s="7">
        <v>0</v>
      </c>
      <c r="R256" s="8">
        <f>IFERROR(Q256/Q444, "NA")</f>
        <v>0</v>
      </c>
      <c r="S256" s="9"/>
      <c r="T256" s="7">
        <v>0</v>
      </c>
      <c r="U256" s="8">
        <f>IFERROR(T256/T444, "NA")</f>
        <v>0</v>
      </c>
      <c r="V256" s="9"/>
      <c r="W256" s="10">
        <f t="shared" si="66"/>
        <v>0</v>
      </c>
      <c r="X256" s="8">
        <f>IFERROR(W256/W444, "NA")</f>
        <v>0</v>
      </c>
      <c r="Y256" s="9"/>
      <c r="Z256" s="7">
        <v>0</v>
      </c>
      <c r="AA256" s="8">
        <f>IFERROR(Z256/Z444, "NA")</f>
        <v>0</v>
      </c>
      <c r="AB256" s="9"/>
      <c r="AC256" s="10">
        <f t="shared" si="67"/>
        <v>0</v>
      </c>
      <c r="AD256" s="8">
        <f>IFERROR(AC256/AC444, "NA")</f>
        <v>0</v>
      </c>
    </row>
    <row r="257" spans="1:30" ht="16.5" hidden="1" customHeight="1" x14ac:dyDescent="0.45">
      <c r="A257" s="12" t="s">
        <v>234</v>
      </c>
      <c r="B257" s="7">
        <v>0</v>
      </c>
      <c r="C257" s="8">
        <f>IFERROR(B257/B444, "NA")</f>
        <v>0</v>
      </c>
      <c r="D257" s="9"/>
      <c r="E257" s="7">
        <v>0</v>
      </c>
      <c r="F257" s="8">
        <f>IFERROR(E257/E444, "NA")</f>
        <v>0</v>
      </c>
      <c r="G257" s="9"/>
      <c r="H257" s="10">
        <f t="shared" si="64"/>
        <v>0</v>
      </c>
      <c r="I257" s="8">
        <f>IFERROR(H257/H444, "NA")</f>
        <v>0</v>
      </c>
      <c r="J257" s="9"/>
      <c r="K257" s="7">
        <v>0</v>
      </c>
      <c r="L257" s="8">
        <f>IFERROR(K257/K444, "NA")</f>
        <v>0</v>
      </c>
      <c r="M257" s="9"/>
      <c r="N257" s="10">
        <f t="shared" si="65"/>
        <v>0</v>
      </c>
      <c r="O257" s="8">
        <f>IFERROR(N257/N444, "NA")</f>
        <v>0</v>
      </c>
      <c r="P257" s="9"/>
      <c r="Q257" s="7">
        <v>0</v>
      </c>
      <c r="R257" s="8">
        <f>IFERROR(Q257/Q444, "NA")</f>
        <v>0</v>
      </c>
      <c r="S257" s="9"/>
      <c r="T257" s="7">
        <v>0</v>
      </c>
      <c r="U257" s="8">
        <f>IFERROR(T257/T444, "NA")</f>
        <v>0</v>
      </c>
      <c r="V257" s="9"/>
      <c r="W257" s="10">
        <f t="shared" si="66"/>
        <v>0</v>
      </c>
      <c r="X257" s="8">
        <f>IFERROR(W257/W444, "NA")</f>
        <v>0</v>
      </c>
      <c r="Y257" s="9"/>
      <c r="Z257" s="7">
        <v>0</v>
      </c>
      <c r="AA257" s="8">
        <f>IFERROR(Z257/Z444, "NA")</f>
        <v>0</v>
      </c>
      <c r="AB257" s="9"/>
      <c r="AC257" s="10">
        <f t="shared" si="67"/>
        <v>0</v>
      </c>
      <c r="AD257" s="8">
        <f>IFERROR(AC257/AC444, "NA")</f>
        <v>0</v>
      </c>
    </row>
    <row r="258" spans="1:30" ht="16.5" hidden="1" customHeight="1" x14ac:dyDescent="0.45">
      <c r="A258" s="12" t="s">
        <v>235</v>
      </c>
      <c r="B258" s="7">
        <v>0</v>
      </c>
      <c r="C258" s="8">
        <f>IFERROR(B258/B444, "NA")</f>
        <v>0</v>
      </c>
      <c r="D258" s="9"/>
      <c r="E258" s="7">
        <v>0</v>
      </c>
      <c r="F258" s="8">
        <f>IFERROR(E258/E444, "NA")</f>
        <v>0</v>
      </c>
      <c r="G258" s="9"/>
      <c r="H258" s="10">
        <f t="shared" si="64"/>
        <v>0</v>
      </c>
      <c r="I258" s="8">
        <f>IFERROR(H258/H444, "NA")</f>
        <v>0</v>
      </c>
      <c r="J258" s="9"/>
      <c r="K258" s="7">
        <v>0</v>
      </c>
      <c r="L258" s="8">
        <f>IFERROR(K258/K444, "NA")</f>
        <v>0</v>
      </c>
      <c r="M258" s="9"/>
      <c r="N258" s="10">
        <f t="shared" si="65"/>
        <v>0</v>
      </c>
      <c r="O258" s="8">
        <f>IFERROR(N258/N444, "NA")</f>
        <v>0</v>
      </c>
      <c r="P258" s="9"/>
      <c r="Q258" s="7">
        <v>0</v>
      </c>
      <c r="R258" s="8">
        <f>IFERROR(Q258/Q444, "NA")</f>
        <v>0</v>
      </c>
      <c r="S258" s="9"/>
      <c r="T258" s="7">
        <v>0</v>
      </c>
      <c r="U258" s="8">
        <f>IFERROR(T258/T444, "NA")</f>
        <v>0</v>
      </c>
      <c r="V258" s="9"/>
      <c r="W258" s="10">
        <f t="shared" si="66"/>
        <v>0</v>
      </c>
      <c r="X258" s="8">
        <f>IFERROR(W258/W444, "NA")</f>
        <v>0</v>
      </c>
      <c r="Y258" s="9"/>
      <c r="Z258" s="7">
        <v>0</v>
      </c>
      <c r="AA258" s="8">
        <f>IFERROR(Z258/Z444, "NA")</f>
        <v>0</v>
      </c>
      <c r="AB258" s="9"/>
      <c r="AC258" s="10">
        <f t="shared" si="67"/>
        <v>0</v>
      </c>
      <c r="AD258" s="8">
        <f>IFERROR(AC258/AC444, "NA")</f>
        <v>0</v>
      </c>
    </row>
    <row r="259" spans="1:30" ht="16.5" hidden="1" customHeight="1" x14ac:dyDescent="0.45">
      <c r="A259" s="12" t="s">
        <v>236</v>
      </c>
      <c r="B259" s="7">
        <v>0</v>
      </c>
      <c r="C259" s="8">
        <f>IFERROR(B259/B444, "NA")</f>
        <v>0</v>
      </c>
      <c r="D259" s="9"/>
      <c r="E259" s="7">
        <v>0</v>
      </c>
      <c r="F259" s="8">
        <f>IFERROR(E259/E444, "NA")</f>
        <v>0</v>
      </c>
      <c r="G259" s="9"/>
      <c r="H259" s="10">
        <f t="shared" si="64"/>
        <v>0</v>
      </c>
      <c r="I259" s="8">
        <f>IFERROR(H259/H444, "NA")</f>
        <v>0</v>
      </c>
      <c r="J259" s="9"/>
      <c r="K259" s="7">
        <v>0</v>
      </c>
      <c r="L259" s="8">
        <f>IFERROR(K259/K444, "NA")</f>
        <v>0</v>
      </c>
      <c r="M259" s="9"/>
      <c r="N259" s="10">
        <f t="shared" si="65"/>
        <v>0</v>
      </c>
      <c r="O259" s="8">
        <f>IFERROR(N259/N444, "NA")</f>
        <v>0</v>
      </c>
      <c r="P259" s="9"/>
      <c r="Q259" s="7">
        <v>0</v>
      </c>
      <c r="R259" s="8">
        <f>IFERROR(Q259/Q444, "NA")</f>
        <v>0</v>
      </c>
      <c r="S259" s="9"/>
      <c r="T259" s="7">
        <v>0</v>
      </c>
      <c r="U259" s="8">
        <f>IFERROR(T259/T444, "NA")</f>
        <v>0</v>
      </c>
      <c r="V259" s="9"/>
      <c r="W259" s="10">
        <f t="shared" si="66"/>
        <v>0</v>
      </c>
      <c r="X259" s="8">
        <f>IFERROR(W259/W444, "NA")</f>
        <v>0</v>
      </c>
      <c r="Y259" s="9"/>
      <c r="Z259" s="7">
        <v>0</v>
      </c>
      <c r="AA259" s="8">
        <f>IFERROR(Z259/Z444, "NA")</f>
        <v>0</v>
      </c>
      <c r="AB259" s="9"/>
      <c r="AC259" s="10">
        <f t="shared" si="67"/>
        <v>0</v>
      </c>
      <c r="AD259" s="8">
        <f>IFERROR(AC259/AC444, "NA")</f>
        <v>0</v>
      </c>
    </row>
    <row r="260" spans="1:30" ht="16.5" customHeight="1" x14ac:dyDescent="0.45">
      <c r="A260" s="12" t="s">
        <v>237</v>
      </c>
      <c r="B260" s="7">
        <v>1090.5</v>
      </c>
      <c r="C260" s="8">
        <f>IFERROR(B260/B444, "NA")</f>
        <v>1.6063553042868547E-2</v>
      </c>
      <c r="D260" s="9"/>
      <c r="E260" s="7">
        <v>0</v>
      </c>
      <c r="F260" s="8">
        <f>IFERROR(E260/E444, "NA")</f>
        <v>0</v>
      </c>
      <c r="G260" s="9"/>
      <c r="H260" s="10">
        <f t="shared" si="64"/>
        <v>-1090.5</v>
      </c>
      <c r="I260" s="8">
        <f>IFERROR(H260/H444, "NA")</f>
        <v>-0.47204931302864772</v>
      </c>
      <c r="J260" s="9"/>
      <c r="K260" s="7">
        <v>0</v>
      </c>
      <c r="L260" s="8">
        <f>IFERROR(K260/K444, "NA")</f>
        <v>0</v>
      </c>
      <c r="M260" s="9"/>
      <c r="N260" s="10">
        <f t="shared" si="65"/>
        <v>-1090.5</v>
      </c>
      <c r="O260" s="8">
        <f>IFERROR(N260/N444, "NA")</f>
        <v>-0.26825050489148194</v>
      </c>
      <c r="P260" s="9"/>
      <c r="Q260" s="7">
        <v>1090.5</v>
      </c>
      <c r="R260" s="8">
        <f>IFERROR(Q260/Q444, "NA")</f>
        <v>1.6063553042868547E-2</v>
      </c>
      <c r="S260" s="9"/>
      <c r="T260" s="7">
        <v>0</v>
      </c>
      <c r="U260" s="8">
        <f>IFERROR(T260/T444, "NA")</f>
        <v>0</v>
      </c>
      <c r="V260" s="9"/>
      <c r="W260" s="10">
        <f t="shared" si="66"/>
        <v>-1090.5</v>
      </c>
      <c r="X260" s="8">
        <f>IFERROR(W260/W444, "NA")</f>
        <v>-0.47204931302864772</v>
      </c>
      <c r="Y260" s="9"/>
      <c r="Z260" s="7">
        <v>0</v>
      </c>
      <c r="AA260" s="8">
        <f>IFERROR(Z260/Z444, "NA")</f>
        <v>0</v>
      </c>
      <c r="AB260" s="9"/>
      <c r="AC260" s="10">
        <f t="shared" si="67"/>
        <v>-1090.5</v>
      </c>
      <c r="AD260" s="8">
        <f>IFERROR(AC260/AC444, "NA")</f>
        <v>-0.26825050489148194</v>
      </c>
    </row>
    <row r="261" spans="1:30" ht="16.5" hidden="1" customHeight="1" x14ac:dyDescent="0.45">
      <c r="A261" s="12" t="s">
        <v>238</v>
      </c>
      <c r="B261" s="7">
        <v>0</v>
      </c>
      <c r="C261" s="8">
        <f>IFERROR(B261/B444, "NA")</f>
        <v>0</v>
      </c>
      <c r="D261" s="9"/>
      <c r="E261" s="7">
        <v>0</v>
      </c>
      <c r="F261" s="8">
        <f>IFERROR(E261/E444, "NA")</f>
        <v>0</v>
      </c>
      <c r="G261" s="9"/>
      <c r="H261" s="10">
        <f t="shared" si="64"/>
        <v>0</v>
      </c>
      <c r="I261" s="8">
        <f>IFERROR(H261/H444, "NA")</f>
        <v>0</v>
      </c>
      <c r="J261" s="9"/>
      <c r="K261" s="7">
        <v>0</v>
      </c>
      <c r="L261" s="8">
        <f>IFERROR(K261/K444, "NA")</f>
        <v>0</v>
      </c>
      <c r="M261" s="9"/>
      <c r="N261" s="10">
        <f t="shared" si="65"/>
        <v>0</v>
      </c>
      <c r="O261" s="8">
        <f>IFERROR(N261/N444, "NA")</f>
        <v>0</v>
      </c>
      <c r="P261" s="9"/>
      <c r="Q261" s="7">
        <v>0</v>
      </c>
      <c r="R261" s="8">
        <f>IFERROR(Q261/Q444, "NA")</f>
        <v>0</v>
      </c>
      <c r="S261" s="9"/>
      <c r="T261" s="7">
        <v>0</v>
      </c>
      <c r="U261" s="8">
        <f>IFERROR(T261/T444, "NA")</f>
        <v>0</v>
      </c>
      <c r="V261" s="9"/>
      <c r="W261" s="10">
        <f t="shared" si="66"/>
        <v>0</v>
      </c>
      <c r="X261" s="8">
        <f>IFERROR(W261/W444, "NA")</f>
        <v>0</v>
      </c>
      <c r="Y261" s="9"/>
      <c r="Z261" s="7">
        <v>0</v>
      </c>
      <c r="AA261" s="8">
        <f>IFERROR(Z261/Z444, "NA")</f>
        <v>0</v>
      </c>
      <c r="AB261" s="9"/>
      <c r="AC261" s="10">
        <f t="shared" si="67"/>
        <v>0</v>
      </c>
      <c r="AD261" s="8">
        <f>IFERROR(AC261/AC444, "NA")</f>
        <v>0</v>
      </c>
    </row>
    <row r="262" spans="1:30" ht="16.5" customHeight="1" x14ac:dyDescent="0.45">
      <c r="A262" s="13" t="s">
        <v>239</v>
      </c>
      <c r="B262" s="14">
        <f>IFERROR(B240+B241+B242+B243+B244+B245+B246+B247+B248+B249+B250+B251+B252+B253+B254+B255+B256+B257+B258+B259+B260+B261, "NA")</f>
        <v>5196.58</v>
      </c>
      <c r="C262" s="15">
        <f>IFERROR(B262/B444, "NA")</f>
        <v>7.6547949079788929E-2</v>
      </c>
      <c r="D262" s="2"/>
      <c r="E262" s="14">
        <f>IFERROR(E240+E241+E242+E243+E244+E245+E246+E247+E248+E249+E250+E251+E252+E253+E254+E255+E256+E257+E258+E259+E260+E261, "NA")</f>
        <v>3541.13</v>
      </c>
      <c r="F262" s="15">
        <f>IFERROR(E262/E444, "NA")</f>
        <v>5.4000017689274468E-2</v>
      </c>
      <c r="G262" s="2"/>
      <c r="H262" s="14">
        <f t="shared" si="64"/>
        <v>-1655.4499999999998</v>
      </c>
      <c r="I262" s="15">
        <f>IFERROR(H262/H444, "NA")</f>
        <v>-0.71660159124555234</v>
      </c>
      <c r="J262" s="2"/>
      <c r="K262" s="14">
        <f>IFERROR(K240+K241+K242+K243+K244+K245+K246+K247+K248+K249+K250+K251+K252+K253+K254+K255+K256+K257+K258+K259+K260+K261, "NA")</f>
        <v>4380.1000000000004</v>
      </c>
      <c r="L262" s="15">
        <f>IFERROR(K262/K444, "NA")</f>
        <v>6.8630616986128629E-2</v>
      </c>
      <c r="M262" s="2"/>
      <c r="N262" s="14">
        <f t="shared" si="65"/>
        <v>-816.47999999999956</v>
      </c>
      <c r="O262" s="15">
        <f>IFERROR(N262/N444, "NA")</f>
        <v>-0.2008447246527254</v>
      </c>
      <c r="P262" s="2"/>
      <c r="Q262" s="14">
        <f>IFERROR(Q240+Q241+Q242+Q243+Q244+Q245+Q246+Q247+Q248+Q249+Q250+Q251+Q252+Q253+Q254+Q255+Q256+Q257+Q258+Q259+Q260+Q261, "NA")</f>
        <v>5196.58</v>
      </c>
      <c r="R262" s="15">
        <f>IFERROR(Q262/Q444, "NA")</f>
        <v>7.6547949079788929E-2</v>
      </c>
      <c r="S262" s="2"/>
      <c r="T262" s="14">
        <f>IFERROR(T240+T241+T242+T243+T244+T245+T246+T247+T248+T249+T250+T251+T252+T253+T254+T255+T256+T257+T258+T259+T260+T261, "NA")</f>
        <v>3541.13</v>
      </c>
      <c r="U262" s="15">
        <f>IFERROR(T262/T444, "NA")</f>
        <v>5.4000017689274468E-2</v>
      </c>
      <c r="V262" s="2"/>
      <c r="W262" s="14">
        <f t="shared" si="66"/>
        <v>-1655.4499999999998</v>
      </c>
      <c r="X262" s="15">
        <f>IFERROR(W262/W444, "NA")</f>
        <v>-0.71660159124555234</v>
      </c>
      <c r="Y262" s="2"/>
      <c r="Z262" s="14">
        <f>IFERROR(Z240+Z241+Z242+Z243+Z244+Z245+Z246+Z247+Z248+Z249+Z250+Z251+Z252+Z253+Z254+Z255+Z256+Z257+Z258+Z259+Z260+Z261, "NA")</f>
        <v>4380.1000000000004</v>
      </c>
      <c r="AA262" s="15">
        <f>IFERROR(Z262/Z444, "NA")</f>
        <v>6.8630616986128629E-2</v>
      </c>
      <c r="AB262" s="2"/>
      <c r="AC262" s="14">
        <f t="shared" si="67"/>
        <v>-816.47999999999956</v>
      </c>
      <c r="AD262" s="15">
        <f>IFERROR(AC262/AC444, "NA")</f>
        <v>-0.2008447246527254</v>
      </c>
    </row>
    <row r="263" spans="1:30" ht="16.5" customHeight="1" x14ac:dyDescent="0.45">
      <c r="A263" s="19" t="s">
        <v>240</v>
      </c>
      <c r="B263" s="14">
        <f>IFERROR(B238+B240+B241+B242+B243+B244+B245+B246+B247+B248+B249+B250+B251+B252+B253+B254+B255+B256+B257+B258+B259+B260+B261, "NA")</f>
        <v>5196.58</v>
      </c>
      <c r="C263" s="15">
        <f>IFERROR(B263/B444, "NA")</f>
        <v>7.6547949079788929E-2</v>
      </c>
      <c r="D263" s="2"/>
      <c r="E263" s="14">
        <f>IFERROR(E238+E240+E241+E242+E243+E244+E245+E246+E247+E248+E249+E250+E251+E252+E253+E254+E255+E256+E257+E258+E259+E260+E261, "NA")</f>
        <v>3541.13</v>
      </c>
      <c r="F263" s="15">
        <f>IFERROR(E263/E444, "NA")</f>
        <v>5.4000017689274468E-2</v>
      </c>
      <c r="G263" s="2"/>
      <c r="H263" s="14">
        <f t="shared" si="64"/>
        <v>-1655.4499999999998</v>
      </c>
      <c r="I263" s="15">
        <f>IFERROR(H263/H444, "NA")</f>
        <v>-0.71660159124555234</v>
      </c>
      <c r="J263" s="2"/>
      <c r="K263" s="14">
        <f>IFERROR(K238+K240+K241+K242+K243+K244+K245+K246+K247+K248+K249+K250+K251+K252+K253+K254+K255+K256+K257+K258+K259+K260+K261, "NA")</f>
        <v>4380.1000000000004</v>
      </c>
      <c r="L263" s="15">
        <f>IFERROR(K263/K444, "NA")</f>
        <v>6.8630616986128629E-2</v>
      </c>
      <c r="M263" s="2"/>
      <c r="N263" s="14">
        <f t="shared" si="65"/>
        <v>-816.47999999999956</v>
      </c>
      <c r="O263" s="15">
        <f>IFERROR(N263/N444, "NA")</f>
        <v>-0.2008447246527254</v>
      </c>
      <c r="P263" s="2"/>
      <c r="Q263" s="14">
        <f>IFERROR(Q238+Q240+Q241+Q242+Q243+Q244+Q245+Q246+Q247+Q248+Q249+Q250+Q251+Q252+Q253+Q254+Q255+Q256+Q257+Q258+Q259+Q260+Q261, "NA")</f>
        <v>5196.58</v>
      </c>
      <c r="R263" s="15">
        <f>IFERROR(Q263/Q444, "NA")</f>
        <v>7.6547949079788929E-2</v>
      </c>
      <c r="S263" s="2"/>
      <c r="T263" s="14">
        <f>IFERROR(T238+T240+T241+T242+T243+T244+T245+T246+T247+T248+T249+T250+T251+T252+T253+T254+T255+T256+T257+T258+T259+T260+T261, "NA")</f>
        <v>3541.13</v>
      </c>
      <c r="U263" s="15">
        <f>IFERROR(T263/T444, "NA")</f>
        <v>5.4000017689274468E-2</v>
      </c>
      <c r="V263" s="2"/>
      <c r="W263" s="14">
        <f t="shared" si="66"/>
        <v>-1655.4499999999998</v>
      </c>
      <c r="X263" s="15">
        <f>IFERROR(W263/W444, "NA")</f>
        <v>-0.71660159124555234</v>
      </c>
      <c r="Y263" s="2"/>
      <c r="Z263" s="14">
        <f>IFERROR(Z238+Z240+Z241+Z242+Z243+Z244+Z245+Z246+Z247+Z248+Z249+Z250+Z251+Z252+Z253+Z254+Z255+Z256+Z257+Z258+Z259+Z260+Z261, "NA")</f>
        <v>4380.1000000000004</v>
      </c>
      <c r="AA263" s="15">
        <f>IFERROR(Z263/Z444, "NA")</f>
        <v>6.8630616986128629E-2</v>
      </c>
      <c r="AB263" s="2"/>
      <c r="AC263" s="14">
        <f t="shared" si="67"/>
        <v>-816.47999999999956</v>
      </c>
      <c r="AD263" s="15">
        <f>IFERROR(AC263/AC444, "NA")</f>
        <v>-0.2008447246527254</v>
      </c>
    </row>
    <row r="264" spans="1:30" ht="16.5" customHeight="1" x14ac:dyDescent="0.45">
      <c r="A264" s="5" t="s">
        <v>241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  <c r="Y264" s="4"/>
      <c r="Z264" s="2"/>
      <c r="AA264" s="3"/>
      <c r="AB264" s="4"/>
      <c r="AC264" s="2"/>
      <c r="AD264" s="3"/>
    </row>
    <row r="265" spans="1:30" ht="16.5" customHeight="1" x14ac:dyDescent="0.45">
      <c r="A265" s="6" t="s">
        <v>241</v>
      </c>
      <c r="B265" s="7">
        <v>1629.9</v>
      </c>
      <c r="C265" s="8">
        <f>IFERROR(B265/B444, "NA")</f>
        <v>2.4009156446191147E-2</v>
      </c>
      <c r="D265" s="9"/>
      <c r="E265" s="7">
        <v>1770.56</v>
      </c>
      <c r="F265" s="8">
        <f>IFERROR(E265/E444, "NA")</f>
        <v>2.6999932597764498E-2</v>
      </c>
      <c r="G265" s="9"/>
      <c r="H265" s="10">
        <f>IFERROR(-(B265-E265), "NA")</f>
        <v>140.65999999999985</v>
      </c>
      <c r="I265" s="8">
        <f>IFERROR(H265/H444, "NA")</f>
        <v>6.0888084704823035E-2</v>
      </c>
      <c r="J265" s="9"/>
      <c r="K265" s="7">
        <v>1674.14</v>
      </c>
      <c r="L265" s="8">
        <f>IFERROR(K265/K444, "NA")</f>
        <v>2.6231652501348686E-2</v>
      </c>
      <c r="M265" s="9"/>
      <c r="N265" s="10">
        <f>IFERROR(-(B265-K265), "NA")</f>
        <v>44.240000000000009</v>
      </c>
      <c r="O265" s="8">
        <f>IFERROR(N265/N444, "NA")</f>
        <v>1.0882533091608587E-2</v>
      </c>
      <c r="P265" s="9"/>
      <c r="Q265" s="7">
        <v>1629.9</v>
      </c>
      <c r="R265" s="8">
        <f>IFERROR(Q265/Q444, "NA")</f>
        <v>2.4009156446191147E-2</v>
      </c>
      <c r="S265" s="9"/>
      <c r="T265" s="7">
        <v>1770.56</v>
      </c>
      <c r="U265" s="8">
        <f>IFERROR(T265/T444, "NA")</f>
        <v>2.6999932597764498E-2</v>
      </c>
      <c r="V265" s="9"/>
      <c r="W265" s="10">
        <f>IFERROR(-(Q265-T265), "NA")</f>
        <v>140.65999999999985</v>
      </c>
      <c r="X265" s="8">
        <f>IFERROR(W265/W444, "NA")</f>
        <v>6.0888084704823035E-2</v>
      </c>
      <c r="Y265" s="9"/>
      <c r="Z265" s="7">
        <v>1674.14</v>
      </c>
      <c r="AA265" s="8">
        <f>IFERROR(Z265/Z444, "NA")</f>
        <v>2.6231652501348686E-2</v>
      </c>
      <c r="AB265" s="9"/>
      <c r="AC265" s="10">
        <f>IFERROR(-(Q265-Z265), "NA")</f>
        <v>44.240000000000009</v>
      </c>
      <c r="AD265" s="8">
        <f>IFERROR(AC265/AC444, "NA")</f>
        <v>1.0882533091608587E-2</v>
      </c>
    </row>
    <row r="266" spans="1:30" ht="16.5" hidden="1" customHeight="1" x14ac:dyDescent="0.45">
      <c r="A266" s="6" t="s">
        <v>242</v>
      </c>
      <c r="B266" s="7">
        <v>0</v>
      </c>
      <c r="C266" s="8">
        <f>IFERROR(B266/B444, "NA")</f>
        <v>0</v>
      </c>
      <c r="D266" s="9"/>
      <c r="E266" s="7">
        <v>0</v>
      </c>
      <c r="F266" s="8">
        <f>IFERROR(E266/E444, "NA")</f>
        <v>0</v>
      </c>
      <c r="G266" s="9"/>
      <c r="H266" s="10">
        <f>IFERROR(-(B266-E266), "NA")</f>
        <v>0</v>
      </c>
      <c r="I266" s="8">
        <f>IFERROR(H266/H444, "NA")</f>
        <v>0</v>
      </c>
      <c r="J266" s="9"/>
      <c r="K266" s="7">
        <v>0</v>
      </c>
      <c r="L266" s="8">
        <f>IFERROR(K266/K444, "NA")</f>
        <v>0</v>
      </c>
      <c r="M266" s="9"/>
      <c r="N266" s="10">
        <f>IFERROR(-(B266-K266), "NA")</f>
        <v>0</v>
      </c>
      <c r="O266" s="8">
        <f>IFERROR(N266/N444, "NA")</f>
        <v>0</v>
      </c>
      <c r="P266" s="9"/>
      <c r="Q266" s="7">
        <v>0</v>
      </c>
      <c r="R266" s="8">
        <f>IFERROR(Q266/Q444, "NA")</f>
        <v>0</v>
      </c>
      <c r="S266" s="9"/>
      <c r="T266" s="7">
        <v>0</v>
      </c>
      <c r="U266" s="8">
        <f>IFERROR(T266/T444, "NA")</f>
        <v>0</v>
      </c>
      <c r="V266" s="9"/>
      <c r="W266" s="10">
        <f>IFERROR(-(Q266-T266), "NA")</f>
        <v>0</v>
      </c>
      <c r="X266" s="8">
        <f>IFERROR(W266/W444, "NA")</f>
        <v>0</v>
      </c>
      <c r="Y266" s="9"/>
      <c r="Z266" s="7">
        <v>0</v>
      </c>
      <c r="AA266" s="8">
        <f>IFERROR(Z266/Z444, "NA")</f>
        <v>0</v>
      </c>
      <c r="AB266" s="9"/>
      <c r="AC266" s="10">
        <f>IFERROR(-(Q266-Z266), "NA")</f>
        <v>0</v>
      </c>
      <c r="AD266" s="8">
        <f>IFERROR(AC266/AC444, "NA")</f>
        <v>0</v>
      </c>
    </row>
    <row r="267" spans="1:30" ht="16.5" customHeight="1" x14ac:dyDescent="0.45">
      <c r="A267" s="19" t="s">
        <v>243</v>
      </c>
      <c r="B267" s="14">
        <f>IFERROR(B265+B266, "NA")</f>
        <v>1629.9</v>
      </c>
      <c r="C267" s="15">
        <f>IFERROR(B267/B444, "NA")</f>
        <v>2.4009156446191147E-2</v>
      </c>
      <c r="D267" s="2"/>
      <c r="E267" s="14">
        <f>IFERROR(E265+E266, "NA")</f>
        <v>1770.56</v>
      </c>
      <c r="F267" s="15">
        <f>IFERROR(E267/E444, "NA")</f>
        <v>2.6999932597764498E-2</v>
      </c>
      <c r="G267" s="2"/>
      <c r="H267" s="14">
        <f>IFERROR(-(B267-E267), "NA")</f>
        <v>140.65999999999985</v>
      </c>
      <c r="I267" s="15">
        <f>IFERROR(H267/H444, "NA")</f>
        <v>6.0888084704823035E-2</v>
      </c>
      <c r="J267" s="2"/>
      <c r="K267" s="14">
        <f>IFERROR(K265+K266, "NA")</f>
        <v>1674.14</v>
      </c>
      <c r="L267" s="15">
        <f>IFERROR(K267/K444, "NA")</f>
        <v>2.6231652501348686E-2</v>
      </c>
      <c r="M267" s="2"/>
      <c r="N267" s="14">
        <f>IFERROR(-(B267-K267), "NA")</f>
        <v>44.240000000000009</v>
      </c>
      <c r="O267" s="15">
        <f>IFERROR(N267/N444, "NA")</f>
        <v>1.0882533091608587E-2</v>
      </c>
      <c r="P267" s="2"/>
      <c r="Q267" s="14">
        <f>IFERROR(Q265+Q266, "NA")</f>
        <v>1629.9</v>
      </c>
      <c r="R267" s="15">
        <f>IFERROR(Q267/Q444, "NA")</f>
        <v>2.4009156446191147E-2</v>
      </c>
      <c r="S267" s="2"/>
      <c r="T267" s="14">
        <f>IFERROR(T265+T266, "NA")</f>
        <v>1770.56</v>
      </c>
      <c r="U267" s="15">
        <f>IFERROR(T267/T444, "NA")</f>
        <v>2.6999932597764498E-2</v>
      </c>
      <c r="V267" s="2"/>
      <c r="W267" s="14">
        <f>IFERROR(-(Q267-T267), "NA")</f>
        <v>140.65999999999985</v>
      </c>
      <c r="X267" s="15">
        <f>IFERROR(W267/W444, "NA")</f>
        <v>6.0888084704823035E-2</v>
      </c>
      <c r="Y267" s="2"/>
      <c r="Z267" s="14">
        <f>IFERROR(Z265+Z266, "NA")</f>
        <v>1674.14</v>
      </c>
      <c r="AA267" s="15">
        <f>IFERROR(Z267/Z444, "NA")</f>
        <v>2.6231652501348686E-2</v>
      </c>
      <c r="AB267" s="2"/>
      <c r="AC267" s="14">
        <f>IFERROR(-(Q267-Z267), "NA")</f>
        <v>44.240000000000009</v>
      </c>
      <c r="AD267" s="15">
        <f>IFERROR(AC267/AC444, "NA")</f>
        <v>1.0882533091608587E-2</v>
      </c>
    </row>
    <row r="268" spans="1:30" ht="16.5" customHeight="1" x14ac:dyDescent="0.45">
      <c r="A268" s="5" t="s">
        <v>244</v>
      </c>
      <c r="B268" s="2"/>
      <c r="C268" s="3"/>
      <c r="D268" s="4"/>
      <c r="E268" s="2"/>
      <c r="F268" s="3"/>
      <c r="G268" s="4"/>
      <c r="H268" s="2"/>
      <c r="I268" s="3"/>
      <c r="J268" s="4"/>
      <c r="K268" s="2"/>
      <c r="L268" s="3"/>
      <c r="M268" s="4"/>
      <c r="N268" s="2"/>
      <c r="O268" s="3"/>
      <c r="P268" s="4"/>
      <c r="Q268" s="2"/>
      <c r="R268" s="3"/>
      <c r="S268" s="4"/>
      <c r="T268" s="2"/>
      <c r="U268" s="3"/>
      <c r="V268" s="4"/>
      <c r="W268" s="2"/>
      <c r="X268" s="3"/>
      <c r="Y268" s="4"/>
      <c r="Z268" s="2"/>
      <c r="AA268" s="3"/>
      <c r="AB268" s="4"/>
      <c r="AC268" s="2"/>
      <c r="AD268" s="3"/>
    </row>
    <row r="269" spans="1:30" ht="16.5" hidden="1" customHeight="1" x14ac:dyDescent="0.45">
      <c r="A269" s="6" t="s">
        <v>244</v>
      </c>
      <c r="B269" s="7">
        <v>0</v>
      </c>
      <c r="C269" s="8">
        <f>IFERROR(B269/B444, "NA")</f>
        <v>0</v>
      </c>
      <c r="D269" s="9"/>
      <c r="E269" s="7">
        <v>0</v>
      </c>
      <c r="F269" s="8">
        <f>IFERROR(E269/E444, "NA")</f>
        <v>0</v>
      </c>
      <c r="G269" s="9"/>
      <c r="H269" s="10">
        <f>IFERROR(-(B269-E269), "NA")</f>
        <v>0</v>
      </c>
      <c r="I269" s="8">
        <f>IFERROR(H269/H444, "NA")</f>
        <v>0</v>
      </c>
      <c r="J269" s="9"/>
      <c r="K269" s="7">
        <v>0</v>
      </c>
      <c r="L269" s="8">
        <f>IFERROR(K269/K444, "NA")</f>
        <v>0</v>
      </c>
      <c r="M269" s="9"/>
      <c r="N269" s="10">
        <f>IFERROR(-(B269-K269), "NA")</f>
        <v>0</v>
      </c>
      <c r="O269" s="8">
        <f>IFERROR(N269/N444, "NA")</f>
        <v>0</v>
      </c>
      <c r="P269" s="9"/>
      <c r="Q269" s="7">
        <v>0</v>
      </c>
      <c r="R269" s="8">
        <f>IFERROR(Q269/Q444, "NA")</f>
        <v>0</v>
      </c>
      <c r="S269" s="9"/>
      <c r="T269" s="7">
        <v>0</v>
      </c>
      <c r="U269" s="8">
        <f>IFERROR(T269/T444, "NA")</f>
        <v>0</v>
      </c>
      <c r="V269" s="9"/>
      <c r="W269" s="10">
        <f>IFERROR(-(Q269-T269), "NA")</f>
        <v>0</v>
      </c>
      <c r="X269" s="8">
        <f>IFERROR(W269/W444, "NA")</f>
        <v>0</v>
      </c>
      <c r="Y269" s="9"/>
      <c r="Z269" s="7">
        <v>0</v>
      </c>
      <c r="AA269" s="8">
        <f>IFERROR(Z269/Z444, "NA")</f>
        <v>0</v>
      </c>
      <c r="AB269" s="9"/>
      <c r="AC269" s="10">
        <f>IFERROR(-(Q269-Z269), "NA")</f>
        <v>0</v>
      </c>
      <c r="AD269" s="8">
        <f>IFERROR(AC269/AC444, "NA")</f>
        <v>0</v>
      </c>
    </row>
    <row r="270" spans="1:30" ht="16.5" customHeight="1" x14ac:dyDescent="0.45">
      <c r="A270" s="6" t="s">
        <v>245</v>
      </c>
      <c r="B270" s="7">
        <v>267</v>
      </c>
      <c r="C270" s="8">
        <f>IFERROR(B270/B444, "NA")</f>
        <v>3.9330294933020652E-3</v>
      </c>
      <c r="D270" s="9"/>
      <c r="E270" s="7">
        <v>236.72</v>
      </c>
      <c r="F270" s="8">
        <f>IFERROR(E270/E444, "NA")</f>
        <v>3.6098319427428681E-3</v>
      </c>
      <c r="G270" s="9"/>
      <c r="H270" s="10">
        <f>IFERROR(-(B270-E270), "NA")</f>
        <v>-30.28</v>
      </c>
      <c r="I270" s="8">
        <f>IFERROR(H270/H444, "NA")</f>
        <v>-1.3107430718484598E-2</v>
      </c>
      <c r="J270" s="9"/>
      <c r="K270" s="7">
        <v>218.47</v>
      </c>
      <c r="L270" s="8">
        <f>IFERROR(K270/K444, "NA")</f>
        <v>3.4231480772036072E-3</v>
      </c>
      <c r="M270" s="9"/>
      <c r="N270" s="10">
        <f>IFERROR(-(B270-K270), "NA")</f>
        <v>-48.53</v>
      </c>
      <c r="O270" s="8">
        <f>IFERROR(N270/N444, "NA")</f>
        <v>-1.1937823936161045E-2</v>
      </c>
      <c r="P270" s="9"/>
      <c r="Q270" s="7">
        <v>267</v>
      </c>
      <c r="R270" s="8">
        <f>IFERROR(Q270/Q444, "NA")</f>
        <v>3.9330294933020652E-3</v>
      </c>
      <c r="S270" s="9"/>
      <c r="T270" s="7">
        <v>236.72</v>
      </c>
      <c r="U270" s="8">
        <f>IFERROR(T270/T444, "NA")</f>
        <v>3.6098319427428681E-3</v>
      </c>
      <c r="V270" s="9"/>
      <c r="W270" s="10">
        <f>IFERROR(-(Q270-T270), "NA")</f>
        <v>-30.28</v>
      </c>
      <c r="X270" s="8">
        <f>IFERROR(W270/W444, "NA")</f>
        <v>-1.3107430718484598E-2</v>
      </c>
      <c r="Y270" s="9"/>
      <c r="Z270" s="7">
        <v>218.47</v>
      </c>
      <c r="AA270" s="8">
        <f>IFERROR(Z270/Z444, "NA")</f>
        <v>3.4231480772036072E-3</v>
      </c>
      <c r="AB270" s="9"/>
      <c r="AC270" s="10">
        <f>IFERROR(-(Q270-Z270), "NA")</f>
        <v>-48.53</v>
      </c>
      <c r="AD270" s="8">
        <f>IFERROR(AC270/AC444, "NA")</f>
        <v>-1.1937823936161045E-2</v>
      </c>
    </row>
    <row r="271" spans="1:30" ht="16.5" customHeight="1" x14ac:dyDescent="0.45">
      <c r="A271" s="6" t="s">
        <v>246</v>
      </c>
      <c r="B271" s="7">
        <v>1142.46</v>
      </c>
      <c r="C271" s="8">
        <f>IFERROR(B271/B444, "NA")</f>
        <v>1.6828947097070703E-2</v>
      </c>
      <c r="D271" s="9"/>
      <c r="E271" s="7">
        <v>1078.33</v>
      </c>
      <c r="F271" s="8">
        <f>IFERROR(E271/E444, "NA")</f>
        <v>1.6443858055161863E-2</v>
      </c>
      <c r="G271" s="9"/>
      <c r="H271" s="10">
        <f>IFERROR(-(B271-E271), "NA")</f>
        <v>-64.130000000000109</v>
      </c>
      <c r="I271" s="8">
        <f>IFERROR(H271/H444, "NA")</f>
        <v>-2.7760222324188198E-2</v>
      </c>
      <c r="J271" s="9"/>
      <c r="K271" s="7">
        <v>1218.2</v>
      </c>
      <c r="L271" s="8">
        <f>IFERROR(K271/K444, "NA")</f>
        <v>1.9087650421794455E-2</v>
      </c>
      <c r="M271" s="9"/>
      <c r="N271" s="10">
        <f>IFERROR(-(B271-K271), "NA")</f>
        <v>75.740000000000009</v>
      </c>
      <c r="O271" s="8">
        <f>IFERROR(N271/N444, "NA")</f>
        <v>1.8631172160000774E-2</v>
      </c>
      <c r="P271" s="9"/>
      <c r="Q271" s="7">
        <v>1142.46</v>
      </c>
      <c r="R271" s="8">
        <f>IFERROR(Q271/Q444, "NA")</f>
        <v>1.6828947097070703E-2</v>
      </c>
      <c r="S271" s="9"/>
      <c r="T271" s="7">
        <v>1078.33</v>
      </c>
      <c r="U271" s="8">
        <f>IFERROR(T271/T444, "NA")</f>
        <v>1.6443858055161863E-2</v>
      </c>
      <c r="V271" s="9"/>
      <c r="W271" s="10">
        <f>IFERROR(-(Q271-T271), "NA")</f>
        <v>-64.130000000000109</v>
      </c>
      <c r="X271" s="8">
        <f>IFERROR(W271/W444, "NA")</f>
        <v>-2.7760222324188198E-2</v>
      </c>
      <c r="Y271" s="9"/>
      <c r="Z271" s="7">
        <v>1218.2</v>
      </c>
      <c r="AA271" s="8">
        <f>IFERROR(Z271/Z444, "NA")</f>
        <v>1.9087650421794455E-2</v>
      </c>
      <c r="AB271" s="9"/>
      <c r="AC271" s="10">
        <f>IFERROR(-(Q271-Z271), "NA")</f>
        <v>75.740000000000009</v>
      </c>
      <c r="AD271" s="8">
        <f>IFERROR(AC271/AC444, "NA")</f>
        <v>1.8631172160000774E-2</v>
      </c>
    </row>
    <row r="272" spans="1:30" ht="16.5" hidden="1" customHeight="1" x14ac:dyDescent="0.45">
      <c r="A272" s="6" t="s">
        <v>247</v>
      </c>
      <c r="B272" s="7">
        <v>0</v>
      </c>
      <c r="C272" s="8">
        <f>IFERROR(B272/B444, "NA")</f>
        <v>0</v>
      </c>
      <c r="D272" s="9"/>
      <c r="E272" s="7">
        <v>0</v>
      </c>
      <c r="F272" s="8">
        <f>IFERROR(E272/E444, "NA")</f>
        <v>0</v>
      </c>
      <c r="G272" s="9"/>
      <c r="H272" s="10">
        <f>IFERROR(-(B272-E272), "NA")</f>
        <v>0</v>
      </c>
      <c r="I272" s="8">
        <f>IFERROR(H272/H444, "NA")</f>
        <v>0</v>
      </c>
      <c r="J272" s="9"/>
      <c r="K272" s="7">
        <v>0</v>
      </c>
      <c r="L272" s="8">
        <f>IFERROR(K272/K444, "NA")</f>
        <v>0</v>
      </c>
      <c r="M272" s="9"/>
      <c r="N272" s="10">
        <f>IFERROR(-(B272-K272), "NA")</f>
        <v>0</v>
      </c>
      <c r="O272" s="8">
        <f>IFERROR(N272/N444, "NA")</f>
        <v>0</v>
      </c>
      <c r="P272" s="9"/>
      <c r="Q272" s="7">
        <v>0</v>
      </c>
      <c r="R272" s="8">
        <f>IFERROR(Q272/Q444, "NA")</f>
        <v>0</v>
      </c>
      <c r="S272" s="9"/>
      <c r="T272" s="7">
        <v>0</v>
      </c>
      <c r="U272" s="8">
        <f>IFERROR(T272/T444, "NA")</f>
        <v>0</v>
      </c>
      <c r="V272" s="9"/>
      <c r="W272" s="10">
        <f>IFERROR(-(Q272-T272), "NA")</f>
        <v>0</v>
      </c>
      <c r="X272" s="8">
        <f>IFERROR(W272/W444, "NA")</f>
        <v>0</v>
      </c>
      <c r="Y272" s="9"/>
      <c r="Z272" s="7">
        <v>0</v>
      </c>
      <c r="AA272" s="8">
        <f>IFERROR(Z272/Z444, "NA")</f>
        <v>0</v>
      </c>
      <c r="AB272" s="9"/>
      <c r="AC272" s="10">
        <f>IFERROR(-(Q272-Z272), "NA")</f>
        <v>0</v>
      </c>
      <c r="AD272" s="8">
        <f>IFERROR(AC272/AC444, "NA")</f>
        <v>0</v>
      </c>
    </row>
    <row r="273" spans="1:30" ht="16.5" customHeight="1" x14ac:dyDescent="0.45">
      <c r="A273" s="19" t="s">
        <v>248</v>
      </c>
      <c r="B273" s="14">
        <f>IFERROR(B269+B270+B271+B272, "NA")</f>
        <v>1409.46</v>
      </c>
      <c r="C273" s="15">
        <f>IFERROR(B273/B444, "NA")</f>
        <v>2.0761976590372766E-2</v>
      </c>
      <c r="D273" s="2"/>
      <c r="E273" s="14">
        <f>IFERROR(E269+E270+E271+E272, "NA")</f>
        <v>1315.05</v>
      </c>
      <c r="F273" s="15">
        <f>IFERROR(E273/E444, "NA")</f>
        <v>2.0053689997904734E-2</v>
      </c>
      <c r="G273" s="2"/>
      <c r="H273" s="14">
        <f>IFERROR(-(B273-E273), "NA")</f>
        <v>-94.410000000000082</v>
      </c>
      <c r="I273" s="15">
        <f>IFERROR(H273/H444, "NA")</f>
        <v>-4.0867653042672786E-2</v>
      </c>
      <c r="J273" s="2"/>
      <c r="K273" s="14">
        <f>IFERROR(K269+K270+K271+K272, "NA")</f>
        <v>1436.67</v>
      </c>
      <c r="L273" s="15">
        <f>IFERROR(K273/K444, "NA")</f>
        <v>2.2510798498998064E-2</v>
      </c>
      <c r="M273" s="2"/>
      <c r="N273" s="14">
        <f>IFERROR(-(B273-K273), "NA")</f>
        <v>27.210000000000036</v>
      </c>
      <c r="O273" s="15">
        <f>IFERROR(N273/N444, "NA")</f>
        <v>6.6933482238397375E-3</v>
      </c>
      <c r="P273" s="2"/>
      <c r="Q273" s="14">
        <f>IFERROR(Q269+Q270+Q271+Q272, "NA")</f>
        <v>1409.46</v>
      </c>
      <c r="R273" s="15">
        <f>IFERROR(Q273/Q444, "NA")</f>
        <v>2.0761976590372766E-2</v>
      </c>
      <c r="S273" s="2"/>
      <c r="T273" s="14">
        <f>IFERROR(T269+T270+T271+T272, "NA")</f>
        <v>1315.05</v>
      </c>
      <c r="U273" s="15">
        <f>IFERROR(T273/T444, "NA")</f>
        <v>2.0053689997904734E-2</v>
      </c>
      <c r="V273" s="2"/>
      <c r="W273" s="14">
        <f>IFERROR(-(Q273-T273), "NA")</f>
        <v>-94.410000000000082</v>
      </c>
      <c r="X273" s="15">
        <f>IFERROR(W273/W444, "NA")</f>
        <v>-4.0867653042672786E-2</v>
      </c>
      <c r="Y273" s="2"/>
      <c r="Z273" s="14">
        <f>IFERROR(Z269+Z270+Z271+Z272, "NA")</f>
        <v>1436.67</v>
      </c>
      <c r="AA273" s="15">
        <f>IFERROR(Z273/Z444, "NA")</f>
        <v>2.2510798498998064E-2</v>
      </c>
      <c r="AB273" s="2"/>
      <c r="AC273" s="14">
        <f>IFERROR(-(Q273-Z273), "NA")</f>
        <v>27.210000000000036</v>
      </c>
      <c r="AD273" s="15">
        <f>IFERROR(AC273/AC444, "NA")</f>
        <v>6.6933482238397375E-3</v>
      </c>
    </row>
    <row r="274" spans="1:30" ht="16.5" customHeight="1" x14ac:dyDescent="0.45">
      <c r="A274" s="5" t="s">
        <v>249</v>
      </c>
      <c r="B274" s="2"/>
      <c r="C274" s="3"/>
      <c r="D274" s="4"/>
      <c r="E274" s="2"/>
      <c r="F274" s="3"/>
      <c r="G274" s="4"/>
      <c r="H274" s="2"/>
      <c r="I274" s="3"/>
      <c r="J274" s="4"/>
      <c r="K274" s="2"/>
      <c r="L274" s="3"/>
      <c r="M274" s="4"/>
      <c r="N274" s="2"/>
      <c r="O274" s="3"/>
      <c r="P274" s="4"/>
      <c r="Q274" s="2"/>
      <c r="R274" s="3"/>
      <c r="S274" s="4"/>
      <c r="T274" s="2"/>
      <c r="U274" s="3"/>
      <c r="V274" s="4"/>
      <c r="W274" s="2"/>
      <c r="X274" s="3"/>
      <c r="Y274" s="4"/>
      <c r="Z274" s="2"/>
      <c r="AA274" s="3"/>
      <c r="AB274" s="4"/>
      <c r="AC274" s="2"/>
      <c r="AD274" s="3"/>
    </row>
    <row r="275" spans="1:30" ht="16.5" hidden="1" customHeight="1" x14ac:dyDescent="0.45">
      <c r="A275" s="6" t="s">
        <v>249</v>
      </c>
      <c r="B275" s="7">
        <v>0</v>
      </c>
      <c r="C275" s="8">
        <f>IFERROR(B275/B444, "NA")</f>
        <v>0</v>
      </c>
      <c r="D275" s="9"/>
      <c r="E275" s="7">
        <v>0</v>
      </c>
      <c r="F275" s="8">
        <f>IFERROR(E275/E444, "NA")</f>
        <v>0</v>
      </c>
      <c r="G275" s="9"/>
      <c r="H275" s="10">
        <f t="shared" ref="H275:H284" si="68">IFERROR(-(B275-E275), "NA")</f>
        <v>0</v>
      </c>
      <c r="I275" s="8">
        <f>IFERROR(H275/H444, "NA")</f>
        <v>0</v>
      </c>
      <c r="J275" s="9"/>
      <c r="K275" s="7">
        <v>0</v>
      </c>
      <c r="L275" s="8">
        <f>IFERROR(K275/K444, "NA")</f>
        <v>0</v>
      </c>
      <c r="M275" s="9"/>
      <c r="N275" s="10">
        <f t="shared" ref="N275:N284" si="69">IFERROR(-(B275-K275), "NA")</f>
        <v>0</v>
      </c>
      <c r="O275" s="8">
        <f>IFERROR(N275/N444, "NA")</f>
        <v>0</v>
      </c>
      <c r="P275" s="9"/>
      <c r="Q275" s="7">
        <v>0</v>
      </c>
      <c r="R275" s="8">
        <f>IFERROR(Q275/Q444, "NA")</f>
        <v>0</v>
      </c>
      <c r="S275" s="9"/>
      <c r="T275" s="7">
        <v>0</v>
      </c>
      <c r="U275" s="8">
        <f>IFERROR(T275/T444, "NA")</f>
        <v>0</v>
      </c>
      <c r="V275" s="9"/>
      <c r="W275" s="10">
        <f t="shared" ref="W275:W284" si="70">IFERROR(-(Q275-T275), "NA")</f>
        <v>0</v>
      </c>
      <c r="X275" s="8">
        <f>IFERROR(W275/W444, "NA")</f>
        <v>0</v>
      </c>
      <c r="Y275" s="9"/>
      <c r="Z275" s="7">
        <v>0</v>
      </c>
      <c r="AA275" s="8">
        <f>IFERROR(Z275/Z444, "NA")</f>
        <v>0</v>
      </c>
      <c r="AB275" s="9"/>
      <c r="AC275" s="10">
        <f t="shared" ref="AC275:AC284" si="71">IFERROR(-(Q275-Z275), "NA")</f>
        <v>0</v>
      </c>
      <c r="AD275" s="8">
        <f>IFERROR(AC275/AC444, "NA")</f>
        <v>0</v>
      </c>
    </row>
    <row r="276" spans="1:30" ht="16.5" hidden="1" customHeight="1" x14ac:dyDescent="0.45">
      <c r="A276" s="6" t="s">
        <v>250</v>
      </c>
      <c r="B276" s="7">
        <v>0</v>
      </c>
      <c r="C276" s="8">
        <f>IFERROR(B276/B444, "NA")</f>
        <v>0</v>
      </c>
      <c r="D276" s="9"/>
      <c r="E276" s="7">
        <v>0</v>
      </c>
      <c r="F276" s="8">
        <f>IFERROR(E276/E444, "NA")</f>
        <v>0</v>
      </c>
      <c r="G276" s="9"/>
      <c r="H276" s="10">
        <f t="shared" si="68"/>
        <v>0</v>
      </c>
      <c r="I276" s="8">
        <f>IFERROR(H276/H444, "NA")</f>
        <v>0</v>
      </c>
      <c r="J276" s="9"/>
      <c r="K276" s="7">
        <v>0</v>
      </c>
      <c r="L276" s="8">
        <f>IFERROR(K276/K444, "NA")</f>
        <v>0</v>
      </c>
      <c r="M276" s="9"/>
      <c r="N276" s="10">
        <f t="shared" si="69"/>
        <v>0</v>
      </c>
      <c r="O276" s="8">
        <f>IFERROR(N276/N444, "NA")</f>
        <v>0</v>
      </c>
      <c r="P276" s="9"/>
      <c r="Q276" s="7">
        <v>0</v>
      </c>
      <c r="R276" s="8">
        <f>IFERROR(Q276/Q444, "NA")</f>
        <v>0</v>
      </c>
      <c r="S276" s="9"/>
      <c r="T276" s="7">
        <v>0</v>
      </c>
      <c r="U276" s="8">
        <f>IFERROR(T276/T444, "NA")</f>
        <v>0</v>
      </c>
      <c r="V276" s="9"/>
      <c r="W276" s="10">
        <f t="shared" si="70"/>
        <v>0</v>
      </c>
      <c r="X276" s="8">
        <f>IFERROR(W276/W444, "NA")</f>
        <v>0</v>
      </c>
      <c r="Y276" s="9"/>
      <c r="Z276" s="7">
        <v>0</v>
      </c>
      <c r="AA276" s="8">
        <f>IFERROR(Z276/Z444, "NA")</f>
        <v>0</v>
      </c>
      <c r="AB276" s="9"/>
      <c r="AC276" s="10">
        <f t="shared" si="71"/>
        <v>0</v>
      </c>
      <c r="AD276" s="8">
        <f>IFERROR(AC276/AC444, "NA")</f>
        <v>0</v>
      </c>
    </row>
    <row r="277" spans="1:30" ht="16.5" hidden="1" customHeight="1" x14ac:dyDescent="0.45">
      <c r="A277" s="6" t="s">
        <v>251</v>
      </c>
      <c r="B277" s="7">
        <v>0</v>
      </c>
      <c r="C277" s="8">
        <f>IFERROR(B277/B444, "NA")</f>
        <v>0</v>
      </c>
      <c r="D277" s="9"/>
      <c r="E277" s="7">
        <v>0</v>
      </c>
      <c r="F277" s="8">
        <f>IFERROR(E277/E444, "NA")</f>
        <v>0</v>
      </c>
      <c r="G277" s="9"/>
      <c r="H277" s="10">
        <f t="shared" si="68"/>
        <v>0</v>
      </c>
      <c r="I277" s="8">
        <f>IFERROR(H277/H444, "NA")</f>
        <v>0</v>
      </c>
      <c r="J277" s="9"/>
      <c r="K277" s="7">
        <v>0</v>
      </c>
      <c r="L277" s="8">
        <f>IFERROR(K277/K444, "NA")</f>
        <v>0</v>
      </c>
      <c r="M277" s="9"/>
      <c r="N277" s="10">
        <f t="shared" si="69"/>
        <v>0</v>
      </c>
      <c r="O277" s="8">
        <f>IFERROR(N277/N444, "NA")</f>
        <v>0</v>
      </c>
      <c r="P277" s="9"/>
      <c r="Q277" s="7">
        <v>0</v>
      </c>
      <c r="R277" s="8">
        <f>IFERROR(Q277/Q444, "NA")</f>
        <v>0</v>
      </c>
      <c r="S277" s="9"/>
      <c r="T277" s="7">
        <v>0</v>
      </c>
      <c r="U277" s="8">
        <f>IFERROR(T277/T444, "NA")</f>
        <v>0</v>
      </c>
      <c r="V277" s="9"/>
      <c r="W277" s="10">
        <f t="shared" si="70"/>
        <v>0</v>
      </c>
      <c r="X277" s="8">
        <f>IFERROR(W277/W444, "NA")</f>
        <v>0</v>
      </c>
      <c r="Y277" s="9"/>
      <c r="Z277" s="7">
        <v>0</v>
      </c>
      <c r="AA277" s="8">
        <f>IFERROR(Z277/Z444, "NA")</f>
        <v>0</v>
      </c>
      <c r="AB277" s="9"/>
      <c r="AC277" s="10">
        <f t="shared" si="71"/>
        <v>0</v>
      </c>
      <c r="AD277" s="8">
        <f>IFERROR(AC277/AC444, "NA")</f>
        <v>0</v>
      </c>
    </row>
    <row r="278" spans="1:30" ht="16.5" hidden="1" customHeight="1" x14ac:dyDescent="0.45">
      <c r="A278" s="6" t="s">
        <v>252</v>
      </c>
      <c r="B278" s="7">
        <v>0</v>
      </c>
      <c r="C278" s="8">
        <f>IFERROR(B278/B444, "NA")</f>
        <v>0</v>
      </c>
      <c r="D278" s="9"/>
      <c r="E278" s="7">
        <v>0</v>
      </c>
      <c r="F278" s="8">
        <f>IFERROR(E278/E444, "NA")</f>
        <v>0</v>
      </c>
      <c r="G278" s="9"/>
      <c r="H278" s="10">
        <f t="shared" si="68"/>
        <v>0</v>
      </c>
      <c r="I278" s="8">
        <f>IFERROR(H278/H444, "NA")</f>
        <v>0</v>
      </c>
      <c r="J278" s="9"/>
      <c r="K278" s="7">
        <v>0</v>
      </c>
      <c r="L278" s="8">
        <f>IFERROR(K278/K444, "NA")</f>
        <v>0</v>
      </c>
      <c r="M278" s="9"/>
      <c r="N278" s="10">
        <f t="shared" si="69"/>
        <v>0</v>
      </c>
      <c r="O278" s="8">
        <f>IFERROR(N278/N444, "NA")</f>
        <v>0</v>
      </c>
      <c r="P278" s="9"/>
      <c r="Q278" s="7">
        <v>0</v>
      </c>
      <c r="R278" s="8">
        <f>IFERROR(Q278/Q444, "NA")</f>
        <v>0</v>
      </c>
      <c r="S278" s="9"/>
      <c r="T278" s="7">
        <v>0</v>
      </c>
      <c r="U278" s="8">
        <f>IFERROR(T278/T444, "NA")</f>
        <v>0</v>
      </c>
      <c r="V278" s="9"/>
      <c r="W278" s="10">
        <f t="shared" si="70"/>
        <v>0</v>
      </c>
      <c r="X278" s="8">
        <f>IFERROR(W278/W444, "NA")</f>
        <v>0</v>
      </c>
      <c r="Y278" s="9"/>
      <c r="Z278" s="7">
        <v>0</v>
      </c>
      <c r="AA278" s="8">
        <f>IFERROR(Z278/Z444, "NA")</f>
        <v>0</v>
      </c>
      <c r="AB278" s="9"/>
      <c r="AC278" s="10">
        <f t="shared" si="71"/>
        <v>0</v>
      </c>
      <c r="AD278" s="8">
        <f>IFERROR(AC278/AC444, "NA")</f>
        <v>0</v>
      </c>
    </row>
    <row r="279" spans="1:30" ht="16.5" hidden="1" customHeight="1" x14ac:dyDescent="0.45">
      <c r="A279" s="6" t="s">
        <v>253</v>
      </c>
      <c r="B279" s="7">
        <v>0</v>
      </c>
      <c r="C279" s="8">
        <f>IFERROR(B279/B444, "NA")</f>
        <v>0</v>
      </c>
      <c r="D279" s="9"/>
      <c r="E279" s="7">
        <v>0</v>
      </c>
      <c r="F279" s="8">
        <f>IFERROR(E279/E444, "NA")</f>
        <v>0</v>
      </c>
      <c r="G279" s="9"/>
      <c r="H279" s="10">
        <f t="shared" si="68"/>
        <v>0</v>
      </c>
      <c r="I279" s="8">
        <f>IFERROR(H279/H444, "NA")</f>
        <v>0</v>
      </c>
      <c r="J279" s="9"/>
      <c r="K279" s="7">
        <v>0</v>
      </c>
      <c r="L279" s="8">
        <f>IFERROR(K279/K444, "NA")</f>
        <v>0</v>
      </c>
      <c r="M279" s="9"/>
      <c r="N279" s="10">
        <f t="shared" si="69"/>
        <v>0</v>
      </c>
      <c r="O279" s="8">
        <f>IFERROR(N279/N444, "NA")</f>
        <v>0</v>
      </c>
      <c r="P279" s="9"/>
      <c r="Q279" s="7">
        <v>0</v>
      </c>
      <c r="R279" s="8">
        <f>IFERROR(Q279/Q444, "NA")</f>
        <v>0</v>
      </c>
      <c r="S279" s="9"/>
      <c r="T279" s="7">
        <v>0</v>
      </c>
      <c r="U279" s="8">
        <f>IFERROR(T279/T444, "NA")</f>
        <v>0</v>
      </c>
      <c r="V279" s="9"/>
      <c r="W279" s="10">
        <f t="shared" si="70"/>
        <v>0</v>
      </c>
      <c r="X279" s="8">
        <f>IFERROR(W279/W444, "NA")</f>
        <v>0</v>
      </c>
      <c r="Y279" s="9"/>
      <c r="Z279" s="7">
        <v>0</v>
      </c>
      <c r="AA279" s="8">
        <f>IFERROR(Z279/Z444, "NA")</f>
        <v>0</v>
      </c>
      <c r="AB279" s="9"/>
      <c r="AC279" s="10">
        <f t="shared" si="71"/>
        <v>0</v>
      </c>
      <c r="AD279" s="8">
        <f>IFERROR(AC279/AC444, "NA")</f>
        <v>0</v>
      </c>
    </row>
    <row r="280" spans="1:30" ht="16.5" hidden="1" customHeight="1" x14ac:dyDescent="0.45">
      <c r="A280" s="6" t="s">
        <v>254</v>
      </c>
      <c r="B280" s="7">
        <v>0</v>
      </c>
      <c r="C280" s="8">
        <f>IFERROR(B280/B444, "NA")</f>
        <v>0</v>
      </c>
      <c r="D280" s="9"/>
      <c r="E280" s="7">
        <v>0</v>
      </c>
      <c r="F280" s="8">
        <f>IFERROR(E280/E444, "NA")</f>
        <v>0</v>
      </c>
      <c r="G280" s="9"/>
      <c r="H280" s="10">
        <f t="shared" si="68"/>
        <v>0</v>
      </c>
      <c r="I280" s="8">
        <f>IFERROR(H280/H444, "NA")</f>
        <v>0</v>
      </c>
      <c r="J280" s="9"/>
      <c r="K280" s="7">
        <v>0</v>
      </c>
      <c r="L280" s="8">
        <f>IFERROR(K280/K444, "NA")</f>
        <v>0</v>
      </c>
      <c r="M280" s="9"/>
      <c r="N280" s="10">
        <f t="shared" si="69"/>
        <v>0</v>
      </c>
      <c r="O280" s="8">
        <f>IFERROR(N280/N444, "NA")</f>
        <v>0</v>
      </c>
      <c r="P280" s="9"/>
      <c r="Q280" s="7">
        <v>0</v>
      </c>
      <c r="R280" s="8">
        <f>IFERROR(Q280/Q444, "NA")</f>
        <v>0</v>
      </c>
      <c r="S280" s="9"/>
      <c r="T280" s="7">
        <v>0</v>
      </c>
      <c r="U280" s="8">
        <f>IFERROR(T280/T444, "NA")</f>
        <v>0</v>
      </c>
      <c r="V280" s="9"/>
      <c r="W280" s="10">
        <f t="shared" si="70"/>
        <v>0</v>
      </c>
      <c r="X280" s="8">
        <f>IFERROR(W280/W444, "NA")</f>
        <v>0</v>
      </c>
      <c r="Y280" s="9"/>
      <c r="Z280" s="7">
        <v>0</v>
      </c>
      <c r="AA280" s="8">
        <f>IFERROR(Z280/Z444, "NA")</f>
        <v>0</v>
      </c>
      <c r="AB280" s="9"/>
      <c r="AC280" s="10">
        <f t="shared" si="71"/>
        <v>0</v>
      </c>
      <c r="AD280" s="8">
        <f>IFERROR(AC280/AC444, "NA")</f>
        <v>0</v>
      </c>
    </row>
    <row r="281" spans="1:30" ht="16.5" hidden="1" customHeight="1" x14ac:dyDescent="0.45">
      <c r="A281" s="6" t="s">
        <v>255</v>
      </c>
      <c r="B281" s="7">
        <v>0</v>
      </c>
      <c r="C281" s="8">
        <f>IFERROR(B281/B444, "NA")</f>
        <v>0</v>
      </c>
      <c r="D281" s="9"/>
      <c r="E281" s="7">
        <v>0</v>
      </c>
      <c r="F281" s="8">
        <f>IFERROR(E281/E444, "NA")</f>
        <v>0</v>
      </c>
      <c r="G281" s="9"/>
      <c r="H281" s="10">
        <f t="shared" si="68"/>
        <v>0</v>
      </c>
      <c r="I281" s="8">
        <f>IFERROR(H281/H444, "NA")</f>
        <v>0</v>
      </c>
      <c r="J281" s="9"/>
      <c r="K281" s="7">
        <v>0</v>
      </c>
      <c r="L281" s="8">
        <f>IFERROR(K281/K444, "NA")</f>
        <v>0</v>
      </c>
      <c r="M281" s="9"/>
      <c r="N281" s="10">
        <f t="shared" si="69"/>
        <v>0</v>
      </c>
      <c r="O281" s="8">
        <f>IFERROR(N281/N444, "NA")</f>
        <v>0</v>
      </c>
      <c r="P281" s="9"/>
      <c r="Q281" s="7">
        <v>0</v>
      </c>
      <c r="R281" s="8">
        <f>IFERROR(Q281/Q444, "NA")</f>
        <v>0</v>
      </c>
      <c r="S281" s="9"/>
      <c r="T281" s="7">
        <v>0</v>
      </c>
      <c r="U281" s="8">
        <f>IFERROR(T281/T444, "NA")</f>
        <v>0</v>
      </c>
      <c r="V281" s="9"/>
      <c r="W281" s="10">
        <f t="shared" si="70"/>
        <v>0</v>
      </c>
      <c r="X281" s="8">
        <f>IFERROR(W281/W444, "NA")</f>
        <v>0</v>
      </c>
      <c r="Y281" s="9"/>
      <c r="Z281" s="7">
        <v>0</v>
      </c>
      <c r="AA281" s="8">
        <f>IFERROR(Z281/Z444, "NA")</f>
        <v>0</v>
      </c>
      <c r="AB281" s="9"/>
      <c r="AC281" s="10">
        <f t="shared" si="71"/>
        <v>0</v>
      </c>
      <c r="AD281" s="8">
        <f>IFERROR(AC281/AC444, "NA")</f>
        <v>0</v>
      </c>
    </row>
    <row r="282" spans="1:30" ht="16.5" hidden="1" customHeight="1" x14ac:dyDescent="0.45">
      <c r="A282" s="6" t="s">
        <v>256</v>
      </c>
      <c r="B282" s="7">
        <v>0</v>
      </c>
      <c r="C282" s="8">
        <f>IFERROR(B282/B444, "NA")</f>
        <v>0</v>
      </c>
      <c r="D282" s="9"/>
      <c r="E282" s="7">
        <v>0</v>
      </c>
      <c r="F282" s="8">
        <f>IFERROR(E282/E444, "NA")</f>
        <v>0</v>
      </c>
      <c r="G282" s="9"/>
      <c r="H282" s="10">
        <f t="shared" si="68"/>
        <v>0</v>
      </c>
      <c r="I282" s="8">
        <f>IFERROR(H282/H444, "NA")</f>
        <v>0</v>
      </c>
      <c r="J282" s="9"/>
      <c r="K282" s="7">
        <v>0</v>
      </c>
      <c r="L282" s="8">
        <f>IFERROR(K282/K444, "NA")</f>
        <v>0</v>
      </c>
      <c r="M282" s="9"/>
      <c r="N282" s="10">
        <f t="shared" si="69"/>
        <v>0</v>
      </c>
      <c r="O282" s="8">
        <f>IFERROR(N282/N444, "NA")</f>
        <v>0</v>
      </c>
      <c r="P282" s="9"/>
      <c r="Q282" s="7">
        <v>0</v>
      </c>
      <c r="R282" s="8">
        <f>IFERROR(Q282/Q444, "NA")</f>
        <v>0</v>
      </c>
      <c r="S282" s="9"/>
      <c r="T282" s="7">
        <v>0</v>
      </c>
      <c r="U282" s="8">
        <f>IFERROR(T282/T444, "NA")</f>
        <v>0</v>
      </c>
      <c r="V282" s="9"/>
      <c r="W282" s="10">
        <f t="shared" si="70"/>
        <v>0</v>
      </c>
      <c r="X282" s="8">
        <f>IFERROR(W282/W444, "NA")</f>
        <v>0</v>
      </c>
      <c r="Y282" s="9"/>
      <c r="Z282" s="7">
        <v>0</v>
      </c>
      <c r="AA282" s="8">
        <f>IFERROR(Z282/Z444, "NA")</f>
        <v>0</v>
      </c>
      <c r="AB282" s="9"/>
      <c r="AC282" s="10">
        <f t="shared" si="71"/>
        <v>0</v>
      </c>
      <c r="AD282" s="8">
        <f>IFERROR(AC282/AC444, "NA")</f>
        <v>0</v>
      </c>
    </row>
    <row r="283" spans="1:30" ht="16.5" hidden="1" customHeight="1" x14ac:dyDescent="0.45">
      <c r="A283" s="6" t="s">
        <v>257</v>
      </c>
      <c r="B283" s="7">
        <v>0</v>
      </c>
      <c r="C283" s="8">
        <f>IFERROR(B283/B444, "NA")</f>
        <v>0</v>
      </c>
      <c r="D283" s="9"/>
      <c r="E283" s="7">
        <v>0</v>
      </c>
      <c r="F283" s="8">
        <f>IFERROR(E283/E444, "NA")</f>
        <v>0</v>
      </c>
      <c r="G283" s="9"/>
      <c r="H283" s="10">
        <f t="shared" si="68"/>
        <v>0</v>
      </c>
      <c r="I283" s="8">
        <f>IFERROR(H283/H444, "NA")</f>
        <v>0</v>
      </c>
      <c r="J283" s="9"/>
      <c r="K283" s="7">
        <v>0</v>
      </c>
      <c r="L283" s="8">
        <f>IFERROR(K283/K444, "NA")</f>
        <v>0</v>
      </c>
      <c r="M283" s="9"/>
      <c r="N283" s="10">
        <f t="shared" si="69"/>
        <v>0</v>
      </c>
      <c r="O283" s="8">
        <f>IFERROR(N283/N444, "NA")</f>
        <v>0</v>
      </c>
      <c r="P283" s="9"/>
      <c r="Q283" s="7">
        <v>0</v>
      </c>
      <c r="R283" s="8">
        <f>IFERROR(Q283/Q444, "NA")</f>
        <v>0</v>
      </c>
      <c r="S283" s="9"/>
      <c r="T283" s="7">
        <v>0</v>
      </c>
      <c r="U283" s="8">
        <f>IFERROR(T283/T444, "NA")</f>
        <v>0</v>
      </c>
      <c r="V283" s="9"/>
      <c r="W283" s="10">
        <f t="shared" si="70"/>
        <v>0</v>
      </c>
      <c r="X283" s="8">
        <f>IFERROR(W283/W444, "NA")</f>
        <v>0</v>
      </c>
      <c r="Y283" s="9"/>
      <c r="Z283" s="7">
        <v>0</v>
      </c>
      <c r="AA283" s="8">
        <f>IFERROR(Z283/Z444, "NA")</f>
        <v>0</v>
      </c>
      <c r="AB283" s="9"/>
      <c r="AC283" s="10">
        <f t="shared" si="71"/>
        <v>0</v>
      </c>
      <c r="AD283" s="8">
        <f>IFERROR(AC283/AC444, "NA")</f>
        <v>0</v>
      </c>
    </row>
    <row r="284" spans="1:30" ht="16.5" customHeight="1" x14ac:dyDescent="0.45">
      <c r="A284" s="19" t="s">
        <v>258</v>
      </c>
      <c r="B284" s="14">
        <f>IFERROR(B275+B276+B277+B278+B279+B280+B281+B282+B283, "NA")</f>
        <v>0</v>
      </c>
      <c r="C284" s="15">
        <f>IFERROR(B284/B444, "NA")</f>
        <v>0</v>
      </c>
      <c r="D284" s="2"/>
      <c r="E284" s="14">
        <f>IFERROR(E275+E276+E277+E278+E279+E280+E281+E282+E283, "NA")</f>
        <v>0</v>
      </c>
      <c r="F284" s="15">
        <f>IFERROR(E284/E444, "NA")</f>
        <v>0</v>
      </c>
      <c r="G284" s="2"/>
      <c r="H284" s="14">
        <f t="shared" si="68"/>
        <v>0</v>
      </c>
      <c r="I284" s="15">
        <f>IFERROR(H284/H444, "NA")</f>
        <v>0</v>
      </c>
      <c r="J284" s="2"/>
      <c r="K284" s="14">
        <f>IFERROR(K275+K276+K277+K278+K279+K280+K281+K282+K283, "NA")</f>
        <v>0</v>
      </c>
      <c r="L284" s="15">
        <f>IFERROR(K284/K444, "NA")</f>
        <v>0</v>
      </c>
      <c r="M284" s="2"/>
      <c r="N284" s="14">
        <f t="shared" si="69"/>
        <v>0</v>
      </c>
      <c r="O284" s="15">
        <f>IFERROR(N284/N444, "NA")</f>
        <v>0</v>
      </c>
      <c r="P284" s="2"/>
      <c r="Q284" s="14">
        <f>IFERROR(Q275+Q276+Q277+Q278+Q279+Q280+Q281+Q282+Q283, "NA")</f>
        <v>0</v>
      </c>
      <c r="R284" s="15">
        <f>IFERROR(Q284/Q444, "NA")</f>
        <v>0</v>
      </c>
      <c r="S284" s="2"/>
      <c r="T284" s="14">
        <f>IFERROR(T275+T276+T277+T278+T279+T280+T281+T282+T283, "NA")</f>
        <v>0</v>
      </c>
      <c r="U284" s="15">
        <f>IFERROR(T284/T444, "NA")</f>
        <v>0</v>
      </c>
      <c r="V284" s="2"/>
      <c r="W284" s="14">
        <f t="shared" si="70"/>
        <v>0</v>
      </c>
      <c r="X284" s="15">
        <f>IFERROR(W284/W444, "NA")</f>
        <v>0</v>
      </c>
      <c r="Y284" s="2"/>
      <c r="Z284" s="14">
        <f>IFERROR(Z275+Z276+Z277+Z278+Z279+Z280+Z281+Z282+Z283, "NA")</f>
        <v>0</v>
      </c>
      <c r="AA284" s="15">
        <f>IFERROR(Z284/Z444, "NA")</f>
        <v>0</v>
      </c>
      <c r="AB284" s="2"/>
      <c r="AC284" s="14">
        <f t="shared" si="71"/>
        <v>0</v>
      </c>
      <c r="AD284" s="15">
        <f>IFERROR(AC284/AC444, "NA")</f>
        <v>0</v>
      </c>
    </row>
    <row r="285" spans="1:30" ht="16.5" customHeight="1" x14ac:dyDescent="0.45">
      <c r="A285" s="5" t="s">
        <v>259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  <c r="Y285" s="4"/>
      <c r="Z285" s="2"/>
      <c r="AA285" s="3"/>
      <c r="AB285" s="4"/>
      <c r="AC285" s="2"/>
      <c r="AD285" s="3"/>
    </row>
    <row r="286" spans="1:30" ht="16.5" hidden="1" customHeight="1" x14ac:dyDescent="0.45">
      <c r="A286" s="6" t="s">
        <v>259</v>
      </c>
      <c r="B286" s="7">
        <v>0</v>
      </c>
      <c r="C286" s="8">
        <f>IFERROR(B286/B444, "NA")</f>
        <v>0</v>
      </c>
      <c r="D286" s="9"/>
      <c r="E286" s="7">
        <v>0</v>
      </c>
      <c r="F286" s="8">
        <f>IFERROR(E286/E444, "NA")</f>
        <v>0</v>
      </c>
      <c r="G286" s="9"/>
      <c r="H286" s="10">
        <f t="shared" ref="H286:H295" si="72">IFERROR(-(B286-E286), "NA")</f>
        <v>0</v>
      </c>
      <c r="I286" s="8">
        <f>IFERROR(H286/H444, "NA")</f>
        <v>0</v>
      </c>
      <c r="J286" s="9"/>
      <c r="K286" s="7">
        <v>0</v>
      </c>
      <c r="L286" s="8">
        <f>IFERROR(K286/K444, "NA")</f>
        <v>0</v>
      </c>
      <c r="M286" s="9"/>
      <c r="N286" s="10">
        <f t="shared" ref="N286:N295" si="73">IFERROR(-(B286-K286), "NA")</f>
        <v>0</v>
      </c>
      <c r="O286" s="8">
        <f>IFERROR(N286/N444, "NA")</f>
        <v>0</v>
      </c>
      <c r="P286" s="9"/>
      <c r="Q286" s="7">
        <v>0</v>
      </c>
      <c r="R286" s="8">
        <f>IFERROR(Q286/Q444, "NA")</f>
        <v>0</v>
      </c>
      <c r="S286" s="9"/>
      <c r="T286" s="7">
        <v>0</v>
      </c>
      <c r="U286" s="8">
        <f>IFERROR(T286/T444, "NA")</f>
        <v>0</v>
      </c>
      <c r="V286" s="9"/>
      <c r="W286" s="10">
        <f t="shared" ref="W286:W295" si="74">IFERROR(-(Q286-T286), "NA")</f>
        <v>0</v>
      </c>
      <c r="X286" s="8">
        <f>IFERROR(W286/W444, "NA")</f>
        <v>0</v>
      </c>
      <c r="Y286" s="9"/>
      <c r="Z286" s="7">
        <v>0</v>
      </c>
      <c r="AA286" s="8">
        <f>IFERROR(Z286/Z444, "NA")</f>
        <v>0</v>
      </c>
      <c r="AB286" s="9"/>
      <c r="AC286" s="10">
        <f t="shared" ref="AC286:AC295" si="75">IFERROR(-(Q286-Z286), "NA")</f>
        <v>0</v>
      </c>
      <c r="AD286" s="8">
        <f>IFERROR(AC286/AC444, "NA")</f>
        <v>0</v>
      </c>
    </row>
    <row r="287" spans="1:30" ht="16.5" customHeight="1" x14ac:dyDescent="0.45">
      <c r="A287" s="6" t="s">
        <v>260</v>
      </c>
      <c r="B287" s="7">
        <v>1067.5899999999999</v>
      </c>
      <c r="C287" s="8">
        <f>IFERROR(B287/B444, "NA")</f>
        <v>1.5726078489716671E-2</v>
      </c>
      <c r="D287" s="9"/>
      <c r="E287" s="7">
        <v>971</v>
      </c>
      <c r="F287" s="8">
        <f>IFERROR(E287/E444, "NA")</f>
        <v>1.4807142685042771E-2</v>
      </c>
      <c r="G287" s="9"/>
      <c r="H287" s="10">
        <f t="shared" si="72"/>
        <v>-96.589999999999918</v>
      </c>
      <c r="I287" s="8">
        <f>IFERROR(H287/H444, "NA")</f>
        <v>-4.1811318794531906E-2</v>
      </c>
      <c r="J287" s="9"/>
      <c r="K287" s="7">
        <v>970.53</v>
      </c>
      <c r="L287" s="8">
        <f>IFERROR(K287/K444, "NA")</f>
        <v>1.5206975343838591E-2</v>
      </c>
      <c r="M287" s="9"/>
      <c r="N287" s="10">
        <f t="shared" si="73"/>
        <v>-97.059999999999945</v>
      </c>
      <c r="O287" s="8">
        <f>IFERROR(N287/N444, "NA")</f>
        <v>-2.3875647872322076E-2</v>
      </c>
      <c r="P287" s="9"/>
      <c r="Q287" s="7">
        <v>1067.5899999999999</v>
      </c>
      <c r="R287" s="8">
        <f>IFERROR(Q287/Q444, "NA")</f>
        <v>1.5726078489716671E-2</v>
      </c>
      <c r="S287" s="9"/>
      <c r="T287" s="7">
        <v>971</v>
      </c>
      <c r="U287" s="8">
        <f>IFERROR(T287/T444, "NA")</f>
        <v>1.4807142685042771E-2</v>
      </c>
      <c r="V287" s="9"/>
      <c r="W287" s="10">
        <f t="shared" si="74"/>
        <v>-96.589999999999918</v>
      </c>
      <c r="X287" s="8">
        <f>IFERROR(W287/W444, "NA")</f>
        <v>-4.1811318794531906E-2</v>
      </c>
      <c r="Y287" s="9"/>
      <c r="Z287" s="7">
        <v>970.53</v>
      </c>
      <c r="AA287" s="8">
        <f>IFERROR(Z287/Z444, "NA")</f>
        <v>1.5206975343838591E-2</v>
      </c>
      <c r="AB287" s="9"/>
      <c r="AC287" s="10">
        <f t="shared" si="75"/>
        <v>-97.059999999999945</v>
      </c>
      <c r="AD287" s="8">
        <f>IFERROR(AC287/AC444, "NA")</f>
        <v>-2.3875647872322076E-2</v>
      </c>
    </row>
    <row r="288" spans="1:30" ht="16.5" customHeight="1" x14ac:dyDescent="0.45">
      <c r="A288" s="6" t="s">
        <v>261</v>
      </c>
      <c r="B288" s="7">
        <v>260.13</v>
      </c>
      <c r="C288" s="8">
        <f>IFERROR(B288/B444, "NA")</f>
        <v>3.8318313186991243E-3</v>
      </c>
      <c r="D288" s="9"/>
      <c r="E288" s="7">
        <v>263</v>
      </c>
      <c r="F288" s="8">
        <f>IFERROR(E288/E444, "NA")</f>
        <v>4.0105855058354773E-3</v>
      </c>
      <c r="G288" s="9"/>
      <c r="H288" s="10">
        <f t="shared" si="72"/>
        <v>2.8700000000000045</v>
      </c>
      <c r="I288" s="8">
        <f>IFERROR(H288/H444, "NA")</f>
        <v>1.2423489485485751E-3</v>
      </c>
      <c r="J288" s="9"/>
      <c r="K288" s="7">
        <v>371.95</v>
      </c>
      <c r="L288" s="8">
        <f>IFERROR(K288/K444, "NA")</f>
        <v>5.8279852030753958E-3</v>
      </c>
      <c r="M288" s="9"/>
      <c r="N288" s="10">
        <f t="shared" si="73"/>
        <v>111.82</v>
      </c>
      <c r="O288" s="8">
        <f>IFERROR(N288/N444, "NA")</f>
        <v>2.7506438750082997E-2</v>
      </c>
      <c r="P288" s="9"/>
      <c r="Q288" s="7">
        <v>260.13</v>
      </c>
      <c r="R288" s="8">
        <f>IFERROR(Q288/Q444, "NA")</f>
        <v>3.8318313186991243E-3</v>
      </c>
      <c r="S288" s="9"/>
      <c r="T288" s="7">
        <v>263</v>
      </c>
      <c r="U288" s="8">
        <f>IFERROR(T288/T444, "NA")</f>
        <v>4.0105855058354773E-3</v>
      </c>
      <c r="V288" s="9"/>
      <c r="W288" s="10">
        <f t="shared" si="74"/>
        <v>2.8700000000000045</v>
      </c>
      <c r="X288" s="8">
        <f>IFERROR(W288/W444, "NA")</f>
        <v>1.2423489485485751E-3</v>
      </c>
      <c r="Y288" s="9"/>
      <c r="Z288" s="7">
        <v>371.95</v>
      </c>
      <c r="AA288" s="8">
        <f>IFERROR(Z288/Z444, "NA")</f>
        <v>5.8279852030753958E-3</v>
      </c>
      <c r="AB288" s="9"/>
      <c r="AC288" s="10">
        <f t="shared" si="75"/>
        <v>111.82</v>
      </c>
      <c r="AD288" s="8">
        <f>IFERROR(AC288/AC444, "NA")</f>
        <v>2.7506438750082997E-2</v>
      </c>
    </row>
    <row r="289" spans="1:30" ht="16.5" customHeight="1" x14ac:dyDescent="0.45">
      <c r="A289" s="6" t="s">
        <v>262</v>
      </c>
      <c r="B289" s="7">
        <v>237.03</v>
      </c>
      <c r="C289" s="8">
        <f>IFERROR(B289/B444, "NA")</f>
        <v>3.4915579805145638E-3</v>
      </c>
      <c r="D289" s="9"/>
      <c r="E289" s="7">
        <v>224</v>
      </c>
      <c r="F289" s="8">
        <f>IFERROR(E289/E444, "NA")</f>
        <v>3.4158598985062623E-3</v>
      </c>
      <c r="G289" s="9"/>
      <c r="H289" s="10">
        <f t="shared" si="72"/>
        <v>-13.030000000000001</v>
      </c>
      <c r="I289" s="8">
        <f>IFERROR(H289/H444, "NA")</f>
        <v>-5.6403508012501423E-3</v>
      </c>
      <c r="J289" s="9"/>
      <c r="K289" s="7">
        <v>208.25</v>
      </c>
      <c r="L289" s="8">
        <f>IFERROR(K289/K444, "NA")</f>
        <v>3.2630136269403177E-3</v>
      </c>
      <c r="M289" s="9"/>
      <c r="N289" s="10">
        <f t="shared" si="73"/>
        <v>-28.78</v>
      </c>
      <c r="O289" s="8">
        <f>IFERROR(N289/N444, "NA")</f>
        <v>-7.079550234550069E-3</v>
      </c>
      <c r="P289" s="9"/>
      <c r="Q289" s="7">
        <v>237.03</v>
      </c>
      <c r="R289" s="8">
        <f>IFERROR(Q289/Q444, "NA")</f>
        <v>3.4915579805145638E-3</v>
      </c>
      <c r="S289" s="9"/>
      <c r="T289" s="7">
        <v>224</v>
      </c>
      <c r="U289" s="8">
        <f>IFERROR(T289/T444, "NA")</f>
        <v>3.4158598985062623E-3</v>
      </c>
      <c r="V289" s="9"/>
      <c r="W289" s="10">
        <f t="shared" si="74"/>
        <v>-13.030000000000001</v>
      </c>
      <c r="X289" s="8">
        <f>IFERROR(W289/W444, "NA")</f>
        <v>-5.6403508012501423E-3</v>
      </c>
      <c r="Y289" s="9"/>
      <c r="Z289" s="7">
        <v>208.25</v>
      </c>
      <c r="AA289" s="8">
        <f>IFERROR(Z289/Z444, "NA")</f>
        <v>3.2630136269403177E-3</v>
      </c>
      <c r="AB289" s="9"/>
      <c r="AC289" s="10">
        <f t="shared" si="75"/>
        <v>-28.78</v>
      </c>
      <c r="AD289" s="8">
        <f>IFERROR(AC289/AC444, "NA")</f>
        <v>-7.079550234550069E-3</v>
      </c>
    </row>
    <row r="290" spans="1:30" ht="16.5" customHeight="1" x14ac:dyDescent="0.45">
      <c r="A290" s="6" t="s">
        <v>263</v>
      </c>
      <c r="B290" s="7">
        <v>305.02999999999997</v>
      </c>
      <c r="C290" s="8">
        <f>IFERROR(B290/B444, "NA")</f>
        <v>4.493228413265651E-3</v>
      </c>
      <c r="D290" s="9"/>
      <c r="E290" s="7">
        <v>262.31</v>
      </c>
      <c r="F290" s="8">
        <f>IFERROR(E290/E444, "NA")</f>
        <v>4.000063437398115E-3</v>
      </c>
      <c r="G290" s="9"/>
      <c r="H290" s="10">
        <f t="shared" si="72"/>
        <v>-42.71999999999997</v>
      </c>
      <c r="I290" s="8">
        <f>IFERROR(H290/H444, "NA")</f>
        <v>-1.8492385742855402E-2</v>
      </c>
      <c r="J290" s="9"/>
      <c r="K290" s="7">
        <v>233.16</v>
      </c>
      <c r="L290" s="8">
        <f>IFERROR(K290/K444, "NA")</f>
        <v>3.6533217635409581E-3</v>
      </c>
      <c r="M290" s="9"/>
      <c r="N290" s="10">
        <f t="shared" si="73"/>
        <v>-71.869999999999976</v>
      </c>
      <c r="O290" s="8">
        <f>IFERROR(N290/N444, "NA")</f>
        <v>-1.7679196503026868E-2</v>
      </c>
      <c r="P290" s="9"/>
      <c r="Q290" s="7">
        <v>305.02999999999997</v>
      </c>
      <c r="R290" s="8">
        <f>IFERROR(Q290/Q444, "NA")</f>
        <v>4.493228413265651E-3</v>
      </c>
      <c r="S290" s="9"/>
      <c r="T290" s="7">
        <v>262.31</v>
      </c>
      <c r="U290" s="8">
        <f>IFERROR(T290/T444, "NA")</f>
        <v>4.000063437398115E-3</v>
      </c>
      <c r="V290" s="9"/>
      <c r="W290" s="10">
        <f t="shared" si="74"/>
        <v>-42.71999999999997</v>
      </c>
      <c r="X290" s="8">
        <f>IFERROR(W290/W444, "NA")</f>
        <v>-1.8492385742855402E-2</v>
      </c>
      <c r="Y290" s="9"/>
      <c r="Z290" s="7">
        <v>233.16</v>
      </c>
      <c r="AA290" s="8">
        <f>IFERROR(Z290/Z444, "NA")</f>
        <v>3.6533217635409581E-3</v>
      </c>
      <c r="AB290" s="9"/>
      <c r="AC290" s="10">
        <f t="shared" si="75"/>
        <v>-71.869999999999976</v>
      </c>
      <c r="AD290" s="8">
        <f>IFERROR(AC290/AC444, "NA")</f>
        <v>-1.7679196503026868E-2</v>
      </c>
    </row>
    <row r="291" spans="1:30" ht="16.5" customHeight="1" x14ac:dyDescent="0.45">
      <c r="A291" s="6" t="s">
        <v>264</v>
      </c>
      <c r="B291" s="7">
        <v>2316.39</v>
      </c>
      <c r="C291" s="8">
        <f>IFERROR(B291/B444, "NA")</f>
        <v>3.4121461378239591E-2</v>
      </c>
      <c r="D291" s="9"/>
      <c r="E291" s="7">
        <v>262.31</v>
      </c>
      <c r="F291" s="8">
        <f>IFERROR(E291/E444, "NA")</f>
        <v>4.000063437398115E-3</v>
      </c>
      <c r="G291" s="9"/>
      <c r="H291" s="10">
        <f t="shared" si="72"/>
        <v>-2054.08</v>
      </c>
      <c r="I291" s="8">
        <f>IFERROR(H291/H444, "NA")</f>
        <v>-0.8891582328343739</v>
      </c>
      <c r="J291" s="9"/>
      <c r="K291" s="7">
        <v>1005.33</v>
      </c>
      <c r="L291" s="8">
        <f>IFERROR(K291/K444, "NA")</f>
        <v>1.5752247248844706E-2</v>
      </c>
      <c r="M291" s="9"/>
      <c r="N291" s="10">
        <f t="shared" si="73"/>
        <v>-1311.06</v>
      </c>
      <c r="O291" s="8">
        <f>IFERROR(N291/N444, "NA")</f>
        <v>-0.32250573768273849</v>
      </c>
      <c r="P291" s="9"/>
      <c r="Q291" s="7">
        <v>2316.39</v>
      </c>
      <c r="R291" s="8">
        <f>IFERROR(Q291/Q444, "NA")</f>
        <v>3.4121461378239591E-2</v>
      </c>
      <c r="S291" s="9"/>
      <c r="T291" s="7">
        <v>262.31</v>
      </c>
      <c r="U291" s="8">
        <f>IFERROR(T291/T444, "NA")</f>
        <v>4.000063437398115E-3</v>
      </c>
      <c r="V291" s="9"/>
      <c r="W291" s="10">
        <f t="shared" si="74"/>
        <v>-2054.08</v>
      </c>
      <c r="X291" s="8">
        <f>IFERROR(W291/W444, "NA")</f>
        <v>-0.8891582328343739</v>
      </c>
      <c r="Y291" s="9"/>
      <c r="Z291" s="7">
        <v>1005.33</v>
      </c>
      <c r="AA291" s="8">
        <f>IFERROR(Z291/Z444, "NA")</f>
        <v>1.5752247248844706E-2</v>
      </c>
      <c r="AB291" s="9"/>
      <c r="AC291" s="10">
        <f t="shared" si="75"/>
        <v>-1311.06</v>
      </c>
      <c r="AD291" s="8">
        <f>IFERROR(AC291/AC444, "NA")</f>
        <v>-0.32250573768273849</v>
      </c>
    </row>
    <row r="292" spans="1:30" ht="16.5" customHeight="1" x14ac:dyDescent="0.45">
      <c r="A292" s="6" t="s">
        <v>265</v>
      </c>
      <c r="B292" s="7">
        <v>0</v>
      </c>
      <c r="C292" s="8">
        <f>IFERROR(B292/B444, "NA")</f>
        <v>0</v>
      </c>
      <c r="D292" s="9"/>
      <c r="E292" s="7">
        <v>196.73</v>
      </c>
      <c r="F292" s="8">
        <f>IFERROR(E292/E444, "NA")</f>
        <v>3.0000094546122186E-3</v>
      </c>
      <c r="G292" s="9"/>
      <c r="H292" s="10">
        <f t="shared" si="72"/>
        <v>196.73</v>
      </c>
      <c r="I292" s="8">
        <f>IFERROR(H292/H444, "NA")</f>
        <v>8.5159340992320823E-2</v>
      </c>
      <c r="J292" s="9"/>
      <c r="K292" s="7">
        <v>0</v>
      </c>
      <c r="L292" s="8">
        <f>IFERROR(K292/K444, "NA")</f>
        <v>0</v>
      </c>
      <c r="M292" s="9"/>
      <c r="N292" s="10">
        <f t="shared" si="73"/>
        <v>0</v>
      </c>
      <c r="O292" s="8">
        <f>IFERROR(N292/N444, "NA")</f>
        <v>0</v>
      </c>
      <c r="P292" s="9"/>
      <c r="Q292" s="7">
        <v>0</v>
      </c>
      <c r="R292" s="8">
        <f>IFERROR(Q292/Q444, "NA")</f>
        <v>0</v>
      </c>
      <c r="S292" s="9"/>
      <c r="T292" s="7">
        <v>196.73</v>
      </c>
      <c r="U292" s="8">
        <f>IFERROR(T292/T444, "NA")</f>
        <v>3.0000094546122186E-3</v>
      </c>
      <c r="V292" s="9"/>
      <c r="W292" s="10">
        <f t="shared" si="74"/>
        <v>196.73</v>
      </c>
      <c r="X292" s="8">
        <f>IFERROR(W292/W444, "NA")</f>
        <v>8.5159340992320823E-2</v>
      </c>
      <c r="Y292" s="9"/>
      <c r="Z292" s="7">
        <v>0</v>
      </c>
      <c r="AA292" s="8">
        <f>IFERROR(Z292/Z444, "NA")</f>
        <v>0</v>
      </c>
      <c r="AB292" s="9"/>
      <c r="AC292" s="10">
        <f t="shared" si="75"/>
        <v>0</v>
      </c>
      <c r="AD292" s="8">
        <f>IFERROR(AC292/AC444, "NA")</f>
        <v>0</v>
      </c>
    </row>
    <row r="293" spans="1:30" ht="16.5" customHeight="1" x14ac:dyDescent="0.45">
      <c r="A293" s="6" t="s">
        <v>266</v>
      </c>
      <c r="B293" s="7">
        <v>0</v>
      </c>
      <c r="C293" s="8">
        <f>IFERROR(B293/B444, "NA")</f>
        <v>0</v>
      </c>
      <c r="D293" s="9"/>
      <c r="E293" s="7">
        <v>98.36</v>
      </c>
      <c r="F293" s="8">
        <f>IFERROR(E293/E444, "NA")</f>
        <v>1.4999284804333749E-3</v>
      </c>
      <c r="G293" s="9"/>
      <c r="H293" s="10">
        <f t="shared" si="72"/>
        <v>98.36</v>
      </c>
      <c r="I293" s="8">
        <f>IFERROR(H293/H444, "NA")</f>
        <v>4.257750612516991E-2</v>
      </c>
      <c r="J293" s="9"/>
      <c r="K293" s="7">
        <v>0</v>
      </c>
      <c r="L293" s="8">
        <f>IFERROR(K293/K444, "NA")</f>
        <v>0</v>
      </c>
      <c r="M293" s="9"/>
      <c r="N293" s="10">
        <f t="shared" si="73"/>
        <v>0</v>
      </c>
      <c r="O293" s="8">
        <f>IFERROR(N293/N444, "NA")</f>
        <v>0</v>
      </c>
      <c r="P293" s="9"/>
      <c r="Q293" s="7">
        <v>0</v>
      </c>
      <c r="R293" s="8">
        <f>IFERROR(Q293/Q444, "NA")</f>
        <v>0</v>
      </c>
      <c r="S293" s="9"/>
      <c r="T293" s="7">
        <v>98.36</v>
      </c>
      <c r="U293" s="8">
        <f>IFERROR(T293/T444, "NA")</f>
        <v>1.4999284804333749E-3</v>
      </c>
      <c r="V293" s="9"/>
      <c r="W293" s="10">
        <f t="shared" si="74"/>
        <v>98.36</v>
      </c>
      <c r="X293" s="8">
        <f>IFERROR(W293/W444, "NA")</f>
        <v>4.257750612516991E-2</v>
      </c>
      <c r="Y293" s="9"/>
      <c r="Z293" s="7">
        <v>0</v>
      </c>
      <c r="AA293" s="8">
        <f>IFERROR(Z293/Z444, "NA")</f>
        <v>0</v>
      </c>
      <c r="AB293" s="9"/>
      <c r="AC293" s="10">
        <f t="shared" si="75"/>
        <v>0</v>
      </c>
      <c r="AD293" s="8">
        <f>IFERROR(AC293/AC444, "NA")</f>
        <v>0</v>
      </c>
    </row>
    <row r="294" spans="1:30" ht="16.5" customHeight="1" x14ac:dyDescent="0.45">
      <c r="A294" s="6" t="s">
        <v>267</v>
      </c>
      <c r="B294" s="7">
        <v>299.99</v>
      </c>
      <c r="C294" s="8">
        <f>IFERROR(B294/B444, "NA")</f>
        <v>4.4189869576617474E-3</v>
      </c>
      <c r="D294" s="9"/>
      <c r="E294" s="7">
        <v>350</v>
      </c>
      <c r="F294" s="8">
        <f>IFERROR(E294/E444, "NA")</f>
        <v>5.3372810914160355E-3</v>
      </c>
      <c r="G294" s="9"/>
      <c r="H294" s="10">
        <f t="shared" si="72"/>
        <v>50.009999999999991</v>
      </c>
      <c r="I294" s="8">
        <f>IFERROR(H294/H444, "NA")</f>
        <v>2.1648038647008407E-2</v>
      </c>
      <c r="J294" s="9"/>
      <c r="K294" s="7">
        <v>408.32</v>
      </c>
      <c r="L294" s="8">
        <f>IFERROR(K294/K444, "NA")</f>
        <v>6.3978570187383944E-3</v>
      </c>
      <c r="M294" s="9"/>
      <c r="N294" s="10">
        <f t="shared" si="73"/>
        <v>108.32999999999998</v>
      </c>
      <c r="O294" s="8">
        <f>IFERROR(N294/N444, "NA")</f>
        <v>2.6647938739013513E-2</v>
      </c>
      <c r="P294" s="9"/>
      <c r="Q294" s="7">
        <v>299.99</v>
      </c>
      <c r="R294" s="8">
        <f>IFERROR(Q294/Q444, "NA")</f>
        <v>4.4189869576617474E-3</v>
      </c>
      <c r="S294" s="9"/>
      <c r="T294" s="7">
        <v>350</v>
      </c>
      <c r="U294" s="8">
        <f>IFERROR(T294/T444, "NA")</f>
        <v>5.3372810914160355E-3</v>
      </c>
      <c r="V294" s="9"/>
      <c r="W294" s="10">
        <f t="shared" si="74"/>
        <v>50.009999999999991</v>
      </c>
      <c r="X294" s="8">
        <f>IFERROR(W294/W444, "NA")</f>
        <v>2.1648038647008407E-2</v>
      </c>
      <c r="Y294" s="9"/>
      <c r="Z294" s="7">
        <v>408.32</v>
      </c>
      <c r="AA294" s="8">
        <f>IFERROR(Z294/Z444, "NA")</f>
        <v>6.3978570187383944E-3</v>
      </c>
      <c r="AB294" s="9"/>
      <c r="AC294" s="10">
        <f t="shared" si="75"/>
        <v>108.32999999999998</v>
      </c>
      <c r="AD294" s="8">
        <f>IFERROR(AC294/AC444, "NA")</f>
        <v>2.6647938739013513E-2</v>
      </c>
    </row>
    <row r="295" spans="1:30" ht="16.5" customHeight="1" x14ac:dyDescent="0.45">
      <c r="A295" s="19" t="s">
        <v>268</v>
      </c>
      <c r="B295" s="14">
        <f>IFERROR(B286+B287+B288+B289+B290+B291+B292+B293+B294, "NA")</f>
        <v>4486.16</v>
      </c>
      <c r="C295" s="15">
        <f>IFERROR(B295/B444, "NA")</f>
        <v>6.6083144538097355E-2</v>
      </c>
      <c r="D295" s="2"/>
      <c r="E295" s="14">
        <f>IFERROR(E286+E287+E288+E289+E290+E291+E292+E293+E294, "NA")</f>
        <v>2627.71</v>
      </c>
      <c r="F295" s="15">
        <f>IFERROR(E295/E444, "NA")</f>
        <v>4.007093399064237E-2</v>
      </c>
      <c r="G295" s="2"/>
      <c r="H295" s="14">
        <f t="shared" si="72"/>
        <v>-1858.4499999999998</v>
      </c>
      <c r="I295" s="15">
        <f>IFERROR(H295/H444, "NA")</f>
        <v>-0.80447505345996362</v>
      </c>
      <c r="J295" s="2"/>
      <c r="K295" s="14">
        <f>IFERROR(K286+K287+K288+K289+K290+K291+K292+K293+K294, "NA")</f>
        <v>3197.5400000000004</v>
      </c>
      <c r="L295" s="15">
        <f>IFERROR(K295/K444, "NA")</f>
        <v>5.0101400204978365E-2</v>
      </c>
      <c r="M295" s="2"/>
      <c r="N295" s="14">
        <f t="shared" si="73"/>
        <v>-1288.6199999999994</v>
      </c>
      <c r="O295" s="15">
        <f>IFERROR(N295/N444, "NA")</f>
        <v>-0.31698575480354085</v>
      </c>
      <c r="P295" s="2"/>
      <c r="Q295" s="14">
        <f>IFERROR(Q286+Q287+Q288+Q289+Q290+Q291+Q292+Q293+Q294, "NA")</f>
        <v>4486.16</v>
      </c>
      <c r="R295" s="15">
        <f>IFERROR(Q295/Q444, "NA")</f>
        <v>6.6083144538097355E-2</v>
      </c>
      <c r="S295" s="2"/>
      <c r="T295" s="14">
        <f>IFERROR(T286+T287+T288+T289+T290+T291+T292+T293+T294, "NA")</f>
        <v>2627.71</v>
      </c>
      <c r="U295" s="15">
        <f>IFERROR(T295/T444, "NA")</f>
        <v>4.007093399064237E-2</v>
      </c>
      <c r="V295" s="2"/>
      <c r="W295" s="14">
        <f t="shared" si="74"/>
        <v>-1858.4499999999998</v>
      </c>
      <c r="X295" s="15">
        <f>IFERROR(W295/W444, "NA")</f>
        <v>-0.80447505345996362</v>
      </c>
      <c r="Y295" s="2"/>
      <c r="Z295" s="14">
        <f>IFERROR(Z286+Z287+Z288+Z289+Z290+Z291+Z292+Z293+Z294, "NA")</f>
        <v>3197.5400000000004</v>
      </c>
      <c r="AA295" s="15">
        <f>IFERROR(Z295/Z444, "NA")</f>
        <v>5.0101400204978365E-2</v>
      </c>
      <c r="AB295" s="2"/>
      <c r="AC295" s="14">
        <f t="shared" si="75"/>
        <v>-1288.6199999999994</v>
      </c>
      <c r="AD295" s="15">
        <f>IFERROR(AC295/AC444, "NA")</f>
        <v>-0.31698575480354085</v>
      </c>
    </row>
    <row r="296" spans="1:30" ht="16.5" customHeight="1" x14ac:dyDescent="0.45">
      <c r="A296" s="5" t="s">
        <v>269</v>
      </c>
      <c r="B296" s="2"/>
      <c r="C296" s="3"/>
      <c r="D296" s="4"/>
      <c r="E296" s="2"/>
      <c r="F296" s="3"/>
      <c r="G296" s="4"/>
      <c r="H296" s="2"/>
      <c r="I296" s="3"/>
      <c r="J296" s="4"/>
      <c r="K296" s="2"/>
      <c r="L296" s="3"/>
      <c r="M296" s="4"/>
      <c r="N296" s="2"/>
      <c r="O296" s="3"/>
      <c r="P296" s="4"/>
      <c r="Q296" s="2"/>
      <c r="R296" s="3"/>
      <c r="S296" s="4"/>
      <c r="T296" s="2"/>
      <c r="U296" s="3"/>
      <c r="V296" s="4"/>
      <c r="W296" s="2"/>
      <c r="X296" s="3"/>
      <c r="Y296" s="4"/>
      <c r="Z296" s="2"/>
      <c r="AA296" s="3"/>
      <c r="AB296" s="4"/>
      <c r="AC296" s="2"/>
      <c r="AD296" s="3"/>
    </row>
    <row r="297" spans="1:30" ht="16.5" hidden="1" customHeight="1" x14ac:dyDescent="0.45">
      <c r="A297" s="6" t="s">
        <v>269</v>
      </c>
      <c r="B297" s="7">
        <v>0</v>
      </c>
      <c r="C297" s="8">
        <f>IFERROR(B297/B444, "NA")</f>
        <v>0</v>
      </c>
      <c r="D297" s="9"/>
      <c r="E297" s="7">
        <v>0</v>
      </c>
      <c r="F297" s="8">
        <f>IFERROR(E297/E444, "NA")</f>
        <v>0</v>
      </c>
      <c r="G297" s="9"/>
      <c r="H297" s="10">
        <f t="shared" ref="H297:H325" si="76">IFERROR(-(B297-E297), "NA")</f>
        <v>0</v>
      </c>
      <c r="I297" s="8">
        <f>IFERROR(H297/H444, "NA")</f>
        <v>0</v>
      </c>
      <c r="J297" s="9"/>
      <c r="K297" s="7">
        <v>0</v>
      </c>
      <c r="L297" s="8">
        <f>IFERROR(K297/K444, "NA")</f>
        <v>0</v>
      </c>
      <c r="M297" s="9"/>
      <c r="N297" s="10">
        <f t="shared" ref="N297:N325" si="77">IFERROR(-(B297-K297), "NA")</f>
        <v>0</v>
      </c>
      <c r="O297" s="8">
        <f>IFERROR(N297/N444, "NA")</f>
        <v>0</v>
      </c>
      <c r="P297" s="9"/>
      <c r="Q297" s="7">
        <v>0</v>
      </c>
      <c r="R297" s="8">
        <f>IFERROR(Q297/Q444, "NA")</f>
        <v>0</v>
      </c>
      <c r="S297" s="9"/>
      <c r="T297" s="7">
        <v>0</v>
      </c>
      <c r="U297" s="8">
        <f>IFERROR(T297/T444, "NA")</f>
        <v>0</v>
      </c>
      <c r="V297" s="9"/>
      <c r="W297" s="10">
        <f t="shared" ref="W297:W325" si="78">IFERROR(-(Q297-T297), "NA")</f>
        <v>0</v>
      </c>
      <c r="X297" s="8">
        <f>IFERROR(W297/W444, "NA")</f>
        <v>0</v>
      </c>
      <c r="Y297" s="9"/>
      <c r="Z297" s="7">
        <v>0</v>
      </c>
      <c r="AA297" s="8">
        <f>IFERROR(Z297/Z444, "NA")</f>
        <v>0</v>
      </c>
      <c r="AB297" s="9"/>
      <c r="AC297" s="10">
        <f t="shared" ref="AC297:AC325" si="79">IFERROR(-(Q297-Z297), "NA")</f>
        <v>0</v>
      </c>
      <c r="AD297" s="8">
        <f>IFERROR(AC297/AC444, "NA")</f>
        <v>0</v>
      </c>
    </row>
    <row r="298" spans="1:30" ht="16.5" hidden="1" customHeight="1" x14ac:dyDescent="0.45">
      <c r="A298" s="6" t="s">
        <v>270</v>
      </c>
      <c r="B298" s="7">
        <v>0</v>
      </c>
      <c r="C298" s="8">
        <f>IFERROR(B298/B444, "NA")</f>
        <v>0</v>
      </c>
      <c r="D298" s="9"/>
      <c r="E298" s="7">
        <v>0</v>
      </c>
      <c r="F298" s="8">
        <f>IFERROR(E298/E444, "NA")</f>
        <v>0</v>
      </c>
      <c r="G298" s="9"/>
      <c r="H298" s="10">
        <f t="shared" si="76"/>
        <v>0</v>
      </c>
      <c r="I298" s="8">
        <f>IFERROR(H298/H444, "NA")</f>
        <v>0</v>
      </c>
      <c r="J298" s="9"/>
      <c r="K298" s="7">
        <v>0</v>
      </c>
      <c r="L298" s="8">
        <f>IFERROR(K298/K444, "NA")</f>
        <v>0</v>
      </c>
      <c r="M298" s="9"/>
      <c r="N298" s="10">
        <f t="shared" si="77"/>
        <v>0</v>
      </c>
      <c r="O298" s="8">
        <f>IFERROR(N298/N444, "NA")</f>
        <v>0</v>
      </c>
      <c r="P298" s="9"/>
      <c r="Q298" s="7">
        <v>0</v>
      </c>
      <c r="R298" s="8">
        <f>IFERROR(Q298/Q444, "NA")</f>
        <v>0</v>
      </c>
      <c r="S298" s="9"/>
      <c r="T298" s="7">
        <v>0</v>
      </c>
      <c r="U298" s="8">
        <f>IFERROR(T298/T444, "NA")</f>
        <v>0</v>
      </c>
      <c r="V298" s="9"/>
      <c r="W298" s="10">
        <f t="shared" si="78"/>
        <v>0</v>
      </c>
      <c r="X298" s="8">
        <f>IFERROR(W298/W444, "NA")</f>
        <v>0</v>
      </c>
      <c r="Y298" s="9"/>
      <c r="Z298" s="7">
        <v>0</v>
      </c>
      <c r="AA298" s="8">
        <f>IFERROR(Z298/Z444, "NA")</f>
        <v>0</v>
      </c>
      <c r="AB298" s="9"/>
      <c r="AC298" s="10">
        <f t="shared" si="79"/>
        <v>0</v>
      </c>
      <c r="AD298" s="8">
        <f>IFERROR(AC298/AC444, "NA")</f>
        <v>0</v>
      </c>
    </row>
    <row r="299" spans="1:30" ht="16.5" customHeight="1" x14ac:dyDescent="0.45">
      <c r="A299" s="6" t="s">
        <v>271</v>
      </c>
      <c r="B299" s="7">
        <v>496.09</v>
      </c>
      <c r="C299" s="8">
        <f>IFERROR(B299/B444, "NA")</f>
        <v>7.3076277203453985E-3</v>
      </c>
      <c r="D299" s="9"/>
      <c r="E299" s="7">
        <v>489</v>
      </c>
      <c r="F299" s="8">
        <f>IFERROR(E299/E444, "NA")</f>
        <v>7.4569441534355465E-3</v>
      </c>
      <c r="G299" s="9"/>
      <c r="H299" s="10">
        <f t="shared" si="76"/>
        <v>-7.089999999999975</v>
      </c>
      <c r="I299" s="8">
        <f>IFERROR(H299/H444, "NA")</f>
        <v>-3.0690780645328754E-3</v>
      </c>
      <c r="J299" s="9"/>
      <c r="K299" s="7">
        <v>516.35</v>
      </c>
      <c r="L299" s="8">
        <f>IFERROR(K299/K444, "NA")</f>
        <v>8.0905502341927157E-3</v>
      </c>
      <c r="M299" s="9"/>
      <c r="N299" s="10">
        <f t="shared" si="77"/>
        <v>20.260000000000048</v>
      </c>
      <c r="O299" s="8">
        <f>IFERROR(N299/N444, "NA")</f>
        <v>4.9837278579563842E-3</v>
      </c>
      <c r="P299" s="9"/>
      <c r="Q299" s="7">
        <v>496.09</v>
      </c>
      <c r="R299" s="8">
        <f>IFERROR(Q299/Q444, "NA")</f>
        <v>7.3076277203453985E-3</v>
      </c>
      <c r="S299" s="9"/>
      <c r="T299" s="7">
        <v>489</v>
      </c>
      <c r="U299" s="8">
        <f>IFERROR(T299/T444, "NA")</f>
        <v>7.4569441534355465E-3</v>
      </c>
      <c r="V299" s="9"/>
      <c r="W299" s="10">
        <f t="shared" si="78"/>
        <v>-7.089999999999975</v>
      </c>
      <c r="X299" s="8">
        <f>IFERROR(W299/W444, "NA")</f>
        <v>-3.0690780645328754E-3</v>
      </c>
      <c r="Y299" s="9"/>
      <c r="Z299" s="7">
        <v>516.35</v>
      </c>
      <c r="AA299" s="8">
        <f>IFERROR(Z299/Z444, "NA")</f>
        <v>8.0905502341927157E-3</v>
      </c>
      <c r="AB299" s="9"/>
      <c r="AC299" s="10">
        <f t="shared" si="79"/>
        <v>20.260000000000048</v>
      </c>
      <c r="AD299" s="8">
        <f>IFERROR(AC299/AC444, "NA")</f>
        <v>4.9837278579563842E-3</v>
      </c>
    </row>
    <row r="300" spans="1:30" ht="16.5" hidden="1" customHeight="1" x14ac:dyDescent="0.45">
      <c r="A300" s="6" t="s">
        <v>272</v>
      </c>
      <c r="B300" s="7">
        <v>0</v>
      </c>
      <c r="C300" s="8">
        <f>IFERROR(B300/B444, "NA")</f>
        <v>0</v>
      </c>
      <c r="D300" s="9"/>
      <c r="E300" s="7">
        <v>0</v>
      </c>
      <c r="F300" s="8">
        <f>IFERROR(E300/E444, "NA")</f>
        <v>0</v>
      </c>
      <c r="G300" s="9"/>
      <c r="H300" s="10">
        <f t="shared" si="76"/>
        <v>0</v>
      </c>
      <c r="I300" s="8">
        <f>IFERROR(H300/H444, "NA")</f>
        <v>0</v>
      </c>
      <c r="J300" s="9"/>
      <c r="K300" s="7">
        <v>0</v>
      </c>
      <c r="L300" s="8">
        <f>IFERROR(K300/K444, "NA")</f>
        <v>0</v>
      </c>
      <c r="M300" s="9"/>
      <c r="N300" s="10">
        <f t="shared" si="77"/>
        <v>0</v>
      </c>
      <c r="O300" s="8">
        <f>IFERROR(N300/N444, "NA")</f>
        <v>0</v>
      </c>
      <c r="P300" s="9"/>
      <c r="Q300" s="7">
        <v>0</v>
      </c>
      <c r="R300" s="8">
        <f>IFERROR(Q300/Q444, "NA")</f>
        <v>0</v>
      </c>
      <c r="S300" s="9"/>
      <c r="T300" s="7">
        <v>0</v>
      </c>
      <c r="U300" s="8">
        <f>IFERROR(T300/T444, "NA")</f>
        <v>0</v>
      </c>
      <c r="V300" s="9"/>
      <c r="W300" s="10">
        <f t="shared" si="78"/>
        <v>0</v>
      </c>
      <c r="X300" s="8">
        <f>IFERROR(W300/W444, "NA")</f>
        <v>0</v>
      </c>
      <c r="Y300" s="9"/>
      <c r="Z300" s="7">
        <v>0</v>
      </c>
      <c r="AA300" s="8">
        <f>IFERROR(Z300/Z444, "NA")</f>
        <v>0</v>
      </c>
      <c r="AB300" s="9"/>
      <c r="AC300" s="10">
        <f t="shared" si="79"/>
        <v>0</v>
      </c>
      <c r="AD300" s="8">
        <f>IFERROR(AC300/AC444, "NA")</f>
        <v>0</v>
      </c>
    </row>
    <row r="301" spans="1:30" ht="16.5" hidden="1" customHeight="1" x14ac:dyDescent="0.45">
      <c r="A301" s="6" t="s">
        <v>273</v>
      </c>
      <c r="B301" s="7">
        <v>0</v>
      </c>
      <c r="C301" s="8">
        <f>IFERROR(B301/B444, "NA")</f>
        <v>0</v>
      </c>
      <c r="D301" s="9"/>
      <c r="E301" s="7">
        <v>0</v>
      </c>
      <c r="F301" s="8">
        <f>IFERROR(E301/E444, "NA")</f>
        <v>0</v>
      </c>
      <c r="G301" s="9"/>
      <c r="H301" s="10">
        <f t="shared" si="76"/>
        <v>0</v>
      </c>
      <c r="I301" s="8">
        <f>IFERROR(H301/H444, "NA")</f>
        <v>0</v>
      </c>
      <c r="J301" s="9"/>
      <c r="K301" s="7">
        <v>0</v>
      </c>
      <c r="L301" s="8">
        <f>IFERROR(K301/K444, "NA")</f>
        <v>0</v>
      </c>
      <c r="M301" s="9"/>
      <c r="N301" s="10">
        <f t="shared" si="77"/>
        <v>0</v>
      </c>
      <c r="O301" s="8">
        <f>IFERROR(N301/N444, "NA")</f>
        <v>0</v>
      </c>
      <c r="P301" s="9"/>
      <c r="Q301" s="7">
        <v>0</v>
      </c>
      <c r="R301" s="8">
        <f>IFERROR(Q301/Q444, "NA")</f>
        <v>0</v>
      </c>
      <c r="S301" s="9"/>
      <c r="T301" s="7">
        <v>0</v>
      </c>
      <c r="U301" s="8">
        <f>IFERROR(T301/T444, "NA")</f>
        <v>0</v>
      </c>
      <c r="V301" s="9"/>
      <c r="W301" s="10">
        <f t="shared" si="78"/>
        <v>0</v>
      </c>
      <c r="X301" s="8">
        <f>IFERROR(W301/W444, "NA")</f>
        <v>0</v>
      </c>
      <c r="Y301" s="9"/>
      <c r="Z301" s="7">
        <v>0</v>
      </c>
      <c r="AA301" s="8">
        <f>IFERROR(Z301/Z444, "NA")</f>
        <v>0</v>
      </c>
      <c r="AB301" s="9"/>
      <c r="AC301" s="10">
        <f t="shared" si="79"/>
        <v>0</v>
      </c>
      <c r="AD301" s="8">
        <f>IFERROR(AC301/AC444, "NA")</f>
        <v>0</v>
      </c>
    </row>
    <row r="302" spans="1:30" ht="16.5" hidden="1" customHeight="1" x14ac:dyDescent="0.45">
      <c r="A302" s="6" t="s">
        <v>274</v>
      </c>
      <c r="B302" s="7">
        <v>0</v>
      </c>
      <c r="C302" s="8">
        <f>IFERROR(B302/B444, "NA")</f>
        <v>0</v>
      </c>
      <c r="D302" s="9"/>
      <c r="E302" s="7">
        <v>0</v>
      </c>
      <c r="F302" s="8">
        <f>IFERROR(E302/E444, "NA")</f>
        <v>0</v>
      </c>
      <c r="G302" s="9"/>
      <c r="H302" s="10">
        <f t="shared" si="76"/>
        <v>0</v>
      </c>
      <c r="I302" s="8">
        <f>IFERROR(H302/H444, "NA")</f>
        <v>0</v>
      </c>
      <c r="J302" s="9"/>
      <c r="K302" s="7">
        <v>0</v>
      </c>
      <c r="L302" s="8">
        <f>IFERROR(K302/K444, "NA")</f>
        <v>0</v>
      </c>
      <c r="M302" s="9"/>
      <c r="N302" s="10">
        <f t="shared" si="77"/>
        <v>0</v>
      </c>
      <c r="O302" s="8">
        <f>IFERROR(N302/N444, "NA")</f>
        <v>0</v>
      </c>
      <c r="P302" s="9"/>
      <c r="Q302" s="7">
        <v>0</v>
      </c>
      <c r="R302" s="8">
        <f>IFERROR(Q302/Q444, "NA")</f>
        <v>0</v>
      </c>
      <c r="S302" s="9"/>
      <c r="T302" s="7">
        <v>0</v>
      </c>
      <c r="U302" s="8">
        <f>IFERROR(T302/T444, "NA")</f>
        <v>0</v>
      </c>
      <c r="V302" s="9"/>
      <c r="W302" s="10">
        <f t="shared" si="78"/>
        <v>0</v>
      </c>
      <c r="X302" s="8">
        <f>IFERROR(W302/W444, "NA")</f>
        <v>0</v>
      </c>
      <c r="Y302" s="9"/>
      <c r="Z302" s="7">
        <v>0</v>
      </c>
      <c r="AA302" s="8">
        <f>IFERROR(Z302/Z444, "NA")</f>
        <v>0</v>
      </c>
      <c r="AB302" s="9"/>
      <c r="AC302" s="10">
        <f t="shared" si="79"/>
        <v>0</v>
      </c>
      <c r="AD302" s="8">
        <f>IFERROR(AC302/AC444, "NA")</f>
        <v>0</v>
      </c>
    </row>
    <row r="303" spans="1:30" ht="16.5" hidden="1" customHeight="1" x14ac:dyDescent="0.45">
      <c r="A303" s="6" t="s">
        <v>275</v>
      </c>
      <c r="B303" s="7">
        <v>0</v>
      </c>
      <c r="C303" s="8">
        <f>IFERROR(B303/B444, "NA")</f>
        <v>0</v>
      </c>
      <c r="D303" s="9"/>
      <c r="E303" s="7">
        <v>0</v>
      </c>
      <c r="F303" s="8">
        <f>IFERROR(E303/E444, "NA")</f>
        <v>0</v>
      </c>
      <c r="G303" s="9"/>
      <c r="H303" s="10">
        <f t="shared" si="76"/>
        <v>0</v>
      </c>
      <c r="I303" s="8">
        <f>IFERROR(H303/H444, "NA")</f>
        <v>0</v>
      </c>
      <c r="J303" s="9"/>
      <c r="K303" s="7">
        <v>0</v>
      </c>
      <c r="L303" s="8">
        <f>IFERROR(K303/K444, "NA")</f>
        <v>0</v>
      </c>
      <c r="M303" s="9"/>
      <c r="N303" s="10">
        <f t="shared" si="77"/>
        <v>0</v>
      </c>
      <c r="O303" s="8">
        <f>IFERROR(N303/N444, "NA")</f>
        <v>0</v>
      </c>
      <c r="P303" s="9"/>
      <c r="Q303" s="7">
        <v>0</v>
      </c>
      <c r="R303" s="8">
        <f>IFERROR(Q303/Q444, "NA")</f>
        <v>0</v>
      </c>
      <c r="S303" s="9"/>
      <c r="T303" s="7">
        <v>0</v>
      </c>
      <c r="U303" s="8">
        <f>IFERROR(T303/T444, "NA")</f>
        <v>0</v>
      </c>
      <c r="V303" s="9"/>
      <c r="W303" s="10">
        <f t="shared" si="78"/>
        <v>0</v>
      </c>
      <c r="X303" s="8">
        <f>IFERROR(W303/W444, "NA")</f>
        <v>0</v>
      </c>
      <c r="Y303" s="9"/>
      <c r="Z303" s="7">
        <v>0</v>
      </c>
      <c r="AA303" s="8">
        <f>IFERROR(Z303/Z444, "NA")</f>
        <v>0</v>
      </c>
      <c r="AB303" s="9"/>
      <c r="AC303" s="10">
        <f t="shared" si="79"/>
        <v>0</v>
      </c>
      <c r="AD303" s="8">
        <f>IFERROR(AC303/AC444, "NA")</f>
        <v>0</v>
      </c>
    </row>
    <row r="304" spans="1:30" ht="16.5" hidden="1" customHeight="1" x14ac:dyDescent="0.45">
      <c r="A304" s="6" t="s">
        <v>276</v>
      </c>
      <c r="B304" s="7">
        <v>0</v>
      </c>
      <c r="C304" s="8">
        <f>IFERROR(B304/B444, "NA")</f>
        <v>0</v>
      </c>
      <c r="D304" s="9"/>
      <c r="E304" s="7">
        <v>0</v>
      </c>
      <c r="F304" s="8">
        <f>IFERROR(E304/E444, "NA")</f>
        <v>0</v>
      </c>
      <c r="G304" s="9"/>
      <c r="H304" s="10">
        <f t="shared" si="76"/>
        <v>0</v>
      </c>
      <c r="I304" s="8">
        <f>IFERROR(H304/H444, "NA")</f>
        <v>0</v>
      </c>
      <c r="J304" s="9"/>
      <c r="K304" s="7">
        <v>0</v>
      </c>
      <c r="L304" s="8">
        <f>IFERROR(K304/K444, "NA")</f>
        <v>0</v>
      </c>
      <c r="M304" s="9"/>
      <c r="N304" s="10">
        <f t="shared" si="77"/>
        <v>0</v>
      </c>
      <c r="O304" s="8">
        <f>IFERROR(N304/N444, "NA")</f>
        <v>0</v>
      </c>
      <c r="P304" s="9"/>
      <c r="Q304" s="7">
        <v>0</v>
      </c>
      <c r="R304" s="8">
        <f>IFERROR(Q304/Q444, "NA")</f>
        <v>0</v>
      </c>
      <c r="S304" s="9"/>
      <c r="T304" s="7">
        <v>0</v>
      </c>
      <c r="U304" s="8">
        <f>IFERROR(T304/T444, "NA")</f>
        <v>0</v>
      </c>
      <c r="V304" s="9"/>
      <c r="W304" s="10">
        <f t="shared" si="78"/>
        <v>0</v>
      </c>
      <c r="X304" s="8">
        <f>IFERROR(W304/W444, "NA")</f>
        <v>0</v>
      </c>
      <c r="Y304" s="9"/>
      <c r="Z304" s="7">
        <v>0</v>
      </c>
      <c r="AA304" s="8">
        <f>IFERROR(Z304/Z444, "NA")</f>
        <v>0</v>
      </c>
      <c r="AB304" s="9"/>
      <c r="AC304" s="10">
        <f t="shared" si="79"/>
        <v>0</v>
      </c>
      <c r="AD304" s="8">
        <f>IFERROR(AC304/AC444, "NA")</f>
        <v>0</v>
      </c>
    </row>
    <row r="305" spans="1:30" ht="16.5" customHeight="1" x14ac:dyDescent="0.45">
      <c r="A305" s="6" t="s">
        <v>277</v>
      </c>
      <c r="B305" s="7">
        <v>0</v>
      </c>
      <c r="C305" s="8">
        <f>IFERROR(B305/B444, "NA")</f>
        <v>0</v>
      </c>
      <c r="D305" s="9"/>
      <c r="E305" s="7">
        <v>0</v>
      </c>
      <c r="F305" s="8">
        <f>IFERROR(E305/E444, "NA")</f>
        <v>0</v>
      </c>
      <c r="G305" s="9"/>
      <c r="H305" s="10">
        <f t="shared" si="76"/>
        <v>0</v>
      </c>
      <c r="I305" s="8">
        <f>IFERROR(H305/H444, "NA")</f>
        <v>0</v>
      </c>
      <c r="J305" s="9"/>
      <c r="K305" s="7">
        <v>15</v>
      </c>
      <c r="L305" s="8">
        <f>IFERROR(K305/K444, "NA")</f>
        <v>2.3503099353711773E-4</v>
      </c>
      <c r="M305" s="9"/>
      <c r="N305" s="10">
        <f t="shared" si="77"/>
        <v>15</v>
      </c>
      <c r="O305" s="8">
        <f>IFERROR(N305/N444, "NA")</f>
        <v>3.6898281278058037E-3</v>
      </c>
      <c r="P305" s="9"/>
      <c r="Q305" s="7">
        <v>0</v>
      </c>
      <c r="R305" s="8">
        <f>IFERROR(Q305/Q444, "NA")</f>
        <v>0</v>
      </c>
      <c r="S305" s="9"/>
      <c r="T305" s="7">
        <v>0</v>
      </c>
      <c r="U305" s="8">
        <f>IFERROR(T305/T444, "NA")</f>
        <v>0</v>
      </c>
      <c r="V305" s="9"/>
      <c r="W305" s="10">
        <f t="shared" si="78"/>
        <v>0</v>
      </c>
      <c r="X305" s="8">
        <f>IFERROR(W305/W444, "NA")</f>
        <v>0</v>
      </c>
      <c r="Y305" s="9"/>
      <c r="Z305" s="7">
        <v>15</v>
      </c>
      <c r="AA305" s="8">
        <f>IFERROR(Z305/Z444, "NA")</f>
        <v>2.3503099353711773E-4</v>
      </c>
      <c r="AB305" s="9"/>
      <c r="AC305" s="10">
        <f t="shared" si="79"/>
        <v>15</v>
      </c>
      <c r="AD305" s="8">
        <f>IFERROR(AC305/AC444, "NA")</f>
        <v>3.6898281278058037E-3</v>
      </c>
    </row>
    <row r="306" spans="1:30" ht="16.5" hidden="1" customHeight="1" x14ac:dyDescent="0.45">
      <c r="A306" s="6" t="s">
        <v>278</v>
      </c>
      <c r="B306" s="7">
        <v>0</v>
      </c>
      <c r="C306" s="8">
        <f>IFERROR(B306/B444, "NA")</f>
        <v>0</v>
      </c>
      <c r="D306" s="9"/>
      <c r="E306" s="7">
        <v>0</v>
      </c>
      <c r="F306" s="8">
        <f>IFERROR(E306/E444, "NA")</f>
        <v>0</v>
      </c>
      <c r="G306" s="9"/>
      <c r="H306" s="10">
        <f t="shared" si="76"/>
        <v>0</v>
      </c>
      <c r="I306" s="8">
        <f>IFERROR(H306/H444, "NA")</f>
        <v>0</v>
      </c>
      <c r="J306" s="9"/>
      <c r="K306" s="7">
        <v>0</v>
      </c>
      <c r="L306" s="8">
        <f>IFERROR(K306/K444, "NA")</f>
        <v>0</v>
      </c>
      <c r="M306" s="9"/>
      <c r="N306" s="10">
        <f t="shared" si="77"/>
        <v>0</v>
      </c>
      <c r="O306" s="8">
        <f>IFERROR(N306/N444, "NA")</f>
        <v>0</v>
      </c>
      <c r="P306" s="9"/>
      <c r="Q306" s="7">
        <v>0</v>
      </c>
      <c r="R306" s="8">
        <f>IFERROR(Q306/Q444, "NA")</f>
        <v>0</v>
      </c>
      <c r="S306" s="9"/>
      <c r="T306" s="7">
        <v>0</v>
      </c>
      <c r="U306" s="8">
        <f>IFERROR(T306/T444, "NA")</f>
        <v>0</v>
      </c>
      <c r="V306" s="9"/>
      <c r="W306" s="10">
        <f t="shared" si="78"/>
        <v>0</v>
      </c>
      <c r="X306" s="8">
        <f>IFERROR(W306/W444, "NA")</f>
        <v>0</v>
      </c>
      <c r="Y306" s="9"/>
      <c r="Z306" s="7">
        <v>0</v>
      </c>
      <c r="AA306" s="8">
        <f>IFERROR(Z306/Z444, "NA")</f>
        <v>0</v>
      </c>
      <c r="AB306" s="9"/>
      <c r="AC306" s="10">
        <f t="shared" si="79"/>
        <v>0</v>
      </c>
      <c r="AD306" s="8">
        <f>IFERROR(AC306/AC444, "NA")</f>
        <v>0</v>
      </c>
    </row>
    <row r="307" spans="1:30" ht="16.5" hidden="1" customHeight="1" x14ac:dyDescent="0.45">
      <c r="A307" s="6" t="s">
        <v>279</v>
      </c>
      <c r="B307" s="7">
        <v>0</v>
      </c>
      <c r="C307" s="8">
        <f>IFERROR(B307/B444, "NA")</f>
        <v>0</v>
      </c>
      <c r="D307" s="9"/>
      <c r="E307" s="7">
        <v>0</v>
      </c>
      <c r="F307" s="8">
        <f>IFERROR(E307/E444, "NA")</f>
        <v>0</v>
      </c>
      <c r="G307" s="9"/>
      <c r="H307" s="10">
        <f t="shared" si="76"/>
        <v>0</v>
      </c>
      <c r="I307" s="8">
        <f>IFERROR(H307/H444, "NA")</f>
        <v>0</v>
      </c>
      <c r="J307" s="9"/>
      <c r="K307" s="7">
        <v>0</v>
      </c>
      <c r="L307" s="8">
        <f>IFERROR(K307/K444, "NA")</f>
        <v>0</v>
      </c>
      <c r="M307" s="9"/>
      <c r="N307" s="10">
        <f t="shared" si="77"/>
        <v>0</v>
      </c>
      <c r="O307" s="8">
        <f>IFERROR(N307/N444, "NA")</f>
        <v>0</v>
      </c>
      <c r="P307" s="9"/>
      <c r="Q307" s="7">
        <v>0</v>
      </c>
      <c r="R307" s="8">
        <f>IFERROR(Q307/Q444, "NA")</f>
        <v>0</v>
      </c>
      <c r="S307" s="9"/>
      <c r="T307" s="7">
        <v>0</v>
      </c>
      <c r="U307" s="8">
        <f>IFERROR(T307/T444, "NA")</f>
        <v>0</v>
      </c>
      <c r="V307" s="9"/>
      <c r="W307" s="10">
        <f t="shared" si="78"/>
        <v>0</v>
      </c>
      <c r="X307" s="8">
        <f>IFERROR(W307/W444, "NA")</f>
        <v>0</v>
      </c>
      <c r="Y307" s="9"/>
      <c r="Z307" s="7">
        <v>0</v>
      </c>
      <c r="AA307" s="8">
        <f>IFERROR(Z307/Z444, "NA")</f>
        <v>0</v>
      </c>
      <c r="AB307" s="9"/>
      <c r="AC307" s="10">
        <f t="shared" si="79"/>
        <v>0</v>
      </c>
      <c r="AD307" s="8">
        <f>IFERROR(AC307/AC444, "NA")</f>
        <v>0</v>
      </c>
    </row>
    <row r="308" spans="1:30" ht="16.5" hidden="1" customHeight="1" x14ac:dyDescent="0.45">
      <c r="A308" s="6" t="s">
        <v>280</v>
      </c>
      <c r="B308" s="7">
        <v>0</v>
      </c>
      <c r="C308" s="8">
        <f>IFERROR(B308/B444, "NA")</f>
        <v>0</v>
      </c>
      <c r="D308" s="9"/>
      <c r="E308" s="7">
        <v>0</v>
      </c>
      <c r="F308" s="8">
        <f>IFERROR(E308/E444, "NA")</f>
        <v>0</v>
      </c>
      <c r="G308" s="9"/>
      <c r="H308" s="10">
        <f t="shared" si="76"/>
        <v>0</v>
      </c>
      <c r="I308" s="8">
        <f>IFERROR(H308/H444, "NA")</f>
        <v>0</v>
      </c>
      <c r="J308" s="9"/>
      <c r="K308" s="7">
        <v>0</v>
      </c>
      <c r="L308" s="8">
        <f>IFERROR(K308/K444, "NA")</f>
        <v>0</v>
      </c>
      <c r="M308" s="9"/>
      <c r="N308" s="10">
        <f t="shared" si="77"/>
        <v>0</v>
      </c>
      <c r="O308" s="8">
        <f>IFERROR(N308/N444, "NA")</f>
        <v>0</v>
      </c>
      <c r="P308" s="9"/>
      <c r="Q308" s="7">
        <v>0</v>
      </c>
      <c r="R308" s="8">
        <f>IFERROR(Q308/Q444, "NA")</f>
        <v>0</v>
      </c>
      <c r="S308" s="9"/>
      <c r="T308" s="7">
        <v>0</v>
      </c>
      <c r="U308" s="8">
        <f>IFERROR(T308/T444, "NA")</f>
        <v>0</v>
      </c>
      <c r="V308" s="9"/>
      <c r="W308" s="10">
        <f t="shared" si="78"/>
        <v>0</v>
      </c>
      <c r="X308" s="8">
        <f>IFERROR(W308/W444, "NA")</f>
        <v>0</v>
      </c>
      <c r="Y308" s="9"/>
      <c r="Z308" s="7">
        <v>0</v>
      </c>
      <c r="AA308" s="8">
        <f>IFERROR(Z308/Z444, "NA")</f>
        <v>0</v>
      </c>
      <c r="AB308" s="9"/>
      <c r="AC308" s="10">
        <f t="shared" si="79"/>
        <v>0</v>
      </c>
      <c r="AD308" s="8">
        <f>IFERROR(AC308/AC444, "NA")</f>
        <v>0</v>
      </c>
    </row>
    <row r="309" spans="1:30" ht="16.5" hidden="1" customHeight="1" x14ac:dyDescent="0.45">
      <c r="A309" s="6" t="s">
        <v>281</v>
      </c>
      <c r="B309" s="7">
        <v>0</v>
      </c>
      <c r="C309" s="8">
        <f>IFERROR(B309/B444, "NA")</f>
        <v>0</v>
      </c>
      <c r="D309" s="9"/>
      <c r="E309" s="7">
        <v>0</v>
      </c>
      <c r="F309" s="8">
        <f>IFERROR(E309/E444, "NA")</f>
        <v>0</v>
      </c>
      <c r="G309" s="9"/>
      <c r="H309" s="10">
        <f t="shared" si="76"/>
        <v>0</v>
      </c>
      <c r="I309" s="8">
        <f>IFERROR(H309/H444, "NA")</f>
        <v>0</v>
      </c>
      <c r="J309" s="9"/>
      <c r="K309" s="7">
        <v>0</v>
      </c>
      <c r="L309" s="8">
        <f>IFERROR(K309/K444, "NA")</f>
        <v>0</v>
      </c>
      <c r="M309" s="9"/>
      <c r="N309" s="10">
        <f t="shared" si="77"/>
        <v>0</v>
      </c>
      <c r="O309" s="8">
        <f>IFERROR(N309/N444, "NA")</f>
        <v>0</v>
      </c>
      <c r="P309" s="9"/>
      <c r="Q309" s="7">
        <v>0</v>
      </c>
      <c r="R309" s="8">
        <f>IFERROR(Q309/Q444, "NA")</f>
        <v>0</v>
      </c>
      <c r="S309" s="9"/>
      <c r="T309" s="7">
        <v>0</v>
      </c>
      <c r="U309" s="8">
        <f>IFERROR(T309/T444, "NA")</f>
        <v>0</v>
      </c>
      <c r="V309" s="9"/>
      <c r="W309" s="10">
        <f t="shared" si="78"/>
        <v>0</v>
      </c>
      <c r="X309" s="8">
        <f>IFERROR(W309/W444, "NA")</f>
        <v>0</v>
      </c>
      <c r="Y309" s="9"/>
      <c r="Z309" s="7">
        <v>0</v>
      </c>
      <c r="AA309" s="8">
        <f>IFERROR(Z309/Z444, "NA")</f>
        <v>0</v>
      </c>
      <c r="AB309" s="9"/>
      <c r="AC309" s="10">
        <f t="shared" si="79"/>
        <v>0</v>
      </c>
      <c r="AD309" s="8">
        <f>IFERROR(AC309/AC444, "NA")</f>
        <v>0</v>
      </c>
    </row>
    <row r="310" spans="1:30" ht="16.5" customHeight="1" x14ac:dyDescent="0.45">
      <c r="A310" s="6" t="s">
        <v>282</v>
      </c>
      <c r="B310" s="7">
        <v>0</v>
      </c>
      <c r="C310" s="8">
        <f>IFERROR(B310/B444, "NA")</f>
        <v>0</v>
      </c>
      <c r="D310" s="9"/>
      <c r="E310" s="7">
        <v>55</v>
      </c>
      <c r="F310" s="8">
        <f>IFERROR(E310/E444, "NA")</f>
        <v>8.3871560007966269E-4</v>
      </c>
      <c r="G310" s="9"/>
      <c r="H310" s="10">
        <f t="shared" si="76"/>
        <v>55</v>
      </c>
      <c r="I310" s="8">
        <f>IFERROR(H310/H444, "NA")</f>
        <v>2.3808080895530145E-2</v>
      </c>
      <c r="J310" s="9"/>
      <c r="K310" s="7">
        <v>0</v>
      </c>
      <c r="L310" s="8">
        <f>IFERROR(K310/K444, "NA")</f>
        <v>0</v>
      </c>
      <c r="M310" s="9"/>
      <c r="N310" s="10">
        <f t="shared" si="77"/>
        <v>0</v>
      </c>
      <c r="O310" s="8">
        <f>IFERROR(N310/N444, "NA")</f>
        <v>0</v>
      </c>
      <c r="P310" s="9"/>
      <c r="Q310" s="7">
        <v>0</v>
      </c>
      <c r="R310" s="8">
        <f>IFERROR(Q310/Q444, "NA")</f>
        <v>0</v>
      </c>
      <c r="S310" s="9"/>
      <c r="T310" s="7">
        <v>55</v>
      </c>
      <c r="U310" s="8">
        <f>IFERROR(T310/T444, "NA")</f>
        <v>8.3871560007966269E-4</v>
      </c>
      <c r="V310" s="9"/>
      <c r="W310" s="10">
        <f t="shared" si="78"/>
        <v>55</v>
      </c>
      <c r="X310" s="8">
        <f>IFERROR(W310/W444, "NA")</f>
        <v>2.3808080895530145E-2</v>
      </c>
      <c r="Y310" s="9"/>
      <c r="Z310" s="7">
        <v>0</v>
      </c>
      <c r="AA310" s="8">
        <f>IFERROR(Z310/Z444, "NA")</f>
        <v>0</v>
      </c>
      <c r="AB310" s="9"/>
      <c r="AC310" s="10">
        <f t="shared" si="79"/>
        <v>0</v>
      </c>
      <c r="AD310" s="8">
        <f>IFERROR(AC310/AC444, "NA")</f>
        <v>0</v>
      </c>
    </row>
    <row r="311" spans="1:30" ht="16.5" hidden="1" customHeight="1" x14ac:dyDescent="0.45">
      <c r="A311" s="6" t="s">
        <v>283</v>
      </c>
      <c r="B311" s="7">
        <v>0</v>
      </c>
      <c r="C311" s="8">
        <f>IFERROR(B311/B444, "NA")</f>
        <v>0</v>
      </c>
      <c r="D311" s="9"/>
      <c r="E311" s="7">
        <v>0</v>
      </c>
      <c r="F311" s="8">
        <f>IFERROR(E311/E444, "NA")</f>
        <v>0</v>
      </c>
      <c r="G311" s="9"/>
      <c r="H311" s="10">
        <f t="shared" si="76"/>
        <v>0</v>
      </c>
      <c r="I311" s="8">
        <f>IFERROR(H311/H444, "NA")</f>
        <v>0</v>
      </c>
      <c r="J311" s="9"/>
      <c r="K311" s="7">
        <v>0</v>
      </c>
      <c r="L311" s="8">
        <f>IFERROR(K311/K444, "NA")</f>
        <v>0</v>
      </c>
      <c r="M311" s="9"/>
      <c r="N311" s="10">
        <f t="shared" si="77"/>
        <v>0</v>
      </c>
      <c r="O311" s="8">
        <f>IFERROR(N311/N444, "NA")</f>
        <v>0</v>
      </c>
      <c r="P311" s="9"/>
      <c r="Q311" s="7">
        <v>0</v>
      </c>
      <c r="R311" s="8">
        <f>IFERROR(Q311/Q444, "NA")</f>
        <v>0</v>
      </c>
      <c r="S311" s="9"/>
      <c r="T311" s="7">
        <v>0</v>
      </c>
      <c r="U311" s="8">
        <f>IFERROR(T311/T444, "NA")</f>
        <v>0</v>
      </c>
      <c r="V311" s="9"/>
      <c r="W311" s="10">
        <f t="shared" si="78"/>
        <v>0</v>
      </c>
      <c r="X311" s="8">
        <f>IFERROR(W311/W444, "NA")</f>
        <v>0</v>
      </c>
      <c r="Y311" s="9"/>
      <c r="Z311" s="7">
        <v>0</v>
      </c>
      <c r="AA311" s="8">
        <f>IFERROR(Z311/Z444, "NA")</f>
        <v>0</v>
      </c>
      <c r="AB311" s="9"/>
      <c r="AC311" s="10">
        <f t="shared" si="79"/>
        <v>0</v>
      </c>
      <c r="AD311" s="8">
        <f>IFERROR(AC311/AC444, "NA")</f>
        <v>0</v>
      </c>
    </row>
    <row r="312" spans="1:30" ht="16.5" customHeight="1" x14ac:dyDescent="0.45">
      <c r="A312" s="6" t="s">
        <v>284</v>
      </c>
      <c r="B312" s="7">
        <v>734.44</v>
      </c>
      <c r="C312" s="8">
        <f>IFERROR(B312/B444, "NA")</f>
        <v>1.0818629891613366E-2</v>
      </c>
      <c r="D312" s="9"/>
      <c r="E312" s="7">
        <v>35</v>
      </c>
      <c r="F312" s="8">
        <f>IFERROR(E312/E444, "NA")</f>
        <v>5.3372810914160355E-4</v>
      </c>
      <c r="G312" s="9"/>
      <c r="H312" s="10">
        <f t="shared" si="76"/>
        <v>-699.44</v>
      </c>
      <c r="I312" s="8">
        <f>IFERROR(H312/H444, "NA")</f>
        <v>-0.30276952911944743</v>
      </c>
      <c r="J312" s="9"/>
      <c r="K312" s="7">
        <v>0</v>
      </c>
      <c r="L312" s="8">
        <f>IFERROR(K312/K444, "NA")</f>
        <v>0</v>
      </c>
      <c r="M312" s="9"/>
      <c r="N312" s="10">
        <f t="shared" si="77"/>
        <v>-734.44</v>
      </c>
      <c r="O312" s="8">
        <f>IFERROR(N312/N444, "NA")</f>
        <v>-0.18066382467904632</v>
      </c>
      <c r="P312" s="9"/>
      <c r="Q312" s="7">
        <v>734.44</v>
      </c>
      <c r="R312" s="8">
        <f>IFERROR(Q312/Q444, "NA")</f>
        <v>1.0818629891613366E-2</v>
      </c>
      <c r="S312" s="9"/>
      <c r="T312" s="7">
        <v>35</v>
      </c>
      <c r="U312" s="8">
        <f>IFERROR(T312/T444, "NA")</f>
        <v>5.3372810914160355E-4</v>
      </c>
      <c r="V312" s="9"/>
      <c r="W312" s="10">
        <f t="shared" si="78"/>
        <v>-699.44</v>
      </c>
      <c r="X312" s="8">
        <f>IFERROR(W312/W444, "NA")</f>
        <v>-0.30276952911944743</v>
      </c>
      <c r="Y312" s="9"/>
      <c r="Z312" s="7">
        <v>0</v>
      </c>
      <c r="AA312" s="8">
        <f>IFERROR(Z312/Z444, "NA")</f>
        <v>0</v>
      </c>
      <c r="AB312" s="9"/>
      <c r="AC312" s="10">
        <f t="shared" si="79"/>
        <v>-734.44</v>
      </c>
      <c r="AD312" s="8">
        <f>IFERROR(AC312/AC444, "NA")</f>
        <v>-0.18066382467904632</v>
      </c>
    </row>
    <row r="313" spans="1:30" ht="16.5" customHeight="1" x14ac:dyDescent="0.45">
      <c r="A313" s="6" t="s">
        <v>285</v>
      </c>
      <c r="B313" s="7">
        <v>8.6</v>
      </c>
      <c r="C313" s="8">
        <f>IFERROR(B313/B444, "NA")</f>
        <v>1.2668184884793169E-4</v>
      </c>
      <c r="D313" s="9"/>
      <c r="E313" s="7">
        <v>25</v>
      </c>
      <c r="F313" s="8">
        <f>IFERROR(E313/E444, "NA")</f>
        <v>3.8123436367257392E-4</v>
      </c>
      <c r="G313" s="9"/>
      <c r="H313" s="10">
        <f t="shared" si="76"/>
        <v>16.399999999999999</v>
      </c>
      <c r="I313" s="8">
        <f>IFERROR(H313/H444, "NA")</f>
        <v>7.0991368488489883E-3</v>
      </c>
      <c r="J313" s="9"/>
      <c r="K313" s="7">
        <v>15</v>
      </c>
      <c r="L313" s="8">
        <f>IFERROR(K313/K444, "NA")</f>
        <v>2.3503099353711773E-4</v>
      </c>
      <c r="M313" s="9"/>
      <c r="N313" s="10">
        <f t="shared" si="77"/>
        <v>6.4</v>
      </c>
      <c r="O313" s="8">
        <f>IFERROR(N313/N444, "NA")</f>
        <v>1.5743266678638099E-3</v>
      </c>
      <c r="P313" s="9"/>
      <c r="Q313" s="7">
        <v>8.6</v>
      </c>
      <c r="R313" s="8">
        <f>IFERROR(Q313/Q444, "NA")</f>
        <v>1.2668184884793169E-4</v>
      </c>
      <c r="S313" s="9"/>
      <c r="T313" s="7">
        <v>25</v>
      </c>
      <c r="U313" s="8">
        <f>IFERROR(T313/T444, "NA")</f>
        <v>3.8123436367257392E-4</v>
      </c>
      <c r="V313" s="9"/>
      <c r="W313" s="10">
        <f t="shared" si="78"/>
        <v>16.399999999999999</v>
      </c>
      <c r="X313" s="8">
        <f>IFERROR(W313/W444, "NA")</f>
        <v>7.0991368488489883E-3</v>
      </c>
      <c r="Y313" s="9"/>
      <c r="Z313" s="7">
        <v>15</v>
      </c>
      <c r="AA313" s="8">
        <f>IFERROR(Z313/Z444, "NA")</f>
        <v>2.3503099353711773E-4</v>
      </c>
      <c r="AB313" s="9"/>
      <c r="AC313" s="10">
        <f t="shared" si="79"/>
        <v>6.4</v>
      </c>
      <c r="AD313" s="8">
        <f>IFERROR(AC313/AC444, "NA")</f>
        <v>1.5743266678638099E-3</v>
      </c>
    </row>
    <row r="314" spans="1:30" ht="16.5" hidden="1" customHeight="1" x14ac:dyDescent="0.45">
      <c r="A314" s="6" t="s">
        <v>286</v>
      </c>
      <c r="B314" s="7">
        <v>0</v>
      </c>
      <c r="C314" s="8">
        <f>IFERROR(B314/B444, "NA")</f>
        <v>0</v>
      </c>
      <c r="D314" s="9"/>
      <c r="E314" s="7">
        <v>0</v>
      </c>
      <c r="F314" s="8">
        <f>IFERROR(E314/E444, "NA")</f>
        <v>0</v>
      </c>
      <c r="G314" s="9"/>
      <c r="H314" s="10">
        <f t="shared" si="76"/>
        <v>0</v>
      </c>
      <c r="I314" s="8">
        <f>IFERROR(H314/H444, "NA")</f>
        <v>0</v>
      </c>
      <c r="J314" s="9"/>
      <c r="K314" s="7">
        <v>0</v>
      </c>
      <c r="L314" s="8">
        <f>IFERROR(K314/K444, "NA")</f>
        <v>0</v>
      </c>
      <c r="M314" s="9"/>
      <c r="N314" s="10">
        <f t="shared" si="77"/>
        <v>0</v>
      </c>
      <c r="O314" s="8">
        <f>IFERROR(N314/N444, "NA")</f>
        <v>0</v>
      </c>
      <c r="P314" s="9"/>
      <c r="Q314" s="7">
        <v>0</v>
      </c>
      <c r="R314" s="8">
        <f>IFERROR(Q314/Q444, "NA")</f>
        <v>0</v>
      </c>
      <c r="S314" s="9"/>
      <c r="T314" s="7">
        <v>0</v>
      </c>
      <c r="U314" s="8">
        <f>IFERROR(T314/T444, "NA")</f>
        <v>0</v>
      </c>
      <c r="V314" s="9"/>
      <c r="W314" s="10">
        <f t="shared" si="78"/>
        <v>0</v>
      </c>
      <c r="X314" s="8">
        <f>IFERROR(W314/W444, "NA")</f>
        <v>0</v>
      </c>
      <c r="Y314" s="9"/>
      <c r="Z314" s="7">
        <v>0</v>
      </c>
      <c r="AA314" s="8">
        <f>IFERROR(Z314/Z444, "NA")</f>
        <v>0</v>
      </c>
      <c r="AB314" s="9"/>
      <c r="AC314" s="10">
        <f t="shared" si="79"/>
        <v>0</v>
      </c>
      <c r="AD314" s="8">
        <f>IFERROR(AC314/AC444, "NA")</f>
        <v>0</v>
      </c>
    </row>
    <row r="315" spans="1:30" ht="16.5" hidden="1" customHeight="1" x14ac:dyDescent="0.45">
      <c r="A315" s="6" t="s">
        <v>287</v>
      </c>
      <c r="B315" s="7">
        <v>0</v>
      </c>
      <c r="C315" s="8">
        <f>IFERROR(B315/B444, "NA")</f>
        <v>0</v>
      </c>
      <c r="D315" s="9"/>
      <c r="E315" s="7">
        <v>0</v>
      </c>
      <c r="F315" s="8">
        <f>IFERROR(E315/E444, "NA")</f>
        <v>0</v>
      </c>
      <c r="G315" s="9"/>
      <c r="H315" s="10">
        <f t="shared" si="76"/>
        <v>0</v>
      </c>
      <c r="I315" s="8">
        <f>IFERROR(H315/H444, "NA")</f>
        <v>0</v>
      </c>
      <c r="J315" s="9"/>
      <c r="K315" s="7">
        <v>0</v>
      </c>
      <c r="L315" s="8">
        <f>IFERROR(K315/K444, "NA")</f>
        <v>0</v>
      </c>
      <c r="M315" s="9"/>
      <c r="N315" s="10">
        <f t="shared" si="77"/>
        <v>0</v>
      </c>
      <c r="O315" s="8">
        <f>IFERROR(N315/N444, "NA")</f>
        <v>0</v>
      </c>
      <c r="P315" s="9"/>
      <c r="Q315" s="7">
        <v>0</v>
      </c>
      <c r="R315" s="8">
        <f>IFERROR(Q315/Q444, "NA")</f>
        <v>0</v>
      </c>
      <c r="S315" s="9"/>
      <c r="T315" s="7">
        <v>0</v>
      </c>
      <c r="U315" s="8">
        <f>IFERROR(T315/T444, "NA")</f>
        <v>0</v>
      </c>
      <c r="V315" s="9"/>
      <c r="W315" s="10">
        <f t="shared" si="78"/>
        <v>0</v>
      </c>
      <c r="X315" s="8">
        <f>IFERROR(W315/W444, "NA")</f>
        <v>0</v>
      </c>
      <c r="Y315" s="9"/>
      <c r="Z315" s="7">
        <v>0</v>
      </c>
      <c r="AA315" s="8">
        <f>IFERROR(Z315/Z444, "NA")</f>
        <v>0</v>
      </c>
      <c r="AB315" s="9"/>
      <c r="AC315" s="10">
        <f t="shared" si="79"/>
        <v>0</v>
      </c>
      <c r="AD315" s="8">
        <f>IFERROR(AC315/AC444, "NA")</f>
        <v>0</v>
      </c>
    </row>
    <row r="316" spans="1:30" ht="16.5" hidden="1" customHeight="1" x14ac:dyDescent="0.45">
      <c r="A316" s="6" t="s">
        <v>288</v>
      </c>
      <c r="B316" s="7">
        <v>0</v>
      </c>
      <c r="C316" s="8">
        <f>IFERROR(B316/B444, "NA")</f>
        <v>0</v>
      </c>
      <c r="D316" s="9"/>
      <c r="E316" s="7">
        <v>0</v>
      </c>
      <c r="F316" s="8">
        <f>IFERROR(E316/E444, "NA")</f>
        <v>0</v>
      </c>
      <c r="G316" s="9"/>
      <c r="H316" s="10">
        <f t="shared" si="76"/>
        <v>0</v>
      </c>
      <c r="I316" s="8">
        <f>IFERROR(H316/H444, "NA")</f>
        <v>0</v>
      </c>
      <c r="J316" s="9"/>
      <c r="K316" s="7">
        <v>0</v>
      </c>
      <c r="L316" s="8">
        <f>IFERROR(K316/K444, "NA")</f>
        <v>0</v>
      </c>
      <c r="M316" s="9"/>
      <c r="N316" s="10">
        <f t="shared" si="77"/>
        <v>0</v>
      </c>
      <c r="O316" s="8">
        <f>IFERROR(N316/N444, "NA")</f>
        <v>0</v>
      </c>
      <c r="P316" s="9"/>
      <c r="Q316" s="7">
        <v>0</v>
      </c>
      <c r="R316" s="8">
        <f>IFERROR(Q316/Q444, "NA")</f>
        <v>0</v>
      </c>
      <c r="S316" s="9"/>
      <c r="T316" s="7">
        <v>0</v>
      </c>
      <c r="U316" s="8">
        <f>IFERROR(T316/T444, "NA")</f>
        <v>0</v>
      </c>
      <c r="V316" s="9"/>
      <c r="W316" s="10">
        <f t="shared" si="78"/>
        <v>0</v>
      </c>
      <c r="X316" s="8">
        <f>IFERROR(W316/W444, "NA")</f>
        <v>0</v>
      </c>
      <c r="Y316" s="9"/>
      <c r="Z316" s="7">
        <v>0</v>
      </c>
      <c r="AA316" s="8">
        <f>IFERROR(Z316/Z444, "NA")</f>
        <v>0</v>
      </c>
      <c r="AB316" s="9"/>
      <c r="AC316" s="10">
        <f t="shared" si="79"/>
        <v>0</v>
      </c>
      <c r="AD316" s="8">
        <f>IFERROR(AC316/AC444, "NA")</f>
        <v>0</v>
      </c>
    </row>
    <row r="317" spans="1:30" ht="16.5" hidden="1" customHeight="1" x14ac:dyDescent="0.45">
      <c r="A317" s="6" t="s">
        <v>289</v>
      </c>
      <c r="B317" s="7">
        <v>0</v>
      </c>
      <c r="C317" s="8">
        <f>IFERROR(B317/B444, "NA")</f>
        <v>0</v>
      </c>
      <c r="D317" s="9"/>
      <c r="E317" s="7">
        <v>0</v>
      </c>
      <c r="F317" s="8">
        <f>IFERROR(E317/E444, "NA")</f>
        <v>0</v>
      </c>
      <c r="G317" s="9"/>
      <c r="H317" s="10">
        <f t="shared" si="76"/>
        <v>0</v>
      </c>
      <c r="I317" s="8">
        <f>IFERROR(H317/H444, "NA")</f>
        <v>0</v>
      </c>
      <c r="J317" s="9"/>
      <c r="K317" s="7">
        <v>0</v>
      </c>
      <c r="L317" s="8">
        <f>IFERROR(K317/K444, "NA")</f>
        <v>0</v>
      </c>
      <c r="M317" s="9"/>
      <c r="N317" s="10">
        <f t="shared" si="77"/>
        <v>0</v>
      </c>
      <c r="O317" s="8">
        <f>IFERROR(N317/N444, "NA")</f>
        <v>0</v>
      </c>
      <c r="P317" s="9"/>
      <c r="Q317" s="7">
        <v>0</v>
      </c>
      <c r="R317" s="8">
        <f>IFERROR(Q317/Q444, "NA")</f>
        <v>0</v>
      </c>
      <c r="S317" s="9"/>
      <c r="T317" s="7">
        <v>0</v>
      </c>
      <c r="U317" s="8">
        <f>IFERROR(T317/T444, "NA")</f>
        <v>0</v>
      </c>
      <c r="V317" s="9"/>
      <c r="W317" s="10">
        <f t="shared" si="78"/>
        <v>0</v>
      </c>
      <c r="X317" s="8">
        <f>IFERROR(W317/W444, "NA")</f>
        <v>0</v>
      </c>
      <c r="Y317" s="9"/>
      <c r="Z317" s="7">
        <v>0</v>
      </c>
      <c r="AA317" s="8">
        <f>IFERROR(Z317/Z444, "NA")</f>
        <v>0</v>
      </c>
      <c r="AB317" s="9"/>
      <c r="AC317" s="10">
        <f t="shared" si="79"/>
        <v>0</v>
      </c>
      <c r="AD317" s="8">
        <f>IFERROR(AC317/AC444, "NA")</f>
        <v>0</v>
      </c>
    </row>
    <row r="318" spans="1:30" ht="16.5" customHeight="1" x14ac:dyDescent="0.45">
      <c r="A318" s="6" t="s">
        <v>290</v>
      </c>
      <c r="B318" s="7">
        <v>414.57</v>
      </c>
      <c r="C318" s="8">
        <f>IFERROR(B318/B444, "NA")</f>
        <v>6.1068016368473303E-3</v>
      </c>
      <c r="D318" s="9"/>
      <c r="E318" s="7">
        <v>415</v>
      </c>
      <c r="F318" s="8">
        <f>IFERROR(E318/E444, "NA")</f>
        <v>6.3284904369647274E-3</v>
      </c>
      <c r="G318" s="9"/>
      <c r="H318" s="10">
        <f t="shared" si="76"/>
        <v>0.43000000000000682</v>
      </c>
      <c r="I318" s="8">
        <f>IFERROR(H318/H444, "NA")</f>
        <v>1.8613590518323865E-4</v>
      </c>
      <c r="J318" s="9"/>
      <c r="K318" s="7">
        <v>414.57</v>
      </c>
      <c r="L318" s="8">
        <f>IFERROR(K318/K444, "NA")</f>
        <v>6.4957865993788598E-3</v>
      </c>
      <c r="M318" s="9"/>
      <c r="N318" s="10">
        <f t="shared" si="77"/>
        <v>0</v>
      </c>
      <c r="O318" s="8">
        <f>IFERROR(N318/N444, "NA")</f>
        <v>0</v>
      </c>
      <c r="P318" s="9"/>
      <c r="Q318" s="7">
        <v>414.57</v>
      </c>
      <c r="R318" s="8">
        <f>IFERROR(Q318/Q444, "NA")</f>
        <v>6.1068016368473303E-3</v>
      </c>
      <c r="S318" s="9"/>
      <c r="T318" s="7">
        <v>415</v>
      </c>
      <c r="U318" s="8">
        <f>IFERROR(T318/T444, "NA")</f>
        <v>6.3284904369647274E-3</v>
      </c>
      <c r="V318" s="9"/>
      <c r="W318" s="10">
        <f t="shared" si="78"/>
        <v>0.43000000000000682</v>
      </c>
      <c r="X318" s="8">
        <f>IFERROR(W318/W444, "NA")</f>
        <v>1.8613590518323865E-4</v>
      </c>
      <c r="Y318" s="9"/>
      <c r="Z318" s="7">
        <v>414.57</v>
      </c>
      <c r="AA318" s="8">
        <f>IFERROR(Z318/Z444, "NA")</f>
        <v>6.4957865993788598E-3</v>
      </c>
      <c r="AB318" s="9"/>
      <c r="AC318" s="10">
        <f t="shared" si="79"/>
        <v>0</v>
      </c>
      <c r="AD318" s="8">
        <f>IFERROR(AC318/AC444, "NA")</f>
        <v>0</v>
      </c>
    </row>
    <row r="319" spans="1:30" ht="16.5" customHeight="1" x14ac:dyDescent="0.45">
      <c r="A319" s="6" t="s">
        <v>291</v>
      </c>
      <c r="B319" s="7">
        <v>149.65</v>
      </c>
      <c r="C319" s="8">
        <f>IFERROR(B319/B444, "NA")</f>
        <v>2.2044114744294162E-3</v>
      </c>
      <c r="D319" s="9"/>
      <c r="E319" s="7">
        <v>150</v>
      </c>
      <c r="F319" s="8">
        <f>IFERROR(E319/E444, "NA")</f>
        <v>2.2874061820354437E-3</v>
      </c>
      <c r="G319" s="9"/>
      <c r="H319" s="10">
        <f t="shared" si="76"/>
        <v>0.34999999999999432</v>
      </c>
      <c r="I319" s="8">
        <f>IFERROR(H319/H444, "NA")</f>
        <v>1.5150596933518939E-4</v>
      </c>
      <c r="J319" s="9"/>
      <c r="K319" s="7">
        <v>149.54</v>
      </c>
      <c r="L319" s="8">
        <f>IFERROR(K319/K444, "NA")</f>
        <v>2.3431023182360388E-3</v>
      </c>
      <c r="M319" s="9"/>
      <c r="N319" s="10">
        <f t="shared" si="77"/>
        <v>-0.11000000000001364</v>
      </c>
      <c r="O319" s="8">
        <f>IFERROR(N319/N444, "NA")</f>
        <v>-2.7058739603912586E-5</v>
      </c>
      <c r="P319" s="9"/>
      <c r="Q319" s="7">
        <v>149.65</v>
      </c>
      <c r="R319" s="8">
        <f>IFERROR(Q319/Q444, "NA")</f>
        <v>2.2044114744294162E-3</v>
      </c>
      <c r="S319" s="9"/>
      <c r="T319" s="7">
        <v>150</v>
      </c>
      <c r="U319" s="8">
        <f>IFERROR(T319/T444, "NA")</f>
        <v>2.2874061820354437E-3</v>
      </c>
      <c r="V319" s="9"/>
      <c r="W319" s="10">
        <f t="shared" si="78"/>
        <v>0.34999999999999432</v>
      </c>
      <c r="X319" s="8">
        <f>IFERROR(W319/W444, "NA")</f>
        <v>1.5150596933518939E-4</v>
      </c>
      <c r="Y319" s="9"/>
      <c r="Z319" s="7">
        <v>149.54</v>
      </c>
      <c r="AA319" s="8">
        <f>IFERROR(Z319/Z444, "NA")</f>
        <v>2.3431023182360388E-3</v>
      </c>
      <c r="AB319" s="9"/>
      <c r="AC319" s="10">
        <f t="shared" si="79"/>
        <v>-0.11000000000001364</v>
      </c>
      <c r="AD319" s="8">
        <f>IFERROR(AC319/AC444, "NA")</f>
        <v>-2.7058739603912586E-5</v>
      </c>
    </row>
    <row r="320" spans="1:30" ht="16.5" customHeight="1" x14ac:dyDescent="0.45">
      <c r="A320" s="6" t="s">
        <v>292</v>
      </c>
      <c r="B320" s="7">
        <v>2427.79</v>
      </c>
      <c r="C320" s="8">
        <f>IFERROR(B320/B444, "NA")</f>
        <v>3.5762433234246521E-2</v>
      </c>
      <c r="D320" s="9"/>
      <c r="E320" s="7">
        <v>1242</v>
      </c>
      <c r="F320" s="8">
        <f>IFERROR(E320/E444, "NA")</f>
        <v>1.8939723187253472E-2</v>
      </c>
      <c r="G320" s="9"/>
      <c r="H320" s="10">
        <f t="shared" si="76"/>
        <v>-1185.79</v>
      </c>
      <c r="I320" s="8">
        <f>IFERROR(H320/H444, "NA")</f>
        <v>-0.51329789536564896</v>
      </c>
      <c r="J320" s="9"/>
      <c r="K320" s="7">
        <v>1005.86</v>
      </c>
      <c r="L320" s="8">
        <f>IFERROR(K320/K444, "NA")</f>
        <v>1.5760551677283016E-2</v>
      </c>
      <c r="M320" s="9"/>
      <c r="N320" s="10">
        <f t="shared" si="77"/>
        <v>-1421.9299999999998</v>
      </c>
      <c r="O320" s="8">
        <f>IFERROR(N320/N444, "NA")</f>
        <v>-0.34977848731806038</v>
      </c>
      <c r="P320" s="9"/>
      <c r="Q320" s="7">
        <v>2427.79</v>
      </c>
      <c r="R320" s="8">
        <f>IFERROR(Q320/Q444, "NA")</f>
        <v>3.5762433234246521E-2</v>
      </c>
      <c r="S320" s="9"/>
      <c r="T320" s="7">
        <v>1242</v>
      </c>
      <c r="U320" s="8">
        <f>IFERROR(T320/T444, "NA")</f>
        <v>1.8939723187253472E-2</v>
      </c>
      <c r="V320" s="9"/>
      <c r="W320" s="10">
        <f t="shared" si="78"/>
        <v>-1185.79</v>
      </c>
      <c r="X320" s="8">
        <f>IFERROR(W320/W444, "NA")</f>
        <v>-0.51329789536564896</v>
      </c>
      <c r="Y320" s="9"/>
      <c r="Z320" s="7">
        <v>1005.86</v>
      </c>
      <c r="AA320" s="8">
        <f>IFERROR(Z320/Z444, "NA")</f>
        <v>1.5760551677283016E-2</v>
      </c>
      <c r="AB320" s="9"/>
      <c r="AC320" s="10">
        <f t="shared" si="79"/>
        <v>-1421.9299999999998</v>
      </c>
      <c r="AD320" s="8">
        <f>IFERROR(AC320/AC444, "NA")</f>
        <v>-0.34977848731806038</v>
      </c>
    </row>
    <row r="321" spans="1:30" ht="16.5" customHeight="1" x14ac:dyDescent="0.45">
      <c r="A321" s="6" t="s">
        <v>293</v>
      </c>
      <c r="B321" s="7">
        <v>1070.46</v>
      </c>
      <c r="C321" s="8">
        <f>IFERROR(B321/B444, "NA")</f>
        <v>1.5768354874157786E-2</v>
      </c>
      <c r="D321" s="9"/>
      <c r="E321" s="7">
        <v>918.07</v>
      </c>
      <c r="F321" s="8">
        <f>IFERROR(E321/E444, "NA")</f>
        <v>1.3999993290275198E-2</v>
      </c>
      <c r="G321" s="9"/>
      <c r="H321" s="10">
        <f t="shared" si="76"/>
        <v>-152.38999999999999</v>
      </c>
      <c r="I321" s="8">
        <f>IFERROR(H321/H444, "NA")</f>
        <v>-6.596569904854252E-2</v>
      </c>
      <c r="J321" s="9"/>
      <c r="K321" s="7">
        <v>2049.2800000000002</v>
      </c>
      <c r="L321" s="8">
        <f>IFERROR(K321/K444, "NA")</f>
        <v>3.2109620962382977E-2</v>
      </c>
      <c r="M321" s="9"/>
      <c r="N321" s="10">
        <f t="shared" si="77"/>
        <v>978.82000000000016</v>
      </c>
      <c r="O321" s="8">
        <f>IFERROR(N321/N444, "NA")</f>
        <v>0.24077850453725849</v>
      </c>
      <c r="P321" s="9"/>
      <c r="Q321" s="7">
        <v>1070.46</v>
      </c>
      <c r="R321" s="8">
        <f>IFERROR(Q321/Q444, "NA")</f>
        <v>1.5768354874157786E-2</v>
      </c>
      <c r="S321" s="9"/>
      <c r="T321" s="7">
        <v>918.07</v>
      </c>
      <c r="U321" s="8">
        <f>IFERROR(T321/T444, "NA")</f>
        <v>1.3999993290275198E-2</v>
      </c>
      <c r="V321" s="9"/>
      <c r="W321" s="10">
        <f t="shared" si="78"/>
        <v>-152.38999999999999</v>
      </c>
      <c r="X321" s="8">
        <f>IFERROR(W321/W444, "NA")</f>
        <v>-6.596569904854252E-2</v>
      </c>
      <c r="Y321" s="9"/>
      <c r="Z321" s="7">
        <v>2049.2800000000002</v>
      </c>
      <c r="AA321" s="8">
        <f>IFERROR(Z321/Z444, "NA")</f>
        <v>3.2109620962382977E-2</v>
      </c>
      <c r="AB321" s="9"/>
      <c r="AC321" s="10">
        <f t="shared" si="79"/>
        <v>978.82000000000016</v>
      </c>
      <c r="AD321" s="8">
        <f>IFERROR(AC321/AC444, "NA")</f>
        <v>0.24077850453725849</v>
      </c>
    </row>
    <row r="322" spans="1:30" ht="16.5" customHeight="1" x14ac:dyDescent="0.45">
      <c r="A322" s="6" t="s">
        <v>294</v>
      </c>
      <c r="B322" s="7">
        <v>162.29</v>
      </c>
      <c r="C322" s="8">
        <f>IFERROR(B322/B444, "NA")</f>
        <v>2.3906043313407944E-3</v>
      </c>
      <c r="D322" s="9"/>
      <c r="E322" s="7">
        <v>250</v>
      </c>
      <c r="F322" s="8">
        <f>IFERROR(E322/E444, "NA")</f>
        <v>3.8123436367257391E-3</v>
      </c>
      <c r="G322" s="9"/>
      <c r="H322" s="10">
        <f t="shared" si="76"/>
        <v>87.710000000000008</v>
      </c>
      <c r="I322" s="8">
        <f>IFERROR(H322/H444, "NA")</f>
        <v>3.7967395915399077E-2</v>
      </c>
      <c r="J322" s="9"/>
      <c r="K322" s="7">
        <v>162.27000000000001</v>
      </c>
      <c r="L322" s="8">
        <f>IFERROR(K322/K444, "NA")</f>
        <v>2.5425652880845398E-3</v>
      </c>
      <c r="M322" s="9"/>
      <c r="N322" s="10">
        <f t="shared" si="77"/>
        <v>-1.999999999998181E-2</v>
      </c>
      <c r="O322" s="8">
        <f>IFERROR(N322/N444, "NA")</f>
        <v>-4.9197708370699309E-6</v>
      </c>
      <c r="P322" s="9"/>
      <c r="Q322" s="7">
        <v>162.29</v>
      </c>
      <c r="R322" s="8">
        <f>IFERROR(Q322/Q444, "NA")</f>
        <v>2.3906043313407944E-3</v>
      </c>
      <c r="S322" s="9"/>
      <c r="T322" s="7">
        <v>250</v>
      </c>
      <c r="U322" s="8">
        <f>IFERROR(T322/T444, "NA")</f>
        <v>3.8123436367257391E-3</v>
      </c>
      <c r="V322" s="9"/>
      <c r="W322" s="10">
        <f t="shared" si="78"/>
        <v>87.710000000000008</v>
      </c>
      <c r="X322" s="8">
        <f>IFERROR(W322/W444, "NA")</f>
        <v>3.7967395915399077E-2</v>
      </c>
      <c r="Y322" s="9"/>
      <c r="Z322" s="7">
        <v>162.27000000000001</v>
      </c>
      <c r="AA322" s="8">
        <f>IFERROR(Z322/Z444, "NA")</f>
        <v>2.5425652880845398E-3</v>
      </c>
      <c r="AB322" s="9"/>
      <c r="AC322" s="10">
        <f t="shared" si="79"/>
        <v>-1.999999999998181E-2</v>
      </c>
      <c r="AD322" s="8">
        <f>IFERROR(AC322/AC444, "NA")</f>
        <v>-4.9197708370699309E-6</v>
      </c>
    </row>
    <row r="323" spans="1:30" ht="16.5" hidden="1" customHeight="1" x14ac:dyDescent="0.45">
      <c r="A323" s="6" t="s">
        <v>295</v>
      </c>
      <c r="B323" s="7">
        <v>0</v>
      </c>
      <c r="C323" s="8">
        <f>IFERROR(B323/B444, "NA")</f>
        <v>0</v>
      </c>
      <c r="D323" s="9"/>
      <c r="E323" s="7">
        <v>0</v>
      </c>
      <c r="F323" s="8">
        <f>IFERROR(E323/E444, "NA")</f>
        <v>0</v>
      </c>
      <c r="G323" s="9"/>
      <c r="H323" s="10">
        <f t="shared" si="76"/>
        <v>0</v>
      </c>
      <c r="I323" s="8">
        <f>IFERROR(H323/H444, "NA")</f>
        <v>0</v>
      </c>
      <c r="J323" s="9"/>
      <c r="K323" s="7">
        <v>0</v>
      </c>
      <c r="L323" s="8">
        <f>IFERROR(K323/K444, "NA")</f>
        <v>0</v>
      </c>
      <c r="M323" s="9"/>
      <c r="N323" s="10">
        <f t="shared" si="77"/>
        <v>0</v>
      </c>
      <c r="O323" s="8">
        <f>IFERROR(N323/N444, "NA")</f>
        <v>0</v>
      </c>
      <c r="P323" s="9"/>
      <c r="Q323" s="7">
        <v>0</v>
      </c>
      <c r="R323" s="8">
        <f>IFERROR(Q323/Q444, "NA")</f>
        <v>0</v>
      </c>
      <c r="S323" s="9"/>
      <c r="T323" s="7">
        <v>0</v>
      </c>
      <c r="U323" s="8">
        <f>IFERROR(T323/T444, "NA")</f>
        <v>0</v>
      </c>
      <c r="V323" s="9"/>
      <c r="W323" s="10">
        <f t="shared" si="78"/>
        <v>0</v>
      </c>
      <c r="X323" s="8">
        <f>IFERROR(W323/W444, "NA")</f>
        <v>0</v>
      </c>
      <c r="Y323" s="9"/>
      <c r="Z323" s="7">
        <v>0</v>
      </c>
      <c r="AA323" s="8">
        <f>IFERROR(Z323/Z444, "NA")</f>
        <v>0</v>
      </c>
      <c r="AB323" s="9"/>
      <c r="AC323" s="10">
        <f t="shared" si="79"/>
        <v>0</v>
      </c>
      <c r="AD323" s="8">
        <f>IFERROR(AC323/AC444, "NA")</f>
        <v>0</v>
      </c>
    </row>
    <row r="324" spans="1:30" ht="16.5" customHeight="1" x14ac:dyDescent="0.45">
      <c r="A324" s="19" t="s">
        <v>296</v>
      </c>
      <c r="B324" s="14">
        <f>IFERROR(B297+B298+B299+B300+B301+B302+B303+B304+B305+B306+B307+B308+B309+B310+B311+B312+B313+B314+B315+B316+B317+B318+B319+B320+B321+B322+B323, "NA")</f>
        <v>5463.8899999999994</v>
      </c>
      <c r="C324" s="15">
        <f>IFERROR(B324/B444, "NA")</f>
        <v>8.048554501182853E-2</v>
      </c>
      <c r="D324" s="2"/>
      <c r="E324" s="14">
        <f>IFERROR(E297+E298+E299+E300+E301+E302+E303+E304+E305+E306+E307+E308+E309+E310+E311+E312+E313+E314+E315+E316+E317+E318+E319+E320+E321+E322+E323, "NA")</f>
        <v>3579.07</v>
      </c>
      <c r="F324" s="15">
        <f>IFERROR(E324/E444, "NA")</f>
        <v>5.457857895958397E-2</v>
      </c>
      <c r="G324" s="2"/>
      <c r="H324" s="14">
        <f t="shared" si="76"/>
        <v>-1884.8199999999993</v>
      </c>
      <c r="I324" s="15">
        <f>IFERROR(H324/H444, "NA")</f>
        <v>-0.81588994606387477</v>
      </c>
      <c r="J324" s="2"/>
      <c r="K324" s="14">
        <f>IFERROR(K297+K298+K299+K300+K301+K302+K303+K304+K305+K306+K307+K308+K309+K310+K311+K312+K313+K314+K315+K316+K317+K318+K319+K320+K321+K322+K323, "NA")</f>
        <v>4327.8700000000008</v>
      </c>
      <c r="L324" s="15">
        <f>IFERROR(K324/K444, "NA")</f>
        <v>6.781223906663239E-2</v>
      </c>
      <c r="M324" s="2"/>
      <c r="N324" s="14">
        <f t="shared" si="77"/>
        <v>-1136.0199999999986</v>
      </c>
      <c r="O324" s="15">
        <f>IFERROR(N324/N444, "NA")</f>
        <v>-0.27944790331666297</v>
      </c>
      <c r="P324" s="2"/>
      <c r="Q324" s="14">
        <f>IFERROR(Q297+Q298+Q299+Q300+Q301+Q302+Q303+Q304+Q305+Q306+Q307+Q308+Q309+Q310+Q311+Q312+Q313+Q314+Q315+Q316+Q317+Q318+Q319+Q320+Q321+Q322+Q323, "NA")</f>
        <v>5463.8899999999994</v>
      </c>
      <c r="R324" s="15">
        <f>IFERROR(Q324/Q444, "NA")</f>
        <v>8.048554501182853E-2</v>
      </c>
      <c r="S324" s="2"/>
      <c r="T324" s="14">
        <f>IFERROR(T297+T298+T299+T300+T301+T302+T303+T304+T305+T306+T307+T308+T309+T310+T311+T312+T313+T314+T315+T316+T317+T318+T319+T320+T321+T322+T323, "NA")</f>
        <v>3579.07</v>
      </c>
      <c r="U324" s="15">
        <f>IFERROR(T324/T444, "NA")</f>
        <v>5.457857895958397E-2</v>
      </c>
      <c r="V324" s="2"/>
      <c r="W324" s="14">
        <f t="shared" si="78"/>
        <v>-1884.8199999999993</v>
      </c>
      <c r="X324" s="15">
        <f>IFERROR(W324/W444, "NA")</f>
        <v>-0.81588994606387477</v>
      </c>
      <c r="Y324" s="2"/>
      <c r="Z324" s="14">
        <f>IFERROR(Z297+Z298+Z299+Z300+Z301+Z302+Z303+Z304+Z305+Z306+Z307+Z308+Z309+Z310+Z311+Z312+Z313+Z314+Z315+Z316+Z317+Z318+Z319+Z320+Z321+Z322+Z323, "NA")</f>
        <v>4327.8700000000008</v>
      </c>
      <c r="AA324" s="15">
        <f>IFERROR(Z324/Z444, "NA")</f>
        <v>6.781223906663239E-2</v>
      </c>
      <c r="AB324" s="2"/>
      <c r="AC324" s="14">
        <f t="shared" si="79"/>
        <v>-1136.0199999999986</v>
      </c>
      <c r="AD324" s="15">
        <f>IFERROR(AC324/AC444, "NA")</f>
        <v>-0.27944790331666297</v>
      </c>
    </row>
    <row r="325" spans="1:30" ht="16.5" customHeight="1" x14ac:dyDescent="0.45">
      <c r="A325" s="21" t="s">
        <v>297</v>
      </c>
      <c r="B325" s="14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265+B266+B269+B270+B271+B272+B275+B276+B277+B278+B279+B280+B281+B282+B283+B286+B287+B288+B289+B290+B291+B292+B293+B294+B297+B298+B299+B300+B301+B302+B303+B304+B305+B306+B307+B308+B309+B310+B311+B312+B313+B314+B315+B316+B317+B318+B319+B320+B321+B322+B323, "NA")</f>
        <v>21321.45</v>
      </c>
      <c r="C325" s="15">
        <f>IFERROR(B325/B444, "NA")</f>
        <v>0.31407450071148058</v>
      </c>
      <c r="D325" s="2"/>
      <c r="E325" s="14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265+E266+E269+E270+E271+E272+E275+E276+E277+E278+E279+E280+E281+E282+E283+E286+E287+E288+E289+E290+E291+E292+E293+E294+E297+E298+E299+E300+E301+E302+E303+E304+E305+E306+E307+E308+E309+E310+E311+E312+E313+E314+E315+E316+E317+E318+E319+E320+E321+E322+E323, "NA")</f>
        <v>17068.11</v>
      </c>
      <c r="F325" s="15">
        <f>IFERROR(E325/E444, "NA")</f>
        <v>0.26027800219773983</v>
      </c>
      <c r="G325" s="2"/>
      <c r="H325" s="14">
        <f t="shared" si="76"/>
        <v>-4253.34</v>
      </c>
      <c r="I325" s="15">
        <f>IFERROR(H325/H444, "NA")</f>
        <v>-1.8411611417489855</v>
      </c>
      <c r="J325" s="2"/>
      <c r="K325" s="14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265+K266+K269+K270+K271+K272+K275+K276+K277+K278+K279+K280+K281+K282+K283+K286+K287+K288+K289+K290+K291+K292+K293+K294+K297+K298+K299+K300+K301+K302+K303+K304+K305+K306+K307+K308+K309+K310+K311+K312+K313+K314+K315+K316+K317+K318+K319+K320+K321+K322+K323, "NA")</f>
        <v>21131.11</v>
      </c>
      <c r="L325" s="15">
        <f>IFERROR(K325/K444, "NA")</f>
        <v>0.33109771852280828</v>
      </c>
      <c r="M325" s="2"/>
      <c r="N325" s="14">
        <f t="shared" si="77"/>
        <v>-190.34000000000015</v>
      </c>
      <c r="O325" s="15">
        <f>IFERROR(N325/N444, "NA")</f>
        <v>-4.6821459056437149E-2</v>
      </c>
      <c r="P325" s="2"/>
      <c r="Q325" s="14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265+Q266+Q269+Q270+Q271+Q272+Q275+Q276+Q277+Q278+Q279+Q280+Q281+Q282+Q283+Q286+Q287+Q288+Q289+Q290+Q291+Q292+Q293+Q294+Q297+Q298+Q299+Q300+Q301+Q302+Q303+Q304+Q305+Q306+Q307+Q308+Q309+Q310+Q311+Q312+Q313+Q314+Q315+Q316+Q317+Q318+Q319+Q320+Q321+Q322+Q323, "NA")</f>
        <v>21321.45</v>
      </c>
      <c r="R325" s="15">
        <f>IFERROR(Q325/Q444, "NA")</f>
        <v>0.31407450071148058</v>
      </c>
      <c r="S325" s="2"/>
      <c r="T325" s="14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265+T266+T269+T270+T271+T272+T275+T276+T277+T278+T279+T280+T281+T282+T283+T286+T287+T288+T289+T290+T291+T292+T293+T294+T297+T298+T299+T300+T301+T302+T303+T304+T305+T306+T307+T308+T309+T310+T311+T312+T313+T314+T315+T316+T317+T318+T319+T320+T321+T322+T323, "NA")</f>
        <v>17068.11</v>
      </c>
      <c r="U325" s="15">
        <f>IFERROR(T325/T444, "NA")</f>
        <v>0.26027800219773983</v>
      </c>
      <c r="V325" s="2"/>
      <c r="W325" s="14">
        <f t="shared" si="78"/>
        <v>-4253.34</v>
      </c>
      <c r="X325" s="15">
        <f>IFERROR(W325/W444, "NA")</f>
        <v>-1.8411611417489855</v>
      </c>
      <c r="Y325" s="2"/>
      <c r="Z325" s="14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265+Z266+Z269+Z270+Z271+Z272+Z275+Z276+Z277+Z278+Z279+Z280+Z281+Z282+Z283+Z286+Z287+Z288+Z289+Z290+Z291+Z292+Z293+Z294+Z297+Z298+Z299+Z300+Z301+Z302+Z303+Z304+Z305+Z306+Z307+Z308+Z309+Z310+Z311+Z312+Z313+Z314+Z315+Z316+Z317+Z318+Z319+Z320+Z321+Z322+Z323, "NA")</f>
        <v>21131.11</v>
      </c>
      <c r="AA325" s="15">
        <f>IFERROR(Z325/Z444, "NA")</f>
        <v>0.33109771852280828</v>
      </c>
      <c r="AB325" s="2"/>
      <c r="AC325" s="14">
        <f t="shared" si="79"/>
        <v>-190.34000000000015</v>
      </c>
      <c r="AD325" s="15">
        <f>IFERROR(AC325/AC444, "NA")</f>
        <v>-4.6821459056437149E-2</v>
      </c>
    </row>
    <row r="326" spans="1:30" ht="16.5" customHeight="1" x14ac:dyDescent="0.45">
      <c r="A326" s="1" t="s">
        <v>298</v>
      </c>
      <c r="B326" s="2"/>
      <c r="C326" s="3"/>
      <c r="D326" s="4"/>
      <c r="E326" s="2"/>
      <c r="F326" s="3"/>
      <c r="G326" s="4"/>
      <c r="H326" s="2"/>
      <c r="I326" s="3"/>
      <c r="J326" s="4"/>
      <c r="K326" s="2"/>
      <c r="L326" s="3"/>
      <c r="M326" s="4"/>
      <c r="N326" s="2"/>
      <c r="O326" s="3"/>
      <c r="P326" s="4"/>
      <c r="Q326" s="2"/>
      <c r="R326" s="3"/>
      <c r="S326" s="4"/>
      <c r="T326" s="2"/>
      <c r="U326" s="3"/>
      <c r="V326" s="4"/>
      <c r="W326" s="2"/>
      <c r="X326" s="3"/>
      <c r="Y326" s="4"/>
      <c r="Z326" s="2"/>
      <c r="AA326" s="3"/>
      <c r="AB326" s="4"/>
      <c r="AC326" s="2"/>
      <c r="AD326" s="3"/>
    </row>
    <row r="327" spans="1:30" ht="16.5" customHeight="1" x14ac:dyDescent="0.45">
      <c r="A327" s="5" t="s">
        <v>299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hidden="1" customHeight="1" x14ac:dyDescent="0.45">
      <c r="A328" s="6" t="s">
        <v>299</v>
      </c>
      <c r="B328" s="7">
        <v>0</v>
      </c>
      <c r="C328" s="8">
        <f>IFERROR(B328/B444, "NA")</f>
        <v>0</v>
      </c>
      <c r="D328" s="9"/>
      <c r="E328" s="7">
        <v>0</v>
      </c>
      <c r="F328" s="8">
        <f>IFERROR(E328/E444, "NA")</f>
        <v>0</v>
      </c>
      <c r="G328" s="9"/>
      <c r="H328" s="10">
        <f t="shared" ref="H328:H335" si="80">IFERROR(-(B328-E328), "NA")</f>
        <v>0</v>
      </c>
      <c r="I328" s="8">
        <f>IFERROR(H328/H444, "NA")</f>
        <v>0</v>
      </c>
      <c r="J328" s="9"/>
      <c r="K328" s="7">
        <v>0</v>
      </c>
      <c r="L328" s="8">
        <f>IFERROR(K328/K444, "NA")</f>
        <v>0</v>
      </c>
      <c r="M328" s="9"/>
      <c r="N328" s="10">
        <f t="shared" ref="N328:N335" si="81">IFERROR(-(B328-K328), "NA")</f>
        <v>0</v>
      </c>
      <c r="O328" s="8">
        <f>IFERROR(N328/N444, "NA")</f>
        <v>0</v>
      </c>
      <c r="P328" s="9"/>
      <c r="Q328" s="7">
        <v>0</v>
      </c>
      <c r="R328" s="8">
        <f>IFERROR(Q328/Q444, "NA")</f>
        <v>0</v>
      </c>
      <c r="S328" s="9"/>
      <c r="T328" s="7">
        <v>0</v>
      </c>
      <c r="U328" s="8">
        <f>IFERROR(T328/T444, "NA")</f>
        <v>0</v>
      </c>
      <c r="V328" s="9"/>
      <c r="W328" s="10">
        <f t="shared" ref="W328:W335" si="82">IFERROR(-(Q328-T328), "NA")</f>
        <v>0</v>
      </c>
      <c r="X328" s="8">
        <f>IFERROR(W328/W444, "NA")</f>
        <v>0</v>
      </c>
      <c r="Y328" s="9"/>
      <c r="Z328" s="7">
        <v>0</v>
      </c>
      <c r="AA328" s="8">
        <f>IFERROR(Z328/Z444, "NA")</f>
        <v>0</v>
      </c>
      <c r="AB328" s="9"/>
      <c r="AC328" s="10">
        <f t="shared" ref="AC328:AC335" si="83">IFERROR(-(Q328-Z328), "NA")</f>
        <v>0</v>
      </c>
      <c r="AD328" s="8">
        <f>IFERROR(AC328/AC444, "NA")</f>
        <v>0</v>
      </c>
    </row>
    <row r="329" spans="1:30" ht="16.5" customHeight="1" x14ac:dyDescent="0.45">
      <c r="A329" s="6" t="s">
        <v>300</v>
      </c>
      <c r="B329" s="7">
        <v>4735.7</v>
      </c>
      <c r="C329" s="8">
        <f>IFERROR(B329/B444, "NA")</f>
        <v>6.9758980417343033E-2</v>
      </c>
      <c r="D329" s="9"/>
      <c r="E329" s="7">
        <v>4735.7</v>
      </c>
      <c r="F329" s="8">
        <f>IFERROR(E329/E444, "NA")</f>
        <v>7.2216463041768333E-2</v>
      </c>
      <c r="G329" s="9"/>
      <c r="H329" s="10">
        <f t="shared" si="80"/>
        <v>0</v>
      </c>
      <c r="I329" s="8">
        <f>IFERROR(H329/H444, "NA")</f>
        <v>0</v>
      </c>
      <c r="J329" s="9"/>
      <c r="K329" s="7">
        <v>4597.76</v>
      </c>
      <c r="L329" s="8">
        <f>IFERROR(K329/K444, "NA")</f>
        <v>7.2041073389681229E-2</v>
      </c>
      <c r="M329" s="9"/>
      <c r="N329" s="10">
        <f t="shared" si="81"/>
        <v>-137.9399999999996</v>
      </c>
      <c r="O329" s="8">
        <f>IFERROR(N329/N444, "NA")</f>
        <v>-3.3931659463302073E-2</v>
      </c>
      <c r="P329" s="9"/>
      <c r="Q329" s="7">
        <v>4735.7</v>
      </c>
      <c r="R329" s="8">
        <f>IFERROR(Q329/Q444, "NA")</f>
        <v>6.9758980417343033E-2</v>
      </c>
      <c r="S329" s="9"/>
      <c r="T329" s="7">
        <v>4735.7</v>
      </c>
      <c r="U329" s="8">
        <f>IFERROR(T329/T444, "NA")</f>
        <v>7.2216463041768333E-2</v>
      </c>
      <c r="V329" s="9"/>
      <c r="W329" s="10">
        <f t="shared" si="82"/>
        <v>0</v>
      </c>
      <c r="X329" s="8">
        <f>IFERROR(W329/W444, "NA")</f>
        <v>0</v>
      </c>
      <c r="Y329" s="9"/>
      <c r="Z329" s="7">
        <v>4597.76</v>
      </c>
      <c r="AA329" s="8">
        <f>IFERROR(Z329/Z444, "NA")</f>
        <v>7.2041073389681229E-2</v>
      </c>
      <c r="AB329" s="9"/>
      <c r="AC329" s="10">
        <f t="shared" si="83"/>
        <v>-137.9399999999996</v>
      </c>
      <c r="AD329" s="8">
        <f>IFERROR(AC329/AC444, "NA")</f>
        <v>-3.3931659463302073E-2</v>
      </c>
    </row>
    <row r="330" spans="1:30" ht="16.5" customHeight="1" x14ac:dyDescent="0.45">
      <c r="A330" s="6" t="s">
        <v>301</v>
      </c>
      <c r="B330" s="7">
        <v>1736.6</v>
      </c>
      <c r="C330" s="8">
        <f>IFERROR(B330/B444, "NA")</f>
        <v>2.5580895198757926E-2</v>
      </c>
      <c r="D330" s="9"/>
      <c r="E330" s="7">
        <v>1736.6</v>
      </c>
      <c r="F330" s="8">
        <f>IFERROR(E330/E444, "NA")</f>
        <v>2.6482063838151673E-2</v>
      </c>
      <c r="G330" s="9"/>
      <c r="H330" s="10">
        <f t="shared" si="80"/>
        <v>0</v>
      </c>
      <c r="I330" s="8">
        <f>IFERROR(H330/H444, "NA")</f>
        <v>0</v>
      </c>
      <c r="J330" s="9"/>
      <c r="K330" s="7">
        <v>1686.02</v>
      </c>
      <c r="L330" s="8">
        <f>IFERROR(K330/K444, "NA")</f>
        <v>2.6417797048230083E-2</v>
      </c>
      <c r="M330" s="9"/>
      <c r="N330" s="10">
        <f t="shared" si="81"/>
        <v>-50.579999999999927</v>
      </c>
      <c r="O330" s="8">
        <f>IFERROR(N330/N444, "NA")</f>
        <v>-1.2442100446961153E-2</v>
      </c>
      <c r="P330" s="9"/>
      <c r="Q330" s="7">
        <v>1736.6</v>
      </c>
      <c r="R330" s="8">
        <f>IFERROR(Q330/Q444, "NA")</f>
        <v>2.5580895198757926E-2</v>
      </c>
      <c r="S330" s="9"/>
      <c r="T330" s="7">
        <v>1736.6</v>
      </c>
      <c r="U330" s="8">
        <f>IFERROR(T330/T444, "NA")</f>
        <v>2.6482063838151673E-2</v>
      </c>
      <c r="V330" s="9"/>
      <c r="W330" s="10">
        <f t="shared" si="82"/>
        <v>0</v>
      </c>
      <c r="X330" s="8">
        <f>IFERROR(W330/W444, "NA")</f>
        <v>0</v>
      </c>
      <c r="Y330" s="9"/>
      <c r="Z330" s="7">
        <v>1686.02</v>
      </c>
      <c r="AA330" s="8">
        <f>IFERROR(Z330/Z444, "NA")</f>
        <v>2.6417797048230083E-2</v>
      </c>
      <c r="AB330" s="9"/>
      <c r="AC330" s="10">
        <f t="shared" si="83"/>
        <v>-50.579999999999927</v>
      </c>
      <c r="AD330" s="8">
        <f>IFERROR(AC330/AC444, "NA")</f>
        <v>-1.2442100446961153E-2</v>
      </c>
    </row>
    <row r="331" spans="1:30" ht="16.5" hidden="1" customHeight="1" x14ac:dyDescent="0.45">
      <c r="A331" s="6" t="s">
        <v>302</v>
      </c>
      <c r="B331" s="7">
        <v>0</v>
      </c>
      <c r="C331" s="8">
        <f>IFERROR(B331/B444, "NA")</f>
        <v>0</v>
      </c>
      <c r="D331" s="9"/>
      <c r="E331" s="7">
        <v>0</v>
      </c>
      <c r="F331" s="8">
        <f>IFERROR(E331/E444, "NA")</f>
        <v>0</v>
      </c>
      <c r="G331" s="9"/>
      <c r="H331" s="10">
        <f t="shared" si="80"/>
        <v>0</v>
      </c>
      <c r="I331" s="8">
        <f>IFERROR(H331/H444, "NA")</f>
        <v>0</v>
      </c>
      <c r="J331" s="9"/>
      <c r="K331" s="7">
        <v>0</v>
      </c>
      <c r="L331" s="8">
        <f>IFERROR(K331/K444, "NA")</f>
        <v>0</v>
      </c>
      <c r="M331" s="9"/>
      <c r="N331" s="10">
        <f t="shared" si="81"/>
        <v>0</v>
      </c>
      <c r="O331" s="8">
        <f>IFERROR(N331/N444, "NA")</f>
        <v>0</v>
      </c>
      <c r="P331" s="9"/>
      <c r="Q331" s="7">
        <v>0</v>
      </c>
      <c r="R331" s="8">
        <f>IFERROR(Q331/Q444, "NA")</f>
        <v>0</v>
      </c>
      <c r="S331" s="9"/>
      <c r="T331" s="7">
        <v>0</v>
      </c>
      <c r="U331" s="8">
        <f>IFERROR(T331/T444, "NA")</f>
        <v>0</v>
      </c>
      <c r="V331" s="9"/>
      <c r="W331" s="10">
        <f t="shared" si="82"/>
        <v>0</v>
      </c>
      <c r="X331" s="8">
        <f>IFERROR(W331/W444, "NA")</f>
        <v>0</v>
      </c>
      <c r="Y331" s="9"/>
      <c r="Z331" s="7">
        <v>0</v>
      </c>
      <c r="AA331" s="8">
        <f>IFERROR(Z331/Z444, "NA")</f>
        <v>0</v>
      </c>
      <c r="AB331" s="9"/>
      <c r="AC331" s="10">
        <f t="shared" si="83"/>
        <v>0</v>
      </c>
      <c r="AD331" s="8">
        <f>IFERROR(AC331/AC444, "NA")</f>
        <v>0</v>
      </c>
    </row>
    <row r="332" spans="1:30" ht="16.5" hidden="1" customHeight="1" x14ac:dyDescent="0.45">
      <c r="A332" s="6" t="s">
        <v>303</v>
      </c>
      <c r="B332" s="7">
        <v>0</v>
      </c>
      <c r="C332" s="8">
        <f>IFERROR(B332/B444, "NA")</f>
        <v>0</v>
      </c>
      <c r="D332" s="9"/>
      <c r="E332" s="7">
        <v>0</v>
      </c>
      <c r="F332" s="8">
        <f>IFERROR(E332/E444, "NA")</f>
        <v>0</v>
      </c>
      <c r="G332" s="9"/>
      <c r="H332" s="10">
        <f t="shared" si="80"/>
        <v>0</v>
      </c>
      <c r="I332" s="8">
        <f>IFERROR(H332/H444, "NA")</f>
        <v>0</v>
      </c>
      <c r="J332" s="9"/>
      <c r="K332" s="7">
        <v>0</v>
      </c>
      <c r="L332" s="8">
        <f>IFERROR(K332/K444, "NA")</f>
        <v>0</v>
      </c>
      <c r="M332" s="9"/>
      <c r="N332" s="10">
        <f t="shared" si="81"/>
        <v>0</v>
      </c>
      <c r="O332" s="8">
        <f>IFERROR(N332/N444, "NA")</f>
        <v>0</v>
      </c>
      <c r="P332" s="9"/>
      <c r="Q332" s="7">
        <v>0</v>
      </c>
      <c r="R332" s="8">
        <f>IFERROR(Q332/Q444, "NA")</f>
        <v>0</v>
      </c>
      <c r="S332" s="9"/>
      <c r="T332" s="7">
        <v>0</v>
      </c>
      <c r="U332" s="8">
        <f>IFERROR(T332/T444, "NA")</f>
        <v>0</v>
      </c>
      <c r="V332" s="9"/>
      <c r="W332" s="10">
        <f t="shared" si="82"/>
        <v>0</v>
      </c>
      <c r="X332" s="8">
        <f>IFERROR(W332/W444, "NA")</f>
        <v>0</v>
      </c>
      <c r="Y332" s="9"/>
      <c r="Z332" s="7">
        <v>0</v>
      </c>
      <c r="AA332" s="8">
        <f>IFERROR(Z332/Z444, "NA")</f>
        <v>0</v>
      </c>
      <c r="AB332" s="9"/>
      <c r="AC332" s="10">
        <f t="shared" si="83"/>
        <v>0</v>
      </c>
      <c r="AD332" s="8">
        <f>IFERROR(AC332/AC444, "NA")</f>
        <v>0</v>
      </c>
    </row>
    <row r="333" spans="1:30" ht="16.5" customHeight="1" x14ac:dyDescent="0.45">
      <c r="A333" s="6" t="s">
        <v>304</v>
      </c>
      <c r="B333" s="7">
        <v>1881.98</v>
      </c>
      <c r="C333" s="8">
        <f>IFERROR(B333/B444, "NA")</f>
        <v>2.7722407662189589E-2</v>
      </c>
      <c r="D333" s="9"/>
      <c r="E333" s="7">
        <v>1914</v>
      </c>
      <c r="F333" s="8">
        <f>IFERROR(E333/E444, "NA")</f>
        <v>2.918730288277226E-2</v>
      </c>
      <c r="G333" s="9"/>
      <c r="H333" s="10">
        <f t="shared" si="80"/>
        <v>32.019999999999982</v>
      </c>
      <c r="I333" s="8">
        <f>IFERROR(H333/H444, "NA")</f>
        <v>1.3860631823179544E-2</v>
      </c>
      <c r="J333" s="9"/>
      <c r="K333" s="7">
        <v>1913.97</v>
      </c>
      <c r="L333" s="8">
        <f>IFERROR(K333/K444, "NA")</f>
        <v>2.9989484713349147E-2</v>
      </c>
      <c r="M333" s="9"/>
      <c r="N333" s="10">
        <f t="shared" si="81"/>
        <v>31.990000000000009</v>
      </c>
      <c r="O333" s="8">
        <f>IFERROR(N333/N444, "NA")</f>
        <v>7.8691734539005128E-3</v>
      </c>
      <c r="P333" s="9"/>
      <c r="Q333" s="7">
        <v>1881.98</v>
      </c>
      <c r="R333" s="8">
        <f>IFERROR(Q333/Q444, "NA")</f>
        <v>2.7722407662189589E-2</v>
      </c>
      <c r="S333" s="9"/>
      <c r="T333" s="7">
        <v>1914</v>
      </c>
      <c r="U333" s="8">
        <f>IFERROR(T333/T444, "NA")</f>
        <v>2.918730288277226E-2</v>
      </c>
      <c r="V333" s="9"/>
      <c r="W333" s="10">
        <f t="shared" si="82"/>
        <v>32.019999999999982</v>
      </c>
      <c r="X333" s="8">
        <f>IFERROR(W333/W444, "NA")</f>
        <v>1.3860631823179544E-2</v>
      </c>
      <c r="Y333" s="9"/>
      <c r="Z333" s="7">
        <v>1913.97</v>
      </c>
      <c r="AA333" s="8">
        <f>IFERROR(Z333/Z444, "NA")</f>
        <v>2.9989484713349147E-2</v>
      </c>
      <c r="AB333" s="9"/>
      <c r="AC333" s="10">
        <f t="shared" si="83"/>
        <v>31.990000000000009</v>
      </c>
      <c r="AD333" s="8">
        <f>IFERROR(AC333/AC444, "NA")</f>
        <v>7.8691734539005128E-3</v>
      </c>
    </row>
    <row r="334" spans="1:30" ht="16.5" customHeight="1" x14ac:dyDescent="0.45">
      <c r="A334" s="6" t="s">
        <v>305</v>
      </c>
      <c r="B334" s="7">
        <v>-364.65</v>
      </c>
      <c r="C334" s="8">
        <f>IFERROR(B334/B444, "NA")</f>
        <v>-5.3714576956277078E-3</v>
      </c>
      <c r="D334" s="9"/>
      <c r="E334" s="7">
        <v>-364.65</v>
      </c>
      <c r="F334" s="8">
        <f>IFERROR(E334/E444, "NA")</f>
        <v>-5.5606844285281632E-3</v>
      </c>
      <c r="G334" s="9"/>
      <c r="H334" s="10">
        <f t="shared" si="80"/>
        <v>0</v>
      </c>
      <c r="I334" s="8">
        <f>IFERROR(H334/H444, "NA")</f>
        <v>0</v>
      </c>
      <c r="J334" s="9"/>
      <c r="K334" s="7">
        <v>-354.03</v>
      </c>
      <c r="L334" s="8">
        <f>IFERROR(K334/K444, "NA")</f>
        <v>-5.5472015094630523E-3</v>
      </c>
      <c r="M334" s="9"/>
      <c r="N334" s="10">
        <f t="shared" si="81"/>
        <v>10.620000000000005</v>
      </c>
      <c r="O334" s="8">
        <f>IFERROR(N334/N444, "NA")</f>
        <v>2.6123983144865103E-3</v>
      </c>
      <c r="P334" s="9"/>
      <c r="Q334" s="7">
        <v>-364.65</v>
      </c>
      <c r="R334" s="8">
        <f>IFERROR(Q334/Q444, "NA")</f>
        <v>-5.3714576956277078E-3</v>
      </c>
      <c r="S334" s="9"/>
      <c r="T334" s="7">
        <v>-364.65</v>
      </c>
      <c r="U334" s="8">
        <f>IFERROR(T334/T444, "NA")</f>
        <v>-5.5606844285281632E-3</v>
      </c>
      <c r="V334" s="9"/>
      <c r="W334" s="10">
        <f t="shared" si="82"/>
        <v>0</v>
      </c>
      <c r="X334" s="8">
        <f>IFERROR(W334/W444, "NA")</f>
        <v>0</v>
      </c>
      <c r="Y334" s="9"/>
      <c r="Z334" s="7">
        <v>-354.03</v>
      </c>
      <c r="AA334" s="8">
        <f>IFERROR(Z334/Z444, "NA")</f>
        <v>-5.5472015094630523E-3</v>
      </c>
      <c r="AB334" s="9"/>
      <c r="AC334" s="10">
        <f t="shared" si="83"/>
        <v>10.620000000000005</v>
      </c>
      <c r="AD334" s="8">
        <f>IFERROR(AC334/AC444, "NA")</f>
        <v>2.6123983144865103E-3</v>
      </c>
    </row>
    <row r="335" spans="1:30" ht="16.5" hidden="1" customHeight="1" x14ac:dyDescent="0.45">
      <c r="A335" s="6" t="s">
        <v>306</v>
      </c>
      <c r="B335" s="7">
        <v>0</v>
      </c>
      <c r="C335" s="8">
        <f>IFERROR(B335/B444, "NA")</f>
        <v>0</v>
      </c>
      <c r="D335" s="9"/>
      <c r="E335" s="7">
        <v>0</v>
      </c>
      <c r="F335" s="8">
        <f>IFERROR(E335/E444, "NA")</f>
        <v>0</v>
      </c>
      <c r="G335" s="9"/>
      <c r="H335" s="10">
        <f t="shared" si="80"/>
        <v>0</v>
      </c>
      <c r="I335" s="8">
        <f>IFERROR(H335/H444, "NA")</f>
        <v>0</v>
      </c>
      <c r="J335" s="9"/>
      <c r="K335" s="7">
        <v>0</v>
      </c>
      <c r="L335" s="8">
        <f>IFERROR(K335/K444, "NA")</f>
        <v>0</v>
      </c>
      <c r="M335" s="9"/>
      <c r="N335" s="10">
        <f t="shared" si="81"/>
        <v>0</v>
      </c>
      <c r="O335" s="8">
        <f>IFERROR(N335/N444, "NA")</f>
        <v>0</v>
      </c>
      <c r="P335" s="9"/>
      <c r="Q335" s="7">
        <v>0</v>
      </c>
      <c r="R335" s="8">
        <f>IFERROR(Q335/Q444, "NA")</f>
        <v>0</v>
      </c>
      <c r="S335" s="9"/>
      <c r="T335" s="7">
        <v>0</v>
      </c>
      <c r="U335" s="8">
        <f>IFERROR(T335/T444, "NA")</f>
        <v>0</v>
      </c>
      <c r="V335" s="9"/>
      <c r="W335" s="10">
        <f t="shared" si="82"/>
        <v>0</v>
      </c>
      <c r="X335" s="8">
        <f>IFERROR(W335/W444, "NA")</f>
        <v>0</v>
      </c>
      <c r="Y335" s="9"/>
      <c r="Z335" s="7">
        <v>0</v>
      </c>
      <c r="AA335" s="8">
        <f>IFERROR(Z335/Z444, "NA")</f>
        <v>0</v>
      </c>
      <c r="AB335" s="9"/>
      <c r="AC335" s="10">
        <f t="shared" si="83"/>
        <v>0</v>
      </c>
      <c r="AD335" s="8">
        <f>IFERROR(AC335/AC444, "NA")</f>
        <v>0</v>
      </c>
    </row>
    <row r="336" spans="1:30" ht="16.5" customHeight="1" x14ac:dyDescent="0.45">
      <c r="A336" s="11" t="s">
        <v>307</v>
      </c>
      <c r="B336" s="2"/>
      <c r="C336" s="3"/>
      <c r="D336" s="4"/>
      <c r="E336" s="2"/>
      <c r="F336" s="3"/>
      <c r="G336" s="4"/>
      <c r="H336" s="2"/>
      <c r="I336" s="3"/>
      <c r="J336" s="4"/>
      <c r="K336" s="2"/>
      <c r="L336" s="3"/>
      <c r="M336" s="4"/>
      <c r="N336" s="2"/>
      <c r="O336" s="3"/>
      <c r="P336" s="4"/>
      <c r="Q336" s="2"/>
      <c r="R336" s="3"/>
      <c r="S336" s="4"/>
      <c r="T336" s="2"/>
      <c r="U336" s="3"/>
      <c r="V336" s="4"/>
      <c r="W336" s="2"/>
      <c r="X336" s="3"/>
      <c r="Y336" s="4"/>
      <c r="Z336" s="2"/>
      <c r="AA336" s="3"/>
      <c r="AB336" s="4"/>
      <c r="AC336" s="2"/>
      <c r="AD336" s="3"/>
    </row>
    <row r="337" spans="1:30" ht="16.5" hidden="1" customHeight="1" x14ac:dyDescent="0.45">
      <c r="A337" s="12" t="s">
        <v>307</v>
      </c>
      <c r="B337" s="7">
        <v>0</v>
      </c>
      <c r="C337" s="8">
        <f>IFERROR(B337/B444, "NA")</f>
        <v>0</v>
      </c>
      <c r="D337" s="9"/>
      <c r="E337" s="7">
        <v>0</v>
      </c>
      <c r="F337" s="8">
        <f>IFERROR(E337/E444, "NA")</f>
        <v>0</v>
      </c>
      <c r="G337" s="9"/>
      <c r="H337" s="10">
        <f t="shared" ref="H337:H344" si="84">IFERROR(-(B337-E337), "NA")</f>
        <v>0</v>
      </c>
      <c r="I337" s="8">
        <f>IFERROR(H337/H444, "NA")</f>
        <v>0</v>
      </c>
      <c r="J337" s="9"/>
      <c r="K337" s="7">
        <v>0</v>
      </c>
      <c r="L337" s="8">
        <f>IFERROR(K337/K444, "NA")</f>
        <v>0</v>
      </c>
      <c r="M337" s="9"/>
      <c r="N337" s="10">
        <f t="shared" ref="N337:N344" si="85">IFERROR(-(B337-K337), "NA")</f>
        <v>0</v>
      </c>
      <c r="O337" s="8">
        <f>IFERROR(N337/N444, "NA")</f>
        <v>0</v>
      </c>
      <c r="P337" s="9"/>
      <c r="Q337" s="7">
        <v>0</v>
      </c>
      <c r="R337" s="8">
        <f>IFERROR(Q337/Q444, "NA")</f>
        <v>0</v>
      </c>
      <c r="S337" s="9"/>
      <c r="T337" s="7">
        <v>0</v>
      </c>
      <c r="U337" s="8">
        <f>IFERROR(T337/T444, "NA")</f>
        <v>0</v>
      </c>
      <c r="V337" s="9"/>
      <c r="W337" s="10">
        <f t="shared" ref="W337:W344" si="86">IFERROR(-(Q337-T337), "NA")</f>
        <v>0</v>
      </c>
      <c r="X337" s="8">
        <f>IFERROR(W337/W444, "NA")</f>
        <v>0</v>
      </c>
      <c r="Y337" s="9"/>
      <c r="Z337" s="7">
        <v>0</v>
      </c>
      <c r="AA337" s="8">
        <f>IFERROR(Z337/Z444, "NA")</f>
        <v>0</v>
      </c>
      <c r="AB337" s="9"/>
      <c r="AC337" s="10">
        <f t="shared" ref="AC337:AC344" si="87">IFERROR(-(Q337-Z337), "NA")</f>
        <v>0</v>
      </c>
      <c r="AD337" s="8">
        <f>IFERROR(AC337/AC444, "NA")</f>
        <v>0</v>
      </c>
    </row>
    <row r="338" spans="1:30" ht="16.5" customHeight="1" x14ac:dyDescent="0.45">
      <c r="A338" s="12" t="s">
        <v>308</v>
      </c>
      <c r="B338" s="7">
        <v>2535.52</v>
      </c>
      <c r="C338" s="8">
        <f>IFERROR(B338/B444, "NA")</f>
        <v>3.7349344347779971E-2</v>
      </c>
      <c r="D338" s="9"/>
      <c r="E338" s="7">
        <v>1901.72</v>
      </c>
      <c r="F338" s="8">
        <f>IFERROR(E338/E444, "NA")</f>
        <v>2.9000040563336292E-2</v>
      </c>
      <c r="G338" s="9"/>
      <c r="H338" s="10">
        <f t="shared" si="84"/>
        <v>-633.79999999999995</v>
      </c>
      <c r="I338" s="8">
        <f>IFERROR(H338/H444, "NA")</f>
        <v>-0.27435566675612738</v>
      </c>
      <c r="J338" s="9"/>
      <c r="K338" s="7">
        <v>2627.23</v>
      </c>
      <c r="L338" s="8">
        <f>IFERROR(K338/K444, "NA")</f>
        <v>4.1165365143368118E-2</v>
      </c>
      <c r="M338" s="9"/>
      <c r="N338" s="10">
        <f t="shared" si="85"/>
        <v>91.710000000000036</v>
      </c>
      <c r="O338" s="8">
        <f>IFERROR(N338/N444, "NA")</f>
        <v>2.2559609173404695E-2</v>
      </c>
      <c r="P338" s="9"/>
      <c r="Q338" s="7">
        <v>2535.52</v>
      </c>
      <c r="R338" s="8">
        <f>IFERROR(Q338/Q444, "NA")</f>
        <v>3.7349344347779971E-2</v>
      </c>
      <c r="S338" s="9"/>
      <c r="T338" s="7">
        <v>1901.72</v>
      </c>
      <c r="U338" s="8">
        <f>IFERROR(T338/T444, "NA")</f>
        <v>2.9000040563336292E-2</v>
      </c>
      <c r="V338" s="9"/>
      <c r="W338" s="10">
        <f t="shared" si="86"/>
        <v>-633.79999999999995</v>
      </c>
      <c r="X338" s="8">
        <f>IFERROR(W338/W444, "NA")</f>
        <v>-0.27435566675612738</v>
      </c>
      <c r="Y338" s="9"/>
      <c r="Z338" s="7">
        <v>2627.23</v>
      </c>
      <c r="AA338" s="8">
        <f>IFERROR(Z338/Z444, "NA")</f>
        <v>4.1165365143368118E-2</v>
      </c>
      <c r="AB338" s="9"/>
      <c r="AC338" s="10">
        <f t="shared" si="87"/>
        <v>91.710000000000036</v>
      </c>
      <c r="AD338" s="8">
        <f>IFERROR(AC338/AC444, "NA")</f>
        <v>2.2559609173404695E-2</v>
      </c>
    </row>
    <row r="339" spans="1:30" ht="16.5" customHeight="1" x14ac:dyDescent="0.45">
      <c r="A339" s="12" t="s">
        <v>309</v>
      </c>
      <c r="B339" s="7">
        <v>393.81</v>
      </c>
      <c r="C339" s="8">
        <f>IFERROR(B339/B444, "NA")</f>
        <v>5.8009975459074395E-3</v>
      </c>
      <c r="D339" s="9"/>
      <c r="E339" s="7">
        <v>262.31</v>
      </c>
      <c r="F339" s="8">
        <f>IFERROR(E339/E444, "NA")</f>
        <v>4.000063437398115E-3</v>
      </c>
      <c r="G339" s="9"/>
      <c r="H339" s="10">
        <f t="shared" si="84"/>
        <v>-131.5</v>
      </c>
      <c r="I339" s="8">
        <f>IFERROR(H339/H444, "NA")</f>
        <v>-5.692295705022208E-2</v>
      </c>
      <c r="J339" s="9"/>
      <c r="K339" s="7">
        <v>275.69</v>
      </c>
      <c r="L339" s="8">
        <f>IFERROR(K339/K444, "NA")</f>
        <v>4.3197129738831988E-3</v>
      </c>
      <c r="M339" s="9"/>
      <c r="N339" s="10">
        <f t="shared" si="85"/>
        <v>-118.12</v>
      </c>
      <c r="O339" s="8">
        <f>IFERROR(N339/N444, "NA")</f>
        <v>-2.9056166563761438E-2</v>
      </c>
      <c r="P339" s="9"/>
      <c r="Q339" s="7">
        <v>393.81</v>
      </c>
      <c r="R339" s="8">
        <f>IFERROR(Q339/Q444, "NA")</f>
        <v>5.8009975459074395E-3</v>
      </c>
      <c r="S339" s="9"/>
      <c r="T339" s="7">
        <v>262.31</v>
      </c>
      <c r="U339" s="8">
        <f>IFERROR(T339/T444, "NA")</f>
        <v>4.000063437398115E-3</v>
      </c>
      <c r="V339" s="9"/>
      <c r="W339" s="10">
        <f t="shared" si="86"/>
        <v>-131.5</v>
      </c>
      <c r="X339" s="8">
        <f>IFERROR(W339/W444, "NA")</f>
        <v>-5.692295705022208E-2</v>
      </c>
      <c r="Y339" s="9"/>
      <c r="Z339" s="7">
        <v>275.69</v>
      </c>
      <c r="AA339" s="8">
        <f>IFERROR(Z339/Z444, "NA")</f>
        <v>4.3197129738831988E-3</v>
      </c>
      <c r="AB339" s="9"/>
      <c r="AC339" s="10">
        <f t="shared" si="87"/>
        <v>-118.12</v>
      </c>
      <c r="AD339" s="8">
        <f>IFERROR(AC339/AC444, "NA")</f>
        <v>-2.9056166563761438E-2</v>
      </c>
    </row>
    <row r="340" spans="1:30" ht="16.5" customHeight="1" x14ac:dyDescent="0.45">
      <c r="A340" s="12" t="s">
        <v>310</v>
      </c>
      <c r="B340" s="7">
        <v>475.55</v>
      </c>
      <c r="C340" s="8">
        <f>IFERROR(B340/B444, "NA")</f>
        <v>7.0050643278644084E-3</v>
      </c>
      <c r="D340" s="9"/>
      <c r="E340" s="7">
        <v>262.31</v>
      </c>
      <c r="F340" s="8">
        <f>IFERROR(E340/E444, "NA")</f>
        <v>4.000063437398115E-3</v>
      </c>
      <c r="G340" s="9"/>
      <c r="H340" s="10">
        <f t="shared" si="84"/>
        <v>-213.24</v>
      </c>
      <c r="I340" s="8">
        <f>IFERROR(H340/H444, "NA")</f>
        <v>-9.2306094002960887E-2</v>
      </c>
      <c r="J340" s="9"/>
      <c r="K340" s="7">
        <v>408.42</v>
      </c>
      <c r="L340" s="8">
        <f>IFERROR(K340/K444, "NA")</f>
        <v>6.3994238920286415E-3</v>
      </c>
      <c r="M340" s="9"/>
      <c r="N340" s="10">
        <f t="shared" si="85"/>
        <v>-67.13</v>
      </c>
      <c r="O340" s="8">
        <f>IFERROR(N340/N444, "NA")</f>
        <v>-1.6513210814640241E-2</v>
      </c>
      <c r="P340" s="9"/>
      <c r="Q340" s="7">
        <v>475.55</v>
      </c>
      <c r="R340" s="8">
        <f>IFERROR(Q340/Q444, "NA")</f>
        <v>7.0050643278644084E-3</v>
      </c>
      <c r="S340" s="9"/>
      <c r="T340" s="7">
        <v>262.31</v>
      </c>
      <c r="U340" s="8">
        <f>IFERROR(T340/T444, "NA")</f>
        <v>4.000063437398115E-3</v>
      </c>
      <c r="V340" s="9"/>
      <c r="W340" s="10">
        <f t="shared" si="86"/>
        <v>-213.24</v>
      </c>
      <c r="X340" s="8">
        <f>IFERROR(W340/W444, "NA")</f>
        <v>-9.2306094002960887E-2</v>
      </c>
      <c r="Y340" s="9"/>
      <c r="Z340" s="7">
        <v>408.42</v>
      </c>
      <c r="AA340" s="8">
        <f>IFERROR(Z340/Z444, "NA")</f>
        <v>6.3994238920286415E-3</v>
      </c>
      <c r="AB340" s="9"/>
      <c r="AC340" s="10">
        <f t="shared" si="87"/>
        <v>-67.13</v>
      </c>
      <c r="AD340" s="8">
        <f>IFERROR(AC340/AC444, "NA")</f>
        <v>-1.6513210814640241E-2</v>
      </c>
    </row>
    <row r="341" spans="1:30" ht="16.5" hidden="1" customHeight="1" x14ac:dyDescent="0.45">
      <c r="A341" s="12" t="s">
        <v>311</v>
      </c>
      <c r="B341" s="7">
        <v>0</v>
      </c>
      <c r="C341" s="8">
        <f>IFERROR(B341/B444, "NA")</f>
        <v>0</v>
      </c>
      <c r="D341" s="9"/>
      <c r="E341" s="7">
        <v>0</v>
      </c>
      <c r="F341" s="8">
        <f>IFERROR(E341/E444, "NA")</f>
        <v>0</v>
      </c>
      <c r="G341" s="9"/>
      <c r="H341" s="10">
        <f t="shared" si="84"/>
        <v>0</v>
      </c>
      <c r="I341" s="8">
        <f>IFERROR(H341/H444, "NA")</f>
        <v>0</v>
      </c>
      <c r="J341" s="9"/>
      <c r="K341" s="7">
        <v>0</v>
      </c>
      <c r="L341" s="8">
        <f>IFERROR(K341/K444, "NA")</f>
        <v>0</v>
      </c>
      <c r="M341" s="9"/>
      <c r="N341" s="10">
        <f t="shared" si="85"/>
        <v>0</v>
      </c>
      <c r="O341" s="8">
        <f>IFERROR(N341/N444, "NA")</f>
        <v>0</v>
      </c>
      <c r="P341" s="9"/>
      <c r="Q341" s="7">
        <v>0</v>
      </c>
      <c r="R341" s="8">
        <f>IFERROR(Q341/Q444, "NA")</f>
        <v>0</v>
      </c>
      <c r="S341" s="9"/>
      <c r="T341" s="7">
        <v>0</v>
      </c>
      <c r="U341" s="8">
        <f>IFERROR(T341/T444, "NA")</f>
        <v>0</v>
      </c>
      <c r="V341" s="9"/>
      <c r="W341" s="10">
        <f t="shared" si="86"/>
        <v>0</v>
      </c>
      <c r="X341" s="8">
        <f>IFERROR(W341/W444, "NA")</f>
        <v>0</v>
      </c>
      <c r="Y341" s="9"/>
      <c r="Z341" s="7">
        <v>0</v>
      </c>
      <c r="AA341" s="8">
        <f>IFERROR(Z341/Z444, "NA")</f>
        <v>0</v>
      </c>
      <c r="AB341" s="9"/>
      <c r="AC341" s="10">
        <f t="shared" si="87"/>
        <v>0</v>
      </c>
      <c r="AD341" s="8">
        <f>IFERROR(AC341/AC444, "NA")</f>
        <v>0</v>
      </c>
    </row>
    <row r="342" spans="1:30" ht="16.5" customHeight="1" x14ac:dyDescent="0.45">
      <c r="A342" s="13" t="s">
        <v>312</v>
      </c>
      <c r="B342" s="14">
        <f>IFERROR(B337+B338+B339+B340+B341, "NA")</f>
        <v>3404.88</v>
      </c>
      <c r="C342" s="15">
        <f>IFERROR(B342/B444, "NA")</f>
        <v>5.0155406221551818E-2</v>
      </c>
      <c r="D342" s="2"/>
      <c r="E342" s="14">
        <f>IFERROR(E337+E338+E339+E340+E341, "NA")</f>
        <v>2426.34</v>
      </c>
      <c r="F342" s="15">
        <f>IFERROR(E342/E444, "NA")</f>
        <v>3.7000167438132524E-2</v>
      </c>
      <c r="G342" s="2"/>
      <c r="H342" s="14">
        <f t="shared" si="84"/>
        <v>-978.54</v>
      </c>
      <c r="I342" s="15">
        <f>IFERROR(H342/H444, "NA")</f>
        <v>-0.42358471780931034</v>
      </c>
      <c r="J342" s="2"/>
      <c r="K342" s="14">
        <f>IFERROR(K337+K338+K339+K340+K341, "NA")</f>
        <v>3311.34</v>
      </c>
      <c r="L342" s="15">
        <f>IFERROR(K342/K444, "NA")</f>
        <v>5.1884502009279965E-2</v>
      </c>
      <c r="M342" s="2"/>
      <c r="N342" s="14">
        <f t="shared" si="85"/>
        <v>-93.539999999999964</v>
      </c>
      <c r="O342" s="15">
        <f>IFERROR(N342/N444, "NA")</f>
        <v>-2.3009768204996985E-2</v>
      </c>
      <c r="P342" s="2"/>
      <c r="Q342" s="14">
        <f>IFERROR(Q337+Q338+Q339+Q340+Q341, "NA")</f>
        <v>3404.88</v>
      </c>
      <c r="R342" s="15">
        <f>IFERROR(Q342/Q444, "NA")</f>
        <v>5.0155406221551818E-2</v>
      </c>
      <c r="S342" s="2"/>
      <c r="T342" s="14">
        <f>IFERROR(T337+T338+T339+T340+T341, "NA")</f>
        <v>2426.34</v>
      </c>
      <c r="U342" s="15">
        <f>IFERROR(T342/T444, "NA")</f>
        <v>3.7000167438132524E-2</v>
      </c>
      <c r="V342" s="2"/>
      <c r="W342" s="14">
        <f t="shared" si="86"/>
        <v>-978.54</v>
      </c>
      <c r="X342" s="15">
        <f>IFERROR(W342/W444, "NA")</f>
        <v>-0.42358471780931034</v>
      </c>
      <c r="Y342" s="2"/>
      <c r="Z342" s="14">
        <f>IFERROR(Z337+Z338+Z339+Z340+Z341, "NA")</f>
        <v>3311.34</v>
      </c>
      <c r="AA342" s="15">
        <f>IFERROR(Z342/Z444, "NA")</f>
        <v>5.1884502009279965E-2</v>
      </c>
      <c r="AB342" s="2"/>
      <c r="AC342" s="14">
        <f t="shared" si="87"/>
        <v>-93.539999999999964</v>
      </c>
      <c r="AD342" s="15">
        <f>IFERROR(AC342/AC444, "NA")</f>
        <v>-2.3009768204996985E-2</v>
      </c>
    </row>
    <row r="343" spans="1:30" ht="16.5" customHeight="1" x14ac:dyDescent="0.45">
      <c r="A343" s="19" t="s">
        <v>313</v>
      </c>
      <c r="B343" s="14">
        <f>IFERROR(B328+B329+B330+B331+B332+B333+B334+B335+B337+B338+B339+B340+B341, "NA")</f>
        <v>11394.509999999998</v>
      </c>
      <c r="C343" s="15">
        <f>IFERROR(B343/B444, "NA")</f>
        <v>0.16784623180421462</v>
      </c>
      <c r="D343" s="2"/>
      <c r="E343" s="14">
        <f>IFERROR(E328+E329+E330+E331+E332+E333+E334+E335+E337+E338+E339+E340+E341, "NA")</f>
        <v>10447.989999999998</v>
      </c>
      <c r="F343" s="15">
        <f>IFERROR(E343/E444, "NA")</f>
        <v>0.15932531277229658</v>
      </c>
      <c r="G343" s="2"/>
      <c r="H343" s="14">
        <f t="shared" si="84"/>
        <v>-946.52000000000044</v>
      </c>
      <c r="I343" s="15">
        <f>IFERROR(H343/H444, "NA")</f>
        <v>-0.40972408598613103</v>
      </c>
      <c r="J343" s="2"/>
      <c r="K343" s="14">
        <f>IFERROR(K328+K329+K330+K331+K332+K333+K334+K335+K337+K338+K339+K340+K341, "NA")</f>
        <v>11155.060000000001</v>
      </c>
      <c r="L343" s="15">
        <f>IFERROR(K343/K444, "NA")</f>
        <v>0.1747856556510774</v>
      </c>
      <c r="M343" s="2"/>
      <c r="N343" s="14">
        <f t="shared" si="85"/>
        <v>-239.44999999999709</v>
      </c>
      <c r="O343" s="15">
        <f>IFERROR(N343/N444, "NA")</f>
        <v>-5.8901956346872598E-2</v>
      </c>
      <c r="P343" s="2"/>
      <c r="Q343" s="14">
        <f>IFERROR(Q328+Q329+Q330+Q331+Q332+Q333+Q334+Q335+Q337+Q338+Q339+Q340+Q341, "NA")</f>
        <v>11394.509999999998</v>
      </c>
      <c r="R343" s="15">
        <f>IFERROR(Q343/Q444, "NA")</f>
        <v>0.16784623180421462</v>
      </c>
      <c r="S343" s="2"/>
      <c r="T343" s="14">
        <f>IFERROR(T328+T329+T330+T331+T332+T333+T334+T335+T337+T338+T339+T340+T341, "NA")</f>
        <v>10447.989999999998</v>
      </c>
      <c r="U343" s="15">
        <f>IFERROR(T343/T444, "NA")</f>
        <v>0.15932531277229658</v>
      </c>
      <c r="V343" s="2"/>
      <c r="W343" s="14">
        <f t="shared" si="86"/>
        <v>-946.52000000000044</v>
      </c>
      <c r="X343" s="15">
        <f>IFERROR(W343/W444, "NA")</f>
        <v>-0.40972408598613103</v>
      </c>
      <c r="Y343" s="2"/>
      <c r="Z343" s="14">
        <f>IFERROR(Z328+Z329+Z330+Z331+Z332+Z333+Z334+Z335+Z337+Z338+Z339+Z340+Z341, "NA")</f>
        <v>11155.060000000001</v>
      </c>
      <c r="AA343" s="15">
        <f>IFERROR(Z343/Z444, "NA")</f>
        <v>0.1747856556510774</v>
      </c>
      <c r="AB343" s="2"/>
      <c r="AC343" s="14">
        <f t="shared" si="87"/>
        <v>-239.44999999999709</v>
      </c>
      <c r="AD343" s="15">
        <f>IFERROR(AC343/AC444, "NA")</f>
        <v>-5.8901956346872598E-2</v>
      </c>
    </row>
    <row r="344" spans="1:30" ht="16.5" customHeight="1" x14ac:dyDescent="0.45">
      <c r="A344" s="21" t="s">
        <v>314</v>
      </c>
      <c r="B344" s="14">
        <f>IFERROR(B328+B329+B330+B331+B332+B333+B334+B335+B337+B338+B339+B340+B341, "NA")</f>
        <v>11394.509999999998</v>
      </c>
      <c r="C344" s="15">
        <f>IFERROR(B344/B444, "NA")</f>
        <v>0.16784623180421462</v>
      </c>
      <c r="D344" s="2"/>
      <c r="E344" s="14">
        <f>IFERROR(E328+E329+E330+E331+E332+E333+E334+E335+E337+E338+E339+E340+E341, "NA")</f>
        <v>10447.989999999998</v>
      </c>
      <c r="F344" s="15">
        <f>IFERROR(E344/E444, "NA")</f>
        <v>0.15932531277229658</v>
      </c>
      <c r="G344" s="2"/>
      <c r="H344" s="14">
        <f t="shared" si="84"/>
        <v>-946.52000000000044</v>
      </c>
      <c r="I344" s="15">
        <f>IFERROR(H344/H444, "NA")</f>
        <v>-0.40972408598613103</v>
      </c>
      <c r="J344" s="2"/>
      <c r="K344" s="14">
        <f>IFERROR(K328+K329+K330+K331+K332+K333+K334+K335+K337+K338+K339+K340+K341, "NA")</f>
        <v>11155.060000000001</v>
      </c>
      <c r="L344" s="15">
        <f>IFERROR(K344/K444, "NA")</f>
        <v>0.1747856556510774</v>
      </c>
      <c r="M344" s="2"/>
      <c r="N344" s="14">
        <f t="shared" si="85"/>
        <v>-239.44999999999709</v>
      </c>
      <c r="O344" s="15">
        <f>IFERROR(N344/N444, "NA")</f>
        <v>-5.8901956346872598E-2</v>
      </c>
      <c r="P344" s="2"/>
      <c r="Q344" s="14">
        <f>IFERROR(Q328+Q329+Q330+Q331+Q332+Q333+Q334+Q335+Q337+Q338+Q339+Q340+Q341, "NA")</f>
        <v>11394.509999999998</v>
      </c>
      <c r="R344" s="15">
        <f>IFERROR(Q344/Q444, "NA")</f>
        <v>0.16784623180421462</v>
      </c>
      <c r="S344" s="2"/>
      <c r="T344" s="14">
        <f>IFERROR(T328+T329+T330+T331+T332+T333+T334+T335+T337+T338+T339+T340+T341, "NA")</f>
        <v>10447.989999999998</v>
      </c>
      <c r="U344" s="15">
        <f>IFERROR(T344/T444, "NA")</f>
        <v>0.15932531277229658</v>
      </c>
      <c r="V344" s="2"/>
      <c r="W344" s="14">
        <f t="shared" si="86"/>
        <v>-946.52000000000044</v>
      </c>
      <c r="X344" s="15">
        <f>IFERROR(W344/W444, "NA")</f>
        <v>-0.40972408598613103</v>
      </c>
      <c r="Y344" s="2"/>
      <c r="Z344" s="14">
        <f>IFERROR(Z328+Z329+Z330+Z331+Z332+Z333+Z334+Z335+Z337+Z338+Z339+Z340+Z341, "NA")</f>
        <v>11155.060000000001</v>
      </c>
      <c r="AA344" s="15">
        <f>IFERROR(Z344/Z444, "NA")</f>
        <v>0.1747856556510774</v>
      </c>
      <c r="AB344" s="2"/>
      <c r="AC344" s="14">
        <f t="shared" si="87"/>
        <v>-239.44999999999709</v>
      </c>
      <c r="AD344" s="15">
        <f>IFERROR(AC344/AC444, "NA")</f>
        <v>-5.8901956346872598E-2</v>
      </c>
    </row>
    <row r="345" spans="1:30" ht="16.5" customHeight="1" x14ac:dyDescent="0.45">
      <c r="A345" s="22" t="s">
        <v>315</v>
      </c>
      <c r="B345" s="23">
        <f>IFERROR(B198-B325-B344, "NA")</f>
        <v>-8396.4899999999761</v>
      </c>
      <c r="C345" s="24">
        <f>IFERROR(B345/B444, "NA")</f>
        <v>-0.12368405546897289</v>
      </c>
      <c r="D345" s="25"/>
      <c r="E345" s="23">
        <f>IFERROR(E198-E325-E344, "NA")</f>
        <v>-1193.1399999999958</v>
      </c>
      <c r="F345" s="24">
        <f>IFERROR(E345/E444, "NA")</f>
        <v>-1.8194638746891732E-2</v>
      </c>
      <c r="G345" s="25"/>
      <c r="H345" s="23">
        <f>IFERROR(B345-E345, "NA")</f>
        <v>-7203.3499999999804</v>
      </c>
      <c r="I345" s="24">
        <f>IFERROR(H345/H444, "NA")</f>
        <v>-3.1181443548875749</v>
      </c>
      <c r="J345" s="25"/>
      <c r="K345" s="23">
        <f>IFERROR(K198-K325-K344, "NA")</f>
        <v>-6154.5900000000074</v>
      </c>
      <c r="L345" s="24">
        <f>IFERROR(K345/K444, "NA")</f>
        <v>-9.6434626834240741E-2</v>
      </c>
      <c r="M345" s="25"/>
      <c r="N345" s="23">
        <f>IFERROR(B345-K345, "NA")</f>
        <v>-2241.8999999999687</v>
      </c>
      <c r="O345" s="24">
        <f>IFERROR(N345/N444, "NA")</f>
        <v>-0.5514817119818477</v>
      </c>
      <c r="P345" s="25"/>
      <c r="Q345" s="23">
        <f>IFERROR(Q198-Q325-Q344, "NA")</f>
        <v>-8396.4899999999761</v>
      </c>
      <c r="R345" s="24">
        <f>IFERROR(Q345/Q444, "NA")</f>
        <v>-0.12368405546897289</v>
      </c>
      <c r="S345" s="25"/>
      <c r="T345" s="23">
        <f>IFERROR(T198-T325-T344, "NA")</f>
        <v>-1193.1399999999958</v>
      </c>
      <c r="U345" s="24">
        <f>IFERROR(T345/T444, "NA")</f>
        <v>-1.8194638746891732E-2</v>
      </c>
      <c r="V345" s="25"/>
      <c r="W345" s="23">
        <f>IFERROR(Q345-T345, "NA")</f>
        <v>-7203.3499999999804</v>
      </c>
      <c r="X345" s="24">
        <f>IFERROR(W345/W444, "NA")</f>
        <v>-3.1181443548875749</v>
      </c>
      <c r="Y345" s="25"/>
      <c r="Z345" s="23">
        <f>IFERROR(Z198-Z325-Z344, "NA")</f>
        <v>-6154.5900000000074</v>
      </c>
      <c r="AA345" s="24">
        <f>IFERROR(Z345/Z444, "NA")</f>
        <v>-9.6434626834240741E-2</v>
      </c>
      <c r="AB345" s="25"/>
      <c r="AC345" s="23">
        <f>IFERROR(Q345-Z345, "NA")</f>
        <v>-2241.8999999999687</v>
      </c>
      <c r="AD345" s="24">
        <f>IFERROR(AC345/AC444, "NA")</f>
        <v>-0.5514817119818477</v>
      </c>
    </row>
    <row r="346" spans="1:30" ht="16.5" customHeight="1" x14ac:dyDescent="0.45">
      <c r="A346" s="1" t="s">
        <v>316</v>
      </c>
      <c r="B346" s="2"/>
      <c r="C346" s="3"/>
      <c r="D346" s="4"/>
      <c r="E346" s="2"/>
      <c r="F346" s="3"/>
      <c r="G346" s="4"/>
      <c r="H346" s="2"/>
      <c r="I346" s="3"/>
      <c r="J346" s="4"/>
      <c r="K346" s="2"/>
      <c r="L346" s="3"/>
      <c r="M346" s="4"/>
      <c r="N346" s="2"/>
      <c r="O346" s="3"/>
      <c r="P346" s="4"/>
      <c r="Q346" s="2"/>
      <c r="R346" s="3"/>
      <c r="S346" s="4"/>
      <c r="T346" s="2"/>
      <c r="U346" s="3"/>
      <c r="V346" s="4"/>
      <c r="W346" s="2"/>
      <c r="X346" s="3"/>
      <c r="Y346" s="4"/>
      <c r="Z346" s="2"/>
      <c r="AA346" s="3"/>
      <c r="AB346" s="4"/>
      <c r="AC346" s="2"/>
      <c r="AD346" s="3"/>
    </row>
    <row r="347" spans="1:30" ht="16.5" hidden="1" customHeight="1" x14ac:dyDescent="0.45">
      <c r="A347" s="20" t="s">
        <v>317</v>
      </c>
      <c r="B347" s="7">
        <v>0</v>
      </c>
      <c r="C347" s="8">
        <f>IFERROR(B347/B444, "NA")</f>
        <v>0</v>
      </c>
      <c r="D347" s="9"/>
      <c r="E347" s="7">
        <v>0</v>
      </c>
      <c r="F347" s="8">
        <f>IFERROR(E347/E444, "NA")</f>
        <v>0</v>
      </c>
      <c r="G347" s="9"/>
      <c r="H347" s="10">
        <f>IFERROR(-(B347-E347), "NA")</f>
        <v>0</v>
      </c>
      <c r="I347" s="8">
        <f>IFERROR(H347/H444, "NA")</f>
        <v>0</v>
      </c>
      <c r="J347" s="9"/>
      <c r="K347" s="7">
        <v>0</v>
      </c>
      <c r="L347" s="8">
        <f>IFERROR(K347/K444, "NA")</f>
        <v>0</v>
      </c>
      <c r="M347" s="9"/>
      <c r="N347" s="10">
        <f>IFERROR(-(B347-K347), "NA")</f>
        <v>0</v>
      </c>
      <c r="O347" s="8">
        <f>IFERROR(N347/N444, "NA")</f>
        <v>0</v>
      </c>
      <c r="P347" s="9"/>
      <c r="Q347" s="7">
        <v>0</v>
      </c>
      <c r="R347" s="8">
        <f>IFERROR(Q347/Q444, "NA")</f>
        <v>0</v>
      </c>
      <c r="S347" s="9"/>
      <c r="T347" s="7">
        <v>0</v>
      </c>
      <c r="U347" s="8">
        <f>IFERROR(T347/T444, "NA")</f>
        <v>0</v>
      </c>
      <c r="V347" s="9"/>
      <c r="W347" s="10">
        <f>IFERROR(-(Q347-T347), "NA")</f>
        <v>0</v>
      </c>
      <c r="X347" s="8">
        <f>IFERROR(W347/W444, "NA")</f>
        <v>0</v>
      </c>
      <c r="Y347" s="9"/>
      <c r="Z347" s="7">
        <v>0</v>
      </c>
      <c r="AA347" s="8">
        <f>IFERROR(Z347/Z444, "NA")</f>
        <v>0</v>
      </c>
      <c r="AB347" s="9"/>
      <c r="AC347" s="10">
        <f>IFERROR(-(Q347-Z347), "NA")</f>
        <v>0</v>
      </c>
      <c r="AD347" s="8">
        <f>IFERROR(AC347/AC444, "NA")</f>
        <v>0</v>
      </c>
    </row>
    <row r="348" spans="1:30" ht="16.5" customHeight="1" x14ac:dyDescent="0.45">
      <c r="A348" s="5" t="s">
        <v>318</v>
      </c>
      <c r="B348" s="2"/>
      <c r="C348" s="3"/>
      <c r="D348" s="4"/>
      <c r="E348" s="2"/>
      <c r="F348" s="3"/>
      <c r="G348" s="4"/>
      <c r="H348" s="2"/>
      <c r="I348" s="3"/>
      <c r="J348" s="4"/>
      <c r="K348" s="2"/>
      <c r="L348" s="3"/>
      <c r="M348" s="4"/>
      <c r="N348" s="2"/>
      <c r="O348" s="3"/>
      <c r="P348" s="4"/>
      <c r="Q348" s="2"/>
      <c r="R348" s="3"/>
      <c r="S348" s="4"/>
      <c r="T348" s="2"/>
      <c r="U348" s="3"/>
      <c r="V348" s="4"/>
      <c r="W348" s="2"/>
      <c r="X348" s="3"/>
      <c r="Y348" s="4"/>
      <c r="Z348" s="2"/>
      <c r="AA348" s="3"/>
      <c r="AB348" s="4"/>
      <c r="AC348" s="2"/>
      <c r="AD348" s="3"/>
    </row>
    <row r="349" spans="1:30" ht="16.5" hidden="1" customHeight="1" x14ac:dyDescent="0.45">
      <c r="A349" s="6" t="s">
        <v>318</v>
      </c>
      <c r="B349" s="7">
        <v>0</v>
      </c>
      <c r="C349" s="8">
        <f>IFERROR(B349/B444, "NA")</f>
        <v>0</v>
      </c>
      <c r="D349" s="9"/>
      <c r="E349" s="7">
        <v>0</v>
      </c>
      <c r="F349" s="8">
        <f>IFERROR(E349/E444, "NA")</f>
        <v>0</v>
      </c>
      <c r="G349" s="9"/>
      <c r="H349" s="10">
        <f t="shared" ref="H349:H358" si="88">IFERROR(-(B349-E349), "NA")</f>
        <v>0</v>
      </c>
      <c r="I349" s="8">
        <f>IFERROR(H349/H444, "NA")</f>
        <v>0</v>
      </c>
      <c r="J349" s="9"/>
      <c r="K349" s="7">
        <v>0</v>
      </c>
      <c r="L349" s="8">
        <f>IFERROR(K349/K444, "NA")</f>
        <v>0</v>
      </c>
      <c r="M349" s="9"/>
      <c r="N349" s="10">
        <f t="shared" ref="N349:N358" si="89">IFERROR(-(B349-K349), "NA")</f>
        <v>0</v>
      </c>
      <c r="O349" s="8">
        <f>IFERROR(N349/N444, "NA")</f>
        <v>0</v>
      </c>
      <c r="P349" s="9"/>
      <c r="Q349" s="7">
        <v>0</v>
      </c>
      <c r="R349" s="8">
        <f>IFERROR(Q349/Q444, "NA")</f>
        <v>0</v>
      </c>
      <c r="S349" s="9"/>
      <c r="T349" s="7">
        <v>0</v>
      </c>
      <c r="U349" s="8">
        <f>IFERROR(T349/T444, "NA")</f>
        <v>0</v>
      </c>
      <c r="V349" s="9"/>
      <c r="W349" s="10">
        <f t="shared" ref="W349:W358" si="90">IFERROR(-(Q349-T349), "NA")</f>
        <v>0</v>
      </c>
      <c r="X349" s="8">
        <f>IFERROR(W349/W444, "NA")</f>
        <v>0</v>
      </c>
      <c r="Y349" s="9"/>
      <c r="Z349" s="7">
        <v>0</v>
      </c>
      <c r="AA349" s="8">
        <f>IFERROR(Z349/Z444, "NA")</f>
        <v>0</v>
      </c>
      <c r="AB349" s="9"/>
      <c r="AC349" s="10">
        <f t="shared" ref="AC349:AC358" si="91">IFERROR(-(Q349-Z349), "NA")</f>
        <v>0</v>
      </c>
      <c r="AD349" s="8">
        <f>IFERROR(AC349/AC444, "NA")</f>
        <v>0</v>
      </c>
    </row>
    <row r="350" spans="1:30" ht="16.5" hidden="1" customHeight="1" x14ac:dyDescent="0.45">
      <c r="A350" s="6" t="s">
        <v>319</v>
      </c>
      <c r="B350" s="7">
        <v>0</v>
      </c>
      <c r="C350" s="8">
        <f>IFERROR(B350/B444, "NA")</f>
        <v>0</v>
      </c>
      <c r="D350" s="9"/>
      <c r="E350" s="7">
        <v>0</v>
      </c>
      <c r="F350" s="8">
        <f>IFERROR(E350/E444, "NA")</f>
        <v>0</v>
      </c>
      <c r="G350" s="9"/>
      <c r="H350" s="10">
        <f t="shared" si="88"/>
        <v>0</v>
      </c>
      <c r="I350" s="8">
        <f>IFERROR(H350/H444, "NA")</f>
        <v>0</v>
      </c>
      <c r="J350" s="9"/>
      <c r="K350" s="7">
        <v>0</v>
      </c>
      <c r="L350" s="8">
        <f>IFERROR(K350/K444, "NA")</f>
        <v>0</v>
      </c>
      <c r="M350" s="9"/>
      <c r="N350" s="10">
        <f t="shared" si="89"/>
        <v>0</v>
      </c>
      <c r="O350" s="8">
        <f>IFERROR(N350/N444, "NA")</f>
        <v>0</v>
      </c>
      <c r="P350" s="9"/>
      <c r="Q350" s="7">
        <v>0</v>
      </c>
      <c r="R350" s="8">
        <f>IFERROR(Q350/Q444, "NA")</f>
        <v>0</v>
      </c>
      <c r="S350" s="9"/>
      <c r="T350" s="7">
        <v>0</v>
      </c>
      <c r="U350" s="8">
        <f>IFERROR(T350/T444, "NA")</f>
        <v>0</v>
      </c>
      <c r="V350" s="9"/>
      <c r="W350" s="10">
        <f t="shared" si="90"/>
        <v>0</v>
      </c>
      <c r="X350" s="8">
        <f>IFERROR(W350/W444, "NA")</f>
        <v>0</v>
      </c>
      <c r="Y350" s="9"/>
      <c r="Z350" s="7">
        <v>0</v>
      </c>
      <c r="AA350" s="8">
        <f>IFERROR(Z350/Z444, "NA")</f>
        <v>0</v>
      </c>
      <c r="AB350" s="9"/>
      <c r="AC350" s="10">
        <f t="shared" si="91"/>
        <v>0</v>
      </c>
      <c r="AD350" s="8">
        <f>IFERROR(AC350/AC444, "NA")</f>
        <v>0</v>
      </c>
    </row>
    <row r="351" spans="1:30" ht="16.5" hidden="1" customHeight="1" x14ac:dyDescent="0.45">
      <c r="A351" s="6" t="s">
        <v>320</v>
      </c>
      <c r="B351" s="7">
        <v>0</v>
      </c>
      <c r="C351" s="8">
        <f>IFERROR(B351/B444, "NA")</f>
        <v>0</v>
      </c>
      <c r="D351" s="9"/>
      <c r="E351" s="7">
        <v>0</v>
      </c>
      <c r="F351" s="8">
        <f>IFERROR(E351/E444, "NA")</f>
        <v>0</v>
      </c>
      <c r="G351" s="9"/>
      <c r="H351" s="10">
        <f t="shared" si="88"/>
        <v>0</v>
      </c>
      <c r="I351" s="8">
        <f>IFERROR(H351/H444, "NA")</f>
        <v>0</v>
      </c>
      <c r="J351" s="9"/>
      <c r="K351" s="7">
        <v>0</v>
      </c>
      <c r="L351" s="8">
        <f>IFERROR(K351/K444, "NA")</f>
        <v>0</v>
      </c>
      <c r="M351" s="9"/>
      <c r="N351" s="10">
        <f t="shared" si="89"/>
        <v>0</v>
      </c>
      <c r="O351" s="8">
        <f>IFERROR(N351/N444, "NA")</f>
        <v>0</v>
      </c>
      <c r="P351" s="9"/>
      <c r="Q351" s="7">
        <v>0</v>
      </c>
      <c r="R351" s="8">
        <f>IFERROR(Q351/Q444, "NA")</f>
        <v>0</v>
      </c>
      <c r="S351" s="9"/>
      <c r="T351" s="7">
        <v>0</v>
      </c>
      <c r="U351" s="8">
        <f>IFERROR(T351/T444, "NA")</f>
        <v>0</v>
      </c>
      <c r="V351" s="9"/>
      <c r="W351" s="10">
        <f t="shared" si="90"/>
        <v>0</v>
      </c>
      <c r="X351" s="8">
        <f>IFERROR(W351/W444, "NA")</f>
        <v>0</v>
      </c>
      <c r="Y351" s="9"/>
      <c r="Z351" s="7">
        <v>0</v>
      </c>
      <c r="AA351" s="8">
        <f>IFERROR(Z351/Z444, "NA")</f>
        <v>0</v>
      </c>
      <c r="AB351" s="9"/>
      <c r="AC351" s="10">
        <f t="shared" si="91"/>
        <v>0</v>
      </c>
      <c r="AD351" s="8">
        <f>IFERROR(AC351/AC444, "NA")</f>
        <v>0</v>
      </c>
    </row>
    <row r="352" spans="1:30" ht="16.5" hidden="1" customHeight="1" x14ac:dyDescent="0.45">
      <c r="A352" s="6" t="s">
        <v>321</v>
      </c>
      <c r="B352" s="7">
        <v>0</v>
      </c>
      <c r="C352" s="8">
        <f>IFERROR(B352/B444, "NA")</f>
        <v>0</v>
      </c>
      <c r="D352" s="9"/>
      <c r="E352" s="7">
        <v>0</v>
      </c>
      <c r="F352" s="8">
        <f>IFERROR(E352/E444, "NA")</f>
        <v>0</v>
      </c>
      <c r="G352" s="9"/>
      <c r="H352" s="10">
        <f t="shared" si="88"/>
        <v>0</v>
      </c>
      <c r="I352" s="8">
        <f>IFERROR(H352/H444, "NA")</f>
        <v>0</v>
      </c>
      <c r="J352" s="9"/>
      <c r="K352" s="7">
        <v>0</v>
      </c>
      <c r="L352" s="8">
        <f>IFERROR(K352/K444, "NA")</f>
        <v>0</v>
      </c>
      <c r="M352" s="9"/>
      <c r="N352" s="10">
        <f t="shared" si="89"/>
        <v>0</v>
      </c>
      <c r="O352" s="8">
        <f>IFERROR(N352/N444, "NA")</f>
        <v>0</v>
      </c>
      <c r="P352" s="9"/>
      <c r="Q352" s="7">
        <v>0</v>
      </c>
      <c r="R352" s="8">
        <f>IFERROR(Q352/Q444, "NA")</f>
        <v>0</v>
      </c>
      <c r="S352" s="9"/>
      <c r="T352" s="7">
        <v>0</v>
      </c>
      <c r="U352" s="8">
        <f>IFERROR(T352/T444, "NA")</f>
        <v>0</v>
      </c>
      <c r="V352" s="9"/>
      <c r="W352" s="10">
        <f t="shared" si="90"/>
        <v>0</v>
      </c>
      <c r="X352" s="8">
        <f>IFERROR(W352/W444, "NA")</f>
        <v>0</v>
      </c>
      <c r="Y352" s="9"/>
      <c r="Z352" s="7">
        <v>0</v>
      </c>
      <c r="AA352" s="8">
        <f>IFERROR(Z352/Z444, "NA")</f>
        <v>0</v>
      </c>
      <c r="AB352" s="9"/>
      <c r="AC352" s="10">
        <f t="shared" si="91"/>
        <v>0</v>
      </c>
      <c r="AD352" s="8">
        <f>IFERROR(AC352/AC444, "NA")</f>
        <v>0</v>
      </c>
    </row>
    <row r="353" spans="1:30" ht="16.5" hidden="1" customHeight="1" x14ac:dyDescent="0.45">
      <c r="A353" s="6" t="s">
        <v>322</v>
      </c>
      <c r="B353" s="7">
        <v>0</v>
      </c>
      <c r="C353" s="8">
        <f>IFERROR(B353/B444, "NA")</f>
        <v>0</v>
      </c>
      <c r="D353" s="9"/>
      <c r="E353" s="7">
        <v>0</v>
      </c>
      <c r="F353" s="8">
        <f>IFERROR(E353/E444, "NA")</f>
        <v>0</v>
      </c>
      <c r="G353" s="9"/>
      <c r="H353" s="10">
        <f t="shared" si="88"/>
        <v>0</v>
      </c>
      <c r="I353" s="8">
        <f>IFERROR(H353/H444, "NA")</f>
        <v>0</v>
      </c>
      <c r="J353" s="9"/>
      <c r="K353" s="7">
        <v>0</v>
      </c>
      <c r="L353" s="8">
        <f>IFERROR(K353/K444, "NA")</f>
        <v>0</v>
      </c>
      <c r="M353" s="9"/>
      <c r="N353" s="10">
        <f t="shared" si="89"/>
        <v>0</v>
      </c>
      <c r="O353" s="8">
        <f>IFERROR(N353/N444, "NA")</f>
        <v>0</v>
      </c>
      <c r="P353" s="9"/>
      <c r="Q353" s="7">
        <v>0</v>
      </c>
      <c r="R353" s="8">
        <f>IFERROR(Q353/Q444, "NA")</f>
        <v>0</v>
      </c>
      <c r="S353" s="9"/>
      <c r="T353" s="7">
        <v>0</v>
      </c>
      <c r="U353" s="8">
        <f>IFERROR(T353/T444, "NA")</f>
        <v>0</v>
      </c>
      <c r="V353" s="9"/>
      <c r="W353" s="10">
        <f t="shared" si="90"/>
        <v>0</v>
      </c>
      <c r="X353" s="8">
        <f>IFERROR(W353/W444, "NA")</f>
        <v>0</v>
      </c>
      <c r="Y353" s="9"/>
      <c r="Z353" s="7">
        <v>0</v>
      </c>
      <c r="AA353" s="8">
        <f>IFERROR(Z353/Z444, "NA")</f>
        <v>0</v>
      </c>
      <c r="AB353" s="9"/>
      <c r="AC353" s="10">
        <f t="shared" si="91"/>
        <v>0</v>
      </c>
      <c r="AD353" s="8">
        <f>IFERROR(AC353/AC444, "NA")</f>
        <v>0</v>
      </c>
    </row>
    <row r="354" spans="1:30" ht="16.5" hidden="1" customHeight="1" x14ac:dyDescent="0.45">
      <c r="A354" s="6" t="s">
        <v>323</v>
      </c>
      <c r="B354" s="7">
        <v>0</v>
      </c>
      <c r="C354" s="8">
        <f>IFERROR(B354/B444, "NA")</f>
        <v>0</v>
      </c>
      <c r="D354" s="9"/>
      <c r="E354" s="7">
        <v>0</v>
      </c>
      <c r="F354" s="8">
        <f>IFERROR(E354/E444, "NA")</f>
        <v>0</v>
      </c>
      <c r="G354" s="9"/>
      <c r="H354" s="10">
        <f t="shared" si="88"/>
        <v>0</v>
      </c>
      <c r="I354" s="8">
        <f>IFERROR(H354/H444, "NA")</f>
        <v>0</v>
      </c>
      <c r="J354" s="9"/>
      <c r="K354" s="7">
        <v>0</v>
      </c>
      <c r="L354" s="8">
        <f>IFERROR(K354/K444, "NA")</f>
        <v>0</v>
      </c>
      <c r="M354" s="9"/>
      <c r="N354" s="10">
        <f t="shared" si="89"/>
        <v>0</v>
      </c>
      <c r="O354" s="8">
        <f>IFERROR(N354/N444, "NA")</f>
        <v>0</v>
      </c>
      <c r="P354" s="9"/>
      <c r="Q354" s="7">
        <v>0</v>
      </c>
      <c r="R354" s="8">
        <f>IFERROR(Q354/Q444, "NA")</f>
        <v>0</v>
      </c>
      <c r="S354" s="9"/>
      <c r="T354" s="7">
        <v>0</v>
      </c>
      <c r="U354" s="8">
        <f>IFERROR(T354/T444, "NA")</f>
        <v>0</v>
      </c>
      <c r="V354" s="9"/>
      <c r="W354" s="10">
        <f t="shared" si="90"/>
        <v>0</v>
      </c>
      <c r="X354" s="8">
        <f>IFERROR(W354/W444, "NA")</f>
        <v>0</v>
      </c>
      <c r="Y354" s="9"/>
      <c r="Z354" s="7">
        <v>0</v>
      </c>
      <c r="AA354" s="8">
        <f>IFERROR(Z354/Z444, "NA")</f>
        <v>0</v>
      </c>
      <c r="AB354" s="9"/>
      <c r="AC354" s="10">
        <f t="shared" si="91"/>
        <v>0</v>
      </c>
      <c r="AD354" s="8">
        <f>IFERROR(AC354/AC444, "NA")</f>
        <v>0</v>
      </c>
    </row>
    <row r="355" spans="1:30" ht="16.5" hidden="1" customHeight="1" x14ac:dyDescent="0.45">
      <c r="A355" s="6" t="s">
        <v>324</v>
      </c>
      <c r="B355" s="7">
        <v>0</v>
      </c>
      <c r="C355" s="8">
        <f>IFERROR(B355/B444, "NA")</f>
        <v>0</v>
      </c>
      <c r="D355" s="9"/>
      <c r="E355" s="7">
        <v>0</v>
      </c>
      <c r="F355" s="8">
        <f>IFERROR(E355/E444, "NA")</f>
        <v>0</v>
      </c>
      <c r="G355" s="9"/>
      <c r="H355" s="10">
        <f t="shared" si="88"/>
        <v>0</v>
      </c>
      <c r="I355" s="8">
        <f>IFERROR(H355/H444, "NA")</f>
        <v>0</v>
      </c>
      <c r="J355" s="9"/>
      <c r="K355" s="7">
        <v>0</v>
      </c>
      <c r="L355" s="8">
        <f>IFERROR(K355/K444, "NA")</f>
        <v>0</v>
      </c>
      <c r="M355" s="9"/>
      <c r="N355" s="10">
        <f t="shared" si="89"/>
        <v>0</v>
      </c>
      <c r="O355" s="8">
        <f>IFERROR(N355/N444, "NA")</f>
        <v>0</v>
      </c>
      <c r="P355" s="9"/>
      <c r="Q355" s="7">
        <v>0</v>
      </c>
      <c r="R355" s="8">
        <f>IFERROR(Q355/Q444, "NA")</f>
        <v>0</v>
      </c>
      <c r="S355" s="9"/>
      <c r="T355" s="7">
        <v>0</v>
      </c>
      <c r="U355" s="8">
        <f>IFERROR(T355/T444, "NA")</f>
        <v>0</v>
      </c>
      <c r="V355" s="9"/>
      <c r="W355" s="10">
        <f t="shared" si="90"/>
        <v>0</v>
      </c>
      <c r="X355" s="8">
        <f>IFERROR(W355/W444, "NA")</f>
        <v>0</v>
      </c>
      <c r="Y355" s="9"/>
      <c r="Z355" s="7">
        <v>0</v>
      </c>
      <c r="AA355" s="8">
        <f>IFERROR(Z355/Z444, "NA")</f>
        <v>0</v>
      </c>
      <c r="AB355" s="9"/>
      <c r="AC355" s="10">
        <f t="shared" si="91"/>
        <v>0</v>
      </c>
      <c r="AD355" s="8">
        <f>IFERROR(AC355/AC444, "NA")</f>
        <v>0</v>
      </c>
    </row>
    <row r="356" spans="1:30" ht="16.5" hidden="1" customHeight="1" x14ac:dyDescent="0.45">
      <c r="A356" s="6" t="s">
        <v>325</v>
      </c>
      <c r="B356" s="7">
        <v>0</v>
      </c>
      <c r="C356" s="8">
        <f>IFERROR(B356/B444, "NA")</f>
        <v>0</v>
      </c>
      <c r="D356" s="9"/>
      <c r="E356" s="7">
        <v>0</v>
      </c>
      <c r="F356" s="8">
        <f>IFERROR(E356/E444, "NA")</f>
        <v>0</v>
      </c>
      <c r="G356" s="9"/>
      <c r="H356" s="10">
        <f t="shared" si="88"/>
        <v>0</v>
      </c>
      <c r="I356" s="8">
        <f>IFERROR(H356/H444, "NA")</f>
        <v>0</v>
      </c>
      <c r="J356" s="9"/>
      <c r="K356" s="7">
        <v>0</v>
      </c>
      <c r="L356" s="8">
        <f>IFERROR(K356/K444, "NA")</f>
        <v>0</v>
      </c>
      <c r="M356" s="9"/>
      <c r="N356" s="10">
        <f t="shared" si="89"/>
        <v>0</v>
      </c>
      <c r="O356" s="8">
        <f>IFERROR(N356/N444, "NA")</f>
        <v>0</v>
      </c>
      <c r="P356" s="9"/>
      <c r="Q356" s="7">
        <v>0</v>
      </c>
      <c r="R356" s="8">
        <f>IFERROR(Q356/Q444, "NA")</f>
        <v>0</v>
      </c>
      <c r="S356" s="9"/>
      <c r="T356" s="7">
        <v>0</v>
      </c>
      <c r="U356" s="8">
        <f>IFERROR(T356/T444, "NA")</f>
        <v>0</v>
      </c>
      <c r="V356" s="9"/>
      <c r="W356" s="10">
        <f t="shared" si="90"/>
        <v>0</v>
      </c>
      <c r="X356" s="8">
        <f>IFERROR(W356/W444, "NA")</f>
        <v>0</v>
      </c>
      <c r="Y356" s="9"/>
      <c r="Z356" s="7">
        <v>0</v>
      </c>
      <c r="AA356" s="8">
        <f>IFERROR(Z356/Z444, "NA")</f>
        <v>0</v>
      </c>
      <c r="AB356" s="9"/>
      <c r="AC356" s="10">
        <f t="shared" si="91"/>
        <v>0</v>
      </c>
      <c r="AD356" s="8">
        <f>IFERROR(AC356/AC444, "NA")</f>
        <v>0</v>
      </c>
    </row>
    <row r="357" spans="1:30" ht="16.5" hidden="1" customHeight="1" x14ac:dyDescent="0.45">
      <c r="A357" s="6" t="s">
        <v>326</v>
      </c>
      <c r="B357" s="7">
        <v>0</v>
      </c>
      <c r="C357" s="8">
        <f>IFERROR(B357/B444, "NA")</f>
        <v>0</v>
      </c>
      <c r="D357" s="9"/>
      <c r="E357" s="7">
        <v>0</v>
      </c>
      <c r="F357" s="8">
        <f>IFERROR(E357/E444, "NA")</f>
        <v>0</v>
      </c>
      <c r="G357" s="9"/>
      <c r="H357" s="10">
        <f t="shared" si="88"/>
        <v>0</v>
      </c>
      <c r="I357" s="8">
        <f>IFERROR(H357/H444, "NA")</f>
        <v>0</v>
      </c>
      <c r="J357" s="9"/>
      <c r="K357" s="7">
        <v>0</v>
      </c>
      <c r="L357" s="8">
        <f>IFERROR(K357/K444, "NA")</f>
        <v>0</v>
      </c>
      <c r="M357" s="9"/>
      <c r="N357" s="10">
        <f t="shared" si="89"/>
        <v>0</v>
      </c>
      <c r="O357" s="8">
        <f>IFERROR(N357/N444, "NA")</f>
        <v>0</v>
      </c>
      <c r="P357" s="9"/>
      <c r="Q357" s="7">
        <v>0</v>
      </c>
      <c r="R357" s="8">
        <f>IFERROR(Q357/Q444, "NA")</f>
        <v>0</v>
      </c>
      <c r="S357" s="9"/>
      <c r="T357" s="7">
        <v>0</v>
      </c>
      <c r="U357" s="8">
        <f>IFERROR(T357/T444, "NA")</f>
        <v>0</v>
      </c>
      <c r="V357" s="9"/>
      <c r="W357" s="10">
        <f t="shared" si="90"/>
        <v>0</v>
      </c>
      <c r="X357" s="8">
        <f>IFERROR(W357/W444, "NA")</f>
        <v>0</v>
      </c>
      <c r="Y357" s="9"/>
      <c r="Z357" s="7">
        <v>0</v>
      </c>
      <c r="AA357" s="8">
        <f>IFERROR(Z357/Z444, "NA")</f>
        <v>0</v>
      </c>
      <c r="AB357" s="9"/>
      <c r="AC357" s="10">
        <f t="shared" si="91"/>
        <v>0</v>
      </c>
      <c r="AD357" s="8">
        <f>IFERROR(AC357/AC444, "NA")</f>
        <v>0</v>
      </c>
    </row>
    <row r="358" spans="1:30" ht="16.5" customHeight="1" x14ac:dyDescent="0.45">
      <c r="A358" s="19" t="s">
        <v>327</v>
      </c>
      <c r="B358" s="14">
        <f>IFERROR(B349+B350+B351+B352+B353+B354+B355+B356+B357, "NA")</f>
        <v>0</v>
      </c>
      <c r="C358" s="15">
        <f>IFERROR(B358/B444, "NA")</f>
        <v>0</v>
      </c>
      <c r="D358" s="2"/>
      <c r="E358" s="14">
        <f>IFERROR(E349+E350+E351+E352+E353+E354+E355+E356+E357, "NA")</f>
        <v>0</v>
      </c>
      <c r="F358" s="15">
        <f>IFERROR(E358/E444, "NA")</f>
        <v>0</v>
      </c>
      <c r="G358" s="2"/>
      <c r="H358" s="14">
        <f t="shared" si="88"/>
        <v>0</v>
      </c>
      <c r="I358" s="15">
        <f>IFERROR(H358/H444, "NA")</f>
        <v>0</v>
      </c>
      <c r="J358" s="2"/>
      <c r="K358" s="14">
        <f>IFERROR(K349+K350+K351+K352+K353+K354+K355+K356+K357, "NA")</f>
        <v>0</v>
      </c>
      <c r="L358" s="15">
        <f>IFERROR(K358/K444, "NA")</f>
        <v>0</v>
      </c>
      <c r="M358" s="2"/>
      <c r="N358" s="14">
        <f t="shared" si="89"/>
        <v>0</v>
      </c>
      <c r="O358" s="15">
        <f>IFERROR(N358/N444, "NA")</f>
        <v>0</v>
      </c>
      <c r="P358" s="2"/>
      <c r="Q358" s="14">
        <f>IFERROR(Q349+Q350+Q351+Q352+Q353+Q354+Q355+Q356+Q357, "NA")</f>
        <v>0</v>
      </c>
      <c r="R358" s="15">
        <f>IFERROR(Q358/Q444, "NA")</f>
        <v>0</v>
      </c>
      <c r="S358" s="2"/>
      <c r="T358" s="14">
        <f>IFERROR(T349+T350+T351+T352+T353+T354+T355+T356+T357, "NA")</f>
        <v>0</v>
      </c>
      <c r="U358" s="15">
        <f>IFERROR(T358/T444, "NA")</f>
        <v>0</v>
      </c>
      <c r="V358" s="2"/>
      <c r="W358" s="14">
        <f t="shared" si="90"/>
        <v>0</v>
      </c>
      <c r="X358" s="15">
        <f>IFERROR(W358/W444, "NA")</f>
        <v>0</v>
      </c>
      <c r="Y358" s="2"/>
      <c r="Z358" s="14">
        <f>IFERROR(Z349+Z350+Z351+Z352+Z353+Z354+Z355+Z356+Z357, "NA")</f>
        <v>0</v>
      </c>
      <c r="AA358" s="15">
        <f>IFERROR(Z358/Z444, "NA")</f>
        <v>0</v>
      </c>
      <c r="AB358" s="2"/>
      <c r="AC358" s="14">
        <f t="shared" si="91"/>
        <v>0</v>
      </c>
      <c r="AD358" s="15">
        <f>IFERROR(AC358/AC444, "NA")</f>
        <v>0</v>
      </c>
    </row>
    <row r="359" spans="1:30" ht="16.5" customHeight="1" x14ac:dyDescent="0.45">
      <c r="A359" s="5" t="s">
        <v>328</v>
      </c>
      <c r="B359" s="2"/>
      <c r="C359" s="3"/>
      <c r="D359" s="4"/>
      <c r="E359" s="2"/>
      <c r="F359" s="3"/>
      <c r="G359" s="4"/>
      <c r="H359" s="2"/>
      <c r="I359" s="3"/>
      <c r="J359" s="4"/>
      <c r="K359" s="2"/>
      <c r="L359" s="3"/>
      <c r="M359" s="4"/>
      <c r="N359" s="2"/>
      <c r="O359" s="3"/>
      <c r="P359" s="4"/>
      <c r="Q359" s="2"/>
      <c r="R359" s="3"/>
      <c r="S359" s="4"/>
      <c r="T359" s="2"/>
      <c r="U359" s="3"/>
      <c r="V359" s="4"/>
      <c r="W359" s="2"/>
      <c r="X359" s="3"/>
      <c r="Y359" s="4"/>
      <c r="Z359" s="2"/>
      <c r="AA359" s="3"/>
      <c r="AB359" s="4"/>
      <c r="AC359" s="2"/>
      <c r="AD359" s="3"/>
    </row>
    <row r="360" spans="1:30" ht="16.5" hidden="1" customHeight="1" x14ac:dyDescent="0.45">
      <c r="A360" s="6" t="s">
        <v>328</v>
      </c>
      <c r="B360" s="7">
        <v>0</v>
      </c>
      <c r="C360" s="8">
        <f>IFERROR(B360/B444, "NA")</f>
        <v>0</v>
      </c>
      <c r="D360" s="9"/>
      <c r="E360" s="7">
        <v>0</v>
      </c>
      <c r="F360" s="8">
        <f>IFERROR(E360/E444, "NA")</f>
        <v>0</v>
      </c>
      <c r="G360" s="9"/>
      <c r="H360" s="10">
        <f t="shared" ref="H360:H383" si="92">IFERROR(-(B360-E360), "NA")</f>
        <v>0</v>
      </c>
      <c r="I360" s="8">
        <f>IFERROR(H360/H444, "NA")</f>
        <v>0</v>
      </c>
      <c r="J360" s="9"/>
      <c r="K360" s="7">
        <v>0</v>
      </c>
      <c r="L360" s="8">
        <f>IFERROR(K360/K444, "NA")</f>
        <v>0</v>
      </c>
      <c r="M360" s="9"/>
      <c r="N360" s="10">
        <f t="shared" ref="N360:N383" si="93">IFERROR(-(B360-K360), "NA")</f>
        <v>0</v>
      </c>
      <c r="O360" s="8">
        <f>IFERROR(N360/N444, "NA")</f>
        <v>0</v>
      </c>
      <c r="P360" s="9"/>
      <c r="Q360" s="7">
        <v>0</v>
      </c>
      <c r="R360" s="8">
        <f>IFERROR(Q360/Q444, "NA")</f>
        <v>0</v>
      </c>
      <c r="S360" s="9"/>
      <c r="T360" s="7">
        <v>0</v>
      </c>
      <c r="U360" s="8">
        <f>IFERROR(T360/T444, "NA")</f>
        <v>0</v>
      </c>
      <c r="V360" s="9"/>
      <c r="W360" s="10">
        <f t="shared" ref="W360:W383" si="94">IFERROR(-(Q360-T360), "NA")</f>
        <v>0</v>
      </c>
      <c r="X360" s="8">
        <f>IFERROR(W360/W444, "NA")</f>
        <v>0</v>
      </c>
      <c r="Y360" s="9"/>
      <c r="Z360" s="7">
        <v>0</v>
      </c>
      <c r="AA360" s="8">
        <f>IFERROR(Z360/Z444, "NA")</f>
        <v>0</v>
      </c>
      <c r="AB360" s="9"/>
      <c r="AC360" s="10">
        <f t="shared" ref="AC360:AC383" si="95">IFERROR(-(Q360-Z360), "NA")</f>
        <v>0</v>
      </c>
      <c r="AD360" s="8">
        <f>IFERROR(AC360/AC444, "NA")</f>
        <v>0</v>
      </c>
    </row>
    <row r="361" spans="1:30" ht="16.5" hidden="1" customHeight="1" x14ac:dyDescent="0.45">
      <c r="A361" s="6" t="s">
        <v>329</v>
      </c>
      <c r="B361" s="7">
        <v>0</v>
      </c>
      <c r="C361" s="8">
        <f>IFERROR(B361/B444, "NA")</f>
        <v>0</v>
      </c>
      <c r="D361" s="9"/>
      <c r="E361" s="7">
        <v>0</v>
      </c>
      <c r="F361" s="8">
        <f>IFERROR(E361/E444, "NA")</f>
        <v>0</v>
      </c>
      <c r="G361" s="9"/>
      <c r="H361" s="10">
        <f t="shared" si="92"/>
        <v>0</v>
      </c>
      <c r="I361" s="8">
        <f>IFERROR(H361/H444, "NA")</f>
        <v>0</v>
      </c>
      <c r="J361" s="9"/>
      <c r="K361" s="7">
        <v>0</v>
      </c>
      <c r="L361" s="8">
        <f>IFERROR(K361/K444, "NA")</f>
        <v>0</v>
      </c>
      <c r="M361" s="9"/>
      <c r="N361" s="10">
        <f t="shared" si="93"/>
        <v>0</v>
      </c>
      <c r="O361" s="8">
        <f>IFERROR(N361/N444, "NA")</f>
        <v>0</v>
      </c>
      <c r="P361" s="9"/>
      <c r="Q361" s="7">
        <v>0</v>
      </c>
      <c r="R361" s="8">
        <f>IFERROR(Q361/Q444, "NA")</f>
        <v>0</v>
      </c>
      <c r="S361" s="9"/>
      <c r="T361" s="7">
        <v>0</v>
      </c>
      <c r="U361" s="8">
        <f>IFERROR(T361/T444, "NA")</f>
        <v>0</v>
      </c>
      <c r="V361" s="9"/>
      <c r="W361" s="10">
        <f t="shared" si="94"/>
        <v>0</v>
      </c>
      <c r="X361" s="8">
        <f>IFERROR(W361/W444, "NA")</f>
        <v>0</v>
      </c>
      <c r="Y361" s="9"/>
      <c r="Z361" s="7">
        <v>0</v>
      </c>
      <c r="AA361" s="8">
        <f>IFERROR(Z361/Z444, "NA")</f>
        <v>0</v>
      </c>
      <c r="AB361" s="9"/>
      <c r="AC361" s="10">
        <f t="shared" si="95"/>
        <v>0</v>
      </c>
      <c r="AD361" s="8">
        <f>IFERROR(AC361/AC444, "NA")</f>
        <v>0</v>
      </c>
    </row>
    <row r="362" spans="1:30" ht="16.5" hidden="1" customHeight="1" x14ac:dyDescent="0.45">
      <c r="A362" s="6" t="s">
        <v>330</v>
      </c>
      <c r="B362" s="7">
        <v>0</v>
      </c>
      <c r="C362" s="8">
        <f>IFERROR(B362/B444, "NA")</f>
        <v>0</v>
      </c>
      <c r="D362" s="9"/>
      <c r="E362" s="7">
        <v>0</v>
      </c>
      <c r="F362" s="8">
        <f>IFERROR(E362/E444, "NA")</f>
        <v>0</v>
      </c>
      <c r="G362" s="9"/>
      <c r="H362" s="10">
        <f t="shared" si="92"/>
        <v>0</v>
      </c>
      <c r="I362" s="8">
        <f>IFERROR(H362/H444, "NA")</f>
        <v>0</v>
      </c>
      <c r="J362" s="9"/>
      <c r="K362" s="7">
        <v>0</v>
      </c>
      <c r="L362" s="8">
        <f>IFERROR(K362/K444, "NA")</f>
        <v>0</v>
      </c>
      <c r="M362" s="9"/>
      <c r="N362" s="10">
        <f t="shared" si="93"/>
        <v>0</v>
      </c>
      <c r="O362" s="8">
        <f>IFERROR(N362/N444, "NA")</f>
        <v>0</v>
      </c>
      <c r="P362" s="9"/>
      <c r="Q362" s="7">
        <v>0</v>
      </c>
      <c r="R362" s="8">
        <f>IFERROR(Q362/Q444, "NA")</f>
        <v>0</v>
      </c>
      <c r="S362" s="9"/>
      <c r="T362" s="7">
        <v>0</v>
      </c>
      <c r="U362" s="8">
        <f>IFERROR(T362/T444, "NA")</f>
        <v>0</v>
      </c>
      <c r="V362" s="9"/>
      <c r="W362" s="10">
        <f t="shared" si="94"/>
        <v>0</v>
      </c>
      <c r="X362" s="8">
        <f>IFERROR(W362/W444, "NA")</f>
        <v>0</v>
      </c>
      <c r="Y362" s="9"/>
      <c r="Z362" s="7">
        <v>0</v>
      </c>
      <c r="AA362" s="8">
        <f>IFERROR(Z362/Z444, "NA")</f>
        <v>0</v>
      </c>
      <c r="AB362" s="9"/>
      <c r="AC362" s="10">
        <f t="shared" si="95"/>
        <v>0</v>
      </c>
      <c r="AD362" s="8">
        <f>IFERROR(AC362/AC444, "NA")</f>
        <v>0</v>
      </c>
    </row>
    <row r="363" spans="1:30" ht="16.5" hidden="1" customHeight="1" x14ac:dyDescent="0.45">
      <c r="A363" s="6" t="s">
        <v>331</v>
      </c>
      <c r="B363" s="7">
        <v>0</v>
      </c>
      <c r="C363" s="8">
        <f>IFERROR(B363/B444, "NA")</f>
        <v>0</v>
      </c>
      <c r="D363" s="9"/>
      <c r="E363" s="7">
        <v>0</v>
      </c>
      <c r="F363" s="8">
        <f>IFERROR(E363/E444, "NA")</f>
        <v>0</v>
      </c>
      <c r="G363" s="9"/>
      <c r="H363" s="10">
        <f t="shared" si="92"/>
        <v>0</v>
      </c>
      <c r="I363" s="8">
        <f>IFERROR(H363/H444, "NA")</f>
        <v>0</v>
      </c>
      <c r="J363" s="9"/>
      <c r="K363" s="7">
        <v>0</v>
      </c>
      <c r="L363" s="8">
        <f>IFERROR(K363/K444, "NA")</f>
        <v>0</v>
      </c>
      <c r="M363" s="9"/>
      <c r="N363" s="10">
        <f t="shared" si="93"/>
        <v>0</v>
      </c>
      <c r="O363" s="8">
        <f>IFERROR(N363/N444, "NA")</f>
        <v>0</v>
      </c>
      <c r="P363" s="9"/>
      <c r="Q363" s="7">
        <v>0</v>
      </c>
      <c r="R363" s="8">
        <f>IFERROR(Q363/Q444, "NA")</f>
        <v>0</v>
      </c>
      <c r="S363" s="9"/>
      <c r="T363" s="7">
        <v>0</v>
      </c>
      <c r="U363" s="8">
        <f>IFERROR(T363/T444, "NA")</f>
        <v>0</v>
      </c>
      <c r="V363" s="9"/>
      <c r="W363" s="10">
        <f t="shared" si="94"/>
        <v>0</v>
      </c>
      <c r="X363" s="8">
        <f>IFERROR(W363/W444, "NA")</f>
        <v>0</v>
      </c>
      <c r="Y363" s="9"/>
      <c r="Z363" s="7">
        <v>0</v>
      </c>
      <c r="AA363" s="8">
        <f>IFERROR(Z363/Z444, "NA")</f>
        <v>0</v>
      </c>
      <c r="AB363" s="9"/>
      <c r="AC363" s="10">
        <f t="shared" si="95"/>
        <v>0</v>
      </c>
      <c r="AD363" s="8">
        <f>IFERROR(AC363/AC444, "NA")</f>
        <v>0</v>
      </c>
    </row>
    <row r="364" spans="1:30" ht="16.5" hidden="1" customHeight="1" x14ac:dyDescent="0.45">
      <c r="A364" s="6" t="s">
        <v>332</v>
      </c>
      <c r="B364" s="7">
        <v>0</v>
      </c>
      <c r="C364" s="8">
        <f>IFERROR(B364/B444, "NA")</f>
        <v>0</v>
      </c>
      <c r="D364" s="9"/>
      <c r="E364" s="7">
        <v>0</v>
      </c>
      <c r="F364" s="8">
        <f>IFERROR(E364/E444, "NA")</f>
        <v>0</v>
      </c>
      <c r="G364" s="9"/>
      <c r="H364" s="10">
        <f t="shared" si="92"/>
        <v>0</v>
      </c>
      <c r="I364" s="8">
        <f>IFERROR(H364/H444, "NA")</f>
        <v>0</v>
      </c>
      <c r="J364" s="9"/>
      <c r="K364" s="7">
        <v>0</v>
      </c>
      <c r="L364" s="8">
        <f>IFERROR(K364/K444, "NA")</f>
        <v>0</v>
      </c>
      <c r="M364" s="9"/>
      <c r="N364" s="10">
        <f t="shared" si="93"/>
        <v>0</v>
      </c>
      <c r="O364" s="8">
        <f>IFERROR(N364/N444, "NA")</f>
        <v>0</v>
      </c>
      <c r="P364" s="9"/>
      <c r="Q364" s="7">
        <v>0</v>
      </c>
      <c r="R364" s="8">
        <f>IFERROR(Q364/Q444, "NA")</f>
        <v>0</v>
      </c>
      <c r="S364" s="9"/>
      <c r="T364" s="7">
        <v>0</v>
      </c>
      <c r="U364" s="8">
        <f>IFERROR(T364/T444, "NA")</f>
        <v>0</v>
      </c>
      <c r="V364" s="9"/>
      <c r="W364" s="10">
        <f t="shared" si="94"/>
        <v>0</v>
      </c>
      <c r="X364" s="8">
        <f>IFERROR(W364/W444, "NA")</f>
        <v>0</v>
      </c>
      <c r="Y364" s="9"/>
      <c r="Z364" s="7">
        <v>0</v>
      </c>
      <c r="AA364" s="8">
        <f>IFERROR(Z364/Z444, "NA")</f>
        <v>0</v>
      </c>
      <c r="AB364" s="9"/>
      <c r="AC364" s="10">
        <f t="shared" si="95"/>
        <v>0</v>
      </c>
      <c r="AD364" s="8">
        <f>IFERROR(AC364/AC444, "NA")</f>
        <v>0</v>
      </c>
    </row>
    <row r="365" spans="1:30" ht="16.5" hidden="1" customHeight="1" x14ac:dyDescent="0.45">
      <c r="A365" s="6" t="s">
        <v>333</v>
      </c>
      <c r="B365" s="7">
        <v>0</v>
      </c>
      <c r="C365" s="8">
        <f>IFERROR(B365/B444, "NA")</f>
        <v>0</v>
      </c>
      <c r="D365" s="9"/>
      <c r="E365" s="7">
        <v>0</v>
      </c>
      <c r="F365" s="8">
        <f>IFERROR(E365/E444, "NA")</f>
        <v>0</v>
      </c>
      <c r="G365" s="9"/>
      <c r="H365" s="10">
        <f t="shared" si="92"/>
        <v>0</v>
      </c>
      <c r="I365" s="8">
        <f>IFERROR(H365/H444, "NA")</f>
        <v>0</v>
      </c>
      <c r="J365" s="9"/>
      <c r="K365" s="7">
        <v>0</v>
      </c>
      <c r="L365" s="8">
        <f>IFERROR(K365/K444, "NA")</f>
        <v>0</v>
      </c>
      <c r="M365" s="9"/>
      <c r="N365" s="10">
        <f t="shared" si="93"/>
        <v>0</v>
      </c>
      <c r="O365" s="8">
        <f>IFERROR(N365/N444, "NA")</f>
        <v>0</v>
      </c>
      <c r="P365" s="9"/>
      <c r="Q365" s="7">
        <v>0</v>
      </c>
      <c r="R365" s="8">
        <f>IFERROR(Q365/Q444, "NA")</f>
        <v>0</v>
      </c>
      <c r="S365" s="9"/>
      <c r="T365" s="7">
        <v>0</v>
      </c>
      <c r="U365" s="8">
        <f>IFERROR(T365/T444, "NA")</f>
        <v>0</v>
      </c>
      <c r="V365" s="9"/>
      <c r="W365" s="10">
        <f t="shared" si="94"/>
        <v>0</v>
      </c>
      <c r="X365" s="8">
        <f>IFERROR(W365/W444, "NA")</f>
        <v>0</v>
      </c>
      <c r="Y365" s="9"/>
      <c r="Z365" s="7">
        <v>0</v>
      </c>
      <c r="AA365" s="8">
        <f>IFERROR(Z365/Z444, "NA")</f>
        <v>0</v>
      </c>
      <c r="AB365" s="9"/>
      <c r="AC365" s="10">
        <f t="shared" si="95"/>
        <v>0</v>
      </c>
      <c r="AD365" s="8">
        <f>IFERROR(AC365/AC444, "NA")</f>
        <v>0</v>
      </c>
    </row>
    <row r="366" spans="1:30" ht="16.5" hidden="1" customHeight="1" x14ac:dyDescent="0.45">
      <c r="A366" s="6" t="s">
        <v>334</v>
      </c>
      <c r="B366" s="7">
        <v>0</v>
      </c>
      <c r="C366" s="8">
        <f>IFERROR(B366/B444, "NA")</f>
        <v>0</v>
      </c>
      <c r="D366" s="9"/>
      <c r="E366" s="7">
        <v>0</v>
      </c>
      <c r="F366" s="8">
        <f>IFERROR(E366/E444, "NA")</f>
        <v>0</v>
      </c>
      <c r="G366" s="9"/>
      <c r="H366" s="10">
        <f t="shared" si="92"/>
        <v>0</v>
      </c>
      <c r="I366" s="8">
        <f>IFERROR(H366/H444, "NA")</f>
        <v>0</v>
      </c>
      <c r="J366" s="9"/>
      <c r="K366" s="7">
        <v>0</v>
      </c>
      <c r="L366" s="8">
        <f>IFERROR(K366/K444, "NA")</f>
        <v>0</v>
      </c>
      <c r="M366" s="9"/>
      <c r="N366" s="10">
        <f t="shared" si="93"/>
        <v>0</v>
      </c>
      <c r="O366" s="8">
        <f>IFERROR(N366/N444, "NA")</f>
        <v>0</v>
      </c>
      <c r="P366" s="9"/>
      <c r="Q366" s="7">
        <v>0</v>
      </c>
      <c r="R366" s="8">
        <f>IFERROR(Q366/Q444, "NA")</f>
        <v>0</v>
      </c>
      <c r="S366" s="9"/>
      <c r="T366" s="7">
        <v>0</v>
      </c>
      <c r="U366" s="8">
        <f>IFERROR(T366/T444, "NA")</f>
        <v>0</v>
      </c>
      <c r="V366" s="9"/>
      <c r="W366" s="10">
        <f t="shared" si="94"/>
        <v>0</v>
      </c>
      <c r="X366" s="8">
        <f>IFERROR(W366/W444, "NA")</f>
        <v>0</v>
      </c>
      <c r="Y366" s="9"/>
      <c r="Z366" s="7">
        <v>0</v>
      </c>
      <c r="AA366" s="8">
        <f>IFERROR(Z366/Z444, "NA")</f>
        <v>0</v>
      </c>
      <c r="AB366" s="9"/>
      <c r="AC366" s="10">
        <f t="shared" si="95"/>
        <v>0</v>
      </c>
      <c r="AD366" s="8">
        <f>IFERROR(AC366/AC444, "NA")</f>
        <v>0</v>
      </c>
    </row>
    <row r="367" spans="1:30" ht="16.5" hidden="1" customHeight="1" x14ac:dyDescent="0.45">
      <c r="A367" s="6" t="s">
        <v>335</v>
      </c>
      <c r="B367" s="7">
        <v>0</v>
      </c>
      <c r="C367" s="8">
        <f>IFERROR(B367/B444, "NA")</f>
        <v>0</v>
      </c>
      <c r="D367" s="9"/>
      <c r="E367" s="7">
        <v>0</v>
      </c>
      <c r="F367" s="8">
        <f>IFERROR(E367/E444, "NA")</f>
        <v>0</v>
      </c>
      <c r="G367" s="9"/>
      <c r="H367" s="10">
        <f t="shared" si="92"/>
        <v>0</v>
      </c>
      <c r="I367" s="8">
        <f>IFERROR(H367/H444, "NA")</f>
        <v>0</v>
      </c>
      <c r="J367" s="9"/>
      <c r="K367" s="7">
        <v>0</v>
      </c>
      <c r="L367" s="8">
        <f>IFERROR(K367/K444, "NA")</f>
        <v>0</v>
      </c>
      <c r="M367" s="9"/>
      <c r="N367" s="10">
        <f t="shared" si="93"/>
        <v>0</v>
      </c>
      <c r="O367" s="8">
        <f>IFERROR(N367/N444, "NA")</f>
        <v>0</v>
      </c>
      <c r="P367" s="9"/>
      <c r="Q367" s="7">
        <v>0</v>
      </c>
      <c r="R367" s="8">
        <f>IFERROR(Q367/Q444, "NA")</f>
        <v>0</v>
      </c>
      <c r="S367" s="9"/>
      <c r="T367" s="7">
        <v>0</v>
      </c>
      <c r="U367" s="8">
        <f>IFERROR(T367/T444, "NA")</f>
        <v>0</v>
      </c>
      <c r="V367" s="9"/>
      <c r="W367" s="10">
        <f t="shared" si="94"/>
        <v>0</v>
      </c>
      <c r="X367" s="8">
        <f>IFERROR(W367/W444, "NA")</f>
        <v>0</v>
      </c>
      <c r="Y367" s="9"/>
      <c r="Z367" s="7">
        <v>0</v>
      </c>
      <c r="AA367" s="8">
        <f>IFERROR(Z367/Z444, "NA")</f>
        <v>0</v>
      </c>
      <c r="AB367" s="9"/>
      <c r="AC367" s="10">
        <f t="shared" si="95"/>
        <v>0</v>
      </c>
      <c r="AD367" s="8">
        <f>IFERROR(AC367/AC444, "NA")</f>
        <v>0</v>
      </c>
    </row>
    <row r="368" spans="1:30" ht="16.5" customHeight="1" x14ac:dyDescent="0.45">
      <c r="A368" s="19" t="s">
        <v>336</v>
      </c>
      <c r="B368" s="14">
        <f>IFERROR(B360+B361+B362+B363+B364+B365+B366+B367, "NA")</f>
        <v>0</v>
      </c>
      <c r="C368" s="15">
        <f>IFERROR(B368/B444, "NA")</f>
        <v>0</v>
      </c>
      <c r="D368" s="2"/>
      <c r="E368" s="14">
        <f>IFERROR(E360+E361+E362+E363+E364+E365+E366+E367, "NA")</f>
        <v>0</v>
      </c>
      <c r="F368" s="15">
        <f>IFERROR(E368/E444, "NA")</f>
        <v>0</v>
      </c>
      <c r="G368" s="2"/>
      <c r="H368" s="14">
        <f t="shared" si="92"/>
        <v>0</v>
      </c>
      <c r="I368" s="15">
        <f>IFERROR(H368/H444, "NA")</f>
        <v>0</v>
      </c>
      <c r="J368" s="2"/>
      <c r="K368" s="14">
        <f>IFERROR(K360+K361+K362+K363+K364+K365+K366+K367, "NA")</f>
        <v>0</v>
      </c>
      <c r="L368" s="15">
        <f>IFERROR(K368/K444, "NA")</f>
        <v>0</v>
      </c>
      <c r="M368" s="2"/>
      <c r="N368" s="14">
        <f t="shared" si="93"/>
        <v>0</v>
      </c>
      <c r="O368" s="15">
        <f>IFERROR(N368/N444, "NA")</f>
        <v>0</v>
      </c>
      <c r="P368" s="2"/>
      <c r="Q368" s="14">
        <f>IFERROR(Q360+Q361+Q362+Q363+Q364+Q365+Q366+Q367, "NA")</f>
        <v>0</v>
      </c>
      <c r="R368" s="15">
        <f>IFERROR(Q368/Q444, "NA")</f>
        <v>0</v>
      </c>
      <c r="S368" s="2"/>
      <c r="T368" s="14">
        <f>IFERROR(T360+T361+T362+T363+T364+T365+T366+T367, "NA")</f>
        <v>0</v>
      </c>
      <c r="U368" s="15">
        <f>IFERROR(T368/T444, "NA")</f>
        <v>0</v>
      </c>
      <c r="V368" s="2"/>
      <c r="W368" s="14">
        <f t="shared" si="94"/>
        <v>0</v>
      </c>
      <c r="X368" s="15">
        <f>IFERROR(W368/W444, "NA")</f>
        <v>0</v>
      </c>
      <c r="Y368" s="2"/>
      <c r="Z368" s="14">
        <f>IFERROR(Z360+Z361+Z362+Z363+Z364+Z365+Z366+Z367, "NA")</f>
        <v>0</v>
      </c>
      <c r="AA368" s="15">
        <f>IFERROR(Z368/Z444, "NA")</f>
        <v>0</v>
      </c>
      <c r="AB368" s="2"/>
      <c r="AC368" s="14">
        <f t="shared" si="95"/>
        <v>0</v>
      </c>
      <c r="AD368" s="15">
        <f>IFERROR(AC368/AC444, "NA")</f>
        <v>0</v>
      </c>
    </row>
    <row r="369" spans="1:30" ht="16.5" hidden="1" customHeight="1" x14ac:dyDescent="0.45">
      <c r="A369" s="20" t="s">
        <v>337</v>
      </c>
      <c r="B369" s="7">
        <v>0</v>
      </c>
      <c r="C369" s="8">
        <f>IFERROR(B369/B444, "NA")</f>
        <v>0</v>
      </c>
      <c r="D369" s="9"/>
      <c r="E369" s="7">
        <v>0</v>
      </c>
      <c r="F369" s="8">
        <f>IFERROR(E369/E444, "NA")</f>
        <v>0</v>
      </c>
      <c r="G369" s="9"/>
      <c r="H369" s="10">
        <f t="shared" si="92"/>
        <v>0</v>
      </c>
      <c r="I369" s="8">
        <f>IFERROR(H369/H444, "NA")</f>
        <v>0</v>
      </c>
      <c r="J369" s="9"/>
      <c r="K369" s="7">
        <v>0</v>
      </c>
      <c r="L369" s="8">
        <f>IFERROR(K369/K444, "NA")</f>
        <v>0</v>
      </c>
      <c r="M369" s="9"/>
      <c r="N369" s="10">
        <f t="shared" si="93"/>
        <v>0</v>
      </c>
      <c r="O369" s="8">
        <f>IFERROR(N369/N444, "NA")</f>
        <v>0</v>
      </c>
      <c r="P369" s="9"/>
      <c r="Q369" s="7">
        <v>0</v>
      </c>
      <c r="R369" s="8">
        <f>IFERROR(Q369/Q444, "NA")</f>
        <v>0</v>
      </c>
      <c r="S369" s="9"/>
      <c r="T369" s="7">
        <v>0</v>
      </c>
      <c r="U369" s="8">
        <f>IFERROR(T369/T444, "NA")</f>
        <v>0</v>
      </c>
      <c r="V369" s="9"/>
      <c r="W369" s="10">
        <f t="shared" si="94"/>
        <v>0</v>
      </c>
      <c r="X369" s="8">
        <f>IFERROR(W369/W444, "NA")</f>
        <v>0</v>
      </c>
      <c r="Y369" s="9"/>
      <c r="Z369" s="7">
        <v>0</v>
      </c>
      <c r="AA369" s="8">
        <f>IFERROR(Z369/Z444, "NA")</f>
        <v>0</v>
      </c>
      <c r="AB369" s="9"/>
      <c r="AC369" s="10">
        <f t="shared" si="95"/>
        <v>0</v>
      </c>
      <c r="AD369" s="8">
        <f>IFERROR(AC369/AC444, "NA")</f>
        <v>0</v>
      </c>
    </row>
    <row r="370" spans="1:30" ht="16.5" hidden="1" customHeight="1" x14ac:dyDescent="0.45">
      <c r="A370" s="20" t="s">
        <v>338</v>
      </c>
      <c r="B370" s="7">
        <v>0</v>
      </c>
      <c r="C370" s="8">
        <f>IFERROR(B370/B444, "NA")</f>
        <v>0</v>
      </c>
      <c r="D370" s="9"/>
      <c r="E370" s="7">
        <v>0</v>
      </c>
      <c r="F370" s="8">
        <f>IFERROR(E370/E444, "NA")</f>
        <v>0</v>
      </c>
      <c r="G370" s="9"/>
      <c r="H370" s="10">
        <f t="shared" si="92"/>
        <v>0</v>
      </c>
      <c r="I370" s="8">
        <f>IFERROR(H370/H444, "NA")</f>
        <v>0</v>
      </c>
      <c r="J370" s="9"/>
      <c r="K370" s="7">
        <v>0</v>
      </c>
      <c r="L370" s="8">
        <f>IFERROR(K370/K444, "NA")</f>
        <v>0</v>
      </c>
      <c r="M370" s="9"/>
      <c r="N370" s="10">
        <f t="shared" si="93"/>
        <v>0</v>
      </c>
      <c r="O370" s="8">
        <f>IFERROR(N370/N444, "NA")</f>
        <v>0</v>
      </c>
      <c r="P370" s="9"/>
      <c r="Q370" s="7">
        <v>0</v>
      </c>
      <c r="R370" s="8">
        <f>IFERROR(Q370/Q444, "NA")</f>
        <v>0</v>
      </c>
      <c r="S370" s="9"/>
      <c r="T370" s="7">
        <v>0</v>
      </c>
      <c r="U370" s="8">
        <f>IFERROR(T370/T444, "NA")</f>
        <v>0</v>
      </c>
      <c r="V370" s="9"/>
      <c r="W370" s="10">
        <f t="shared" si="94"/>
        <v>0</v>
      </c>
      <c r="X370" s="8">
        <f>IFERROR(W370/W444, "NA")</f>
        <v>0</v>
      </c>
      <c r="Y370" s="9"/>
      <c r="Z370" s="7">
        <v>0</v>
      </c>
      <c r="AA370" s="8">
        <f>IFERROR(Z370/Z444, "NA")</f>
        <v>0</v>
      </c>
      <c r="AB370" s="9"/>
      <c r="AC370" s="10">
        <f t="shared" si="95"/>
        <v>0</v>
      </c>
      <c r="AD370" s="8">
        <f>IFERROR(AC370/AC444, "NA")</f>
        <v>0</v>
      </c>
    </row>
    <row r="371" spans="1:30" ht="16.5" hidden="1" customHeight="1" x14ac:dyDescent="0.45">
      <c r="A371" s="20" t="s">
        <v>339</v>
      </c>
      <c r="B371" s="7">
        <v>0</v>
      </c>
      <c r="C371" s="8">
        <f>IFERROR(B371/B444, "NA")</f>
        <v>0</v>
      </c>
      <c r="D371" s="9"/>
      <c r="E371" s="7">
        <v>0</v>
      </c>
      <c r="F371" s="8">
        <f>IFERROR(E371/E444, "NA")</f>
        <v>0</v>
      </c>
      <c r="G371" s="9"/>
      <c r="H371" s="10">
        <f t="shared" si="92"/>
        <v>0</v>
      </c>
      <c r="I371" s="8">
        <f>IFERROR(H371/H444, "NA")</f>
        <v>0</v>
      </c>
      <c r="J371" s="9"/>
      <c r="K371" s="7">
        <v>0</v>
      </c>
      <c r="L371" s="8">
        <f>IFERROR(K371/K444, "NA")</f>
        <v>0</v>
      </c>
      <c r="M371" s="9"/>
      <c r="N371" s="10">
        <f t="shared" si="93"/>
        <v>0</v>
      </c>
      <c r="O371" s="8">
        <f>IFERROR(N371/N444, "NA")</f>
        <v>0</v>
      </c>
      <c r="P371" s="9"/>
      <c r="Q371" s="7">
        <v>0</v>
      </c>
      <c r="R371" s="8">
        <f>IFERROR(Q371/Q444, "NA")</f>
        <v>0</v>
      </c>
      <c r="S371" s="9"/>
      <c r="T371" s="7">
        <v>0</v>
      </c>
      <c r="U371" s="8">
        <f>IFERROR(T371/T444, "NA")</f>
        <v>0</v>
      </c>
      <c r="V371" s="9"/>
      <c r="W371" s="10">
        <f t="shared" si="94"/>
        <v>0</v>
      </c>
      <c r="X371" s="8">
        <f>IFERROR(W371/W444, "NA")</f>
        <v>0</v>
      </c>
      <c r="Y371" s="9"/>
      <c r="Z371" s="7">
        <v>0</v>
      </c>
      <c r="AA371" s="8">
        <f>IFERROR(Z371/Z444, "NA")</f>
        <v>0</v>
      </c>
      <c r="AB371" s="9"/>
      <c r="AC371" s="10">
        <f t="shared" si="95"/>
        <v>0</v>
      </c>
      <c r="AD371" s="8">
        <f>IFERROR(AC371/AC444, "NA")</f>
        <v>0</v>
      </c>
    </row>
    <row r="372" spans="1:30" ht="16.5" hidden="1" customHeight="1" x14ac:dyDescent="0.45">
      <c r="A372" s="20" t="s">
        <v>340</v>
      </c>
      <c r="B372" s="7">
        <v>0</v>
      </c>
      <c r="C372" s="8">
        <f>IFERROR(B372/B444, "NA")</f>
        <v>0</v>
      </c>
      <c r="D372" s="9"/>
      <c r="E372" s="7">
        <v>0</v>
      </c>
      <c r="F372" s="8">
        <f>IFERROR(E372/E444, "NA")</f>
        <v>0</v>
      </c>
      <c r="G372" s="9"/>
      <c r="H372" s="10">
        <f t="shared" si="92"/>
        <v>0</v>
      </c>
      <c r="I372" s="8">
        <f>IFERROR(H372/H444, "NA")</f>
        <v>0</v>
      </c>
      <c r="J372" s="9"/>
      <c r="K372" s="7">
        <v>0</v>
      </c>
      <c r="L372" s="8">
        <f>IFERROR(K372/K444, "NA")</f>
        <v>0</v>
      </c>
      <c r="M372" s="9"/>
      <c r="N372" s="10">
        <f t="shared" si="93"/>
        <v>0</v>
      </c>
      <c r="O372" s="8">
        <f>IFERROR(N372/N444, "NA")</f>
        <v>0</v>
      </c>
      <c r="P372" s="9"/>
      <c r="Q372" s="7">
        <v>0</v>
      </c>
      <c r="R372" s="8">
        <f>IFERROR(Q372/Q444, "NA")</f>
        <v>0</v>
      </c>
      <c r="S372" s="9"/>
      <c r="T372" s="7">
        <v>0</v>
      </c>
      <c r="U372" s="8">
        <f>IFERROR(T372/T444, "NA")</f>
        <v>0</v>
      </c>
      <c r="V372" s="9"/>
      <c r="W372" s="10">
        <f t="shared" si="94"/>
        <v>0</v>
      </c>
      <c r="X372" s="8">
        <f>IFERROR(W372/W444, "NA")</f>
        <v>0</v>
      </c>
      <c r="Y372" s="9"/>
      <c r="Z372" s="7">
        <v>0</v>
      </c>
      <c r="AA372" s="8">
        <f>IFERROR(Z372/Z444, "NA")</f>
        <v>0</v>
      </c>
      <c r="AB372" s="9"/>
      <c r="AC372" s="10">
        <f t="shared" si="95"/>
        <v>0</v>
      </c>
      <c r="AD372" s="8">
        <f>IFERROR(AC372/AC444, "NA")</f>
        <v>0</v>
      </c>
    </row>
    <row r="373" spans="1:30" ht="16.5" hidden="1" customHeight="1" x14ac:dyDescent="0.45">
      <c r="A373" s="20" t="s">
        <v>341</v>
      </c>
      <c r="B373" s="7">
        <v>0</v>
      </c>
      <c r="C373" s="8">
        <f>IFERROR(B373/B444, "NA")</f>
        <v>0</v>
      </c>
      <c r="D373" s="9"/>
      <c r="E373" s="7">
        <v>0</v>
      </c>
      <c r="F373" s="8">
        <f>IFERROR(E373/E444, "NA")</f>
        <v>0</v>
      </c>
      <c r="G373" s="9"/>
      <c r="H373" s="10">
        <f t="shared" si="92"/>
        <v>0</v>
      </c>
      <c r="I373" s="8">
        <f>IFERROR(H373/H444, "NA")</f>
        <v>0</v>
      </c>
      <c r="J373" s="9"/>
      <c r="K373" s="7">
        <v>0</v>
      </c>
      <c r="L373" s="8">
        <f>IFERROR(K373/K444, "NA")</f>
        <v>0</v>
      </c>
      <c r="M373" s="9"/>
      <c r="N373" s="10">
        <f t="shared" si="93"/>
        <v>0</v>
      </c>
      <c r="O373" s="8">
        <f>IFERROR(N373/N444, "NA")</f>
        <v>0</v>
      </c>
      <c r="P373" s="9"/>
      <c r="Q373" s="7">
        <v>0</v>
      </c>
      <c r="R373" s="8">
        <f>IFERROR(Q373/Q444, "NA")</f>
        <v>0</v>
      </c>
      <c r="S373" s="9"/>
      <c r="T373" s="7">
        <v>0</v>
      </c>
      <c r="U373" s="8">
        <f>IFERROR(T373/T444, "NA")</f>
        <v>0</v>
      </c>
      <c r="V373" s="9"/>
      <c r="W373" s="10">
        <f t="shared" si="94"/>
        <v>0</v>
      </c>
      <c r="X373" s="8">
        <f>IFERROR(W373/W444, "NA")</f>
        <v>0</v>
      </c>
      <c r="Y373" s="9"/>
      <c r="Z373" s="7">
        <v>0</v>
      </c>
      <c r="AA373" s="8">
        <f>IFERROR(Z373/Z444, "NA")</f>
        <v>0</v>
      </c>
      <c r="AB373" s="9"/>
      <c r="AC373" s="10">
        <f t="shared" si="95"/>
        <v>0</v>
      </c>
      <c r="AD373" s="8">
        <f>IFERROR(AC373/AC444, "NA")</f>
        <v>0</v>
      </c>
    </row>
    <row r="374" spans="1:30" ht="16.5" hidden="1" customHeight="1" x14ac:dyDescent="0.45">
      <c r="A374" s="20" t="s">
        <v>342</v>
      </c>
      <c r="B374" s="7">
        <v>0</v>
      </c>
      <c r="C374" s="8">
        <f>IFERROR(B374/B444, "NA")</f>
        <v>0</v>
      </c>
      <c r="D374" s="9"/>
      <c r="E374" s="7">
        <v>0</v>
      </c>
      <c r="F374" s="8">
        <f>IFERROR(E374/E444, "NA")</f>
        <v>0</v>
      </c>
      <c r="G374" s="9"/>
      <c r="H374" s="10">
        <f t="shared" si="92"/>
        <v>0</v>
      </c>
      <c r="I374" s="8">
        <f>IFERROR(H374/H444, "NA")</f>
        <v>0</v>
      </c>
      <c r="J374" s="9"/>
      <c r="K374" s="7">
        <v>0</v>
      </c>
      <c r="L374" s="8">
        <f>IFERROR(K374/K444, "NA")</f>
        <v>0</v>
      </c>
      <c r="M374" s="9"/>
      <c r="N374" s="10">
        <f t="shared" si="93"/>
        <v>0</v>
      </c>
      <c r="O374" s="8">
        <f>IFERROR(N374/N444, "NA")</f>
        <v>0</v>
      </c>
      <c r="P374" s="9"/>
      <c r="Q374" s="7">
        <v>0</v>
      </c>
      <c r="R374" s="8">
        <f>IFERROR(Q374/Q444, "NA")</f>
        <v>0</v>
      </c>
      <c r="S374" s="9"/>
      <c r="T374" s="7">
        <v>0</v>
      </c>
      <c r="U374" s="8">
        <f>IFERROR(T374/T444, "NA")</f>
        <v>0</v>
      </c>
      <c r="V374" s="9"/>
      <c r="W374" s="10">
        <f t="shared" si="94"/>
        <v>0</v>
      </c>
      <c r="X374" s="8">
        <f>IFERROR(W374/W444, "NA")</f>
        <v>0</v>
      </c>
      <c r="Y374" s="9"/>
      <c r="Z374" s="7">
        <v>0</v>
      </c>
      <c r="AA374" s="8">
        <f>IFERROR(Z374/Z444, "NA")</f>
        <v>0</v>
      </c>
      <c r="AB374" s="9"/>
      <c r="AC374" s="10">
        <f t="shared" si="95"/>
        <v>0</v>
      </c>
      <c r="AD374" s="8">
        <f>IFERROR(AC374/AC444, "NA")</f>
        <v>0</v>
      </c>
    </row>
    <row r="375" spans="1:30" ht="16.5" hidden="1" customHeight="1" x14ac:dyDescent="0.45">
      <c r="A375" s="20" t="s">
        <v>343</v>
      </c>
      <c r="B375" s="7">
        <v>0</v>
      </c>
      <c r="C375" s="8">
        <f>IFERROR(B375/B444, "NA")</f>
        <v>0</v>
      </c>
      <c r="D375" s="9"/>
      <c r="E375" s="7">
        <v>0</v>
      </c>
      <c r="F375" s="8">
        <f>IFERROR(E375/E444, "NA")</f>
        <v>0</v>
      </c>
      <c r="G375" s="9"/>
      <c r="H375" s="10">
        <f t="shared" si="92"/>
        <v>0</v>
      </c>
      <c r="I375" s="8">
        <f>IFERROR(H375/H444, "NA")</f>
        <v>0</v>
      </c>
      <c r="J375" s="9"/>
      <c r="K375" s="7">
        <v>0</v>
      </c>
      <c r="L375" s="8">
        <f>IFERROR(K375/K444, "NA")</f>
        <v>0</v>
      </c>
      <c r="M375" s="9"/>
      <c r="N375" s="10">
        <f t="shared" si="93"/>
        <v>0</v>
      </c>
      <c r="O375" s="8">
        <f>IFERROR(N375/N444, "NA")</f>
        <v>0</v>
      </c>
      <c r="P375" s="9"/>
      <c r="Q375" s="7">
        <v>0</v>
      </c>
      <c r="R375" s="8">
        <f>IFERROR(Q375/Q444, "NA")</f>
        <v>0</v>
      </c>
      <c r="S375" s="9"/>
      <c r="T375" s="7">
        <v>0</v>
      </c>
      <c r="U375" s="8">
        <f>IFERROR(T375/T444, "NA")</f>
        <v>0</v>
      </c>
      <c r="V375" s="9"/>
      <c r="W375" s="10">
        <f t="shared" si="94"/>
        <v>0</v>
      </c>
      <c r="X375" s="8">
        <f>IFERROR(W375/W444, "NA")</f>
        <v>0</v>
      </c>
      <c r="Y375" s="9"/>
      <c r="Z375" s="7">
        <v>0</v>
      </c>
      <c r="AA375" s="8">
        <f>IFERROR(Z375/Z444, "NA")</f>
        <v>0</v>
      </c>
      <c r="AB375" s="9"/>
      <c r="AC375" s="10">
        <f t="shared" si="95"/>
        <v>0</v>
      </c>
      <c r="AD375" s="8">
        <f>IFERROR(AC375/AC444, "NA")</f>
        <v>0</v>
      </c>
    </row>
    <row r="376" spans="1:30" ht="16.5" hidden="1" customHeight="1" x14ac:dyDescent="0.45">
      <c r="A376" s="20" t="s">
        <v>344</v>
      </c>
      <c r="B376" s="7">
        <v>0</v>
      </c>
      <c r="C376" s="8">
        <f>IFERROR(B376/B444, "NA")</f>
        <v>0</v>
      </c>
      <c r="D376" s="9"/>
      <c r="E376" s="7">
        <v>0</v>
      </c>
      <c r="F376" s="8">
        <f>IFERROR(E376/E444, "NA")</f>
        <v>0</v>
      </c>
      <c r="G376" s="9"/>
      <c r="H376" s="10">
        <f t="shared" si="92"/>
        <v>0</v>
      </c>
      <c r="I376" s="8">
        <f>IFERROR(H376/H444, "NA")</f>
        <v>0</v>
      </c>
      <c r="J376" s="9"/>
      <c r="K376" s="7">
        <v>0</v>
      </c>
      <c r="L376" s="8">
        <f>IFERROR(K376/K444, "NA")</f>
        <v>0</v>
      </c>
      <c r="M376" s="9"/>
      <c r="N376" s="10">
        <f t="shared" si="93"/>
        <v>0</v>
      </c>
      <c r="O376" s="8">
        <f>IFERROR(N376/N444, "NA")</f>
        <v>0</v>
      </c>
      <c r="P376" s="9"/>
      <c r="Q376" s="7">
        <v>0</v>
      </c>
      <c r="R376" s="8">
        <f>IFERROR(Q376/Q444, "NA")</f>
        <v>0</v>
      </c>
      <c r="S376" s="9"/>
      <c r="T376" s="7">
        <v>0</v>
      </c>
      <c r="U376" s="8">
        <f>IFERROR(T376/T444, "NA")</f>
        <v>0</v>
      </c>
      <c r="V376" s="9"/>
      <c r="W376" s="10">
        <f t="shared" si="94"/>
        <v>0</v>
      </c>
      <c r="X376" s="8">
        <f>IFERROR(W376/W444, "NA")</f>
        <v>0</v>
      </c>
      <c r="Y376" s="9"/>
      <c r="Z376" s="7">
        <v>0</v>
      </c>
      <c r="AA376" s="8">
        <f>IFERROR(Z376/Z444, "NA")</f>
        <v>0</v>
      </c>
      <c r="AB376" s="9"/>
      <c r="AC376" s="10">
        <f t="shared" si="95"/>
        <v>0</v>
      </c>
      <c r="AD376" s="8">
        <f>IFERROR(AC376/AC444, "NA")</f>
        <v>0</v>
      </c>
    </row>
    <row r="377" spans="1:30" ht="16.5" hidden="1" customHeight="1" x14ac:dyDescent="0.45">
      <c r="A377" s="20" t="s">
        <v>345</v>
      </c>
      <c r="B377" s="7">
        <v>0</v>
      </c>
      <c r="C377" s="8">
        <f>IFERROR(B377/B444, "NA")</f>
        <v>0</v>
      </c>
      <c r="D377" s="9"/>
      <c r="E377" s="7">
        <v>0</v>
      </c>
      <c r="F377" s="8">
        <f>IFERROR(E377/E444, "NA")</f>
        <v>0</v>
      </c>
      <c r="G377" s="9"/>
      <c r="H377" s="10">
        <f t="shared" si="92"/>
        <v>0</v>
      </c>
      <c r="I377" s="8">
        <f>IFERROR(H377/H444, "NA")</f>
        <v>0</v>
      </c>
      <c r="J377" s="9"/>
      <c r="K377" s="7">
        <v>0</v>
      </c>
      <c r="L377" s="8">
        <f>IFERROR(K377/K444, "NA")</f>
        <v>0</v>
      </c>
      <c r="M377" s="9"/>
      <c r="N377" s="10">
        <f t="shared" si="93"/>
        <v>0</v>
      </c>
      <c r="O377" s="8">
        <f>IFERROR(N377/N444, "NA")</f>
        <v>0</v>
      </c>
      <c r="P377" s="9"/>
      <c r="Q377" s="7">
        <v>0</v>
      </c>
      <c r="R377" s="8">
        <f>IFERROR(Q377/Q444, "NA")</f>
        <v>0</v>
      </c>
      <c r="S377" s="9"/>
      <c r="T377" s="7">
        <v>0</v>
      </c>
      <c r="U377" s="8">
        <f>IFERROR(T377/T444, "NA")</f>
        <v>0</v>
      </c>
      <c r="V377" s="9"/>
      <c r="W377" s="10">
        <f t="shared" si="94"/>
        <v>0</v>
      </c>
      <c r="X377" s="8">
        <f>IFERROR(W377/W444, "NA")</f>
        <v>0</v>
      </c>
      <c r="Y377" s="9"/>
      <c r="Z377" s="7">
        <v>0</v>
      </c>
      <c r="AA377" s="8">
        <f>IFERROR(Z377/Z444, "NA")</f>
        <v>0</v>
      </c>
      <c r="AB377" s="9"/>
      <c r="AC377" s="10">
        <f t="shared" si="95"/>
        <v>0</v>
      </c>
      <c r="AD377" s="8">
        <f>IFERROR(AC377/AC444, "NA")</f>
        <v>0</v>
      </c>
    </row>
    <row r="378" spans="1:30" ht="16.5" hidden="1" customHeight="1" x14ac:dyDescent="0.45">
      <c r="A378" s="20" t="s">
        <v>346</v>
      </c>
      <c r="B378" s="7">
        <v>0</v>
      </c>
      <c r="C378" s="8">
        <f>IFERROR(B378/B444, "NA")</f>
        <v>0</v>
      </c>
      <c r="D378" s="9"/>
      <c r="E378" s="7">
        <v>0</v>
      </c>
      <c r="F378" s="8">
        <f>IFERROR(E378/E444, "NA")</f>
        <v>0</v>
      </c>
      <c r="G378" s="9"/>
      <c r="H378" s="10">
        <f t="shared" si="92"/>
        <v>0</v>
      </c>
      <c r="I378" s="8">
        <f>IFERROR(H378/H444, "NA")</f>
        <v>0</v>
      </c>
      <c r="J378" s="9"/>
      <c r="K378" s="7">
        <v>0</v>
      </c>
      <c r="L378" s="8">
        <f>IFERROR(K378/K444, "NA")</f>
        <v>0</v>
      </c>
      <c r="M378" s="9"/>
      <c r="N378" s="10">
        <f t="shared" si="93"/>
        <v>0</v>
      </c>
      <c r="O378" s="8">
        <f>IFERROR(N378/N444, "NA")</f>
        <v>0</v>
      </c>
      <c r="P378" s="9"/>
      <c r="Q378" s="7">
        <v>0</v>
      </c>
      <c r="R378" s="8">
        <f>IFERROR(Q378/Q444, "NA")</f>
        <v>0</v>
      </c>
      <c r="S378" s="9"/>
      <c r="T378" s="7">
        <v>0</v>
      </c>
      <c r="U378" s="8">
        <f>IFERROR(T378/T444, "NA")</f>
        <v>0</v>
      </c>
      <c r="V378" s="9"/>
      <c r="W378" s="10">
        <f t="shared" si="94"/>
        <v>0</v>
      </c>
      <c r="X378" s="8">
        <f>IFERROR(W378/W444, "NA")</f>
        <v>0</v>
      </c>
      <c r="Y378" s="9"/>
      <c r="Z378" s="7">
        <v>0</v>
      </c>
      <c r="AA378" s="8">
        <f>IFERROR(Z378/Z444, "NA")</f>
        <v>0</v>
      </c>
      <c r="AB378" s="9"/>
      <c r="AC378" s="10">
        <f t="shared" si="95"/>
        <v>0</v>
      </c>
      <c r="AD378" s="8">
        <f>IFERROR(AC378/AC444, "NA")</f>
        <v>0</v>
      </c>
    </row>
    <row r="379" spans="1:30" ht="16.5" hidden="1" customHeight="1" x14ac:dyDescent="0.45">
      <c r="A379" s="20" t="s">
        <v>347</v>
      </c>
      <c r="B379" s="7">
        <v>0</v>
      </c>
      <c r="C379" s="8">
        <f>IFERROR(B379/B444, "NA")</f>
        <v>0</v>
      </c>
      <c r="D379" s="9"/>
      <c r="E379" s="7">
        <v>0</v>
      </c>
      <c r="F379" s="8">
        <f>IFERROR(E379/E444, "NA")</f>
        <v>0</v>
      </c>
      <c r="G379" s="9"/>
      <c r="H379" s="10">
        <f t="shared" si="92"/>
        <v>0</v>
      </c>
      <c r="I379" s="8">
        <f>IFERROR(H379/H444, "NA")</f>
        <v>0</v>
      </c>
      <c r="J379" s="9"/>
      <c r="K379" s="7">
        <v>0</v>
      </c>
      <c r="L379" s="8">
        <f>IFERROR(K379/K444, "NA")</f>
        <v>0</v>
      </c>
      <c r="M379" s="9"/>
      <c r="N379" s="10">
        <f t="shared" si="93"/>
        <v>0</v>
      </c>
      <c r="O379" s="8">
        <f>IFERROR(N379/N444, "NA")</f>
        <v>0</v>
      </c>
      <c r="P379" s="9"/>
      <c r="Q379" s="7">
        <v>0</v>
      </c>
      <c r="R379" s="8">
        <f>IFERROR(Q379/Q444, "NA")</f>
        <v>0</v>
      </c>
      <c r="S379" s="9"/>
      <c r="T379" s="7">
        <v>0</v>
      </c>
      <c r="U379" s="8">
        <f>IFERROR(T379/T444, "NA")</f>
        <v>0</v>
      </c>
      <c r="V379" s="9"/>
      <c r="W379" s="10">
        <f t="shared" si="94"/>
        <v>0</v>
      </c>
      <c r="X379" s="8">
        <f>IFERROR(W379/W444, "NA")</f>
        <v>0</v>
      </c>
      <c r="Y379" s="9"/>
      <c r="Z379" s="7">
        <v>0</v>
      </c>
      <c r="AA379" s="8">
        <f>IFERROR(Z379/Z444, "NA")</f>
        <v>0</v>
      </c>
      <c r="AB379" s="9"/>
      <c r="AC379" s="10">
        <f t="shared" si="95"/>
        <v>0</v>
      </c>
      <c r="AD379" s="8">
        <f>IFERROR(AC379/AC444, "NA")</f>
        <v>0</v>
      </c>
    </row>
    <row r="380" spans="1:30" ht="16.5" hidden="1" customHeight="1" x14ac:dyDescent="0.45">
      <c r="A380" s="20" t="s">
        <v>348</v>
      </c>
      <c r="B380" s="7">
        <v>0</v>
      </c>
      <c r="C380" s="8">
        <f>IFERROR(B380/B444, "NA")</f>
        <v>0</v>
      </c>
      <c r="D380" s="9"/>
      <c r="E380" s="7">
        <v>0</v>
      </c>
      <c r="F380" s="8">
        <f>IFERROR(E380/E444, "NA")</f>
        <v>0</v>
      </c>
      <c r="G380" s="9"/>
      <c r="H380" s="10">
        <f t="shared" si="92"/>
        <v>0</v>
      </c>
      <c r="I380" s="8">
        <f>IFERROR(H380/H444, "NA")</f>
        <v>0</v>
      </c>
      <c r="J380" s="9"/>
      <c r="K380" s="7">
        <v>0</v>
      </c>
      <c r="L380" s="8">
        <f>IFERROR(K380/K444, "NA")</f>
        <v>0</v>
      </c>
      <c r="M380" s="9"/>
      <c r="N380" s="10">
        <f t="shared" si="93"/>
        <v>0</v>
      </c>
      <c r="O380" s="8">
        <f>IFERROR(N380/N444, "NA")</f>
        <v>0</v>
      </c>
      <c r="P380" s="9"/>
      <c r="Q380" s="7">
        <v>0</v>
      </c>
      <c r="R380" s="8">
        <f>IFERROR(Q380/Q444, "NA")</f>
        <v>0</v>
      </c>
      <c r="S380" s="9"/>
      <c r="T380" s="7">
        <v>0</v>
      </c>
      <c r="U380" s="8">
        <f>IFERROR(T380/T444, "NA")</f>
        <v>0</v>
      </c>
      <c r="V380" s="9"/>
      <c r="W380" s="10">
        <f t="shared" si="94"/>
        <v>0</v>
      </c>
      <c r="X380" s="8">
        <f>IFERROR(W380/W444, "NA")</f>
        <v>0</v>
      </c>
      <c r="Y380" s="9"/>
      <c r="Z380" s="7">
        <v>0</v>
      </c>
      <c r="AA380" s="8">
        <f>IFERROR(Z380/Z444, "NA")</f>
        <v>0</v>
      </c>
      <c r="AB380" s="9"/>
      <c r="AC380" s="10">
        <f t="shared" si="95"/>
        <v>0</v>
      </c>
      <c r="AD380" s="8">
        <f>IFERROR(AC380/AC444, "NA")</f>
        <v>0</v>
      </c>
    </row>
    <row r="381" spans="1:30" ht="16.5" hidden="1" customHeight="1" x14ac:dyDescent="0.45">
      <c r="A381" s="20" t="s">
        <v>349</v>
      </c>
      <c r="B381" s="7">
        <v>0</v>
      </c>
      <c r="C381" s="8">
        <f>IFERROR(B381/B444, "NA")</f>
        <v>0</v>
      </c>
      <c r="D381" s="9"/>
      <c r="E381" s="7">
        <v>0</v>
      </c>
      <c r="F381" s="8">
        <f>IFERROR(E381/E444, "NA")</f>
        <v>0</v>
      </c>
      <c r="G381" s="9"/>
      <c r="H381" s="10">
        <f t="shared" si="92"/>
        <v>0</v>
      </c>
      <c r="I381" s="8">
        <f>IFERROR(H381/H444, "NA")</f>
        <v>0</v>
      </c>
      <c r="J381" s="9"/>
      <c r="K381" s="7">
        <v>0</v>
      </c>
      <c r="L381" s="8">
        <f>IFERROR(K381/K444, "NA")</f>
        <v>0</v>
      </c>
      <c r="M381" s="9"/>
      <c r="N381" s="10">
        <f t="shared" si="93"/>
        <v>0</v>
      </c>
      <c r="O381" s="8">
        <f>IFERROR(N381/N444, "NA")</f>
        <v>0</v>
      </c>
      <c r="P381" s="9"/>
      <c r="Q381" s="7">
        <v>0</v>
      </c>
      <c r="R381" s="8">
        <f>IFERROR(Q381/Q444, "NA")</f>
        <v>0</v>
      </c>
      <c r="S381" s="9"/>
      <c r="T381" s="7">
        <v>0</v>
      </c>
      <c r="U381" s="8">
        <f>IFERROR(T381/T444, "NA")</f>
        <v>0</v>
      </c>
      <c r="V381" s="9"/>
      <c r="W381" s="10">
        <f t="shared" si="94"/>
        <v>0</v>
      </c>
      <c r="X381" s="8">
        <f>IFERROR(W381/W444, "NA")</f>
        <v>0</v>
      </c>
      <c r="Y381" s="9"/>
      <c r="Z381" s="7">
        <v>0</v>
      </c>
      <c r="AA381" s="8">
        <f>IFERROR(Z381/Z444, "NA")</f>
        <v>0</v>
      </c>
      <c r="AB381" s="9"/>
      <c r="AC381" s="10">
        <f t="shared" si="95"/>
        <v>0</v>
      </c>
      <c r="AD381" s="8">
        <f>IFERROR(AC381/AC444, "NA")</f>
        <v>0</v>
      </c>
    </row>
    <row r="382" spans="1:30" ht="16.5" hidden="1" customHeight="1" x14ac:dyDescent="0.45">
      <c r="A382" s="20" t="s">
        <v>350</v>
      </c>
      <c r="B382" s="7">
        <v>0</v>
      </c>
      <c r="C382" s="8">
        <f>IFERROR(B382/B444, "NA")</f>
        <v>0</v>
      </c>
      <c r="D382" s="9"/>
      <c r="E382" s="7">
        <v>0</v>
      </c>
      <c r="F382" s="8">
        <f>IFERROR(E382/E444, "NA")</f>
        <v>0</v>
      </c>
      <c r="G382" s="9"/>
      <c r="H382" s="10">
        <f t="shared" si="92"/>
        <v>0</v>
      </c>
      <c r="I382" s="8">
        <f>IFERROR(H382/H444, "NA")</f>
        <v>0</v>
      </c>
      <c r="J382" s="9"/>
      <c r="K382" s="7">
        <v>0</v>
      </c>
      <c r="L382" s="8">
        <f>IFERROR(K382/K444, "NA")</f>
        <v>0</v>
      </c>
      <c r="M382" s="9"/>
      <c r="N382" s="10">
        <f t="shared" si="93"/>
        <v>0</v>
      </c>
      <c r="O382" s="8">
        <f>IFERROR(N382/N444, "NA")</f>
        <v>0</v>
      </c>
      <c r="P382" s="9"/>
      <c r="Q382" s="7">
        <v>0</v>
      </c>
      <c r="R382" s="8">
        <f>IFERROR(Q382/Q444, "NA")</f>
        <v>0</v>
      </c>
      <c r="S382" s="9"/>
      <c r="T382" s="7">
        <v>0</v>
      </c>
      <c r="U382" s="8">
        <f>IFERROR(T382/T444, "NA")</f>
        <v>0</v>
      </c>
      <c r="V382" s="9"/>
      <c r="W382" s="10">
        <f t="shared" si="94"/>
        <v>0</v>
      </c>
      <c r="X382" s="8">
        <f>IFERROR(W382/W444, "NA")</f>
        <v>0</v>
      </c>
      <c r="Y382" s="9"/>
      <c r="Z382" s="7">
        <v>0</v>
      </c>
      <c r="AA382" s="8">
        <f>IFERROR(Z382/Z444, "NA")</f>
        <v>0</v>
      </c>
      <c r="AB382" s="9"/>
      <c r="AC382" s="10">
        <f t="shared" si="95"/>
        <v>0</v>
      </c>
      <c r="AD382" s="8">
        <f>IFERROR(AC382/AC444, "NA")</f>
        <v>0</v>
      </c>
    </row>
    <row r="383" spans="1:30" ht="16.5" hidden="1" customHeight="1" x14ac:dyDescent="0.45">
      <c r="A383" s="20" t="s">
        <v>351</v>
      </c>
      <c r="B383" s="7">
        <v>0</v>
      </c>
      <c r="C383" s="8">
        <f>IFERROR(B383/B444, "NA")</f>
        <v>0</v>
      </c>
      <c r="D383" s="9"/>
      <c r="E383" s="7">
        <v>0</v>
      </c>
      <c r="F383" s="8">
        <f>IFERROR(E383/E444, "NA")</f>
        <v>0</v>
      </c>
      <c r="G383" s="9"/>
      <c r="H383" s="10">
        <f t="shared" si="92"/>
        <v>0</v>
      </c>
      <c r="I383" s="8">
        <f>IFERROR(H383/H444, "NA")</f>
        <v>0</v>
      </c>
      <c r="J383" s="9"/>
      <c r="K383" s="7">
        <v>0</v>
      </c>
      <c r="L383" s="8">
        <f>IFERROR(K383/K444, "NA")</f>
        <v>0</v>
      </c>
      <c r="M383" s="9"/>
      <c r="N383" s="10">
        <f t="shared" si="93"/>
        <v>0</v>
      </c>
      <c r="O383" s="8">
        <f>IFERROR(N383/N444, "NA")</f>
        <v>0</v>
      </c>
      <c r="P383" s="9"/>
      <c r="Q383" s="7">
        <v>0</v>
      </c>
      <c r="R383" s="8">
        <f>IFERROR(Q383/Q444, "NA")</f>
        <v>0</v>
      </c>
      <c r="S383" s="9"/>
      <c r="T383" s="7">
        <v>0</v>
      </c>
      <c r="U383" s="8">
        <f>IFERROR(T383/T444, "NA")</f>
        <v>0</v>
      </c>
      <c r="V383" s="9"/>
      <c r="W383" s="10">
        <f t="shared" si="94"/>
        <v>0</v>
      </c>
      <c r="X383" s="8">
        <f>IFERROR(W383/W444, "NA")</f>
        <v>0</v>
      </c>
      <c r="Y383" s="9"/>
      <c r="Z383" s="7">
        <v>0</v>
      </c>
      <c r="AA383" s="8">
        <f>IFERROR(Z383/Z444, "NA")</f>
        <v>0</v>
      </c>
      <c r="AB383" s="9"/>
      <c r="AC383" s="10">
        <f t="shared" si="95"/>
        <v>0</v>
      </c>
      <c r="AD383" s="8">
        <f>IFERROR(AC383/AC444, "NA")</f>
        <v>0</v>
      </c>
    </row>
    <row r="384" spans="1:30" ht="16.5" customHeight="1" x14ac:dyDescent="0.45">
      <c r="A384" s="5" t="s">
        <v>352</v>
      </c>
      <c r="B384" s="2"/>
      <c r="C384" s="3"/>
      <c r="D384" s="4"/>
      <c r="E384" s="2"/>
      <c r="F384" s="3"/>
      <c r="G384" s="4"/>
      <c r="H384" s="2"/>
      <c r="I384" s="3"/>
      <c r="J384" s="4"/>
      <c r="K384" s="2"/>
      <c r="L384" s="3"/>
      <c r="M384" s="4"/>
      <c r="N384" s="2"/>
      <c r="O384" s="3"/>
      <c r="P384" s="4"/>
      <c r="Q384" s="2"/>
      <c r="R384" s="3"/>
      <c r="S384" s="4"/>
      <c r="T384" s="2"/>
      <c r="U384" s="3"/>
      <c r="V384" s="4"/>
      <c r="W384" s="2"/>
      <c r="X384" s="3"/>
      <c r="Y384" s="4"/>
      <c r="Z384" s="2"/>
      <c r="AA384" s="3"/>
      <c r="AB384" s="4"/>
      <c r="AC384" s="2"/>
      <c r="AD384" s="3"/>
    </row>
    <row r="385" spans="1:30" ht="16.5" hidden="1" customHeight="1" x14ac:dyDescent="0.45">
      <c r="A385" s="6" t="s">
        <v>352</v>
      </c>
      <c r="B385" s="7">
        <v>0</v>
      </c>
      <c r="C385" s="8">
        <f>IFERROR(B385/B444, "NA")</f>
        <v>0</v>
      </c>
      <c r="D385" s="9"/>
      <c r="E385" s="7">
        <v>0</v>
      </c>
      <c r="F385" s="8">
        <f>IFERROR(E385/E444, "NA")</f>
        <v>0</v>
      </c>
      <c r="G385" s="9"/>
      <c r="H385" s="10">
        <f>IFERROR(-(B385-E385), "NA")</f>
        <v>0</v>
      </c>
      <c r="I385" s="8">
        <f>IFERROR(H385/H444, "NA")</f>
        <v>0</v>
      </c>
      <c r="J385" s="9"/>
      <c r="K385" s="7">
        <v>0</v>
      </c>
      <c r="L385" s="8">
        <f>IFERROR(K385/K444, "NA")</f>
        <v>0</v>
      </c>
      <c r="M385" s="9"/>
      <c r="N385" s="10">
        <f>IFERROR(-(B385-K385), "NA")</f>
        <v>0</v>
      </c>
      <c r="O385" s="8">
        <f>IFERROR(N385/N444, "NA")</f>
        <v>0</v>
      </c>
      <c r="P385" s="9"/>
      <c r="Q385" s="7">
        <v>0</v>
      </c>
      <c r="R385" s="8">
        <f>IFERROR(Q385/Q444, "NA")</f>
        <v>0</v>
      </c>
      <c r="S385" s="9"/>
      <c r="T385" s="7">
        <v>0</v>
      </c>
      <c r="U385" s="8">
        <f>IFERROR(T385/T444, "NA")</f>
        <v>0</v>
      </c>
      <c r="V385" s="9"/>
      <c r="W385" s="10">
        <f>IFERROR(-(Q385-T385), "NA")</f>
        <v>0</v>
      </c>
      <c r="X385" s="8">
        <f>IFERROR(W385/W444, "NA")</f>
        <v>0</v>
      </c>
      <c r="Y385" s="9"/>
      <c r="Z385" s="7">
        <v>0</v>
      </c>
      <c r="AA385" s="8">
        <f>IFERROR(Z385/Z444, "NA")</f>
        <v>0</v>
      </c>
      <c r="AB385" s="9"/>
      <c r="AC385" s="10">
        <f>IFERROR(-(Q385-Z385), "NA")</f>
        <v>0</v>
      </c>
      <c r="AD385" s="8">
        <f>IFERROR(AC385/AC444, "NA")</f>
        <v>0</v>
      </c>
    </row>
    <row r="386" spans="1:30" ht="16.5" hidden="1" customHeight="1" x14ac:dyDescent="0.45">
      <c r="A386" s="6" t="s">
        <v>353</v>
      </c>
      <c r="B386" s="7">
        <v>0</v>
      </c>
      <c r="C386" s="8">
        <f>IFERROR(B386/B444, "NA")</f>
        <v>0</v>
      </c>
      <c r="D386" s="9"/>
      <c r="E386" s="7">
        <v>0</v>
      </c>
      <c r="F386" s="8">
        <f>IFERROR(E386/E444, "NA")</f>
        <v>0</v>
      </c>
      <c r="G386" s="9"/>
      <c r="H386" s="10">
        <f>IFERROR(-(B386-E386), "NA")</f>
        <v>0</v>
      </c>
      <c r="I386" s="8">
        <f>IFERROR(H386/H444, "NA")</f>
        <v>0</v>
      </c>
      <c r="J386" s="9"/>
      <c r="K386" s="7">
        <v>0</v>
      </c>
      <c r="L386" s="8">
        <f>IFERROR(K386/K444, "NA")</f>
        <v>0</v>
      </c>
      <c r="M386" s="9"/>
      <c r="N386" s="10">
        <f>IFERROR(-(B386-K386), "NA")</f>
        <v>0</v>
      </c>
      <c r="O386" s="8">
        <f>IFERROR(N386/N444, "NA")</f>
        <v>0</v>
      </c>
      <c r="P386" s="9"/>
      <c r="Q386" s="7">
        <v>0</v>
      </c>
      <c r="R386" s="8">
        <f>IFERROR(Q386/Q444, "NA")</f>
        <v>0</v>
      </c>
      <c r="S386" s="9"/>
      <c r="T386" s="7">
        <v>0</v>
      </c>
      <c r="U386" s="8">
        <f>IFERROR(T386/T444, "NA")</f>
        <v>0</v>
      </c>
      <c r="V386" s="9"/>
      <c r="W386" s="10">
        <f>IFERROR(-(Q386-T386), "NA")</f>
        <v>0</v>
      </c>
      <c r="X386" s="8">
        <f>IFERROR(W386/W444, "NA")</f>
        <v>0</v>
      </c>
      <c r="Y386" s="9"/>
      <c r="Z386" s="7">
        <v>0</v>
      </c>
      <c r="AA386" s="8">
        <f>IFERROR(Z386/Z444, "NA")</f>
        <v>0</v>
      </c>
      <c r="AB386" s="9"/>
      <c r="AC386" s="10">
        <f>IFERROR(-(Q386-Z386), "NA")</f>
        <v>0</v>
      </c>
      <c r="AD386" s="8">
        <f>IFERROR(AC386/AC444, "NA")</f>
        <v>0</v>
      </c>
    </row>
    <row r="387" spans="1:30" ht="16.5" customHeight="1" x14ac:dyDescent="0.45">
      <c r="A387" s="11" t="s">
        <v>354</v>
      </c>
      <c r="B387" s="2"/>
      <c r="C387" s="3"/>
      <c r="D387" s="4"/>
      <c r="E387" s="2"/>
      <c r="F387" s="3"/>
      <c r="G387" s="4"/>
      <c r="H387" s="2"/>
      <c r="I387" s="3"/>
      <c r="J387" s="4"/>
      <c r="K387" s="2"/>
      <c r="L387" s="3"/>
      <c r="M387" s="4"/>
      <c r="N387" s="2"/>
      <c r="O387" s="3"/>
      <c r="P387" s="4"/>
      <c r="Q387" s="2"/>
      <c r="R387" s="3"/>
      <c r="S387" s="4"/>
      <c r="T387" s="2"/>
      <c r="U387" s="3"/>
      <c r="V387" s="4"/>
      <c r="W387" s="2"/>
      <c r="X387" s="3"/>
      <c r="Y387" s="4"/>
      <c r="Z387" s="2"/>
      <c r="AA387" s="3"/>
      <c r="AB387" s="4"/>
      <c r="AC387" s="2"/>
      <c r="AD387" s="3"/>
    </row>
    <row r="388" spans="1:30" ht="16.5" hidden="1" customHeight="1" x14ac:dyDescent="0.45">
      <c r="A388" s="12" t="s">
        <v>354</v>
      </c>
      <c r="B388" s="7">
        <v>0</v>
      </c>
      <c r="C388" s="8">
        <f>IFERROR(B388/B444, "NA")</f>
        <v>0</v>
      </c>
      <c r="D388" s="9"/>
      <c r="E388" s="7">
        <v>0</v>
      </c>
      <c r="F388" s="8">
        <f>IFERROR(E388/E444, "NA")</f>
        <v>0</v>
      </c>
      <c r="G388" s="9"/>
      <c r="H388" s="10">
        <f t="shared" ref="H388:H403" si="96">IFERROR(-(B388-E388), "NA")</f>
        <v>0</v>
      </c>
      <c r="I388" s="8">
        <f>IFERROR(H388/H444, "NA")</f>
        <v>0</v>
      </c>
      <c r="J388" s="9"/>
      <c r="K388" s="7">
        <v>0</v>
      </c>
      <c r="L388" s="8">
        <f>IFERROR(K388/K444, "NA")</f>
        <v>0</v>
      </c>
      <c r="M388" s="9"/>
      <c r="N388" s="10">
        <f t="shared" ref="N388:N403" si="97">IFERROR(-(B388-K388), "NA")</f>
        <v>0</v>
      </c>
      <c r="O388" s="8">
        <f>IFERROR(N388/N444, "NA")</f>
        <v>0</v>
      </c>
      <c r="P388" s="9"/>
      <c r="Q388" s="7">
        <v>0</v>
      </c>
      <c r="R388" s="8">
        <f>IFERROR(Q388/Q444, "NA")</f>
        <v>0</v>
      </c>
      <c r="S388" s="9"/>
      <c r="T388" s="7">
        <v>0</v>
      </c>
      <c r="U388" s="8">
        <f>IFERROR(T388/T444, "NA")</f>
        <v>0</v>
      </c>
      <c r="V388" s="9"/>
      <c r="W388" s="10">
        <f t="shared" ref="W388:W403" si="98">IFERROR(-(Q388-T388), "NA")</f>
        <v>0</v>
      </c>
      <c r="X388" s="8">
        <f>IFERROR(W388/W444, "NA")</f>
        <v>0</v>
      </c>
      <c r="Y388" s="9"/>
      <c r="Z388" s="7">
        <v>0</v>
      </c>
      <c r="AA388" s="8">
        <f>IFERROR(Z388/Z444, "NA")</f>
        <v>0</v>
      </c>
      <c r="AB388" s="9"/>
      <c r="AC388" s="10">
        <f t="shared" ref="AC388:AC403" si="99">IFERROR(-(Q388-Z388), "NA")</f>
        <v>0</v>
      </c>
      <c r="AD388" s="8">
        <f>IFERROR(AC388/AC444, "NA")</f>
        <v>0</v>
      </c>
    </row>
    <row r="389" spans="1:30" ht="16.5" hidden="1" customHeight="1" x14ac:dyDescent="0.45">
      <c r="A389" s="12" t="s">
        <v>355</v>
      </c>
      <c r="B389" s="7">
        <v>0</v>
      </c>
      <c r="C389" s="8">
        <f>IFERROR(B389/B444, "NA")</f>
        <v>0</v>
      </c>
      <c r="D389" s="9"/>
      <c r="E389" s="7">
        <v>0</v>
      </c>
      <c r="F389" s="8">
        <f>IFERROR(E389/E444, "NA")</f>
        <v>0</v>
      </c>
      <c r="G389" s="9"/>
      <c r="H389" s="10">
        <f t="shared" si="96"/>
        <v>0</v>
      </c>
      <c r="I389" s="8">
        <f>IFERROR(H389/H444, "NA")</f>
        <v>0</v>
      </c>
      <c r="J389" s="9"/>
      <c r="K389" s="7">
        <v>0</v>
      </c>
      <c r="L389" s="8">
        <f>IFERROR(K389/K444, "NA")</f>
        <v>0</v>
      </c>
      <c r="M389" s="9"/>
      <c r="N389" s="10">
        <f t="shared" si="97"/>
        <v>0</v>
      </c>
      <c r="O389" s="8">
        <f>IFERROR(N389/N444, "NA")</f>
        <v>0</v>
      </c>
      <c r="P389" s="9"/>
      <c r="Q389" s="7">
        <v>0</v>
      </c>
      <c r="R389" s="8">
        <f>IFERROR(Q389/Q444, "NA")</f>
        <v>0</v>
      </c>
      <c r="S389" s="9"/>
      <c r="T389" s="7">
        <v>0</v>
      </c>
      <c r="U389" s="8">
        <f>IFERROR(T389/T444, "NA")</f>
        <v>0</v>
      </c>
      <c r="V389" s="9"/>
      <c r="W389" s="10">
        <f t="shared" si="98"/>
        <v>0</v>
      </c>
      <c r="X389" s="8">
        <f>IFERROR(W389/W444, "NA")</f>
        <v>0</v>
      </c>
      <c r="Y389" s="9"/>
      <c r="Z389" s="7">
        <v>0</v>
      </c>
      <c r="AA389" s="8">
        <f>IFERROR(Z389/Z444, "NA")</f>
        <v>0</v>
      </c>
      <c r="AB389" s="9"/>
      <c r="AC389" s="10">
        <f t="shared" si="99"/>
        <v>0</v>
      </c>
      <c r="AD389" s="8">
        <f>IFERROR(AC389/AC444, "NA")</f>
        <v>0</v>
      </c>
    </row>
    <row r="390" spans="1:30" ht="16.5" hidden="1" customHeight="1" x14ac:dyDescent="0.45">
      <c r="A390" s="12" t="s">
        <v>356</v>
      </c>
      <c r="B390" s="7">
        <v>0</v>
      </c>
      <c r="C390" s="8">
        <f>IFERROR(B390/B444, "NA")</f>
        <v>0</v>
      </c>
      <c r="D390" s="9"/>
      <c r="E390" s="7">
        <v>0</v>
      </c>
      <c r="F390" s="8">
        <f>IFERROR(E390/E444, "NA")</f>
        <v>0</v>
      </c>
      <c r="G390" s="9"/>
      <c r="H390" s="10">
        <f t="shared" si="96"/>
        <v>0</v>
      </c>
      <c r="I390" s="8">
        <f>IFERROR(H390/H444, "NA")</f>
        <v>0</v>
      </c>
      <c r="J390" s="9"/>
      <c r="K390" s="7">
        <v>0</v>
      </c>
      <c r="L390" s="8">
        <f>IFERROR(K390/K444, "NA")</f>
        <v>0</v>
      </c>
      <c r="M390" s="9"/>
      <c r="N390" s="10">
        <f t="shared" si="97"/>
        <v>0</v>
      </c>
      <c r="O390" s="8">
        <f>IFERROR(N390/N444, "NA")</f>
        <v>0</v>
      </c>
      <c r="P390" s="9"/>
      <c r="Q390" s="7">
        <v>0</v>
      </c>
      <c r="R390" s="8">
        <f>IFERROR(Q390/Q444, "NA")</f>
        <v>0</v>
      </c>
      <c r="S390" s="9"/>
      <c r="T390" s="7">
        <v>0</v>
      </c>
      <c r="U390" s="8">
        <f>IFERROR(T390/T444, "NA")</f>
        <v>0</v>
      </c>
      <c r="V390" s="9"/>
      <c r="W390" s="10">
        <f t="shared" si="98"/>
        <v>0</v>
      </c>
      <c r="X390" s="8">
        <f>IFERROR(W390/W444, "NA")</f>
        <v>0</v>
      </c>
      <c r="Y390" s="9"/>
      <c r="Z390" s="7">
        <v>0</v>
      </c>
      <c r="AA390" s="8">
        <f>IFERROR(Z390/Z444, "NA")</f>
        <v>0</v>
      </c>
      <c r="AB390" s="9"/>
      <c r="AC390" s="10">
        <f t="shared" si="99"/>
        <v>0</v>
      </c>
      <c r="AD390" s="8">
        <f>IFERROR(AC390/AC444, "NA")</f>
        <v>0</v>
      </c>
    </row>
    <row r="391" spans="1:30" ht="16.5" hidden="1" customHeight="1" x14ac:dyDescent="0.45">
      <c r="A391" s="12" t="s">
        <v>357</v>
      </c>
      <c r="B391" s="7">
        <v>0</v>
      </c>
      <c r="C391" s="8">
        <f>IFERROR(B391/B444, "NA")</f>
        <v>0</v>
      </c>
      <c r="D391" s="9"/>
      <c r="E391" s="7">
        <v>0</v>
      </c>
      <c r="F391" s="8">
        <f>IFERROR(E391/E444, "NA")</f>
        <v>0</v>
      </c>
      <c r="G391" s="9"/>
      <c r="H391" s="10">
        <f t="shared" si="96"/>
        <v>0</v>
      </c>
      <c r="I391" s="8">
        <f>IFERROR(H391/H444, "NA")</f>
        <v>0</v>
      </c>
      <c r="J391" s="9"/>
      <c r="K391" s="7">
        <v>0</v>
      </c>
      <c r="L391" s="8">
        <f>IFERROR(K391/K444, "NA")</f>
        <v>0</v>
      </c>
      <c r="M391" s="9"/>
      <c r="N391" s="10">
        <f t="shared" si="97"/>
        <v>0</v>
      </c>
      <c r="O391" s="8">
        <f>IFERROR(N391/N444, "NA")</f>
        <v>0</v>
      </c>
      <c r="P391" s="9"/>
      <c r="Q391" s="7">
        <v>0</v>
      </c>
      <c r="R391" s="8">
        <f>IFERROR(Q391/Q444, "NA")</f>
        <v>0</v>
      </c>
      <c r="S391" s="9"/>
      <c r="T391" s="7">
        <v>0</v>
      </c>
      <c r="U391" s="8">
        <f>IFERROR(T391/T444, "NA")</f>
        <v>0</v>
      </c>
      <c r="V391" s="9"/>
      <c r="W391" s="10">
        <f t="shared" si="98"/>
        <v>0</v>
      </c>
      <c r="X391" s="8">
        <f>IFERROR(W391/W444, "NA")</f>
        <v>0</v>
      </c>
      <c r="Y391" s="9"/>
      <c r="Z391" s="7">
        <v>0</v>
      </c>
      <c r="AA391" s="8">
        <f>IFERROR(Z391/Z444, "NA")</f>
        <v>0</v>
      </c>
      <c r="AB391" s="9"/>
      <c r="AC391" s="10">
        <f t="shared" si="99"/>
        <v>0</v>
      </c>
      <c r="AD391" s="8">
        <f>IFERROR(AC391/AC444, "NA")</f>
        <v>0</v>
      </c>
    </row>
    <row r="392" spans="1:30" ht="16.5" hidden="1" customHeight="1" x14ac:dyDescent="0.45">
      <c r="A392" s="12" t="s">
        <v>358</v>
      </c>
      <c r="B392" s="7">
        <v>0</v>
      </c>
      <c r="C392" s="8">
        <f>IFERROR(B392/B444, "NA")</f>
        <v>0</v>
      </c>
      <c r="D392" s="9"/>
      <c r="E392" s="7">
        <v>0</v>
      </c>
      <c r="F392" s="8">
        <f>IFERROR(E392/E444, "NA")</f>
        <v>0</v>
      </c>
      <c r="G392" s="9"/>
      <c r="H392" s="10">
        <f t="shared" si="96"/>
        <v>0</v>
      </c>
      <c r="I392" s="8">
        <f>IFERROR(H392/H444, "NA")</f>
        <v>0</v>
      </c>
      <c r="J392" s="9"/>
      <c r="K392" s="7">
        <v>0</v>
      </c>
      <c r="L392" s="8">
        <f>IFERROR(K392/K444, "NA")</f>
        <v>0</v>
      </c>
      <c r="M392" s="9"/>
      <c r="N392" s="10">
        <f t="shared" si="97"/>
        <v>0</v>
      </c>
      <c r="O392" s="8">
        <f>IFERROR(N392/N444, "NA")</f>
        <v>0</v>
      </c>
      <c r="P392" s="9"/>
      <c r="Q392" s="7">
        <v>0</v>
      </c>
      <c r="R392" s="8">
        <f>IFERROR(Q392/Q444, "NA")</f>
        <v>0</v>
      </c>
      <c r="S392" s="9"/>
      <c r="T392" s="7">
        <v>0</v>
      </c>
      <c r="U392" s="8">
        <f>IFERROR(T392/T444, "NA")</f>
        <v>0</v>
      </c>
      <c r="V392" s="9"/>
      <c r="W392" s="10">
        <f t="shared" si="98"/>
        <v>0</v>
      </c>
      <c r="X392" s="8">
        <f>IFERROR(W392/W444, "NA")</f>
        <v>0</v>
      </c>
      <c r="Y392" s="9"/>
      <c r="Z392" s="7">
        <v>0</v>
      </c>
      <c r="AA392" s="8">
        <f>IFERROR(Z392/Z444, "NA")</f>
        <v>0</v>
      </c>
      <c r="AB392" s="9"/>
      <c r="AC392" s="10">
        <f t="shared" si="99"/>
        <v>0</v>
      </c>
      <c r="AD392" s="8">
        <f>IFERROR(AC392/AC444, "NA")</f>
        <v>0</v>
      </c>
    </row>
    <row r="393" spans="1:30" ht="16.5" customHeight="1" x14ac:dyDescent="0.45">
      <c r="A393" s="13" t="s">
        <v>359</v>
      </c>
      <c r="B393" s="14">
        <f>IFERROR(B388+B389+B390+B391+B392, "NA")</f>
        <v>0</v>
      </c>
      <c r="C393" s="15">
        <f>IFERROR(B393/B444, "NA")</f>
        <v>0</v>
      </c>
      <c r="D393" s="2"/>
      <c r="E393" s="14">
        <f>IFERROR(E388+E389+E390+E391+E392, "NA")</f>
        <v>0</v>
      </c>
      <c r="F393" s="15">
        <f>IFERROR(E393/E444, "NA")</f>
        <v>0</v>
      </c>
      <c r="G393" s="2"/>
      <c r="H393" s="14">
        <f t="shared" si="96"/>
        <v>0</v>
      </c>
      <c r="I393" s="15">
        <f>IFERROR(H393/H444, "NA")</f>
        <v>0</v>
      </c>
      <c r="J393" s="2"/>
      <c r="K393" s="14">
        <f>IFERROR(K388+K389+K390+K391+K392, "NA")</f>
        <v>0</v>
      </c>
      <c r="L393" s="15">
        <f>IFERROR(K393/K444, "NA")</f>
        <v>0</v>
      </c>
      <c r="M393" s="2"/>
      <c r="N393" s="14">
        <f t="shared" si="97"/>
        <v>0</v>
      </c>
      <c r="O393" s="15">
        <f>IFERROR(N393/N444, "NA")</f>
        <v>0</v>
      </c>
      <c r="P393" s="2"/>
      <c r="Q393" s="14">
        <f>IFERROR(Q388+Q389+Q390+Q391+Q392, "NA")</f>
        <v>0</v>
      </c>
      <c r="R393" s="15">
        <f>IFERROR(Q393/Q444, "NA")</f>
        <v>0</v>
      </c>
      <c r="S393" s="2"/>
      <c r="T393" s="14">
        <f>IFERROR(T388+T389+T390+T391+T392, "NA")</f>
        <v>0</v>
      </c>
      <c r="U393" s="15">
        <f>IFERROR(T393/T444, "NA")</f>
        <v>0</v>
      </c>
      <c r="V393" s="2"/>
      <c r="W393" s="14">
        <f t="shared" si="98"/>
        <v>0</v>
      </c>
      <c r="X393" s="15">
        <f>IFERROR(W393/W444, "NA")</f>
        <v>0</v>
      </c>
      <c r="Y393" s="2"/>
      <c r="Z393" s="14">
        <f>IFERROR(Z388+Z389+Z390+Z391+Z392, "NA")</f>
        <v>0</v>
      </c>
      <c r="AA393" s="15">
        <f>IFERROR(Z393/Z444, "NA")</f>
        <v>0</v>
      </c>
      <c r="AB393" s="2"/>
      <c r="AC393" s="14">
        <f t="shared" si="99"/>
        <v>0</v>
      </c>
      <c r="AD393" s="15">
        <f>IFERROR(AC393/AC444, "NA")</f>
        <v>0</v>
      </c>
    </row>
    <row r="394" spans="1:30" ht="16.5" hidden="1" customHeight="1" x14ac:dyDescent="0.45">
      <c r="A394" s="6" t="s">
        <v>360</v>
      </c>
      <c r="B394" s="7">
        <v>0</v>
      </c>
      <c r="C394" s="8">
        <f>IFERROR(B394/B444, "NA")</f>
        <v>0</v>
      </c>
      <c r="D394" s="9"/>
      <c r="E394" s="7">
        <v>0</v>
      </c>
      <c r="F394" s="8">
        <f>IFERROR(E394/E444, "NA")</f>
        <v>0</v>
      </c>
      <c r="G394" s="9"/>
      <c r="H394" s="10">
        <f t="shared" si="96"/>
        <v>0</v>
      </c>
      <c r="I394" s="8">
        <f>IFERROR(H394/H444, "NA")</f>
        <v>0</v>
      </c>
      <c r="J394" s="9"/>
      <c r="K394" s="7">
        <v>0</v>
      </c>
      <c r="L394" s="8">
        <f>IFERROR(K394/K444, "NA")</f>
        <v>0</v>
      </c>
      <c r="M394" s="9"/>
      <c r="N394" s="10">
        <f t="shared" si="97"/>
        <v>0</v>
      </c>
      <c r="O394" s="8">
        <f>IFERROR(N394/N444, "NA")</f>
        <v>0</v>
      </c>
      <c r="P394" s="9"/>
      <c r="Q394" s="7">
        <v>0</v>
      </c>
      <c r="R394" s="8">
        <f>IFERROR(Q394/Q444, "NA")</f>
        <v>0</v>
      </c>
      <c r="S394" s="9"/>
      <c r="T394" s="7">
        <v>0</v>
      </c>
      <c r="U394" s="8">
        <f>IFERROR(T394/T444, "NA")</f>
        <v>0</v>
      </c>
      <c r="V394" s="9"/>
      <c r="W394" s="10">
        <f t="shared" si="98"/>
        <v>0</v>
      </c>
      <c r="X394" s="8">
        <f>IFERROR(W394/W444, "NA")</f>
        <v>0</v>
      </c>
      <c r="Y394" s="9"/>
      <c r="Z394" s="7">
        <v>0</v>
      </c>
      <c r="AA394" s="8">
        <f>IFERROR(Z394/Z444, "NA")</f>
        <v>0</v>
      </c>
      <c r="AB394" s="9"/>
      <c r="AC394" s="10">
        <f t="shared" si="99"/>
        <v>0</v>
      </c>
      <c r="AD394" s="8">
        <f>IFERROR(AC394/AC444, "NA")</f>
        <v>0</v>
      </c>
    </row>
    <row r="395" spans="1:30" ht="16.5" hidden="1" customHeight="1" x14ac:dyDescent="0.45">
      <c r="A395" s="6" t="s">
        <v>361</v>
      </c>
      <c r="B395" s="7">
        <v>0</v>
      </c>
      <c r="C395" s="8">
        <f>IFERROR(B395/B444, "NA")</f>
        <v>0</v>
      </c>
      <c r="D395" s="9"/>
      <c r="E395" s="7">
        <v>0</v>
      </c>
      <c r="F395" s="8">
        <f>IFERROR(E395/E444, "NA")</f>
        <v>0</v>
      </c>
      <c r="G395" s="9"/>
      <c r="H395" s="10">
        <f t="shared" si="96"/>
        <v>0</v>
      </c>
      <c r="I395" s="8">
        <f>IFERROR(H395/H444, "NA")</f>
        <v>0</v>
      </c>
      <c r="J395" s="9"/>
      <c r="K395" s="7">
        <v>0</v>
      </c>
      <c r="L395" s="8">
        <f>IFERROR(K395/K444, "NA")</f>
        <v>0</v>
      </c>
      <c r="M395" s="9"/>
      <c r="N395" s="10">
        <f t="shared" si="97"/>
        <v>0</v>
      </c>
      <c r="O395" s="8">
        <f>IFERROR(N395/N444, "NA")</f>
        <v>0</v>
      </c>
      <c r="P395" s="9"/>
      <c r="Q395" s="7">
        <v>0</v>
      </c>
      <c r="R395" s="8">
        <f>IFERROR(Q395/Q444, "NA")</f>
        <v>0</v>
      </c>
      <c r="S395" s="9"/>
      <c r="T395" s="7">
        <v>0</v>
      </c>
      <c r="U395" s="8">
        <f>IFERROR(T395/T444, "NA")</f>
        <v>0</v>
      </c>
      <c r="V395" s="9"/>
      <c r="W395" s="10">
        <f t="shared" si="98"/>
        <v>0</v>
      </c>
      <c r="X395" s="8">
        <f>IFERROR(W395/W444, "NA")</f>
        <v>0</v>
      </c>
      <c r="Y395" s="9"/>
      <c r="Z395" s="7">
        <v>0</v>
      </c>
      <c r="AA395" s="8">
        <f>IFERROR(Z395/Z444, "NA")</f>
        <v>0</v>
      </c>
      <c r="AB395" s="9"/>
      <c r="AC395" s="10">
        <f t="shared" si="99"/>
        <v>0</v>
      </c>
      <c r="AD395" s="8">
        <f>IFERROR(AC395/AC444, "NA")</f>
        <v>0</v>
      </c>
    </row>
    <row r="396" spans="1:30" ht="16.5" customHeight="1" x14ac:dyDescent="0.45">
      <c r="A396" s="19" t="s">
        <v>362</v>
      </c>
      <c r="B396" s="14">
        <f>IFERROR(B385+B386+B388+B389+B390+B391+B392+B394+B395, "NA")</f>
        <v>0</v>
      </c>
      <c r="C396" s="15">
        <f>IFERROR(B396/B444, "NA")</f>
        <v>0</v>
      </c>
      <c r="D396" s="2"/>
      <c r="E396" s="14">
        <f>IFERROR(E385+E386+E388+E389+E390+E391+E392+E394+E395, "NA")</f>
        <v>0</v>
      </c>
      <c r="F396" s="15">
        <f>IFERROR(E396/E444, "NA")</f>
        <v>0</v>
      </c>
      <c r="G396" s="2"/>
      <c r="H396" s="14">
        <f t="shared" si="96"/>
        <v>0</v>
      </c>
      <c r="I396" s="15">
        <f>IFERROR(H396/H444, "NA")</f>
        <v>0</v>
      </c>
      <c r="J396" s="2"/>
      <c r="K396" s="14">
        <f>IFERROR(K385+K386+K388+K389+K390+K391+K392+K394+K395, "NA")</f>
        <v>0</v>
      </c>
      <c r="L396" s="15">
        <f>IFERROR(K396/K444, "NA")</f>
        <v>0</v>
      </c>
      <c r="M396" s="2"/>
      <c r="N396" s="14">
        <f t="shared" si="97"/>
        <v>0</v>
      </c>
      <c r="O396" s="15">
        <f>IFERROR(N396/N444, "NA")</f>
        <v>0</v>
      </c>
      <c r="P396" s="2"/>
      <c r="Q396" s="14">
        <f>IFERROR(Q385+Q386+Q388+Q389+Q390+Q391+Q392+Q394+Q395, "NA")</f>
        <v>0</v>
      </c>
      <c r="R396" s="15">
        <f>IFERROR(Q396/Q444, "NA")</f>
        <v>0</v>
      </c>
      <c r="S396" s="2"/>
      <c r="T396" s="14">
        <f>IFERROR(T385+T386+T388+T389+T390+T391+T392+T394+T395, "NA")</f>
        <v>0</v>
      </c>
      <c r="U396" s="15">
        <f>IFERROR(T396/T444, "NA")</f>
        <v>0</v>
      </c>
      <c r="V396" s="2"/>
      <c r="W396" s="14">
        <f t="shared" si="98"/>
        <v>0</v>
      </c>
      <c r="X396" s="15">
        <f>IFERROR(W396/W444, "NA")</f>
        <v>0</v>
      </c>
      <c r="Y396" s="2"/>
      <c r="Z396" s="14">
        <f>IFERROR(Z385+Z386+Z388+Z389+Z390+Z391+Z392+Z394+Z395, "NA")</f>
        <v>0</v>
      </c>
      <c r="AA396" s="15">
        <f>IFERROR(Z396/Z444, "NA")</f>
        <v>0</v>
      </c>
      <c r="AB396" s="2"/>
      <c r="AC396" s="14">
        <f t="shared" si="99"/>
        <v>0</v>
      </c>
      <c r="AD396" s="15">
        <f>IFERROR(AC396/AC444, "NA")</f>
        <v>0</v>
      </c>
    </row>
    <row r="397" spans="1:30" ht="16.5" hidden="1" customHeight="1" x14ac:dyDescent="0.45">
      <c r="A397" s="20" t="s">
        <v>363</v>
      </c>
      <c r="B397" s="7">
        <v>0</v>
      </c>
      <c r="C397" s="8">
        <f>IFERROR(B397/B444, "NA")</f>
        <v>0</v>
      </c>
      <c r="D397" s="9"/>
      <c r="E397" s="7">
        <v>0</v>
      </c>
      <c r="F397" s="8">
        <f>IFERROR(E397/E444, "NA")</f>
        <v>0</v>
      </c>
      <c r="G397" s="9"/>
      <c r="H397" s="10">
        <f t="shared" si="96"/>
        <v>0</v>
      </c>
      <c r="I397" s="8">
        <f>IFERROR(H397/H444, "NA")</f>
        <v>0</v>
      </c>
      <c r="J397" s="9"/>
      <c r="K397" s="7">
        <v>0</v>
      </c>
      <c r="L397" s="8">
        <f>IFERROR(K397/K444, "NA")</f>
        <v>0</v>
      </c>
      <c r="M397" s="9"/>
      <c r="N397" s="10">
        <f t="shared" si="97"/>
        <v>0</v>
      </c>
      <c r="O397" s="8">
        <f>IFERROR(N397/N444, "NA")</f>
        <v>0</v>
      </c>
      <c r="P397" s="9"/>
      <c r="Q397" s="7">
        <v>0</v>
      </c>
      <c r="R397" s="8">
        <f>IFERROR(Q397/Q444, "NA")</f>
        <v>0</v>
      </c>
      <c r="S397" s="9"/>
      <c r="T397" s="7">
        <v>0</v>
      </c>
      <c r="U397" s="8">
        <f>IFERROR(T397/T444, "NA")</f>
        <v>0</v>
      </c>
      <c r="V397" s="9"/>
      <c r="W397" s="10">
        <f t="shared" si="98"/>
        <v>0</v>
      </c>
      <c r="X397" s="8">
        <f>IFERROR(W397/W444, "NA")</f>
        <v>0</v>
      </c>
      <c r="Y397" s="9"/>
      <c r="Z397" s="7">
        <v>0</v>
      </c>
      <c r="AA397" s="8">
        <f>IFERROR(Z397/Z444, "NA")</f>
        <v>0</v>
      </c>
      <c r="AB397" s="9"/>
      <c r="AC397" s="10">
        <f t="shared" si="99"/>
        <v>0</v>
      </c>
      <c r="AD397" s="8">
        <f>IFERROR(AC397/AC444, "NA")</f>
        <v>0</v>
      </c>
    </row>
    <row r="398" spans="1:30" ht="16.5" hidden="1" customHeight="1" x14ac:dyDescent="0.45">
      <c r="A398" s="20" t="s">
        <v>364</v>
      </c>
      <c r="B398" s="7">
        <v>0</v>
      </c>
      <c r="C398" s="8">
        <f>IFERROR(B398/B444, "NA")</f>
        <v>0</v>
      </c>
      <c r="D398" s="9"/>
      <c r="E398" s="7">
        <v>0</v>
      </c>
      <c r="F398" s="8">
        <f>IFERROR(E398/E444, "NA")</f>
        <v>0</v>
      </c>
      <c r="G398" s="9"/>
      <c r="H398" s="10">
        <f t="shared" si="96"/>
        <v>0</v>
      </c>
      <c r="I398" s="8">
        <f>IFERROR(H398/H444, "NA")</f>
        <v>0</v>
      </c>
      <c r="J398" s="9"/>
      <c r="K398" s="7">
        <v>0</v>
      </c>
      <c r="L398" s="8">
        <f>IFERROR(K398/K444, "NA")</f>
        <v>0</v>
      </c>
      <c r="M398" s="9"/>
      <c r="N398" s="10">
        <f t="shared" si="97"/>
        <v>0</v>
      </c>
      <c r="O398" s="8">
        <f>IFERROR(N398/N444, "NA")</f>
        <v>0</v>
      </c>
      <c r="P398" s="9"/>
      <c r="Q398" s="7">
        <v>0</v>
      </c>
      <c r="R398" s="8">
        <f>IFERROR(Q398/Q444, "NA")</f>
        <v>0</v>
      </c>
      <c r="S398" s="9"/>
      <c r="T398" s="7">
        <v>0</v>
      </c>
      <c r="U398" s="8">
        <f>IFERROR(T398/T444, "NA")</f>
        <v>0</v>
      </c>
      <c r="V398" s="9"/>
      <c r="W398" s="10">
        <f t="shared" si="98"/>
        <v>0</v>
      </c>
      <c r="X398" s="8">
        <f>IFERROR(W398/W444, "NA")</f>
        <v>0</v>
      </c>
      <c r="Y398" s="9"/>
      <c r="Z398" s="7">
        <v>0</v>
      </c>
      <c r="AA398" s="8">
        <f>IFERROR(Z398/Z444, "NA")</f>
        <v>0</v>
      </c>
      <c r="AB398" s="9"/>
      <c r="AC398" s="10">
        <f t="shared" si="99"/>
        <v>0</v>
      </c>
      <c r="AD398" s="8">
        <f>IFERROR(AC398/AC444, "NA")</f>
        <v>0</v>
      </c>
    </row>
    <row r="399" spans="1:30" ht="16.5" hidden="1" customHeight="1" x14ac:dyDescent="0.45">
      <c r="A399" s="20" t="s">
        <v>365</v>
      </c>
      <c r="B399" s="7">
        <v>0</v>
      </c>
      <c r="C399" s="8">
        <f>IFERROR(B399/B444, "NA")</f>
        <v>0</v>
      </c>
      <c r="D399" s="9"/>
      <c r="E399" s="7">
        <v>0</v>
      </c>
      <c r="F399" s="8">
        <f>IFERROR(E399/E444, "NA")</f>
        <v>0</v>
      </c>
      <c r="G399" s="9"/>
      <c r="H399" s="10">
        <f t="shared" si="96"/>
        <v>0</v>
      </c>
      <c r="I399" s="8">
        <f>IFERROR(H399/H444, "NA")</f>
        <v>0</v>
      </c>
      <c r="J399" s="9"/>
      <c r="K399" s="7">
        <v>0</v>
      </c>
      <c r="L399" s="8">
        <f>IFERROR(K399/K444, "NA")</f>
        <v>0</v>
      </c>
      <c r="M399" s="9"/>
      <c r="N399" s="10">
        <f t="shared" si="97"/>
        <v>0</v>
      </c>
      <c r="O399" s="8">
        <f>IFERROR(N399/N444, "NA")</f>
        <v>0</v>
      </c>
      <c r="P399" s="9"/>
      <c r="Q399" s="7">
        <v>0</v>
      </c>
      <c r="R399" s="8">
        <f>IFERROR(Q399/Q444, "NA")</f>
        <v>0</v>
      </c>
      <c r="S399" s="9"/>
      <c r="T399" s="7">
        <v>0</v>
      </c>
      <c r="U399" s="8">
        <f>IFERROR(T399/T444, "NA")</f>
        <v>0</v>
      </c>
      <c r="V399" s="9"/>
      <c r="W399" s="10">
        <f t="shared" si="98"/>
        <v>0</v>
      </c>
      <c r="X399" s="8">
        <f>IFERROR(W399/W444, "NA")</f>
        <v>0</v>
      </c>
      <c r="Y399" s="9"/>
      <c r="Z399" s="7">
        <v>0</v>
      </c>
      <c r="AA399" s="8">
        <f>IFERROR(Z399/Z444, "NA")</f>
        <v>0</v>
      </c>
      <c r="AB399" s="9"/>
      <c r="AC399" s="10">
        <f t="shared" si="99"/>
        <v>0</v>
      </c>
      <c r="AD399" s="8">
        <f>IFERROR(AC399/AC444, "NA")</f>
        <v>0</v>
      </c>
    </row>
    <row r="400" spans="1:30" ht="16.5" hidden="1" customHeight="1" x14ac:dyDescent="0.45">
      <c r="A400" s="20" t="s">
        <v>366</v>
      </c>
      <c r="B400" s="7">
        <v>0</v>
      </c>
      <c r="C400" s="8">
        <f>IFERROR(B400/B444, "NA")</f>
        <v>0</v>
      </c>
      <c r="D400" s="9"/>
      <c r="E400" s="7">
        <v>0</v>
      </c>
      <c r="F400" s="8">
        <f>IFERROR(E400/E444, "NA")</f>
        <v>0</v>
      </c>
      <c r="G400" s="9"/>
      <c r="H400" s="10">
        <f t="shared" si="96"/>
        <v>0</v>
      </c>
      <c r="I400" s="8">
        <f>IFERROR(H400/H444, "NA")</f>
        <v>0</v>
      </c>
      <c r="J400" s="9"/>
      <c r="K400" s="7">
        <v>0</v>
      </c>
      <c r="L400" s="8">
        <f>IFERROR(K400/K444, "NA")</f>
        <v>0</v>
      </c>
      <c r="M400" s="9"/>
      <c r="N400" s="10">
        <f t="shared" si="97"/>
        <v>0</v>
      </c>
      <c r="O400" s="8">
        <f>IFERROR(N400/N444, "NA")</f>
        <v>0</v>
      </c>
      <c r="P400" s="9"/>
      <c r="Q400" s="7">
        <v>0</v>
      </c>
      <c r="R400" s="8">
        <f>IFERROR(Q400/Q444, "NA")</f>
        <v>0</v>
      </c>
      <c r="S400" s="9"/>
      <c r="T400" s="7">
        <v>0</v>
      </c>
      <c r="U400" s="8">
        <f>IFERROR(T400/T444, "NA")</f>
        <v>0</v>
      </c>
      <c r="V400" s="9"/>
      <c r="W400" s="10">
        <f t="shared" si="98"/>
        <v>0</v>
      </c>
      <c r="X400" s="8">
        <f>IFERROR(W400/W444, "NA")</f>
        <v>0</v>
      </c>
      <c r="Y400" s="9"/>
      <c r="Z400" s="7">
        <v>0</v>
      </c>
      <c r="AA400" s="8">
        <f>IFERROR(Z400/Z444, "NA")</f>
        <v>0</v>
      </c>
      <c r="AB400" s="9"/>
      <c r="AC400" s="10">
        <f t="shared" si="99"/>
        <v>0</v>
      </c>
      <c r="AD400" s="8">
        <f>IFERROR(AC400/AC444, "NA")</f>
        <v>0</v>
      </c>
    </row>
    <row r="401" spans="1:30" ht="16.5" hidden="1" customHeight="1" x14ac:dyDescent="0.45">
      <c r="A401" s="20" t="s">
        <v>367</v>
      </c>
      <c r="B401" s="7">
        <v>0</v>
      </c>
      <c r="C401" s="8">
        <f>IFERROR(B401/B444, "NA")</f>
        <v>0</v>
      </c>
      <c r="D401" s="9"/>
      <c r="E401" s="7">
        <v>0</v>
      </c>
      <c r="F401" s="8">
        <f>IFERROR(E401/E444, "NA")</f>
        <v>0</v>
      </c>
      <c r="G401" s="9"/>
      <c r="H401" s="10">
        <f t="shared" si="96"/>
        <v>0</v>
      </c>
      <c r="I401" s="8">
        <f>IFERROR(H401/H444, "NA")</f>
        <v>0</v>
      </c>
      <c r="J401" s="9"/>
      <c r="K401" s="7">
        <v>0</v>
      </c>
      <c r="L401" s="8">
        <f>IFERROR(K401/K444, "NA")</f>
        <v>0</v>
      </c>
      <c r="M401" s="9"/>
      <c r="N401" s="10">
        <f t="shared" si="97"/>
        <v>0</v>
      </c>
      <c r="O401" s="8">
        <f>IFERROR(N401/N444, "NA")</f>
        <v>0</v>
      </c>
      <c r="P401" s="9"/>
      <c r="Q401" s="7">
        <v>0</v>
      </c>
      <c r="R401" s="8">
        <f>IFERROR(Q401/Q444, "NA")</f>
        <v>0</v>
      </c>
      <c r="S401" s="9"/>
      <c r="T401" s="7">
        <v>0</v>
      </c>
      <c r="U401" s="8">
        <f>IFERROR(T401/T444, "NA")</f>
        <v>0</v>
      </c>
      <c r="V401" s="9"/>
      <c r="W401" s="10">
        <f t="shared" si="98"/>
        <v>0</v>
      </c>
      <c r="X401" s="8">
        <f>IFERROR(W401/W444, "NA")</f>
        <v>0</v>
      </c>
      <c r="Y401" s="9"/>
      <c r="Z401" s="7">
        <v>0</v>
      </c>
      <c r="AA401" s="8">
        <f>IFERROR(Z401/Z444, "NA")</f>
        <v>0</v>
      </c>
      <c r="AB401" s="9"/>
      <c r="AC401" s="10">
        <f t="shared" si="99"/>
        <v>0</v>
      </c>
      <c r="AD401" s="8">
        <f>IFERROR(AC401/AC444, "NA")</f>
        <v>0</v>
      </c>
    </row>
    <row r="402" spans="1:30" ht="16.5" hidden="1" customHeight="1" x14ac:dyDescent="0.45">
      <c r="A402" s="20" t="s">
        <v>368</v>
      </c>
      <c r="B402" s="7">
        <v>0</v>
      </c>
      <c r="C402" s="8">
        <f>IFERROR(B402/B444, "NA")</f>
        <v>0</v>
      </c>
      <c r="D402" s="9"/>
      <c r="E402" s="7">
        <v>0</v>
      </c>
      <c r="F402" s="8">
        <f>IFERROR(E402/E444, "NA")</f>
        <v>0</v>
      </c>
      <c r="G402" s="9"/>
      <c r="H402" s="10">
        <f t="shared" si="96"/>
        <v>0</v>
      </c>
      <c r="I402" s="8">
        <f>IFERROR(H402/H444, "NA")</f>
        <v>0</v>
      </c>
      <c r="J402" s="9"/>
      <c r="K402" s="7">
        <v>0</v>
      </c>
      <c r="L402" s="8">
        <f>IFERROR(K402/K444, "NA")</f>
        <v>0</v>
      </c>
      <c r="M402" s="9"/>
      <c r="N402" s="10">
        <f t="shared" si="97"/>
        <v>0</v>
      </c>
      <c r="O402" s="8">
        <f>IFERROR(N402/N444, "NA")</f>
        <v>0</v>
      </c>
      <c r="P402" s="9"/>
      <c r="Q402" s="7">
        <v>0</v>
      </c>
      <c r="R402" s="8">
        <f>IFERROR(Q402/Q444, "NA")</f>
        <v>0</v>
      </c>
      <c r="S402" s="9"/>
      <c r="T402" s="7">
        <v>0</v>
      </c>
      <c r="U402" s="8">
        <f>IFERROR(T402/T444, "NA")</f>
        <v>0</v>
      </c>
      <c r="V402" s="9"/>
      <c r="W402" s="10">
        <f t="shared" si="98"/>
        <v>0</v>
      </c>
      <c r="X402" s="8">
        <f>IFERROR(W402/W444, "NA")</f>
        <v>0</v>
      </c>
      <c r="Y402" s="9"/>
      <c r="Z402" s="7">
        <v>0</v>
      </c>
      <c r="AA402" s="8">
        <f>IFERROR(Z402/Z444, "NA")</f>
        <v>0</v>
      </c>
      <c r="AB402" s="9"/>
      <c r="AC402" s="10">
        <f t="shared" si="99"/>
        <v>0</v>
      </c>
      <c r="AD402" s="8">
        <f>IFERROR(AC402/AC444, "NA")</f>
        <v>0</v>
      </c>
    </row>
    <row r="403" spans="1:30" ht="16.5" customHeight="1" x14ac:dyDescent="0.45">
      <c r="A403" s="21" t="s">
        <v>369</v>
      </c>
      <c r="B403" s="14">
        <f>IFERROR(B347+B349+B350+B351+B352+B353+B354+B355+B356+B357+B360+B361+B362+B363+B364+B365+B366+B367+B369+B370+B371+B372+B373+B374+B375+B376+B377+B378+B379+B380+B381+B382+B383+B385+B386+B388+B389+B390+B391+B392+B394+B395+B397+B398+B399+B400+B401+B402, "NA")</f>
        <v>0</v>
      </c>
      <c r="C403" s="15">
        <f>IFERROR(B403/B444, "NA")</f>
        <v>0</v>
      </c>
      <c r="D403" s="2"/>
      <c r="E403" s="14">
        <f>IFERROR(E347+E349+E350+E351+E352+E353+E354+E355+E356+E357+E360+E361+E362+E363+E364+E365+E366+E367+E369+E370+E371+E372+E373+E374+E375+E376+E377+E378+E379+E380+E381+E382+E383+E385+E386+E388+E389+E390+E391+E392+E394+E395+E397+E398+E399+E400+E401+E402, "NA")</f>
        <v>0</v>
      </c>
      <c r="F403" s="15">
        <f>IFERROR(E403/E444, "NA")</f>
        <v>0</v>
      </c>
      <c r="G403" s="2"/>
      <c r="H403" s="14">
        <f t="shared" si="96"/>
        <v>0</v>
      </c>
      <c r="I403" s="15">
        <f>IFERROR(H403/H444, "NA")</f>
        <v>0</v>
      </c>
      <c r="J403" s="2"/>
      <c r="K403" s="14">
        <f>IFERROR(K347+K349+K350+K351+K352+K353+K354+K355+K356+K357+K360+K361+K362+K363+K364+K365+K366+K367+K369+K370+K371+K372+K373+K374+K375+K376+K377+K378+K379+K380+K381+K382+K383+K385+K386+K388+K389+K390+K391+K392+K394+K395+K397+K398+K399+K400+K401+K402, "NA")</f>
        <v>0</v>
      </c>
      <c r="L403" s="15">
        <f>IFERROR(K403/K444, "NA")</f>
        <v>0</v>
      </c>
      <c r="M403" s="2"/>
      <c r="N403" s="14">
        <f t="shared" si="97"/>
        <v>0</v>
      </c>
      <c r="O403" s="15">
        <f>IFERROR(N403/N444, "NA")</f>
        <v>0</v>
      </c>
      <c r="P403" s="2"/>
      <c r="Q403" s="14">
        <f>IFERROR(Q347+Q349+Q350+Q351+Q352+Q353+Q354+Q355+Q356+Q357+Q360+Q361+Q362+Q363+Q364+Q365+Q366+Q367+Q369+Q370+Q371+Q372+Q373+Q374+Q375+Q376+Q377+Q378+Q379+Q380+Q381+Q382+Q383+Q385+Q386+Q388+Q389+Q390+Q391+Q392+Q394+Q395+Q397+Q398+Q399+Q400+Q401+Q402, "NA")</f>
        <v>0</v>
      </c>
      <c r="R403" s="15">
        <f>IFERROR(Q403/Q444, "NA")</f>
        <v>0</v>
      </c>
      <c r="S403" s="2"/>
      <c r="T403" s="14">
        <f>IFERROR(T347+T349+T350+T351+T352+T353+T354+T355+T356+T357+T360+T361+T362+T363+T364+T365+T366+T367+T369+T370+T371+T372+T373+T374+T375+T376+T377+T378+T379+T380+T381+T382+T383+T385+T386+T388+T389+T390+T391+T392+T394+T395+T397+T398+T399+T400+T401+T402, "NA")</f>
        <v>0</v>
      </c>
      <c r="U403" s="15">
        <f>IFERROR(T403/T444, "NA")</f>
        <v>0</v>
      </c>
      <c r="V403" s="2"/>
      <c r="W403" s="14">
        <f t="shared" si="98"/>
        <v>0</v>
      </c>
      <c r="X403" s="15">
        <f>IFERROR(W403/W444, "NA")</f>
        <v>0</v>
      </c>
      <c r="Y403" s="2"/>
      <c r="Z403" s="14">
        <f>IFERROR(Z347+Z349+Z350+Z351+Z352+Z353+Z354+Z355+Z356+Z357+Z360+Z361+Z362+Z363+Z364+Z365+Z366+Z367+Z369+Z370+Z371+Z372+Z373+Z374+Z375+Z376+Z377+Z378+Z379+Z380+Z381+Z382+Z383+Z385+Z386+Z388+Z389+Z390+Z391+Z392+Z394+Z395+Z397+Z398+Z399+Z400+Z401+Z402, "NA")</f>
        <v>0</v>
      </c>
      <c r="AA403" s="15">
        <f>IFERROR(Z403/Z444, "NA")</f>
        <v>0</v>
      </c>
      <c r="AB403" s="2"/>
      <c r="AC403" s="14">
        <f t="shared" si="99"/>
        <v>0</v>
      </c>
      <c r="AD403" s="15">
        <f>IFERROR(AC403/AC444, "NA")</f>
        <v>0</v>
      </c>
    </row>
    <row r="404" spans="1:30" ht="16.5" customHeight="1" x14ac:dyDescent="0.45">
      <c r="A404" s="22" t="s">
        <v>370</v>
      </c>
      <c r="B404" s="23">
        <f>IFERROR(B345-B403, "NA")</f>
        <v>-8396.4899999999761</v>
      </c>
      <c r="C404" s="24">
        <f>IFERROR(B404/B444, "NA")</f>
        <v>-0.12368405546897289</v>
      </c>
      <c r="D404" s="25"/>
      <c r="E404" s="23">
        <f>IFERROR(E345-E403, "NA")</f>
        <v>-1193.1399999999958</v>
      </c>
      <c r="F404" s="24">
        <f>IFERROR(E404/E444, "NA")</f>
        <v>-1.8194638746891732E-2</v>
      </c>
      <c r="G404" s="25"/>
      <c r="H404" s="23">
        <f>IFERROR(B404-E404, "NA")</f>
        <v>-7203.3499999999804</v>
      </c>
      <c r="I404" s="24">
        <f>IFERROR(H404/H444, "NA")</f>
        <v>-3.1181443548875749</v>
      </c>
      <c r="J404" s="25"/>
      <c r="K404" s="23">
        <f>IFERROR(K345-K403, "NA")</f>
        <v>-6154.5900000000074</v>
      </c>
      <c r="L404" s="24">
        <f>IFERROR(K404/K444, "NA")</f>
        <v>-9.6434626834240741E-2</v>
      </c>
      <c r="M404" s="25"/>
      <c r="N404" s="23">
        <f>IFERROR(B404-K404, "NA")</f>
        <v>-2241.8999999999687</v>
      </c>
      <c r="O404" s="24">
        <f>IFERROR(N404/N444, "NA")</f>
        <v>-0.5514817119818477</v>
      </c>
      <c r="P404" s="25"/>
      <c r="Q404" s="23">
        <f>IFERROR(Q345-Q403, "NA")</f>
        <v>-8396.4899999999761</v>
      </c>
      <c r="R404" s="24">
        <f>IFERROR(Q404/Q444, "NA")</f>
        <v>-0.12368405546897289</v>
      </c>
      <c r="S404" s="25"/>
      <c r="T404" s="23">
        <f>IFERROR(T345-T403, "NA")</f>
        <v>-1193.1399999999958</v>
      </c>
      <c r="U404" s="24">
        <f>IFERROR(T404/T444, "NA")</f>
        <v>-1.8194638746891732E-2</v>
      </c>
      <c r="V404" s="25"/>
      <c r="W404" s="23">
        <f>IFERROR(Q404-T404, "NA")</f>
        <v>-7203.3499999999804</v>
      </c>
      <c r="X404" s="24">
        <f>IFERROR(W404/W444, "NA")</f>
        <v>-3.1181443548875749</v>
      </c>
      <c r="Y404" s="25"/>
      <c r="Z404" s="23">
        <f>IFERROR(Z345-Z403, "NA")</f>
        <v>-6154.5900000000074</v>
      </c>
      <c r="AA404" s="24">
        <f>IFERROR(Z404/Z444, "NA")</f>
        <v>-9.6434626834240741E-2</v>
      </c>
      <c r="AB404" s="25"/>
      <c r="AC404" s="23">
        <f>IFERROR(Q404-Z404, "NA")</f>
        <v>-2241.8999999999687</v>
      </c>
      <c r="AD404" s="24">
        <f>IFERROR(AC404/AC444, "NA")</f>
        <v>-0.5514817119818477</v>
      </c>
    </row>
    <row r="405" spans="1:30" ht="16.5" customHeight="1" x14ac:dyDescent="0.45">
      <c r="A405" s="1" t="s">
        <v>371</v>
      </c>
      <c r="B405" s="2"/>
      <c r="C405" s="3"/>
      <c r="D405" s="4"/>
      <c r="E405" s="2"/>
      <c r="F405" s="3"/>
      <c r="G405" s="4"/>
      <c r="H405" s="2"/>
      <c r="I405" s="3"/>
      <c r="J405" s="4"/>
      <c r="K405" s="2"/>
      <c r="L405" s="3"/>
      <c r="M405" s="4"/>
      <c r="N405" s="2"/>
      <c r="O405" s="3"/>
      <c r="P405" s="4"/>
      <c r="Q405" s="2"/>
      <c r="R405" s="3"/>
      <c r="S405" s="4"/>
      <c r="T405" s="2"/>
      <c r="U405" s="3"/>
      <c r="V405" s="4"/>
      <c r="W405" s="2"/>
      <c r="X405" s="3"/>
      <c r="Y405" s="4"/>
      <c r="Z405" s="2"/>
      <c r="AA405" s="3"/>
      <c r="AB405" s="4"/>
      <c r="AC405" s="2"/>
      <c r="AD405" s="3"/>
    </row>
    <row r="406" spans="1:30" ht="16.5" customHeight="1" x14ac:dyDescent="0.45">
      <c r="A406" s="5" t="s">
        <v>372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45">
      <c r="A407" s="6" t="s">
        <v>372</v>
      </c>
      <c r="B407" s="7">
        <v>0</v>
      </c>
      <c r="C407" s="8">
        <f>IFERROR(B407/B444, "NA")</f>
        <v>0</v>
      </c>
      <c r="D407" s="9"/>
      <c r="E407" s="7">
        <v>3867.66</v>
      </c>
      <c r="F407" s="8">
        <f>IFERROR(E407/E444, "NA")</f>
        <v>5.897939596007469E-2</v>
      </c>
      <c r="G407" s="9"/>
      <c r="H407" s="10">
        <f t="shared" ref="H407:H429" si="100">IFERROR(-(B407-E407), "NA")</f>
        <v>3867.66</v>
      </c>
      <c r="I407" s="8">
        <f>IFERROR(H407/H444, "NA")</f>
        <v>1.6742102210255658</v>
      </c>
      <c r="J407" s="9"/>
      <c r="K407" s="7">
        <v>0</v>
      </c>
      <c r="L407" s="8">
        <f>IFERROR(K407/K444, "NA")</f>
        <v>0</v>
      </c>
      <c r="M407" s="9"/>
      <c r="N407" s="10">
        <f t="shared" ref="N407:N429" si="101">IFERROR(-(B407-K407), "NA")</f>
        <v>0</v>
      </c>
      <c r="O407" s="8">
        <f>IFERROR(N407/N444, "NA")</f>
        <v>0</v>
      </c>
      <c r="P407" s="9"/>
      <c r="Q407" s="7">
        <v>0</v>
      </c>
      <c r="R407" s="8">
        <f>IFERROR(Q407/Q444, "NA")</f>
        <v>0</v>
      </c>
      <c r="S407" s="9"/>
      <c r="T407" s="7">
        <v>3867.66</v>
      </c>
      <c r="U407" s="8">
        <f>IFERROR(T407/T444, "NA")</f>
        <v>5.897939596007469E-2</v>
      </c>
      <c r="V407" s="9"/>
      <c r="W407" s="10">
        <f t="shared" ref="W407:W429" si="102">IFERROR(-(Q407-T407), "NA")</f>
        <v>3867.66</v>
      </c>
      <c r="X407" s="8">
        <f>IFERROR(W407/W444, "NA")</f>
        <v>1.6742102210255658</v>
      </c>
      <c r="Y407" s="9"/>
      <c r="Z407" s="7">
        <v>0</v>
      </c>
      <c r="AA407" s="8">
        <f>IFERROR(Z407/Z444, "NA")</f>
        <v>0</v>
      </c>
      <c r="AB407" s="9"/>
      <c r="AC407" s="10">
        <f t="shared" ref="AC407:AC429" si="103">IFERROR(-(Q407-Z407), "NA")</f>
        <v>0</v>
      </c>
      <c r="AD407" s="8">
        <f>IFERROR(AC407/AC444, "NA")</f>
        <v>0</v>
      </c>
    </row>
    <row r="408" spans="1:30" ht="16.5" hidden="1" customHeight="1" x14ac:dyDescent="0.45">
      <c r="A408" s="6" t="s">
        <v>373</v>
      </c>
      <c r="B408" s="7">
        <v>0</v>
      </c>
      <c r="C408" s="8">
        <f>IFERROR(B408/B444, "NA")</f>
        <v>0</v>
      </c>
      <c r="D408" s="9"/>
      <c r="E408" s="7">
        <v>0</v>
      </c>
      <c r="F408" s="8">
        <f>IFERROR(E408/E444, "NA")</f>
        <v>0</v>
      </c>
      <c r="G408" s="9"/>
      <c r="H408" s="10">
        <f t="shared" si="100"/>
        <v>0</v>
      </c>
      <c r="I408" s="8">
        <f>IFERROR(H408/H444, "NA")</f>
        <v>0</v>
      </c>
      <c r="J408" s="9"/>
      <c r="K408" s="7">
        <v>0</v>
      </c>
      <c r="L408" s="8">
        <f>IFERROR(K408/K444, "NA")</f>
        <v>0</v>
      </c>
      <c r="M408" s="9"/>
      <c r="N408" s="10">
        <f t="shared" si="101"/>
        <v>0</v>
      </c>
      <c r="O408" s="8">
        <f>IFERROR(N408/N444, "NA")</f>
        <v>0</v>
      </c>
      <c r="P408" s="9"/>
      <c r="Q408" s="7">
        <v>0</v>
      </c>
      <c r="R408" s="8">
        <f>IFERROR(Q408/Q444, "NA")</f>
        <v>0</v>
      </c>
      <c r="S408" s="9"/>
      <c r="T408" s="7">
        <v>0</v>
      </c>
      <c r="U408" s="8">
        <f>IFERROR(T408/T444, "NA")</f>
        <v>0</v>
      </c>
      <c r="V408" s="9"/>
      <c r="W408" s="10">
        <f t="shared" si="102"/>
        <v>0</v>
      </c>
      <c r="X408" s="8">
        <f>IFERROR(W408/W444, "NA")</f>
        <v>0</v>
      </c>
      <c r="Y408" s="9"/>
      <c r="Z408" s="7">
        <v>0</v>
      </c>
      <c r="AA408" s="8">
        <f>IFERROR(Z408/Z444, "NA")</f>
        <v>0</v>
      </c>
      <c r="AB408" s="9"/>
      <c r="AC408" s="10">
        <f t="shared" si="103"/>
        <v>0</v>
      </c>
      <c r="AD408" s="8">
        <f>IFERROR(AC408/AC444, "NA")</f>
        <v>0</v>
      </c>
    </row>
    <row r="409" spans="1:30" ht="16.5" hidden="1" customHeight="1" x14ac:dyDescent="0.45">
      <c r="A409" s="6" t="s">
        <v>374</v>
      </c>
      <c r="B409" s="7">
        <v>0</v>
      </c>
      <c r="C409" s="8">
        <f>IFERROR(B409/B444, "NA")</f>
        <v>0</v>
      </c>
      <c r="D409" s="9"/>
      <c r="E409" s="7">
        <v>0</v>
      </c>
      <c r="F409" s="8">
        <f>IFERROR(E409/E444, "NA")</f>
        <v>0</v>
      </c>
      <c r="G409" s="9"/>
      <c r="H409" s="10">
        <f t="shared" si="100"/>
        <v>0</v>
      </c>
      <c r="I409" s="8">
        <f>IFERROR(H409/H444, "NA")</f>
        <v>0</v>
      </c>
      <c r="J409" s="9"/>
      <c r="K409" s="7">
        <v>0</v>
      </c>
      <c r="L409" s="8">
        <f>IFERROR(K409/K444, "NA")</f>
        <v>0</v>
      </c>
      <c r="M409" s="9"/>
      <c r="N409" s="10">
        <f t="shared" si="101"/>
        <v>0</v>
      </c>
      <c r="O409" s="8">
        <f>IFERROR(N409/N444, "NA")</f>
        <v>0</v>
      </c>
      <c r="P409" s="9"/>
      <c r="Q409" s="7">
        <v>0</v>
      </c>
      <c r="R409" s="8">
        <f>IFERROR(Q409/Q444, "NA")</f>
        <v>0</v>
      </c>
      <c r="S409" s="9"/>
      <c r="T409" s="7">
        <v>0</v>
      </c>
      <c r="U409" s="8">
        <f>IFERROR(T409/T444, "NA")</f>
        <v>0</v>
      </c>
      <c r="V409" s="9"/>
      <c r="W409" s="10">
        <f t="shared" si="102"/>
        <v>0</v>
      </c>
      <c r="X409" s="8">
        <f>IFERROR(W409/W444, "NA")</f>
        <v>0</v>
      </c>
      <c r="Y409" s="9"/>
      <c r="Z409" s="7">
        <v>0</v>
      </c>
      <c r="AA409" s="8">
        <f>IFERROR(Z409/Z444, "NA")</f>
        <v>0</v>
      </c>
      <c r="AB409" s="9"/>
      <c r="AC409" s="10">
        <f t="shared" si="103"/>
        <v>0</v>
      </c>
      <c r="AD409" s="8">
        <f>IFERROR(AC409/AC444, "NA")</f>
        <v>0</v>
      </c>
    </row>
    <row r="410" spans="1:30" ht="16.5" customHeight="1" x14ac:dyDescent="0.45">
      <c r="A410" s="6" t="s">
        <v>375</v>
      </c>
      <c r="B410" s="7">
        <v>4735.63</v>
      </c>
      <c r="C410" s="8">
        <f>IFERROR(B410/B444, "NA")</f>
        <v>6.9757949286015197E-2</v>
      </c>
      <c r="D410" s="9"/>
      <c r="E410" s="7">
        <v>0</v>
      </c>
      <c r="F410" s="8">
        <f>IFERROR(E410/E444, "NA")</f>
        <v>0</v>
      </c>
      <c r="G410" s="9"/>
      <c r="H410" s="10">
        <f t="shared" si="100"/>
        <v>-4735.63</v>
      </c>
      <c r="I410" s="8">
        <f>IFERROR(H410/H444, "NA")</f>
        <v>-2.0499320387508986</v>
      </c>
      <c r="J410" s="9"/>
      <c r="K410" s="7">
        <v>3786.64</v>
      </c>
      <c r="L410" s="8">
        <f>IFERROR(K410/K444, "NA")</f>
        <v>5.9331850757826099E-2</v>
      </c>
      <c r="M410" s="9"/>
      <c r="N410" s="10">
        <f t="shared" si="101"/>
        <v>-948.99000000000024</v>
      </c>
      <c r="O410" s="8">
        <f>IFERROR(N410/N444, "NA")</f>
        <v>-0.23344066633376204</v>
      </c>
      <c r="P410" s="9"/>
      <c r="Q410" s="7">
        <v>4735.63</v>
      </c>
      <c r="R410" s="8">
        <f>IFERROR(Q410/Q444, "NA")</f>
        <v>6.9757949286015197E-2</v>
      </c>
      <c r="S410" s="9"/>
      <c r="T410" s="7">
        <v>0</v>
      </c>
      <c r="U410" s="8">
        <f>IFERROR(T410/T444, "NA")</f>
        <v>0</v>
      </c>
      <c r="V410" s="9"/>
      <c r="W410" s="10">
        <f t="shared" si="102"/>
        <v>-4735.63</v>
      </c>
      <c r="X410" s="8">
        <f>IFERROR(W410/W444, "NA")</f>
        <v>-2.0499320387508986</v>
      </c>
      <c r="Y410" s="9"/>
      <c r="Z410" s="7">
        <v>3786.64</v>
      </c>
      <c r="AA410" s="8">
        <f>IFERROR(Z410/Z444, "NA")</f>
        <v>5.9331850757826099E-2</v>
      </c>
      <c r="AB410" s="9"/>
      <c r="AC410" s="10">
        <f t="shared" si="103"/>
        <v>-948.99000000000024</v>
      </c>
      <c r="AD410" s="8">
        <f>IFERROR(AC410/AC444, "NA")</f>
        <v>-0.23344066633376204</v>
      </c>
    </row>
    <row r="411" spans="1:30" ht="16.5" hidden="1" customHeight="1" x14ac:dyDescent="0.45">
      <c r="A411" s="6" t="s">
        <v>376</v>
      </c>
      <c r="B411" s="7">
        <v>0</v>
      </c>
      <c r="C411" s="8">
        <f>IFERROR(B411/B444, "NA")</f>
        <v>0</v>
      </c>
      <c r="D411" s="9"/>
      <c r="E411" s="7">
        <v>0</v>
      </c>
      <c r="F411" s="8">
        <f>IFERROR(E411/E444, "NA")</f>
        <v>0</v>
      </c>
      <c r="G411" s="9"/>
      <c r="H411" s="10">
        <f t="shared" si="100"/>
        <v>0</v>
      </c>
      <c r="I411" s="8">
        <f>IFERROR(H411/H444, "NA")</f>
        <v>0</v>
      </c>
      <c r="J411" s="9"/>
      <c r="K411" s="7">
        <v>0</v>
      </c>
      <c r="L411" s="8">
        <f>IFERROR(K411/K444, "NA")</f>
        <v>0</v>
      </c>
      <c r="M411" s="9"/>
      <c r="N411" s="10">
        <f t="shared" si="101"/>
        <v>0</v>
      </c>
      <c r="O411" s="8">
        <f>IFERROR(N411/N444, "NA")</f>
        <v>0</v>
      </c>
      <c r="P411" s="9"/>
      <c r="Q411" s="7">
        <v>0</v>
      </c>
      <c r="R411" s="8">
        <f>IFERROR(Q411/Q444, "NA")</f>
        <v>0</v>
      </c>
      <c r="S411" s="9"/>
      <c r="T411" s="7">
        <v>0</v>
      </c>
      <c r="U411" s="8">
        <f>IFERROR(T411/T444, "NA")</f>
        <v>0</v>
      </c>
      <c r="V411" s="9"/>
      <c r="W411" s="10">
        <f t="shared" si="102"/>
        <v>0</v>
      </c>
      <c r="X411" s="8">
        <f>IFERROR(W411/W444, "NA")</f>
        <v>0</v>
      </c>
      <c r="Y411" s="9"/>
      <c r="Z411" s="7">
        <v>0</v>
      </c>
      <c r="AA411" s="8">
        <f>IFERROR(Z411/Z444, "NA")</f>
        <v>0</v>
      </c>
      <c r="AB411" s="9"/>
      <c r="AC411" s="10">
        <f t="shared" si="103"/>
        <v>0</v>
      </c>
      <c r="AD411" s="8">
        <f>IFERROR(AC411/AC444, "NA")</f>
        <v>0</v>
      </c>
    </row>
    <row r="412" spans="1:30" ht="16.5" hidden="1" customHeight="1" x14ac:dyDescent="0.45">
      <c r="A412" s="6" t="s">
        <v>377</v>
      </c>
      <c r="B412" s="7">
        <v>0</v>
      </c>
      <c r="C412" s="8">
        <f>IFERROR(B412/B444, "NA")</f>
        <v>0</v>
      </c>
      <c r="D412" s="9"/>
      <c r="E412" s="7">
        <v>0</v>
      </c>
      <c r="F412" s="8">
        <f>IFERROR(E412/E444, "NA")</f>
        <v>0</v>
      </c>
      <c r="G412" s="9"/>
      <c r="H412" s="10">
        <f t="shared" si="100"/>
        <v>0</v>
      </c>
      <c r="I412" s="8">
        <f>IFERROR(H412/H444, "NA")</f>
        <v>0</v>
      </c>
      <c r="J412" s="9"/>
      <c r="K412" s="7">
        <v>0</v>
      </c>
      <c r="L412" s="8">
        <f>IFERROR(K412/K444, "NA")</f>
        <v>0</v>
      </c>
      <c r="M412" s="9"/>
      <c r="N412" s="10">
        <f t="shared" si="101"/>
        <v>0</v>
      </c>
      <c r="O412" s="8">
        <f>IFERROR(N412/N444, "NA")</f>
        <v>0</v>
      </c>
      <c r="P412" s="9"/>
      <c r="Q412" s="7">
        <v>0</v>
      </c>
      <c r="R412" s="8">
        <f>IFERROR(Q412/Q444, "NA")</f>
        <v>0</v>
      </c>
      <c r="S412" s="9"/>
      <c r="T412" s="7">
        <v>0</v>
      </c>
      <c r="U412" s="8">
        <f>IFERROR(T412/T444, "NA")</f>
        <v>0</v>
      </c>
      <c r="V412" s="9"/>
      <c r="W412" s="10">
        <f t="shared" si="102"/>
        <v>0</v>
      </c>
      <c r="X412" s="8">
        <f>IFERROR(W412/W444, "NA")</f>
        <v>0</v>
      </c>
      <c r="Y412" s="9"/>
      <c r="Z412" s="7">
        <v>0</v>
      </c>
      <c r="AA412" s="8">
        <f>IFERROR(Z412/Z444, "NA")</f>
        <v>0</v>
      </c>
      <c r="AB412" s="9"/>
      <c r="AC412" s="10">
        <f t="shared" si="103"/>
        <v>0</v>
      </c>
      <c r="AD412" s="8">
        <f>IFERROR(AC412/AC444, "NA")</f>
        <v>0</v>
      </c>
    </row>
    <row r="413" spans="1:30" ht="16.5" hidden="1" customHeight="1" x14ac:dyDescent="0.45">
      <c r="A413" s="6" t="s">
        <v>378</v>
      </c>
      <c r="B413" s="7">
        <v>0</v>
      </c>
      <c r="C413" s="8">
        <f>IFERROR(B413/B444, "NA")</f>
        <v>0</v>
      </c>
      <c r="D413" s="9"/>
      <c r="E413" s="7">
        <v>0</v>
      </c>
      <c r="F413" s="8">
        <f>IFERROR(E413/E444, "NA")</f>
        <v>0</v>
      </c>
      <c r="G413" s="9"/>
      <c r="H413" s="10">
        <f t="shared" si="100"/>
        <v>0</v>
      </c>
      <c r="I413" s="8">
        <f>IFERROR(H413/H444, "NA")</f>
        <v>0</v>
      </c>
      <c r="J413" s="9"/>
      <c r="K413" s="7">
        <v>0</v>
      </c>
      <c r="L413" s="8">
        <f>IFERROR(K413/K444, "NA")</f>
        <v>0</v>
      </c>
      <c r="M413" s="9"/>
      <c r="N413" s="10">
        <f t="shared" si="101"/>
        <v>0</v>
      </c>
      <c r="O413" s="8">
        <f>IFERROR(N413/N444, "NA")</f>
        <v>0</v>
      </c>
      <c r="P413" s="9"/>
      <c r="Q413" s="7">
        <v>0</v>
      </c>
      <c r="R413" s="8">
        <f>IFERROR(Q413/Q444, "NA")</f>
        <v>0</v>
      </c>
      <c r="S413" s="9"/>
      <c r="T413" s="7">
        <v>0</v>
      </c>
      <c r="U413" s="8">
        <f>IFERROR(T413/T444, "NA")</f>
        <v>0</v>
      </c>
      <c r="V413" s="9"/>
      <c r="W413" s="10">
        <f t="shared" si="102"/>
        <v>0</v>
      </c>
      <c r="X413" s="8">
        <f>IFERROR(W413/W444, "NA")</f>
        <v>0</v>
      </c>
      <c r="Y413" s="9"/>
      <c r="Z413" s="7">
        <v>0</v>
      </c>
      <c r="AA413" s="8">
        <f>IFERROR(Z413/Z444, "NA")</f>
        <v>0</v>
      </c>
      <c r="AB413" s="9"/>
      <c r="AC413" s="10">
        <f t="shared" si="103"/>
        <v>0</v>
      </c>
      <c r="AD413" s="8">
        <f>IFERROR(AC413/AC444, "NA")</f>
        <v>0</v>
      </c>
    </row>
    <row r="414" spans="1:30" ht="16.5" hidden="1" customHeight="1" x14ac:dyDescent="0.45">
      <c r="A414" s="6" t="s">
        <v>379</v>
      </c>
      <c r="B414" s="7">
        <v>0</v>
      </c>
      <c r="C414" s="8">
        <f>IFERROR(B414/B444, "NA")</f>
        <v>0</v>
      </c>
      <c r="D414" s="9"/>
      <c r="E414" s="7">
        <v>0</v>
      </c>
      <c r="F414" s="8">
        <f>IFERROR(E414/E444, "NA")</f>
        <v>0</v>
      </c>
      <c r="G414" s="9"/>
      <c r="H414" s="10">
        <f t="shared" si="100"/>
        <v>0</v>
      </c>
      <c r="I414" s="8">
        <f>IFERROR(H414/H444, "NA")</f>
        <v>0</v>
      </c>
      <c r="J414" s="9"/>
      <c r="K414" s="7">
        <v>0</v>
      </c>
      <c r="L414" s="8">
        <f>IFERROR(K414/K444, "NA")</f>
        <v>0</v>
      </c>
      <c r="M414" s="9"/>
      <c r="N414" s="10">
        <f t="shared" si="101"/>
        <v>0</v>
      </c>
      <c r="O414" s="8">
        <f>IFERROR(N414/N444, "NA")</f>
        <v>0</v>
      </c>
      <c r="P414" s="9"/>
      <c r="Q414" s="7">
        <v>0</v>
      </c>
      <c r="R414" s="8">
        <f>IFERROR(Q414/Q444, "NA")</f>
        <v>0</v>
      </c>
      <c r="S414" s="9"/>
      <c r="T414" s="7">
        <v>0</v>
      </c>
      <c r="U414" s="8">
        <f>IFERROR(T414/T444, "NA")</f>
        <v>0</v>
      </c>
      <c r="V414" s="9"/>
      <c r="W414" s="10">
        <f t="shared" si="102"/>
        <v>0</v>
      </c>
      <c r="X414" s="8">
        <f>IFERROR(W414/W444, "NA")</f>
        <v>0</v>
      </c>
      <c r="Y414" s="9"/>
      <c r="Z414" s="7">
        <v>0</v>
      </c>
      <c r="AA414" s="8">
        <f>IFERROR(Z414/Z444, "NA")</f>
        <v>0</v>
      </c>
      <c r="AB414" s="9"/>
      <c r="AC414" s="10">
        <f t="shared" si="103"/>
        <v>0</v>
      </c>
      <c r="AD414" s="8">
        <f>IFERROR(AC414/AC444, "NA")</f>
        <v>0</v>
      </c>
    </row>
    <row r="415" spans="1:30" ht="16.5" hidden="1" customHeight="1" x14ac:dyDescent="0.45">
      <c r="A415" s="6" t="s">
        <v>380</v>
      </c>
      <c r="B415" s="7">
        <v>0</v>
      </c>
      <c r="C415" s="8">
        <f>IFERROR(B415/B444, "NA")</f>
        <v>0</v>
      </c>
      <c r="D415" s="9"/>
      <c r="E415" s="7">
        <v>0</v>
      </c>
      <c r="F415" s="8">
        <f>IFERROR(E415/E444, "NA")</f>
        <v>0</v>
      </c>
      <c r="G415" s="9"/>
      <c r="H415" s="10">
        <f t="shared" si="100"/>
        <v>0</v>
      </c>
      <c r="I415" s="8">
        <f>IFERROR(H415/H444, "NA")</f>
        <v>0</v>
      </c>
      <c r="J415" s="9"/>
      <c r="K415" s="7">
        <v>0</v>
      </c>
      <c r="L415" s="8">
        <f>IFERROR(K415/K444, "NA")</f>
        <v>0</v>
      </c>
      <c r="M415" s="9"/>
      <c r="N415" s="10">
        <f t="shared" si="101"/>
        <v>0</v>
      </c>
      <c r="O415" s="8">
        <f>IFERROR(N415/N444, "NA")</f>
        <v>0</v>
      </c>
      <c r="P415" s="9"/>
      <c r="Q415" s="7">
        <v>0</v>
      </c>
      <c r="R415" s="8">
        <f>IFERROR(Q415/Q444, "NA")</f>
        <v>0</v>
      </c>
      <c r="S415" s="9"/>
      <c r="T415" s="7">
        <v>0</v>
      </c>
      <c r="U415" s="8">
        <f>IFERROR(T415/T444, "NA")</f>
        <v>0</v>
      </c>
      <c r="V415" s="9"/>
      <c r="W415" s="10">
        <f t="shared" si="102"/>
        <v>0</v>
      </c>
      <c r="X415" s="8">
        <f>IFERROR(W415/W444, "NA")</f>
        <v>0</v>
      </c>
      <c r="Y415" s="9"/>
      <c r="Z415" s="7">
        <v>0</v>
      </c>
      <c r="AA415" s="8">
        <f>IFERROR(Z415/Z444, "NA")</f>
        <v>0</v>
      </c>
      <c r="AB415" s="9"/>
      <c r="AC415" s="10">
        <f t="shared" si="103"/>
        <v>0</v>
      </c>
      <c r="AD415" s="8">
        <f>IFERROR(AC415/AC444, "NA")</f>
        <v>0</v>
      </c>
    </row>
    <row r="416" spans="1:30" ht="16.5" hidden="1" customHeight="1" x14ac:dyDescent="0.45">
      <c r="A416" s="6" t="s">
        <v>381</v>
      </c>
      <c r="B416" s="7">
        <v>0</v>
      </c>
      <c r="C416" s="8">
        <f>IFERROR(B416/B444, "NA")</f>
        <v>0</v>
      </c>
      <c r="D416" s="9"/>
      <c r="E416" s="7">
        <v>0</v>
      </c>
      <c r="F416" s="8">
        <f>IFERROR(E416/E444, "NA")</f>
        <v>0</v>
      </c>
      <c r="G416" s="9"/>
      <c r="H416" s="10">
        <f t="shared" si="100"/>
        <v>0</v>
      </c>
      <c r="I416" s="8">
        <f>IFERROR(H416/H444, "NA")</f>
        <v>0</v>
      </c>
      <c r="J416" s="9"/>
      <c r="K416" s="7">
        <v>0</v>
      </c>
      <c r="L416" s="8">
        <f>IFERROR(K416/K444, "NA")</f>
        <v>0</v>
      </c>
      <c r="M416" s="9"/>
      <c r="N416" s="10">
        <f t="shared" si="101"/>
        <v>0</v>
      </c>
      <c r="O416" s="8">
        <f>IFERROR(N416/N444, "NA")</f>
        <v>0</v>
      </c>
      <c r="P416" s="9"/>
      <c r="Q416" s="7">
        <v>0</v>
      </c>
      <c r="R416" s="8">
        <f>IFERROR(Q416/Q444, "NA")</f>
        <v>0</v>
      </c>
      <c r="S416" s="9"/>
      <c r="T416" s="7">
        <v>0</v>
      </c>
      <c r="U416" s="8">
        <f>IFERROR(T416/T444, "NA")</f>
        <v>0</v>
      </c>
      <c r="V416" s="9"/>
      <c r="W416" s="10">
        <f t="shared" si="102"/>
        <v>0</v>
      </c>
      <c r="X416" s="8">
        <f>IFERROR(W416/W444, "NA")</f>
        <v>0</v>
      </c>
      <c r="Y416" s="9"/>
      <c r="Z416" s="7">
        <v>0</v>
      </c>
      <c r="AA416" s="8">
        <f>IFERROR(Z416/Z444, "NA")</f>
        <v>0</v>
      </c>
      <c r="AB416" s="9"/>
      <c r="AC416" s="10">
        <f t="shared" si="103"/>
        <v>0</v>
      </c>
      <c r="AD416" s="8">
        <f>IFERROR(AC416/AC444, "NA")</f>
        <v>0</v>
      </c>
    </row>
    <row r="417" spans="1:30" ht="16.5" customHeight="1" x14ac:dyDescent="0.45">
      <c r="A417" s="6" t="s">
        <v>382</v>
      </c>
      <c r="B417" s="7">
        <v>-1.89</v>
      </c>
      <c r="C417" s="8">
        <f>IFERROR(B417/B444, "NA")</f>
        <v>-2.7840545851464056E-5</v>
      </c>
      <c r="D417" s="9"/>
      <c r="E417" s="7">
        <v>0</v>
      </c>
      <c r="F417" s="8">
        <f>IFERROR(E417/E444, "NA")</f>
        <v>0</v>
      </c>
      <c r="G417" s="9"/>
      <c r="H417" s="10">
        <f t="shared" si="100"/>
        <v>1.89</v>
      </c>
      <c r="I417" s="8">
        <f>IFERROR(H417/H444, "NA")</f>
        <v>8.1813223441003593E-4</v>
      </c>
      <c r="J417" s="9"/>
      <c r="K417" s="7">
        <v>72.64</v>
      </c>
      <c r="L417" s="8">
        <f>IFERROR(K417/K444, "NA")</f>
        <v>1.1381767580357488E-3</v>
      </c>
      <c r="M417" s="9"/>
      <c r="N417" s="10">
        <f t="shared" si="101"/>
        <v>74.53</v>
      </c>
      <c r="O417" s="8">
        <f>IFERROR(N417/N444, "NA")</f>
        <v>1.8333526024357772E-2</v>
      </c>
      <c r="P417" s="9"/>
      <c r="Q417" s="7">
        <v>-1.89</v>
      </c>
      <c r="R417" s="8">
        <f>IFERROR(Q417/Q444, "NA")</f>
        <v>-2.7840545851464056E-5</v>
      </c>
      <c r="S417" s="9"/>
      <c r="T417" s="7">
        <v>0</v>
      </c>
      <c r="U417" s="8">
        <f>IFERROR(T417/T444, "NA")</f>
        <v>0</v>
      </c>
      <c r="V417" s="9"/>
      <c r="W417" s="10">
        <f t="shared" si="102"/>
        <v>1.89</v>
      </c>
      <c r="X417" s="8">
        <f>IFERROR(W417/W444, "NA")</f>
        <v>8.1813223441003593E-4</v>
      </c>
      <c r="Y417" s="9"/>
      <c r="Z417" s="7">
        <v>72.64</v>
      </c>
      <c r="AA417" s="8">
        <f>IFERROR(Z417/Z444, "NA")</f>
        <v>1.1381767580357488E-3</v>
      </c>
      <c r="AB417" s="9"/>
      <c r="AC417" s="10">
        <f t="shared" si="103"/>
        <v>74.53</v>
      </c>
      <c r="AD417" s="8">
        <f>IFERROR(AC417/AC444, "NA")</f>
        <v>1.8333526024357772E-2</v>
      </c>
    </row>
    <row r="418" spans="1:30" ht="16.5" hidden="1" customHeight="1" x14ac:dyDescent="0.45">
      <c r="A418" s="6" t="s">
        <v>383</v>
      </c>
      <c r="B418" s="7">
        <v>0</v>
      </c>
      <c r="C418" s="8">
        <f>IFERROR(B418/B444, "NA")</f>
        <v>0</v>
      </c>
      <c r="D418" s="9"/>
      <c r="E418" s="7">
        <v>0</v>
      </c>
      <c r="F418" s="8">
        <f>IFERROR(E418/E444, "NA")</f>
        <v>0</v>
      </c>
      <c r="G418" s="9"/>
      <c r="H418" s="10">
        <f t="shared" si="100"/>
        <v>0</v>
      </c>
      <c r="I418" s="8">
        <f>IFERROR(H418/H444, "NA")</f>
        <v>0</v>
      </c>
      <c r="J418" s="9"/>
      <c r="K418" s="7">
        <v>0</v>
      </c>
      <c r="L418" s="8">
        <f>IFERROR(K418/K444, "NA")</f>
        <v>0</v>
      </c>
      <c r="M418" s="9"/>
      <c r="N418" s="10">
        <f t="shared" si="101"/>
        <v>0</v>
      </c>
      <c r="O418" s="8">
        <f>IFERROR(N418/N444, "NA")</f>
        <v>0</v>
      </c>
      <c r="P418" s="9"/>
      <c r="Q418" s="7">
        <v>0</v>
      </c>
      <c r="R418" s="8">
        <f>IFERROR(Q418/Q444, "NA")</f>
        <v>0</v>
      </c>
      <c r="S418" s="9"/>
      <c r="T418" s="7">
        <v>0</v>
      </c>
      <c r="U418" s="8">
        <f>IFERROR(T418/T444, "NA")</f>
        <v>0</v>
      </c>
      <c r="V418" s="9"/>
      <c r="W418" s="10">
        <f t="shared" si="102"/>
        <v>0</v>
      </c>
      <c r="X418" s="8">
        <f>IFERROR(W418/W444, "NA")</f>
        <v>0</v>
      </c>
      <c r="Y418" s="9"/>
      <c r="Z418" s="7">
        <v>0</v>
      </c>
      <c r="AA418" s="8">
        <f>IFERROR(Z418/Z444, "NA")</f>
        <v>0</v>
      </c>
      <c r="AB418" s="9"/>
      <c r="AC418" s="10">
        <f t="shared" si="103"/>
        <v>0</v>
      </c>
      <c r="AD418" s="8">
        <f>IFERROR(AC418/AC444, "NA")</f>
        <v>0</v>
      </c>
    </row>
    <row r="419" spans="1:30" ht="16.5" hidden="1" customHeight="1" x14ac:dyDescent="0.45">
      <c r="A419" s="6" t="s">
        <v>384</v>
      </c>
      <c r="B419" s="7">
        <v>0</v>
      </c>
      <c r="C419" s="8">
        <f>IFERROR(B419/B444, "NA")</f>
        <v>0</v>
      </c>
      <c r="D419" s="9"/>
      <c r="E419" s="7">
        <v>0</v>
      </c>
      <c r="F419" s="8">
        <f>IFERROR(E419/E444, "NA")</f>
        <v>0</v>
      </c>
      <c r="G419" s="9"/>
      <c r="H419" s="10">
        <f t="shared" si="100"/>
        <v>0</v>
      </c>
      <c r="I419" s="8">
        <f>IFERROR(H419/H444, "NA")</f>
        <v>0</v>
      </c>
      <c r="J419" s="9"/>
      <c r="K419" s="7">
        <v>0</v>
      </c>
      <c r="L419" s="8">
        <f>IFERROR(K419/K444, "NA")</f>
        <v>0</v>
      </c>
      <c r="M419" s="9"/>
      <c r="N419" s="10">
        <f t="shared" si="101"/>
        <v>0</v>
      </c>
      <c r="O419" s="8">
        <f>IFERROR(N419/N444, "NA")</f>
        <v>0</v>
      </c>
      <c r="P419" s="9"/>
      <c r="Q419" s="7">
        <v>0</v>
      </c>
      <c r="R419" s="8">
        <f>IFERROR(Q419/Q444, "NA")</f>
        <v>0</v>
      </c>
      <c r="S419" s="9"/>
      <c r="T419" s="7">
        <v>0</v>
      </c>
      <c r="U419" s="8">
        <f>IFERROR(T419/T444, "NA")</f>
        <v>0</v>
      </c>
      <c r="V419" s="9"/>
      <c r="W419" s="10">
        <f t="shared" si="102"/>
        <v>0</v>
      </c>
      <c r="X419" s="8">
        <f>IFERROR(W419/W444, "NA")</f>
        <v>0</v>
      </c>
      <c r="Y419" s="9"/>
      <c r="Z419" s="7">
        <v>0</v>
      </c>
      <c r="AA419" s="8">
        <f>IFERROR(Z419/Z444, "NA")</f>
        <v>0</v>
      </c>
      <c r="AB419" s="9"/>
      <c r="AC419" s="10">
        <f t="shared" si="103"/>
        <v>0</v>
      </c>
      <c r="AD419" s="8">
        <f>IFERROR(AC419/AC444, "NA")</f>
        <v>0</v>
      </c>
    </row>
    <row r="420" spans="1:30" ht="16.5" hidden="1" customHeight="1" x14ac:dyDescent="0.45">
      <c r="A420" s="6" t="s">
        <v>385</v>
      </c>
      <c r="B420" s="7">
        <v>0</v>
      </c>
      <c r="C420" s="8">
        <f>IFERROR(B420/B444, "NA")</f>
        <v>0</v>
      </c>
      <c r="D420" s="9"/>
      <c r="E420" s="7">
        <v>0</v>
      </c>
      <c r="F420" s="8">
        <f>IFERROR(E420/E444, "NA")</f>
        <v>0</v>
      </c>
      <c r="G420" s="9"/>
      <c r="H420" s="10">
        <f t="shared" si="100"/>
        <v>0</v>
      </c>
      <c r="I420" s="8">
        <f>IFERROR(H420/H444, "NA")</f>
        <v>0</v>
      </c>
      <c r="J420" s="9"/>
      <c r="K420" s="7">
        <v>0</v>
      </c>
      <c r="L420" s="8">
        <f>IFERROR(K420/K444, "NA")</f>
        <v>0</v>
      </c>
      <c r="M420" s="9"/>
      <c r="N420" s="10">
        <f t="shared" si="101"/>
        <v>0</v>
      </c>
      <c r="O420" s="8">
        <f>IFERROR(N420/N444, "NA")</f>
        <v>0</v>
      </c>
      <c r="P420" s="9"/>
      <c r="Q420" s="7">
        <v>0</v>
      </c>
      <c r="R420" s="8">
        <f>IFERROR(Q420/Q444, "NA")</f>
        <v>0</v>
      </c>
      <c r="S420" s="9"/>
      <c r="T420" s="7">
        <v>0</v>
      </c>
      <c r="U420" s="8">
        <f>IFERROR(T420/T444, "NA")</f>
        <v>0</v>
      </c>
      <c r="V420" s="9"/>
      <c r="W420" s="10">
        <f t="shared" si="102"/>
        <v>0</v>
      </c>
      <c r="X420" s="8">
        <f>IFERROR(W420/W444, "NA")</f>
        <v>0</v>
      </c>
      <c r="Y420" s="9"/>
      <c r="Z420" s="7">
        <v>0</v>
      </c>
      <c r="AA420" s="8">
        <f>IFERROR(Z420/Z444, "NA")</f>
        <v>0</v>
      </c>
      <c r="AB420" s="9"/>
      <c r="AC420" s="10">
        <f t="shared" si="103"/>
        <v>0</v>
      </c>
      <c r="AD420" s="8">
        <f>IFERROR(AC420/AC444, "NA")</f>
        <v>0</v>
      </c>
    </row>
    <row r="421" spans="1:30" ht="16.5" hidden="1" customHeight="1" x14ac:dyDescent="0.45">
      <c r="A421" s="6" t="s">
        <v>386</v>
      </c>
      <c r="B421" s="7">
        <v>0</v>
      </c>
      <c r="C421" s="8">
        <f>IFERROR(B421/B444, "NA")</f>
        <v>0</v>
      </c>
      <c r="D421" s="9"/>
      <c r="E421" s="7">
        <v>0</v>
      </c>
      <c r="F421" s="8">
        <f>IFERROR(E421/E444, "NA")</f>
        <v>0</v>
      </c>
      <c r="G421" s="9"/>
      <c r="H421" s="10">
        <f t="shared" si="100"/>
        <v>0</v>
      </c>
      <c r="I421" s="8">
        <f>IFERROR(H421/H444, "NA")</f>
        <v>0</v>
      </c>
      <c r="J421" s="9"/>
      <c r="K421" s="7">
        <v>0</v>
      </c>
      <c r="L421" s="8">
        <f>IFERROR(K421/K444, "NA")</f>
        <v>0</v>
      </c>
      <c r="M421" s="9"/>
      <c r="N421" s="10">
        <f t="shared" si="101"/>
        <v>0</v>
      </c>
      <c r="O421" s="8">
        <f>IFERROR(N421/N444, "NA")</f>
        <v>0</v>
      </c>
      <c r="P421" s="9"/>
      <c r="Q421" s="7">
        <v>0</v>
      </c>
      <c r="R421" s="8">
        <f>IFERROR(Q421/Q444, "NA")</f>
        <v>0</v>
      </c>
      <c r="S421" s="9"/>
      <c r="T421" s="7">
        <v>0</v>
      </c>
      <c r="U421" s="8">
        <f>IFERROR(T421/T444, "NA")</f>
        <v>0</v>
      </c>
      <c r="V421" s="9"/>
      <c r="W421" s="10">
        <f t="shared" si="102"/>
        <v>0</v>
      </c>
      <c r="X421" s="8">
        <f>IFERROR(W421/W444, "NA")</f>
        <v>0</v>
      </c>
      <c r="Y421" s="9"/>
      <c r="Z421" s="7">
        <v>0</v>
      </c>
      <c r="AA421" s="8">
        <f>IFERROR(Z421/Z444, "NA")</f>
        <v>0</v>
      </c>
      <c r="AB421" s="9"/>
      <c r="AC421" s="10">
        <f t="shared" si="103"/>
        <v>0</v>
      </c>
      <c r="AD421" s="8">
        <f>IFERROR(AC421/AC444, "NA")</f>
        <v>0</v>
      </c>
    </row>
    <row r="422" spans="1:30" ht="16.5" hidden="1" customHeight="1" x14ac:dyDescent="0.45">
      <c r="A422" s="6" t="s">
        <v>387</v>
      </c>
      <c r="B422" s="7">
        <v>0</v>
      </c>
      <c r="C422" s="8">
        <f>IFERROR(B422/B444, "NA")</f>
        <v>0</v>
      </c>
      <c r="D422" s="9"/>
      <c r="E422" s="7">
        <v>0</v>
      </c>
      <c r="F422" s="8">
        <f>IFERROR(E422/E444, "NA")</f>
        <v>0</v>
      </c>
      <c r="G422" s="9"/>
      <c r="H422" s="10">
        <f t="shared" si="100"/>
        <v>0</v>
      </c>
      <c r="I422" s="8">
        <f>IFERROR(H422/H444, "NA")</f>
        <v>0</v>
      </c>
      <c r="J422" s="9"/>
      <c r="K422" s="7">
        <v>0</v>
      </c>
      <c r="L422" s="8">
        <f>IFERROR(K422/K444, "NA")</f>
        <v>0</v>
      </c>
      <c r="M422" s="9"/>
      <c r="N422" s="10">
        <f t="shared" si="101"/>
        <v>0</v>
      </c>
      <c r="O422" s="8">
        <f>IFERROR(N422/N444, "NA")</f>
        <v>0</v>
      </c>
      <c r="P422" s="9"/>
      <c r="Q422" s="7">
        <v>0</v>
      </c>
      <c r="R422" s="8">
        <f>IFERROR(Q422/Q444, "NA")</f>
        <v>0</v>
      </c>
      <c r="S422" s="9"/>
      <c r="T422" s="7">
        <v>0</v>
      </c>
      <c r="U422" s="8">
        <f>IFERROR(T422/T444, "NA")</f>
        <v>0</v>
      </c>
      <c r="V422" s="9"/>
      <c r="W422" s="10">
        <f t="shared" si="102"/>
        <v>0</v>
      </c>
      <c r="X422" s="8">
        <f>IFERROR(W422/W444, "NA")</f>
        <v>0</v>
      </c>
      <c r="Y422" s="9"/>
      <c r="Z422" s="7">
        <v>0</v>
      </c>
      <c r="AA422" s="8">
        <f>IFERROR(Z422/Z444, "NA")</f>
        <v>0</v>
      </c>
      <c r="AB422" s="9"/>
      <c r="AC422" s="10">
        <f t="shared" si="103"/>
        <v>0</v>
      </c>
      <c r="AD422" s="8">
        <f>IFERROR(AC422/AC444, "NA")</f>
        <v>0</v>
      </c>
    </row>
    <row r="423" spans="1:30" ht="16.5" hidden="1" customHeight="1" x14ac:dyDescent="0.45">
      <c r="A423" s="6" t="s">
        <v>388</v>
      </c>
      <c r="B423" s="7">
        <v>0</v>
      </c>
      <c r="C423" s="8">
        <f>IFERROR(B423/B444, "NA")</f>
        <v>0</v>
      </c>
      <c r="D423" s="9"/>
      <c r="E423" s="7">
        <v>0</v>
      </c>
      <c r="F423" s="8">
        <f>IFERROR(E423/E444, "NA")</f>
        <v>0</v>
      </c>
      <c r="G423" s="9"/>
      <c r="H423" s="10">
        <f t="shared" si="100"/>
        <v>0</v>
      </c>
      <c r="I423" s="8">
        <f>IFERROR(H423/H444, "NA")</f>
        <v>0</v>
      </c>
      <c r="J423" s="9"/>
      <c r="K423" s="7">
        <v>0</v>
      </c>
      <c r="L423" s="8">
        <f>IFERROR(K423/K444, "NA")</f>
        <v>0</v>
      </c>
      <c r="M423" s="9"/>
      <c r="N423" s="10">
        <f t="shared" si="101"/>
        <v>0</v>
      </c>
      <c r="O423" s="8">
        <f>IFERROR(N423/N444, "NA")</f>
        <v>0</v>
      </c>
      <c r="P423" s="9"/>
      <c r="Q423" s="7">
        <v>0</v>
      </c>
      <c r="R423" s="8">
        <f>IFERROR(Q423/Q444, "NA")</f>
        <v>0</v>
      </c>
      <c r="S423" s="9"/>
      <c r="T423" s="7">
        <v>0</v>
      </c>
      <c r="U423" s="8">
        <f>IFERROR(T423/T444, "NA")</f>
        <v>0</v>
      </c>
      <c r="V423" s="9"/>
      <c r="W423" s="10">
        <f t="shared" si="102"/>
        <v>0</v>
      </c>
      <c r="X423" s="8">
        <f>IFERROR(W423/W444, "NA")</f>
        <v>0</v>
      </c>
      <c r="Y423" s="9"/>
      <c r="Z423" s="7">
        <v>0</v>
      </c>
      <c r="AA423" s="8">
        <f>IFERROR(Z423/Z444, "NA")</f>
        <v>0</v>
      </c>
      <c r="AB423" s="9"/>
      <c r="AC423" s="10">
        <f t="shared" si="103"/>
        <v>0</v>
      </c>
      <c r="AD423" s="8">
        <f>IFERROR(AC423/AC444, "NA")</f>
        <v>0</v>
      </c>
    </row>
    <row r="424" spans="1:30" ht="16.5" customHeight="1" x14ac:dyDescent="0.45">
      <c r="A424" s="6" t="s">
        <v>389</v>
      </c>
      <c r="B424" s="7">
        <v>67.08</v>
      </c>
      <c r="C424" s="8">
        <f>IFERROR(B424/B444, "NA")</f>
        <v>9.8811842101386707E-4</v>
      </c>
      <c r="D424" s="9"/>
      <c r="E424" s="7">
        <v>0</v>
      </c>
      <c r="F424" s="8">
        <f>IFERROR(E424/E444, "NA")</f>
        <v>0</v>
      </c>
      <c r="G424" s="9"/>
      <c r="H424" s="10">
        <f t="shared" si="100"/>
        <v>-67.08</v>
      </c>
      <c r="I424" s="8">
        <f>IFERROR(H424/H444, "NA")</f>
        <v>-2.9037201208584766E-2</v>
      </c>
      <c r="J424" s="9"/>
      <c r="K424" s="7">
        <v>47.92</v>
      </c>
      <c r="L424" s="8">
        <f>IFERROR(K424/K444, "NA")</f>
        <v>7.5084568068657881E-4</v>
      </c>
      <c r="M424" s="9"/>
      <c r="N424" s="10">
        <f t="shared" si="101"/>
        <v>-19.159999999999997</v>
      </c>
      <c r="O424" s="8">
        <f>IFERROR(N424/N444, "NA")</f>
        <v>-4.7131404619172789E-3</v>
      </c>
      <c r="P424" s="9"/>
      <c r="Q424" s="7">
        <v>67.08</v>
      </c>
      <c r="R424" s="8">
        <f>IFERROR(Q424/Q444, "NA")</f>
        <v>9.8811842101386707E-4</v>
      </c>
      <c r="S424" s="9"/>
      <c r="T424" s="7">
        <v>0</v>
      </c>
      <c r="U424" s="8">
        <f>IFERROR(T424/T444, "NA")</f>
        <v>0</v>
      </c>
      <c r="V424" s="9"/>
      <c r="W424" s="10">
        <f t="shared" si="102"/>
        <v>-67.08</v>
      </c>
      <c r="X424" s="8">
        <f>IFERROR(W424/W444, "NA")</f>
        <v>-2.9037201208584766E-2</v>
      </c>
      <c r="Y424" s="9"/>
      <c r="Z424" s="7">
        <v>47.92</v>
      </c>
      <c r="AA424" s="8">
        <f>IFERROR(Z424/Z444, "NA")</f>
        <v>7.5084568068657881E-4</v>
      </c>
      <c r="AB424" s="9"/>
      <c r="AC424" s="10">
        <f t="shared" si="103"/>
        <v>-19.159999999999997</v>
      </c>
      <c r="AD424" s="8">
        <f>IFERROR(AC424/AC444, "NA")</f>
        <v>-4.7131404619172789E-3</v>
      </c>
    </row>
    <row r="425" spans="1:30" ht="16.5" hidden="1" customHeight="1" x14ac:dyDescent="0.45">
      <c r="A425" s="6" t="s">
        <v>390</v>
      </c>
      <c r="B425" s="7">
        <v>0</v>
      </c>
      <c r="C425" s="8">
        <f>IFERROR(B425/B444, "NA")</f>
        <v>0</v>
      </c>
      <c r="D425" s="9"/>
      <c r="E425" s="7">
        <v>0</v>
      </c>
      <c r="F425" s="8">
        <f>IFERROR(E425/E444, "NA")</f>
        <v>0</v>
      </c>
      <c r="G425" s="9"/>
      <c r="H425" s="10">
        <f t="shared" si="100"/>
        <v>0</v>
      </c>
      <c r="I425" s="8">
        <f>IFERROR(H425/H444, "NA")</f>
        <v>0</v>
      </c>
      <c r="J425" s="9"/>
      <c r="K425" s="7">
        <v>0</v>
      </c>
      <c r="L425" s="8">
        <f>IFERROR(K425/K444, "NA")</f>
        <v>0</v>
      </c>
      <c r="M425" s="9"/>
      <c r="N425" s="10">
        <f t="shared" si="101"/>
        <v>0</v>
      </c>
      <c r="O425" s="8">
        <f>IFERROR(N425/N444, "NA")</f>
        <v>0</v>
      </c>
      <c r="P425" s="9"/>
      <c r="Q425" s="7">
        <v>0</v>
      </c>
      <c r="R425" s="8">
        <f>IFERROR(Q425/Q444, "NA")</f>
        <v>0</v>
      </c>
      <c r="S425" s="9"/>
      <c r="T425" s="7">
        <v>0</v>
      </c>
      <c r="U425" s="8">
        <f>IFERROR(T425/T444, "NA")</f>
        <v>0</v>
      </c>
      <c r="V425" s="9"/>
      <c r="W425" s="10">
        <f t="shared" si="102"/>
        <v>0</v>
      </c>
      <c r="X425" s="8">
        <f>IFERROR(W425/W444, "NA")</f>
        <v>0</v>
      </c>
      <c r="Y425" s="9"/>
      <c r="Z425" s="7">
        <v>0</v>
      </c>
      <c r="AA425" s="8">
        <f>IFERROR(Z425/Z444, "NA")</f>
        <v>0</v>
      </c>
      <c r="AB425" s="9"/>
      <c r="AC425" s="10">
        <f t="shared" si="103"/>
        <v>0</v>
      </c>
      <c r="AD425" s="8">
        <f>IFERROR(AC425/AC444, "NA")</f>
        <v>0</v>
      </c>
    </row>
    <row r="426" spans="1:30" ht="16.5" customHeight="1" x14ac:dyDescent="0.45">
      <c r="A426" s="6" t="s">
        <v>391</v>
      </c>
      <c r="B426" s="7">
        <v>-115.98</v>
      </c>
      <c r="C426" s="8">
        <f>IFERROR(B426/B444, "NA")</f>
        <v>-1.7084373057422229E-3</v>
      </c>
      <c r="D426" s="9"/>
      <c r="E426" s="7">
        <v>0</v>
      </c>
      <c r="F426" s="8">
        <f>IFERROR(E426/E444, "NA")</f>
        <v>0</v>
      </c>
      <c r="G426" s="9"/>
      <c r="H426" s="10">
        <f t="shared" si="100"/>
        <v>115.98</v>
      </c>
      <c r="I426" s="8">
        <f>IFERROR(H426/H444, "NA")</f>
        <v>5.0204749495701577E-2</v>
      </c>
      <c r="J426" s="9"/>
      <c r="K426" s="7">
        <v>-143.05000000000001</v>
      </c>
      <c r="L426" s="8">
        <f>IFERROR(K426/K444, "NA")</f>
        <v>-2.2414122416989798E-3</v>
      </c>
      <c r="M426" s="9"/>
      <c r="N426" s="10">
        <f t="shared" si="101"/>
        <v>-27.070000000000007</v>
      </c>
      <c r="O426" s="8">
        <f>IFERROR(N426/N444, "NA")</f>
        <v>-6.6589098279802089E-3</v>
      </c>
      <c r="P426" s="9"/>
      <c r="Q426" s="7">
        <v>-115.98</v>
      </c>
      <c r="R426" s="8">
        <f>IFERROR(Q426/Q444, "NA")</f>
        <v>-1.7084373057422229E-3</v>
      </c>
      <c r="S426" s="9"/>
      <c r="T426" s="7">
        <v>0</v>
      </c>
      <c r="U426" s="8">
        <f>IFERROR(T426/T444, "NA")</f>
        <v>0</v>
      </c>
      <c r="V426" s="9"/>
      <c r="W426" s="10">
        <f t="shared" si="102"/>
        <v>115.98</v>
      </c>
      <c r="X426" s="8">
        <f>IFERROR(W426/W444, "NA")</f>
        <v>5.0204749495701577E-2</v>
      </c>
      <c r="Y426" s="9"/>
      <c r="Z426" s="7">
        <v>-143.05000000000001</v>
      </c>
      <c r="AA426" s="8">
        <f>IFERROR(Z426/Z444, "NA")</f>
        <v>-2.2414122416989798E-3</v>
      </c>
      <c r="AB426" s="9"/>
      <c r="AC426" s="10">
        <f t="shared" si="103"/>
        <v>-27.070000000000007</v>
      </c>
      <c r="AD426" s="8">
        <f>IFERROR(AC426/AC444, "NA")</f>
        <v>-6.6589098279802089E-3</v>
      </c>
    </row>
    <row r="427" spans="1:30" ht="16.5" hidden="1" customHeight="1" x14ac:dyDescent="0.45">
      <c r="A427" s="6" t="s">
        <v>392</v>
      </c>
      <c r="B427" s="7">
        <v>0</v>
      </c>
      <c r="C427" s="8">
        <f>IFERROR(B427/B444, "NA")</f>
        <v>0</v>
      </c>
      <c r="D427" s="9"/>
      <c r="E427" s="7">
        <v>0</v>
      </c>
      <c r="F427" s="8">
        <f>IFERROR(E427/E444, "NA")</f>
        <v>0</v>
      </c>
      <c r="G427" s="9"/>
      <c r="H427" s="10">
        <f t="shared" si="100"/>
        <v>0</v>
      </c>
      <c r="I427" s="8">
        <f>IFERROR(H427/H444, "NA")</f>
        <v>0</v>
      </c>
      <c r="J427" s="9"/>
      <c r="K427" s="7">
        <v>0</v>
      </c>
      <c r="L427" s="8">
        <f>IFERROR(K427/K444, "NA")</f>
        <v>0</v>
      </c>
      <c r="M427" s="9"/>
      <c r="N427" s="10">
        <f t="shared" si="101"/>
        <v>0</v>
      </c>
      <c r="O427" s="8">
        <f>IFERROR(N427/N444, "NA")</f>
        <v>0</v>
      </c>
      <c r="P427" s="9"/>
      <c r="Q427" s="7">
        <v>0</v>
      </c>
      <c r="R427" s="8">
        <f>IFERROR(Q427/Q444, "NA")</f>
        <v>0</v>
      </c>
      <c r="S427" s="9"/>
      <c r="T427" s="7">
        <v>0</v>
      </c>
      <c r="U427" s="8">
        <f>IFERROR(T427/T444, "NA")</f>
        <v>0</v>
      </c>
      <c r="V427" s="9"/>
      <c r="W427" s="10">
        <f t="shared" si="102"/>
        <v>0</v>
      </c>
      <c r="X427" s="8">
        <f>IFERROR(W427/W444, "NA")</f>
        <v>0</v>
      </c>
      <c r="Y427" s="9"/>
      <c r="Z427" s="7">
        <v>0</v>
      </c>
      <c r="AA427" s="8">
        <f>IFERROR(Z427/Z444, "NA")</f>
        <v>0</v>
      </c>
      <c r="AB427" s="9"/>
      <c r="AC427" s="10">
        <f t="shared" si="103"/>
        <v>0</v>
      </c>
      <c r="AD427" s="8">
        <f>IFERROR(AC427/AC444, "NA")</f>
        <v>0</v>
      </c>
    </row>
    <row r="428" spans="1:30" ht="16.5" customHeight="1" x14ac:dyDescent="0.45">
      <c r="A428" s="19" t="s">
        <v>393</v>
      </c>
      <c r="B428" s="14">
        <f>IFERROR(B407+B408+B409+B410+B411+B412+B413+B414+B415+B416+B417+B418+B419+B420+B421+B422+B423+B424+B425+B426+B427, "NA")</f>
        <v>4684.84</v>
      </c>
      <c r="C428" s="15">
        <f>IFERROR(B428/B444, "NA")</f>
        <v>6.9009789855435377E-2</v>
      </c>
      <c r="D428" s="2"/>
      <c r="E428" s="14">
        <f>IFERROR(E407+E408+E409+E410+E411+E412+E413+E414+E415+E416+E417+E418+E419+E420+E421+E422+E423+E424+E425+E426+E427, "NA")</f>
        <v>3867.66</v>
      </c>
      <c r="F428" s="15">
        <f>IFERROR(E428/E444, "NA")</f>
        <v>5.897939596007469E-2</v>
      </c>
      <c r="G428" s="2"/>
      <c r="H428" s="14">
        <f t="shared" si="100"/>
        <v>-817.18000000000029</v>
      </c>
      <c r="I428" s="15">
        <f>IFERROR(H428/H444, "NA")</f>
        <v>-0.35373613720380603</v>
      </c>
      <c r="J428" s="2"/>
      <c r="K428" s="14">
        <f>IFERROR(K407+K408+K409+K410+K411+K412+K413+K414+K415+K416+K417+K418+K419+K420+K421+K422+K423+K424+K425+K426+K427, "NA")</f>
        <v>3764.1499999999996</v>
      </c>
      <c r="L428" s="15">
        <f>IFERROR(K428/K444, "NA")</f>
        <v>5.897946095484944E-2</v>
      </c>
      <c r="M428" s="2"/>
      <c r="N428" s="14">
        <f t="shared" si="101"/>
        <v>-920.69000000000051</v>
      </c>
      <c r="O428" s="15">
        <f>IFERROR(N428/N444, "NA")</f>
        <v>-0.22647919059930183</v>
      </c>
      <c r="P428" s="2"/>
      <c r="Q428" s="14">
        <f>IFERROR(Q407+Q408+Q409+Q410+Q411+Q412+Q413+Q414+Q415+Q416+Q417+Q418+Q419+Q420+Q421+Q422+Q423+Q424+Q425+Q426+Q427, "NA")</f>
        <v>4684.84</v>
      </c>
      <c r="R428" s="15">
        <f>IFERROR(Q428/Q444, "NA")</f>
        <v>6.9009789855435377E-2</v>
      </c>
      <c r="S428" s="2"/>
      <c r="T428" s="14">
        <f>IFERROR(T407+T408+T409+T410+T411+T412+T413+T414+T415+T416+T417+T418+T419+T420+T421+T422+T423+T424+T425+T426+T427, "NA")</f>
        <v>3867.66</v>
      </c>
      <c r="U428" s="15">
        <f>IFERROR(T428/T444, "NA")</f>
        <v>5.897939596007469E-2</v>
      </c>
      <c r="V428" s="2"/>
      <c r="W428" s="14">
        <f t="shared" si="102"/>
        <v>-817.18000000000029</v>
      </c>
      <c r="X428" s="15">
        <f>IFERROR(W428/W444, "NA")</f>
        <v>-0.35373613720380603</v>
      </c>
      <c r="Y428" s="2"/>
      <c r="Z428" s="14">
        <f>IFERROR(Z407+Z408+Z409+Z410+Z411+Z412+Z413+Z414+Z415+Z416+Z417+Z418+Z419+Z420+Z421+Z422+Z423+Z424+Z425+Z426+Z427, "NA")</f>
        <v>3764.1499999999996</v>
      </c>
      <c r="AA428" s="15">
        <f>IFERROR(Z428/Z444, "NA")</f>
        <v>5.897946095484944E-2</v>
      </c>
      <c r="AB428" s="2"/>
      <c r="AC428" s="14">
        <f t="shared" si="103"/>
        <v>-920.69000000000051</v>
      </c>
      <c r="AD428" s="15">
        <f>IFERROR(AC428/AC444, "NA")</f>
        <v>-0.22647919059930183</v>
      </c>
    </row>
    <row r="429" spans="1:30" ht="16.5" customHeight="1" x14ac:dyDescent="0.45">
      <c r="A429" s="21" t="s">
        <v>394</v>
      </c>
      <c r="B429" s="14">
        <f>IFERROR(B407+B408+B409+B410+B411+B412+B413+B414+B415+B416+B417+B418+B419+B420+B421+B422+B423+B424+B425+B426+B427, "NA")</f>
        <v>4684.84</v>
      </c>
      <c r="C429" s="15">
        <f>IFERROR(B429/B444, "NA")</f>
        <v>6.9009789855435377E-2</v>
      </c>
      <c r="D429" s="2"/>
      <c r="E429" s="14">
        <f>IFERROR(E407+E408+E409+E410+E411+E412+E413+E414+E415+E416+E417+E418+E419+E420+E421+E422+E423+E424+E425+E426+E427, "NA")</f>
        <v>3867.66</v>
      </c>
      <c r="F429" s="15">
        <f>IFERROR(E429/E444, "NA")</f>
        <v>5.897939596007469E-2</v>
      </c>
      <c r="G429" s="2"/>
      <c r="H429" s="14">
        <f t="shared" si="100"/>
        <v>-817.18000000000029</v>
      </c>
      <c r="I429" s="15">
        <f>IFERROR(H429/H444, "NA")</f>
        <v>-0.35373613720380603</v>
      </c>
      <c r="J429" s="2"/>
      <c r="K429" s="14">
        <f>IFERROR(K407+K408+K409+K410+K411+K412+K413+K414+K415+K416+K417+K418+K419+K420+K421+K422+K423+K424+K425+K426+K427, "NA")</f>
        <v>3764.1499999999996</v>
      </c>
      <c r="L429" s="15">
        <f>IFERROR(K429/K444, "NA")</f>
        <v>5.897946095484944E-2</v>
      </c>
      <c r="M429" s="2"/>
      <c r="N429" s="14">
        <f t="shared" si="101"/>
        <v>-920.69000000000051</v>
      </c>
      <c r="O429" s="15">
        <f>IFERROR(N429/N444, "NA")</f>
        <v>-0.22647919059930183</v>
      </c>
      <c r="P429" s="2"/>
      <c r="Q429" s="14">
        <f>IFERROR(Q407+Q408+Q409+Q410+Q411+Q412+Q413+Q414+Q415+Q416+Q417+Q418+Q419+Q420+Q421+Q422+Q423+Q424+Q425+Q426+Q427, "NA")</f>
        <v>4684.84</v>
      </c>
      <c r="R429" s="15">
        <f>IFERROR(Q429/Q444, "NA")</f>
        <v>6.9009789855435377E-2</v>
      </c>
      <c r="S429" s="2"/>
      <c r="T429" s="14">
        <f>IFERROR(T407+T408+T409+T410+T411+T412+T413+T414+T415+T416+T417+T418+T419+T420+T421+T422+T423+T424+T425+T426+T427, "NA")</f>
        <v>3867.66</v>
      </c>
      <c r="U429" s="15">
        <f>IFERROR(T429/T444, "NA")</f>
        <v>5.897939596007469E-2</v>
      </c>
      <c r="V429" s="2"/>
      <c r="W429" s="14">
        <f t="shared" si="102"/>
        <v>-817.18000000000029</v>
      </c>
      <c r="X429" s="15">
        <f>IFERROR(W429/W444, "NA")</f>
        <v>-0.35373613720380603</v>
      </c>
      <c r="Y429" s="2"/>
      <c r="Z429" s="14">
        <f>IFERROR(Z407+Z408+Z409+Z410+Z411+Z412+Z413+Z414+Z415+Z416+Z417+Z418+Z419+Z420+Z421+Z422+Z423+Z424+Z425+Z426+Z427, "NA")</f>
        <v>3764.1499999999996</v>
      </c>
      <c r="AA429" s="15">
        <f>IFERROR(Z429/Z444, "NA")</f>
        <v>5.897946095484944E-2</v>
      </c>
      <c r="AB429" s="2"/>
      <c r="AC429" s="14">
        <f t="shared" si="103"/>
        <v>-920.69000000000051</v>
      </c>
      <c r="AD429" s="15">
        <f>IFERROR(AC429/AC444, "NA")</f>
        <v>-0.22647919059930183</v>
      </c>
    </row>
    <row r="430" spans="1:30" ht="16.5" customHeight="1" x14ac:dyDescent="0.45">
      <c r="A430" s="1" t="s">
        <v>395</v>
      </c>
      <c r="B430" s="2"/>
      <c r="C430" s="3"/>
      <c r="D430" s="4"/>
      <c r="E430" s="2"/>
      <c r="F430" s="3"/>
      <c r="G430" s="4"/>
      <c r="H430" s="2"/>
      <c r="I430" s="3"/>
      <c r="J430" s="4"/>
      <c r="K430" s="2"/>
      <c r="L430" s="3"/>
      <c r="M430" s="4"/>
      <c r="N430" s="2"/>
      <c r="O430" s="3"/>
      <c r="P430" s="4"/>
      <c r="Q430" s="2"/>
      <c r="R430" s="3"/>
      <c r="S430" s="4"/>
      <c r="T430" s="2"/>
      <c r="U430" s="3"/>
      <c r="V430" s="4"/>
      <c r="W430" s="2"/>
      <c r="X430" s="3"/>
      <c r="Y430" s="4"/>
      <c r="Z430" s="2"/>
      <c r="AA430" s="3"/>
      <c r="AB430" s="4"/>
      <c r="AC430" s="2"/>
      <c r="AD430" s="3"/>
    </row>
    <row r="431" spans="1:30" ht="16.5" customHeight="1" x14ac:dyDescent="0.45">
      <c r="A431" s="5" t="s">
        <v>396</v>
      </c>
      <c r="B431" s="2"/>
      <c r="C431" s="3"/>
      <c r="D431" s="4"/>
      <c r="E431" s="2"/>
      <c r="F431" s="3"/>
      <c r="G431" s="4"/>
      <c r="H431" s="2"/>
      <c r="I431" s="3"/>
      <c r="J431" s="4"/>
      <c r="K431" s="2"/>
      <c r="L431" s="3"/>
      <c r="M431" s="4"/>
      <c r="N431" s="2"/>
      <c r="O431" s="3"/>
      <c r="P431" s="4"/>
      <c r="Q431" s="2"/>
      <c r="R431" s="3"/>
      <c r="S431" s="4"/>
      <c r="T431" s="2"/>
      <c r="U431" s="3"/>
      <c r="V431" s="4"/>
      <c r="W431" s="2"/>
      <c r="X431" s="3"/>
      <c r="Y431" s="4"/>
      <c r="Z431" s="2"/>
      <c r="AA431" s="3"/>
      <c r="AB431" s="4"/>
      <c r="AC431" s="2"/>
      <c r="AD431" s="3"/>
    </row>
    <row r="432" spans="1:30" ht="16.5" hidden="1" customHeight="1" x14ac:dyDescent="0.45">
      <c r="A432" s="6" t="s">
        <v>396</v>
      </c>
      <c r="B432" s="7">
        <v>0</v>
      </c>
      <c r="C432" s="8">
        <f>IFERROR(B432/B444, "NA")</f>
        <v>0</v>
      </c>
      <c r="D432" s="9"/>
      <c r="E432" s="7">
        <v>0</v>
      </c>
      <c r="F432" s="8">
        <f>IFERROR(E432/E444, "NA")</f>
        <v>0</v>
      </c>
      <c r="G432" s="9"/>
      <c r="H432" s="10">
        <f t="shared" ref="H432:H442" si="104">IFERROR(-(B432-E432), "NA")</f>
        <v>0</v>
      </c>
      <c r="I432" s="8">
        <f>IFERROR(H432/H444, "NA")</f>
        <v>0</v>
      </c>
      <c r="J432" s="9"/>
      <c r="K432" s="7">
        <v>0</v>
      </c>
      <c r="L432" s="8">
        <f>IFERROR(K432/K444, "NA")</f>
        <v>0</v>
      </c>
      <c r="M432" s="9"/>
      <c r="N432" s="10">
        <f t="shared" ref="N432:N442" si="105">IFERROR(-(B432-K432), "NA")</f>
        <v>0</v>
      </c>
      <c r="O432" s="8">
        <f>IFERROR(N432/N444, "NA")</f>
        <v>0</v>
      </c>
      <c r="P432" s="9"/>
      <c r="Q432" s="7">
        <v>0</v>
      </c>
      <c r="R432" s="8">
        <f>IFERROR(Q432/Q444, "NA")</f>
        <v>0</v>
      </c>
      <c r="S432" s="9"/>
      <c r="T432" s="7">
        <v>0</v>
      </c>
      <c r="U432" s="8">
        <f>IFERROR(T432/T444, "NA")</f>
        <v>0</v>
      </c>
      <c r="V432" s="9"/>
      <c r="W432" s="10">
        <f t="shared" ref="W432:W442" si="106">IFERROR(-(Q432-T432), "NA")</f>
        <v>0</v>
      </c>
      <c r="X432" s="8">
        <f>IFERROR(W432/W444, "NA")</f>
        <v>0</v>
      </c>
      <c r="Y432" s="9"/>
      <c r="Z432" s="7">
        <v>0</v>
      </c>
      <c r="AA432" s="8">
        <f>IFERROR(Z432/Z444, "NA")</f>
        <v>0</v>
      </c>
      <c r="AB432" s="9"/>
      <c r="AC432" s="10">
        <f t="shared" ref="AC432:AC442" si="107">IFERROR(-(Q432-Z432), "NA")</f>
        <v>0</v>
      </c>
      <c r="AD432" s="8">
        <f>IFERROR(AC432/AC444, "NA")</f>
        <v>0</v>
      </c>
    </row>
    <row r="433" spans="1:30" ht="16.5" hidden="1" customHeight="1" x14ac:dyDescent="0.45">
      <c r="A433" s="6" t="s">
        <v>397</v>
      </c>
      <c r="B433" s="7">
        <v>0</v>
      </c>
      <c r="C433" s="8">
        <f>IFERROR(B433/B444, "NA")</f>
        <v>0</v>
      </c>
      <c r="D433" s="9"/>
      <c r="E433" s="7">
        <v>0</v>
      </c>
      <c r="F433" s="8">
        <f>IFERROR(E433/E444, "NA")</f>
        <v>0</v>
      </c>
      <c r="G433" s="9"/>
      <c r="H433" s="10">
        <f t="shared" si="104"/>
        <v>0</v>
      </c>
      <c r="I433" s="8">
        <f>IFERROR(H433/H444, "NA")</f>
        <v>0</v>
      </c>
      <c r="J433" s="9"/>
      <c r="K433" s="7">
        <v>0</v>
      </c>
      <c r="L433" s="8">
        <f>IFERROR(K433/K444, "NA")</f>
        <v>0</v>
      </c>
      <c r="M433" s="9"/>
      <c r="N433" s="10">
        <f t="shared" si="105"/>
        <v>0</v>
      </c>
      <c r="O433" s="8">
        <f>IFERROR(N433/N444, "NA")</f>
        <v>0</v>
      </c>
      <c r="P433" s="9"/>
      <c r="Q433" s="7">
        <v>0</v>
      </c>
      <c r="R433" s="8">
        <f>IFERROR(Q433/Q444, "NA")</f>
        <v>0</v>
      </c>
      <c r="S433" s="9"/>
      <c r="T433" s="7">
        <v>0</v>
      </c>
      <c r="U433" s="8">
        <f>IFERROR(T433/T444, "NA")</f>
        <v>0</v>
      </c>
      <c r="V433" s="9"/>
      <c r="W433" s="10">
        <f t="shared" si="106"/>
        <v>0</v>
      </c>
      <c r="X433" s="8">
        <f>IFERROR(W433/W444, "NA")</f>
        <v>0</v>
      </c>
      <c r="Y433" s="9"/>
      <c r="Z433" s="7">
        <v>0</v>
      </c>
      <c r="AA433" s="8">
        <f>IFERROR(Z433/Z444, "NA")</f>
        <v>0</v>
      </c>
      <c r="AB433" s="9"/>
      <c r="AC433" s="10">
        <f t="shared" si="107"/>
        <v>0</v>
      </c>
      <c r="AD433" s="8">
        <f>IFERROR(AC433/AC444, "NA")</f>
        <v>0</v>
      </c>
    </row>
    <row r="434" spans="1:30" ht="16.5" hidden="1" customHeight="1" x14ac:dyDescent="0.45">
      <c r="A434" s="6" t="s">
        <v>398</v>
      </c>
      <c r="B434" s="7">
        <v>0</v>
      </c>
      <c r="C434" s="8">
        <f>IFERROR(B434/B444, "NA")</f>
        <v>0</v>
      </c>
      <c r="D434" s="9"/>
      <c r="E434" s="7">
        <v>0</v>
      </c>
      <c r="F434" s="8">
        <f>IFERROR(E434/E444, "NA")</f>
        <v>0</v>
      </c>
      <c r="G434" s="9"/>
      <c r="H434" s="10">
        <f t="shared" si="104"/>
        <v>0</v>
      </c>
      <c r="I434" s="8">
        <f>IFERROR(H434/H444, "NA")</f>
        <v>0</v>
      </c>
      <c r="J434" s="9"/>
      <c r="K434" s="7">
        <v>0</v>
      </c>
      <c r="L434" s="8">
        <f>IFERROR(K434/K444, "NA")</f>
        <v>0</v>
      </c>
      <c r="M434" s="9"/>
      <c r="N434" s="10">
        <f t="shared" si="105"/>
        <v>0</v>
      </c>
      <c r="O434" s="8">
        <f>IFERROR(N434/N444, "NA")</f>
        <v>0</v>
      </c>
      <c r="P434" s="9"/>
      <c r="Q434" s="7">
        <v>0</v>
      </c>
      <c r="R434" s="8">
        <f>IFERROR(Q434/Q444, "NA")</f>
        <v>0</v>
      </c>
      <c r="S434" s="9"/>
      <c r="T434" s="7">
        <v>0</v>
      </c>
      <c r="U434" s="8">
        <f>IFERROR(T434/T444, "NA")</f>
        <v>0</v>
      </c>
      <c r="V434" s="9"/>
      <c r="W434" s="10">
        <f t="shared" si="106"/>
        <v>0</v>
      </c>
      <c r="X434" s="8">
        <f>IFERROR(W434/W444, "NA")</f>
        <v>0</v>
      </c>
      <c r="Y434" s="9"/>
      <c r="Z434" s="7">
        <v>0</v>
      </c>
      <c r="AA434" s="8">
        <f>IFERROR(Z434/Z444, "NA")</f>
        <v>0</v>
      </c>
      <c r="AB434" s="9"/>
      <c r="AC434" s="10">
        <f t="shared" si="107"/>
        <v>0</v>
      </c>
      <c r="AD434" s="8">
        <f>IFERROR(AC434/AC444, "NA")</f>
        <v>0</v>
      </c>
    </row>
    <row r="435" spans="1:30" ht="16.5" hidden="1" customHeight="1" x14ac:dyDescent="0.45">
      <c r="A435" s="6" t="s">
        <v>399</v>
      </c>
      <c r="B435" s="7">
        <v>0</v>
      </c>
      <c r="C435" s="8">
        <f>IFERROR(B435/B444, "NA")</f>
        <v>0</v>
      </c>
      <c r="D435" s="9"/>
      <c r="E435" s="7">
        <v>0</v>
      </c>
      <c r="F435" s="8">
        <f>IFERROR(E435/E444, "NA")</f>
        <v>0</v>
      </c>
      <c r="G435" s="9"/>
      <c r="H435" s="10">
        <f t="shared" si="104"/>
        <v>0</v>
      </c>
      <c r="I435" s="8">
        <f>IFERROR(H435/H444, "NA")</f>
        <v>0</v>
      </c>
      <c r="J435" s="9"/>
      <c r="K435" s="7">
        <v>0</v>
      </c>
      <c r="L435" s="8">
        <f>IFERROR(K435/K444, "NA")</f>
        <v>0</v>
      </c>
      <c r="M435" s="9"/>
      <c r="N435" s="10">
        <f t="shared" si="105"/>
        <v>0</v>
      </c>
      <c r="O435" s="8">
        <f>IFERROR(N435/N444, "NA")</f>
        <v>0</v>
      </c>
      <c r="P435" s="9"/>
      <c r="Q435" s="7">
        <v>0</v>
      </c>
      <c r="R435" s="8">
        <f>IFERROR(Q435/Q444, "NA")</f>
        <v>0</v>
      </c>
      <c r="S435" s="9"/>
      <c r="T435" s="7">
        <v>0</v>
      </c>
      <c r="U435" s="8">
        <f>IFERROR(T435/T444, "NA")</f>
        <v>0</v>
      </c>
      <c r="V435" s="9"/>
      <c r="W435" s="10">
        <f t="shared" si="106"/>
        <v>0</v>
      </c>
      <c r="X435" s="8">
        <f>IFERROR(W435/W444, "NA")</f>
        <v>0</v>
      </c>
      <c r="Y435" s="9"/>
      <c r="Z435" s="7">
        <v>0</v>
      </c>
      <c r="AA435" s="8">
        <f>IFERROR(Z435/Z444, "NA")</f>
        <v>0</v>
      </c>
      <c r="AB435" s="9"/>
      <c r="AC435" s="10">
        <f t="shared" si="107"/>
        <v>0</v>
      </c>
      <c r="AD435" s="8">
        <f>IFERROR(AC435/AC444, "NA")</f>
        <v>0</v>
      </c>
    </row>
    <row r="436" spans="1:30" ht="16.5" hidden="1" customHeight="1" x14ac:dyDescent="0.45">
      <c r="A436" s="6" t="s">
        <v>400</v>
      </c>
      <c r="B436" s="7">
        <v>0</v>
      </c>
      <c r="C436" s="8">
        <f>IFERROR(B436/B444, "NA")</f>
        <v>0</v>
      </c>
      <c r="D436" s="9"/>
      <c r="E436" s="7">
        <v>0</v>
      </c>
      <c r="F436" s="8">
        <f>IFERROR(E436/E444, "NA")</f>
        <v>0</v>
      </c>
      <c r="G436" s="9"/>
      <c r="H436" s="10">
        <f t="shared" si="104"/>
        <v>0</v>
      </c>
      <c r="I436" s="8">
        <f>IFERROR(H436/H444, "NA")</f>
        <v>0</v>
      </c>
      <c r="J436" s="9"/>
      <c r="K436" s="7">
        <v>0</v>
      </c>
      <c r="L436" s="8">
        <f>IFERROR(K436/K444, "NA")</f>
        <v>0</v>
      </c>
      <c r="M436" s="9"/>
      <c r="N436" s="10">
        <f t="shared" si="105"/>
        <v>0</v>
      </c>
      <c r="O436" s="8">
        <f>IFERROR(N436/N444, "NA")</f>
        <v>0</v>
      </c>
      <c r="P436" s="9"/>
      <c r="Q436" s="7">
        <v>0</v>
      </c>
      <c r="R436" s="8">
        <f>IFERROR(Q436/Q444, "NA")</f>
        <v>0</v>
      </c>
      <c r="S436" s="9"/>
      <c r="T436" s="7">
        <v>0</v>
      </c>
      <c r="U436" s="8">
        <f>IFERROR(T436/T444, "NA")</f>
        <v>0</v>
      </c>
      <c r="V436" s="9"/>
      <c r="W436" s="10">
        <f t="shared" si="106"/>
        <v>0</v>
      </c>
      <c r="X436" s="8">
        <f>IFERROR(W436/W444, "NA")</f>
        <v>0</v>
      </c>
      <c r="Y436" s="9"/>
      <c r="Z436" s="7">
        <v>0</v>
      </c>
      <c r="AA436" s="8">
        <f>IFERROR(Z436/Z444, "NA")</f>
        <v>0</v>
      </c>
      <c r="AB436" s="9"/>
      <c r="AC436" s="10">
        <f t="shared" si="107"/>
        <v>0</v>
      </c>
      <c r="AD436" s="8">
        <f>IFERROR(AC436/AC444, "NA")</f>
        <v>0</v>
      </c>
    </row>
    <row r="437" spans="1:30" ht="16.5" hidden="1" customHeight="1" x14ac:dyDescent="0.45">
      <c r="A437" s="6" t="s">
        <v>401</v>
      </c>
      <c r="B437" s="7">
        <v>0</v>
      </c>
      <c r="C437" s="8">
        <f>IFERROR(B437/B444, "NA")</f>
        <v>0</v>
      </c>
      <c r="D437" s="9"/>
      <c r="E437" s="7">
        <v>0</v>
      </c>
      <c r="F437" s="8">
        <f>IFERROR(E437/E444, "NA")</f>
        <v>0</v>
      </c>
      <c r="G437" s="9"/>
      <c r="H437" s="10">
        <f t="shared" si="104"/>
        <v>0</v>
      </c>
      <c r="I437" s="8">
        <f>IFERROR(H437/H444, "NA")</f>
        <v>0</v>
      </c>
      <c r="J437" s="9"/>
      <c r="K437" s="7">
        <v>0</v>
      </c>
      <c r="L437" s="8">
        <f>IFERROR(K437/K444, "NA")</f>
        <v>0</v>
      </c>
      <c r="M437" s="9"/>
      <c r="N437" s="10">
        <f t="shared" si="105"/>
        <v>0</v>
      </c>
      <c r="O437" s="8">
        <f>IFERROR(N437/N444, "NA")</f>
        <v>0</v>
      </c>
      <c r="P437" s="9"/>
      <c r="Q437" s="7">
        <v>0</v>
      </c>
      <c r="R437" s="8">
        <f>IFERROR(Q437/Q444, "NA")</f>
        <v>0</v>
      </c>
      <c r="S437" s="9"/>
      <c r="T437" s="7">
        <v>0</v>
      </c>
      <c r="U437" s="8">
        <f>IFERROR(T437/T444, "NA")</f>
        <v>0</v>
      </c>
      <c r="V437" s="9"/>
      <c r="W437" s="10">
        <f t="shared" si="106"/>
        <v>0</v>
      </c>
      <c r="X437" s="8">
        <f>IFERROR(W437/W444, "NA")</f>
        <v>0</v>
      </c>
      <c r="Y437" s="9"/>
      <c r="Z437" s="7">
        <v>0</v>
      </c>
      <c r="AA437" s="8">
        <f>IFERROR(Z437/Z444, "NA")</f>
        <v>0</v>
      </c>
      <c r="AB437" s="9"/>
      <c r="AC437" s="10">
        <f t="shared" si="107"/>
        <v>0</v>
      </c>
      <c r="AD437" s="8">
        <f>IFERROR(AC437/AC444, "NA")</f>
        <v>0</v>
      </c>
    </row>
    <row r="438" spans="1:30" ht="30.75" hidden="1" customHeight="1" x14ac:dyDescent="0.45">
      <c r="A438" s="6" t="s">
        <v>402</v>
      </c>
      <c r="B438" s="7">
        <v>0</v>
      </c>
      <c r="C438" s="8">
        <f>IFERROR(B438/B444, "NA")</f>
        <v>0</v>
      </c>
      <c r="D438" s="9"/>
      <c r="E438" s="7">
        <v>0</v>
      </c>
      <c r="F438" s="8">
        <f>IFERROR(E438/E444, "NA")</f>
        <v>0</v>
      </c>
      <c r="G438" s="9"/>
      <c r="H438" s="10">
        <f t="shared" si="104"/>
        <v>0</v>
      </c>
      <c r="I438" s="8">
        <f>IFERROR(H438/H444, "NA")</f>
        <v>0</v>
      </c>
      <c r="J438" s="9"/>
      <c r="K438" s="7">
        <v>0</v>
      </c>
      <c r="L438" s="8">
        <f>IFERROR(K438/K444, "NA")</f>
        <v>0</v>
      </c>
      <c r="M438" s="9"/>
      <c r="N438" s="10">
        <f t="shared" si="105"/>
        <v>0</v>
      </c>
      <c r="O438" s="8">
        <f>IFERROR(N438/N444, "NA")</f>
        <v>0</v>
      </c>
      <c r="P438" s="9"/>
      <c r="Q438" s="7">
        <v>0</v>
      </c>
      <c r="R438" s="8">
        <f>IFERROR(Q438/Q444, "NA")</f>
        <v>0</v>
      </c>
      <c r="S438" s="9"/>
      <c r="T438" s="7">
        <v>0</v>
      </c>
      <c r="U438" s="8">
        <f>IFERROR(T438/T444, "NA")</f>
        <v>0</v>
      </c>
      <c r="V438" s="9"/>
      <c r="W438" s="10">
        <f t="shared" si="106"/>
        <v>0</v>
      </c>
      <c r="X438" s="8">
        <f>IFERROR(W438/W444, "NA")</f>
        <v>0</v>
      </c>
      <c r="Y438" s="9"/>
      <c r="Z438" s="7">
        <v>0</v>
      </c>
      <c r="AA438" s="8">
        <f>IFERROR(Z438/Z444, "NA")</f>
        <v>0</v>
      </c>
      <c r="AB438" s="9"/>
      <c r="AC438" s="10">
        <f t="shared" si="107"/>
        <v>0</v>
      </c>
      <c r="AD438" s="8">
        <f>IFERROR(AC438/AC444, "NA")</f>
        <v>0</v>
      </c>
    </row>
    <row r="439" spans="1:30" ht="16.5" hidden="1" customHeight="1" x14ac:dyDescent="0.45">
      <c r="A439" s="6" t="s">
        <v>403</v>
      </c>
      <c r="B439" s="7">
        <v>0</v>
      </c>
      <c r="C439" s="8">
        <f>IFERROR(B439/B444, "NA")</f>
        <v>0</v>
      </c>
      <c r="D439" s="9"/>
      <c r="E439" s="7">
        <v>0</v>
      </c>
      <c r="F439" s="8">
        <f>IFERROR(E439/E444, "NA")</f>
        <v>0</v>
      </c>
      <c r="G439" s="9"/>
      <c r="H439" s="10">
        <f t="shared" si="104"/>
        <v>0</v>
      </c>
      <c r="I439" s="8">
        <f>IFERROR(H439/H444, "NA")</f>
        <v>0</v>
      </c>
      <c r="J439" s="9"/>
      <c r="K439" s="7">
        <v>0</v>
      </c>
      <c r="L439" s="8">
        <f>IFERROR(K439/K444, "NA")</f>
        <v>0</v>
      </c>
      <c r="M439" s="9"/>
      <c r="N439" s="10">
        <f t="shared" si="105"/>
        <v>0</v>
      </c>
      <c r="O439" s="8">
        <f>IFERROR(N439/N444, "NA")</f>
        <v>0</v>
      </c>
      <c r="P439" s="9"/>
      <c r="Q439" s="7">
        <v>0</v>
      </c>
      <c r="R439" s="8">
        <f>IFERROR(Q439/Q444, "NA")</f>
        <v>0</v>
      </c>
      <c r="S439" s="9"/>
      <c r="T439" s="7">
        <v>0</v>
      </c>
      <c r="U439" s="8">
        <f>IFERROR(T439/T444, "NA")</f>
        <v>0</v>
      </c>
      <c r="V439" s="9"/>
      <c r="W439" s="10">
        <f t="shared" si="106"/>
        <v>0</v>
      </c>
      <c r="X439" s="8">
        <f>IFERROR(W439/W444, "NA")</f>
        <v>0</v>
      </c>
      <c r="Y439" s="9"/>
      <c r="Z439" s="7">
        <v>0</v>
      </c>
      <c r="AA439" s="8">
        <f>IFERROR(Z439/Z444, "NA")</f>
        <v>0</v>
      </c>
      <c r="AB439" s="9"/>
      <c r="AC439" s="10">
        <f t="shared" si="107"/>
        <v>0</v>
      </c>
      <c r="AD439" s="8">
        <f>IFERROR(AC439/AC444, "NA")</f>
        <v>0</v>
      </c>
    </row>
    <row r="440" spans="1:30" ht="30.75" hidden="1" customHeight="1" x14ac:dyDescent="0.45">
      <c r="A440" s="6" t="s">
        <v>404</v>
      </c>
      <c r="B440" s="7">
        <v>0</v>
      </c>
      <c r="C440" s="8">
        <f>IFERROR(B440/B444, "NA")</f>
        <v>0</v>
      </c>
      <c r="D440" s="9"/>
      <c r="E440" s="7">
        <v>0</v>
      </c>
      <c r="F440" s="8">
        <f>IFERROR(E440/E444, "NA")</f>
        <v>0</v>
      </c>
      <c r="G440" s="9"/>
      <c r="H440" s="10">
        <f t="shared" si="104"/>
        <v>0</v>
      </c>
      <c r="I440" s="8">
        <f>IFERROR(H440/H444, "NA")</f>
        <v>0</v>
      </c>
      <c r="J440" s="9"/>
      <c r="K440" s="7">
        <v>0</v>
      </c>
      <c r="L440" s="8">
        <f>IFERROR(K440/K444, "NA")</f>
        <v>0</v>
      </c>
      <c r="M440" s="9"/>
      <c r="N440" s="10">
        <f t="shared" si="105"/>
        <v>0</v>
      </c>
      <c r="O440" s="8">
        <f>IFERROR(N440/N444, "NA")</f>
        <v>0</v>
      </c>
      <c r="P440" s="9"/>
      <c r="Q440" s="7">
        <v>0</v>
      </c>
      <c r="R440" s="8">
        <f>IFERROR(Q440/Q444, "NA")</f>
        <v>0</v>
      </c>
      <c r="S440" s="9"/>
      <c r="T440" s="7">
        <v>0</v>
      </c>
      <c r="U440" s="8">
        <f>IFERROR(T440/T444, "NA")</f>
        <v>0</v>
      </c>
      <c r="V440" s="9"/>
      <c r="W440" s="10">
        <f t="shared" si="106"/>
        <v>0</v>
      </c>
      <c r="X440" s="8">
        <f>IFERROR(W440/W444, "NA")</f>
        <v>0</v>
      </c>
      <c r="Y440" s="9"/>
      <c r="Z440" s="7">
        <v>0</v>
      </c>
      <c r="AA440" s="8">
        <f>IFERROR(Z440/Z444, "NA")</f>
        <v>0</v>
      </c>
      <c r="AB440" s="9"/>
      <c r="AC440" s="10">
        <f t="shared" si="107"/>
        <v>0</v>
      </c>
      <c r="AD440" s="8">
        <f>IFERROR(AC440/AC444, "NA")</f>
        <v>0</v>
      </c>
    </row>
    <row r="441" spans="1:30" ht="16.5" customHeight="1" x14ac:dyDescent="0.45">
      <c r="A441" s="19" t="s">
        <v>405</v>
      </c>
      <c r="B441" s="14">
        <f>IFERROR(B432+B433+B434+B435+B436+B437+B438+B439+B440, "NA")</f>
        <v>0</v>
      </c>
      <c r="C441" s="15">
        <f>IFERROR(B441/B444, "NA")</f>
        <v>0</v>
      </c>
      <c r="D441" s="2"/>
      <c r="E441" s="14">
        <f>IFERROR(E432+E433+E434+E435+E436+E437+E438+E439+E440, "NA")</f>
        <v>0</v>
      </c>
      <c r="F441" s="15">
        <f>IFERROR(E441/E444, "NA")</f>
        <v>0</v>
      </c>
      <c r="G441" s="2"/>
      <c r="H441" s="14">
        <f t="shared" si="104"/>
        <v>0</v>
      </c>
      <c r="I441" s="15">
        <f>IFERROR(H441/H444, "NA")</f>
        <v>0</v>
      </c>
      <c r="J441" s="2"/>
      <c r="K441" s="14">
        <f>IFERROR(K432+K433+K434+K435+K436+K437+K438+K439+K440, "NA")</f>
        <v>0</v>
      </c>
      <c r="L441" s="15">
        <f>IFERROR(K441/K444, "NA")</f>
        <v>0</v>
      </c>
      <c r="M441" s="2"/>
      <c r="N441" s="14">
        <f t="shared" si="105"/>
        <v>0</v>
      </c>
      <c r="O441" s="15">
        <f>IFERROR(N441/N444, "NA")</f>
        <v>0</v>
      </c>
      <c r="P441" s="2"/>
      <c r="Q441" s="14">
        <f>IFERROR(Q432+Q433+Q434+Q435+Q436+Q437+Q438+Q439+Q440, "NA")</f>
        <v>0</v>
      </c>
      <c r="R441" s="15">
        <f>IFERROR(Q441/Q444, "NA")</f>
        <v>0</v>
      </c>
      <c r="S441" s="2"/>
      <c r="T441" s="14">
        <f>IFERROR(T432+T433+T434+T435+T436+T437+T438+T439+T440, "NA")</f>
        <v>0</v>
      </c>
      <c r="U441" s="15">
        <f>IFERROR(T441/T444, "NA")</f>
        <v>0</v>
      </c>
      <c r="V441" s="2"/>
      <c r="W441" s="14">
        <f t="shared" si="106"/>
        <v>0</v>
      </c>
      <c r="X441" s="15">
        <f>IFERROR(W441/W444, "NA")</f>
        <v>0</v>
      </c>
      <c r="Y441" s="2"/>
      <c r="Z441" s="14">
        <f>IFERROR(Z432+Z433+Z434+Z435+Z436+Z437+Z438+Z439+Z440, "NA")</f>
        <v>0</v>
      </c>
      <c r="AA441" s="15">
        <f>IFERROR(Z441/Z444, "NA")</f>
        <v>0</v>
      </c>
      <c r="AB441" s="2"/>
      <c r="AC441" s="14">
        <f t="shared" si="107"/>
        <v>0</v>
      </c>
      <c r="AD441" s="15">
        <f>IFERROR(AC441/AC444, "NA")</f>
        <v>0</v>
      </c>
    </row>
    <row r="442" spans="1:30" ht="16.5" customHeight="1" x14ac:dyDescent="0.45">
      <c r="A442" s="21" t="s">
        <v>406</v>
      </c>
      <c r="B442" s="14">
        <f>IFERROR(B432+B433+B434+B435+B436+B437+B438+B439+B440, "NA")</f>
        <v>0</v>
      </c>
      <c r="C442" s="15">
        <f>IFERROR(B442/B444, "NA")</f>
        <v>0</v>
      </c>
      <c r="D442" s="2"/>
      <c r="E442" s="14">
        <f>IFERROR(E432+E433+E434+E435+E436+E437+E438+E439+E440, "NA")</f>
        <v>0</v>
      </c>
      <c r="F442" s="15">
        <f>IFERROR(E442/E444, "NA")</f>
        <v>0</v>
      </c>
      <c r="G442" s="2"/>
      <c r="H442" s="14">
        <f t="shared" si="104"/>
        <v>0</v>
      </c>
      <c r="I442" s="15">
        <f>IFERROR(H442/H444, "NA")</f>
        <v>0</v>
      </c>
      <c r="J442" s="2"/>
      <c r="K442" s="14">
        <f>IFERROR(K432+K433+K434+K435+K436+K437+K438+K439+K440, "NA")</f>
        <v>0</v>
      </c>
      <c r="L442" s="15">
        <f>IFERROR(K442/K444, "NA")</f>
        <v>0</v>
      </c>
      <c r="M442" s="2"/>
      <c r="N442" s="14">
        <f t="shared" si="105"/>
        <v>0</v>
      </c>
      <c r="O442" s="15">
        <f>IFERROR(N442/N444, "NA")</f>
        <v>0</v>
      </c>
      <c r="P442" s="2"/>
      <c r="Q442" s="14">
        <f>IFERROR(Q432+Q433+Q434+Q435+Q436+Q437+Q438+Q439+Q440, "NA")</f>
        <v>0</v>
      </c>
      <c r="R442" s="15">
        <f>IFERROR(Q442/Q444, "NA")</f>
        <v>0</v>
      </c>
      <c r="S442" s="2"/>
      <c r="T442" s="14">
        <f>IFERROR(T432+T433+T434+T435+T436+T437+T438+T439+T440, "NA")</f>
        <v>0</v>
      </c>
      <c r="U442" s="15">
        <f>IFERROR(T442/T444, "NA")</f>
        <v>0</v>
      </c>
      <c r="V442" s="2"/>
      <c r="W442" s="14">
        <f t="shared" si="106"/>
        <v>0</v>
      </c>
      <c r="X442" s="15">
        <f>IFERROR(W442/W444, "NA")</f>
        <v>0</v>
      </c>
      <c r="Y442" s="2"/>
      <c r="Z442" s="14">
        <f>IFERROR(Z432+Z433+Z434+Z435+Z436+Z437+Z438+Z439+Z440, "NA")</f>
        <v>0</v>
      </c>
      <c r="AA442" s="15">
        <f>IFERROR(Z442/Z444, "NA")</f>
        <v>0</v>
      </c>
      <c r="AB442" s="2"/>
      <c r="AC442" s="14">
        <f t="shared" si="107"/>
        <v>0</v>
      </c>
      <c r="AD442" s="15">
        <f>IFERROR(AC442/AC444, "NA")</f>
        <v>0</v>
      </c>
    </row>
    <row r="443" spans="1:30" ht="16.5" customHeight="1" x14ac:dyDescent="0.45">
      <c r="A443" s="22" t="s">
        <v>407</v>
      </c>
      <c r="B443" s="23">
        <f>IFERROR(B404-B429-B442, "NA")</f>
        <v>-13081.329999999976</v>
      </c>
      <c r="C443" s="24">
        <f>IFERROR(B443/B444, "NA")</f>
        <v>-0.19269384532440828</v>
      </c>
      <c r="D443" s="25"/>
      <c r="E443" s="23">
        <f>IFERROR(E404-E429-E442, "NA")</f>
        <v>-5060.7999999999956</v>
      </c>
      <c r="F443" s="24">
        <f>IFERROR(E443/E444, "NA")</f>
        <v>-7.7174034706966418E-2</v>
      </c>
      <c r="G443" s="25"/>
      <c r="H443" s="23">
        <f>IFERROR(B443-E443, "NA")</f>
        <v>-8020.5299999999806</v>
      </c>
      <c r="I443" s="24">
        <f>IFERROR(H443/H444, "NA")</f>
        <v>-3.4718804920913811</v>
      </c>
      <c r="J443" s="25"/>
      <c r="K443" s="23">
        <f>IFERROR(K404-K429-K442, "NA")</f>
        <v>-9918.7400000000071</v>
      </c>
      <c r="L443" s="24">
        <f>IFERROR(K443/K444, "NA")</f>
        <v>-0.15541408778909019</v>
      </c>
      <c r="M443" s="25"/>
      <c r="N443" s="23">
        <f>IFERROR(B443-K443, "NA")</f>
        <v>-3162.5899999999692</v>
      </c>
      <c r="O443" s="24">
        <f>IFERROR(N443/N444, "NA")</f>
        <v>-0.77796090258114958</v>
      </c>
      <c r="P443" s="25"/>
      <c r="Q443" s="23">
        <f>IFERROR(Q404-Q429-Q442, "NA")</f>
        <v>-13081.329999999976</v>
      </c>
      <c r="R443" s="24">
        <f>IFERROR(Q443/Q444, "NA")</f>
        <v>-0.19269384532440828</v>
      </c>
      <c r="S443" s="25"/>
      <c r="T443" s="23">
        <f>IFERROR(T404-T429-T442, "NA")</f>
        <v>-5060.7999999999956</v>
      </c>
      <c r="U443" s="24">
        <f>IFERROR(T443/T444, "NA")</f>
        <v>-7.7174034706966418E-2</v>
      </c>
      <c r="V443" s="25"/>
      <c r="W443" s="23">
        <f>IFERROR(Q443-T443, "NA")</f>
        <v>-8020.5299999999806</v>
      </c>
      <c r="X443" s="24">
        <f>IFERROR(W443/W444, "NA")</f>
        <v>-3.4718804920913811</v>
      </c>
      <c r="Y443" s="25"/>
      <c r="Z443" s="23">
        <f>IFERROR(Z404-Z429-Z442, "NA")</f>
        <v>-9918.7400000000071</v>
      </c>
      <c r="AA443" s="24">
        <f>IFERROR(Z443/Z444, "NA")</f>
        <v>-0.15541408778909019</v>
      </c>
      <c r="AB443" s="25"/>
      <c r="AC443" s="23">
        <f>IFERROR(Q443-Z443, "NA")</f>
        <v>-3162.5899999999692</v>
      </c>
      <c r="AD443" s="24">
        <f>IFERROR(AC443/AC444, "NA")</f>
        <v>-0.77796090258114958</v>
      </c>
    </row>
    <row r="444" spans="1:30" ht="15.75" hidden="1" x14ac:dyDescent="0.45">
      <c r="A444" s="26" t="s">
        <v>117</v>
      </c>
      <c r="B444" s="7">
        <v>67886.600000000006</v>
      </c>
      <c r="C444" s="27"/>
      <c r="D444" s="9"/>
      <c r="E444" s="7">
        <v>65576.460000000006</v>
      </c>
      <c r="F444" s="27"/>
      <c r="G444" s="9"/>
      <c r="H444" s="10">
        <f>IFERROR(B444-E444, "NA")</f>
        <v>2310.1399999999994</v>
      </c>
      <c r="I444" s="27"/>
      <c r="J444" s="9"/>
      <c r="K444" s="7">
        <v>63821.37</v>
      </c>
      <c r="L444" s="27"/>
      <c r="M444" s="9"/>
      <c r="N444" s="10">
        <f>IFERROR(B444-K444, "NA")</f>
        <v>4065.2300000000032</v>
      </c>
      <c r="O444" s="27"/>
      <c r="P444" s="9"/>
      <c r="Q444" s="7">
        <v>67886.600000000006</v>
      </c>
      <c r="R444" s="27"/>
      <c r="S444" s="9"/>
      <c r="T444" s="7">
        <v>65576.460000000006</v>
      </c>
      <c r="U444" s="27"/>
      <c r="V444" s="9"/>
      <c r="W444" s="10">
        <f>IFERROR(Q444-T444, "NA")</f>
        <v>2310.1399999999994</v>
      </c>
      <c r="X444" s="27"/>
      <c r="Y444" s="9"/>
      <c r="Z444" s="7">
        <v>63821.37</v>
      </c>
      <c r="AA444" s="27"/>
      <c r="AB444" s="9"/>
      <c r="AC444" s="10">
        <f>IFERROR(Q444-Z444, "NA")</f>
        <v>4065.2300000000032</v>
      </c>
      <c r="AD444" s="27"/>
    </row>
    <row r="447" spans="1:30" ht="15.75" x14ac:dyDescent="0.5">
      <c r="A447" s="28" t="s">
        <v>408</v>
      </c>
    </row>
    <row r="448" spans="1:30" ht="15.75" x14ac:dyDescent="0.5">
      <c r="A448" s="28" t="s">
        <v>409</v>
      </c>
    </row>
    <row r="449" spans="1:1" ht="15.75" x14ac:dyDescent="0.5">
      <c r="A449" s="28" t="s">
        <v>410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4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D44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25" x14ac:dyDescent="0.45"/>
  <cols>
    <col min="1" max="1" width="42.86328125" customWidth="1"/>
    <col min="2" max="2" width="17.1328125" customWidth="1"/>
    <col min="3" max="3" width="9.3984375" customWidth="1"/>
    <col min="4" max="4" width="1.3984375" customWidth="1"/>
    <col min="5" max="5" width="17.1328125" customWidth="1"/>
    <col min="6" max="6" width="9.3984375" customWidth="1"/>
    <col min="7" max="7" width="1.3984375" customWidth="1"/>
    <col min="8" max="8" width="17.1328125" customWidth="1"/>
    <col min="9" max="9" width="9.3984375" customWidth="1"/>
    <col min="10" max="10" width="1.3984375" customWidth="1"/>
    <col min="11" max="11" width="17.1328125" customWidth="1"/>
    <col min="12" max="12" width="9.3984375" customWidth="1"/>
    <col min="13" max="13" width="1.3984375" customWidth="1"/>
    <col min="14" max="14" width="17.1328125" customWidth="1"/>
    <col min="15" max="15" width="9.3984375" customWidth="1"/>
    <col min="16" max="16" width="1.3984375" customWidth="1"/>
    <col min="17" max="17" width="17.1328125" customWidth="1"/>
    <col min="18" max="18" width="9.3984375" customWidth="1"/>
    <col min="19" max="19" width="1.3984375" customWidth="1"/>
    <col min="20" max="20" width="17.1328125" customWidth="1"/>
    <col min="21" max="21" width="9.3984375" customWidth="1"/>
    <col min="22" max="22" width="1.3984375" customWidth="1"/>
    <col min="23" max="23" width="17.1328125" customWidth="1"/>
    <col min="24" max="24" width="9.3984375" customWidth="1"/>
    <col min="25" max="25" width="1.3984375" customWidth="1"/>
    <col min="26" max="26" width="17.1328125" customWidth="1"/>
    <col min="27" max="27" width="9.3984375" customWidth="1"/>
    <col min="28" max="28" width="1.3984375" customWidth="1"/>
    <col min="29" max="29" width="17.1328125" customWidth="1"/>
    <col min="30" max="30" width="9.3984375" customWidth="1"/>
  </cols>
  <sheetData>
    <row r="1" spans="1:30" ht="33.4" x14ac:dyDescent="0.45">
      <c r="A1" s="29" t="s">
        <v>0</v>
      </c>
      <c r="B1" s="29" t="s">
        <v>0</v>
      </c>
      <c r="C1" s="29" t="s">
        <v>0</v>
      </c>
      <c r="D1" s="29" t="s">
        <v>0</v>
      </c>
      <c r="E1" s="29" t="s">
        <v>0</v>
      </c>
      <c r="F1" s="29" t="s">
        <v>0</v>
      </c>
      <c r="G1" s="29" t="s">
        <v>0</v>
      </c>
      <c r="H1" s="29" t="s">
        <v>0</v>
      </c>
      <c r="I1" s="29" t="s">
        <v>0</v>
      </c>
      <c r="J1" s="29" t="s">
        <v>0</v>
      </c>
      <c r="K1" s="29" t="s">
        <v>0</v>
      </c>
      <c r="L1" s="29" t="s">
        <v>0</v>
      </c>
      <c r="M1" s="29" t="s">
        <v>0</v>
      </c>
      <c r="N1" s="29" t="s">
        <v>0</v>
      </c>
      <c r="O1" s="29" t="s">
        <v>0</v>
      </c>
      <c r="P1" s="29" t="s">
        <v>0</v>
      </c>
      <c r="Q1" s="29" t="s">
        <v>0</v>
      </c>
      <c r="R1" s="29" t="s">
        <v>0</v>
      </c>
      <c r="S1" s="29" t="s">
        <v>0</v>
      </c>
      <c r="T1" s="29" t="s">
        <v>0</v>
      </c>
      <c r="U1" s="29" t="s">
        <v>0</v>
      </c>
      <c r="V1" s="29" t="s">
        <v>0</v>
      </c>
      <c r="W1" s="29" t="s">
        <v>0</v>
      </c>
      <c r="X1" s="29" t="s">
        <v>0</v>
      </c>
      <c r="Y1" s="29" t="s">
        <v>0</v>
      </c>
      <c r="Z1" s="29" t="s">
        <v>0</v>
      </c>
      <c r="AA1" s="29" t="s">
        <v>0</v>
      </c>
      <c r="AB1" s="29" t="s">
        <v>0</v>
      </c>
      <c r="AC1" s="29" t="s">
        <v>0</v>
      </c>
      <c r="AD1" s="29" t="s">
        <v>0</v>
      </c>
    </row>
    <row r="2" spans="1:30" ht="23.25" x14ac:dyDescent="0.45">
      <c r="A2" s="30" t="s">
        <v>1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0" t="s">
        <v>1</v>
      </c>
      <c r="O2" s="30" t="s">
        <v>1</v>
      </c>
      <c r="P2" s="30" t="s">
        <v>1</v>
      </c>
      <c r="Q2" s="30" t="s">
        <v>1</v>
      </c>
      <c r="R2" s="30" t="s">
        <v>1</v>
      </c>
      <c r="S2" s="30" t="s">
        <v>1</v>
      </c>
      <c r="T2" s="30" t="s">
        <v>1</v>
      </c>
      <c r="U2" s="30" t="s">
        <v>1</v>
      </c>
      <c r="V2" s="30" t="s">
        <v>1</v>
      </c>
      <c r="W2" s="30" t="s">
        <v>1</v>
      </c>
      <c r="X2" s="30" t="s">
        <v>1</v>
      </c>
      <c r="Y2" s="30" t="s">
        <v>1</v>
      </c>
      <c r="Z2" s="30" t="s">
        <v>1</v>
      </c>
      <c r="AA2" s="30" t="s">
        <v>1</v>
      </c>
      <c r="AB2" s="30" t="s">
        <v>1</v>
      </c>
      <c r="AC2" s="30" t="s">
        <v>1</v>
      </c>
      <c r="AD2" s="30" t="s">
        <v>1</v>
      </c>
    </row>
    <row r="3" spans="1:30" ht="15.75" x14ac:dyDescent="0.45">
      <c r="A3" s="31" t="s">
        <v>413</v>
      </c>
      <c r="B3" s="31" t="s">
        <v>413</v>
      </c>
      <c r="C3" s="31" t="s">
        <v>413</v>
      </c>
      <c r="D3" s="31" t="s">
        <v>413</v>
      </c>
      <c r="E3" s="31" t="s">
        <v>413</v>
      </c>
      <c r="F3" s="31" t="s">
        <v>413</v>
      </c>
      <c r="G3" s="31" t="s">
        <v>413</v>
      </c>
      <c r="H3" s="31" t="s">
        <v>413</v>
      </c>
      <c r="I3" s="31" t="s">
        <v>413</v>
      </c>
      <c r="J3" s="31" t="s">
        <v>413</v>
      </c>
      <c r="K3" s="31" t="s">
        <v>413</v>
      </c>
      <c r="L3" s="31" t="s">
        <v>413</v>
      </c>
      <c r="M3" s="31" t="s">
        <v>413</v>
      </c>
      <c r="N3" s="31" t="s">
        <v>413</v>
      </c>
      <c r="O3" s="31" t="s">
        <v>413</v>
      </c>
      <c r="P3" s="31" t="s">
        <v>413</v>
      </c>
      <c r="Q3" s="31" t="s">
        <v>413</v>
      </c>
      <c r="R3" s="31" t="s">
        <v>413</v>
      </c>
      <c r="S3" s="31" t="s">
        <v>413</v>
      </c>
      <c r="T3" s="31" t="s">
        <v>413</v>
      </c>
      <c r="U3" s="31" t="s">
        <v>413</v>
      </c>
      <c r="V3" s="31" t="s">
        <v>413</v>
      </c>
      <c r="W3" s="31" t="s">
        <v>413</v>
      </c>
      <c r="X3" s="31" t="s">
        <v>413</v>
      </c>
      <c r="Y3" s="31" t="s">
        <v>413</v>
      </c>
      <c r="Z3" s="31" t="s">
        <v>413</v>
      </c>
      <c r="AA3" s="31" t="s">
        <v>413</v>
      </c>
      <c r="AB3" s="31" t="s">
        <v>413</v>
      </c>
      <c r="AC3" s="31" t="s">
        <v>413</v>
      </c>
      <c r="AD3" s="31" t="s">
        <v>413</v>
      </c>
    </row>
    <row r="5" spans="1:30" ht="16.5" customHeight="1" x14ac:dyDescent="0.45">
      <c r="A5" s="32" t="s">
        <v>3</v>
      </c>
      <c r="B5" s="33" t="s">
        <v>4</v>
      </c>
      <c r="C5" s="34" t="s">
        <v>3</v>
      </c>
      <c r="D5" s="32" t="s">
        <v>3</v>
      </c>
      <c r="E5" s="33" t="s">
        <v>5</v>
      </c>
      <c r="F5" s="34" t="s">
        <v>3</v>
      </c>
      <c r="G5" s="32" t="s">
        <v>3</v>
      </c>
      <c r="H5" s="33" t="s">
        <v>6</v>
      </c>
      <c r="I5" s="34" t="s">
        <v>3</v>
      </c>
      <c r="J5" s="32" t="s">
        <v>3</v>
      </c>
      <c r="K5" s="33" t="s">
        <v>7</v>
      </c>
      <c r="L5" s="34" t="s">
        <v>3</v>
      </c>
      <c r="M5" s="32" t="s">
        <v>3</v>
      </c>
      <c r="N5" s="33" t="s">
        <v>6</v>
      </c>
      <c r="O5" s="34" t="s">
        <v>3</v>
      </c>
      <c r="P5" s="32" t="s">
        <v>3</v>
      </c>
      <c r="Q5" s="33" t="s">
        <v>8</v>
      </c>
      <c r="R5" s="34" t="s">
        <v>3</v>
      </c>
      <c r="S5" s="32" t="s">
        <v>3</v>
      </c>
      <c r="T5" s="33" t="s">
        <v>9</v>
      </c>
      <c r="U5" s="34" t="s">
        <v>3</v>
      </c>
      <c r="V5" s="32" t="s">
        <v>3</v>
      </c>
      <c r="W5" s="33" t="s">
        <v>6</v>
      </c>
      <c r="X5" s="34" t="s">
        <v>3</v>
      </c>
      <c r="Y5" s="32" t="s">
        <v>3</v>
      </c>
      <c r="Z5" s="33" t="s">
        <v>10</v>
      </c>
      <c r="AA5" s="34" t="s">
        <v>3</v>
      </c>
      <c r="AB5" s="32" t="s">
        <v>3</v>
      </c>
      <c r="AC5" s="33" t="s">
        <v>6</v>
      </c>
      <c r="AD5" s="34" t="s">
        <v>3</v>
      </c>
    </row>
    <row r="6" spans="1:30" ht="16.5" customHeight="1" x14ac:dyDescent="0.45">
      <c r="A6" s="1" t="s">
        <v>11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45">
      <c r="A7" s="5" t="s">
        <v>11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45">
      <c r="A8" s="6" t="s">
        <v>11</v>
      </c>
      <c r="B8" s="7">
        <v>0</v>
      </c>
      <c r="C8" s="8">
        <f>IFERROR(B8/B444, "NA")</f>
        <v>0</v>
      </c>
      <c r="D8" s="9"/>
      <c r="E8" s="7">
        <v>0</v>
      </c>
      <c r="F8" s="8">
        <f>IFERROR(E8/E444, "NA")</f>
        <v>0</v>
      </c>
      <c r="G8" s="9"/>
      <c r="H8" s="10">
        <f>IFERROR(B8-E8, "NA")</f>
        <v>0</v>
      </c>
      <c r="I8" s="8">
        <f>IFERROR(H8/H444, "NA")</f>
        <v>0</v>
      </c>
      <c r="J8" s="9"/>
      <c r="K8" s="7">
        <v>0</v>
      </c>
      <c r="L8" s="8">
        <f>IFERROR(K8/K444, "NA")</f>
        <v>0</v>
      </c>
      <c r="M8" s="9"/>
      <c r="N8" s="10">
        <f>IFERROR(B8-K8, "NA")</f>
        <v>0</v>
      </c>
      <c r="O8" s="8">
        <f>IFERROR(N8/N444, "NA")</f>
        <v>0</v>
      </c>
      <c r="P8" s="9"/>
      <c r="Q8" s="7">
        <v>0</v>
      </c>
      <c r="R8" s="8">
        <f>IFERROR(Q8/Q444, "NA")</f>
        <v>0</v>
      </c>
      <c r="S8" s="9"/>
      <c r="T8" s="7">
        <v>0</v>
      </c>
      <c r="U8" s="8">
        <f>IFERROR(T8/T444, "NA")</f>
        <v>0</v>
      </c>
      <c r="V8" s="9"/>
      <c r="W8" s="10">
        <f>IFERROR(Q8-T8, "NA")</f>
        <v>0</v>
      </c>
      <c r="X8" s="8">
        <f>IFERROR(W8/W444, "NA")</f>
        <v>0</v>
      </c>
      <c r="Y8" s="9"/>
      <c r="Z8" s="7">
        <v>0</v>
      </c>
      <c r="AA8" s="8">
        <f>IFERROR(Z8/Z444, "NA")</f>
        <v>0</v>
      </c>
      <c r="AB8" s="9"/>
      <c r="AC8" s="10">
        <f>IFERROR(Q8-Z8, "NA")</f>
        <v>0</v>
      </c>
      <c r="AD8" s="8">
        <f>IFERROR(AC8/AC444, "NA")</f>
        <v>0</v>
      </c>
    </row>
    <row r="9" spans="1:30" ht="16.5" customHeight="1" x14ac:dyDescent="0.45">
      <c r="A9" s="11" t="s">
        <v>12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45">
      <c r="A10" s="12" t="s">
        <v>12</v>
      </c>
      <c r="B10" s="7">
        <v>0</v>
      </c>
      <c r="C10" s="8">
        <f>IFERROR(B10/B444, "NA")</f>
        <v>0</v>
      </c>
      <c r="D10" s="9"/>
      <c r="E10" s="7">
        <v>39807.050000000003</v>
      </c>
      <c r="F10" s="8">
        <f>IFERROR(E10/E444, "NA")</f>
        <v>0.28000001125428836</v>
      </c>
      <c r="G10" s="9"/>
      <c r="H10" s="10">
        <f t="shared" ref="H10:H19" si="0">IFERROR(B10-E10, "NA")</f>
        <v>-39807.050000000003</v>
      </c>
      <c r="I10" s="8">
        <f>IFERROR(H10/H444, "NA")</f>
        <v>3.5788470062133264</v>
      </c>
      <c r="J10" s="9"/>
      <c r="K10" s="7">
        <v>0</v>
      </c>
      <c r="L10" s="8">
        <f>IFERROR(K10/K444, "NA")</f>
        <v>0</v>
      </c>
      <c r="M10" s="9"/>
      <c r="N10" s="10">
        <f t="shared" ref="N10:N19" si="1">IFERROR(B10-K10, "NA")</f>
        <v>0</v>
      </c>
      <c r="O10" s="8">
        <f>IFERROR(N10/N444, "NA")</f>
        <v>0</v>
      </c>
      <c r="P10" s="9"/>
      <c r="Q10" s="7">
        <v>0</v>
      </c>
      <c r="R10" s="8">
        <f>IFERROR(Q10/Q444, "NA")</f>
        <v>0</v>
      </c>
      <c r="S10" s="9"/>
      <c r="T10" s="7">
        <v>39807.050000000003</v>
      </c>
      <c r="U10" s="8">
        <f>IFERROR(T10/T444, "NA")</f>
        <v>0.28000001125428836</v>
      </c>
      <c r="V10" s="9"/>
      <c r="W10" s="10">
        <f t="shared" ref="W10:W19" si="2">IFERROR(Q10-T10, "NA")</f>
        <v>-39807.050000000003</v>
      </c>
      <c r="X10" s="8">
        <f>IFERROR(W10/W444, "NA")</f>
        <v>3.5788470062133264</v>
      </c>
      <c r="Y10" s="9"/>
      <c r="Z10" s="7">
        <v>0</v>
      </c>
      <c r="AA10" s="8">
        <f>IFERROR(Z10/Z444, "NA")</f>
        <v>0</v>
      </c>
      <c r="AB10" s="9"/>
      <c r="AC10" s="10">
        <f t="shared" ref="AC10:AC19" si="3">IFERROR(Q10-Z10, "NA")</f>
        <v>0</v>
      </c>
      <c r="AD10" s="8">
        <f>IFERROR(AC10/AC444, "NA")</f>
        <v>0</v>
      </c>
    </row>
    <row r="11" spans="1:30" ht="16.5" customHeight="1" x14ac:dyDescent="0.45">
      <c r="A11" s="12" t="s">
        <v>13</v>
      </c>
      <c r="B11" s="7">
        <v>38720.620000000003</v>
      </c>
      <c r="C11" s="8">
        <f>IFERROR(B11/B444, "NA")</f>
        <v>0.29547539184201843</v>
      </c>
      <c r="D11" s="9"/>
      <c r="E11" s="7">
        <v>0</v>
      </c>
      <c r="F11" s="8">
        <f>IFERROR(E11/E444, "NA")</f>
        <v>0</v>
      </c>
      <c r="G11" s="9"/>
      <c r="H11" s="10">
        <f t="shared" si="0"/>
        <v>38720.620000000003</v>
      </c>
      <c r="I11" s="8">
        <f>IFERROR(H11/H444, "NA")</f>
        <v>-3.4811716760152747</v>
      </c>
      <c r="J11" s="9"/>
      <c r="K11" s="7">
        <v>29365.45</v>
      </c>
      <c r="L11" s="8">
        <f>IFERROR(K11/K444, "NA")</f>
        <v>0.21342246476675497</v>
      </c>
      <c r="M11" s="9"/>
      <c r="N11" s="10">
        <f t="shared" si="1"/>
        <v>9355.1700000000019</v>
      </c>
      <c r="O11" s="8">
        <f>IFERROR(N11/N444, "NA")</f>
        <v>-1.4287282945677255</v>
      </c>
      <c r="P11" s="9"/>
      <c r="Q11" s="7">
        <v>38720.620000000003</v>
      </c>
      <c r="R11" s="8">
        <f>IFERROR(Q11/Q444, "NA")</f>
        <v>0.29547539184201843</v>
      </c>
      <c r="S11" s="9"/>
      <c r="T11" s="7">
        <v>0</v>
      </c>
      <c r="U11" s="8">
        <f>IFERROR(T11/T444, "NA")</f>
        <v>0</v>
      </c>
      <c r="V11" s="9"/>
      <c r="W11" s="10">
        <f t="shared" si="2"/>
        <v>38720.620000000003</v>
      </c>
      <c r="X11" s="8">
        <f>IFERROR(W11/W444, "NA")</f>
        <v>-3.4811716760152747</v>
      </c>
      <c r="Y11" s="9"/>
      <c r="Z11" s="7">
        <v>29365.45</v>
      </c>
      <c r="AA11" s="8">
        <f>IFERROR(Z11/Z444, "NA")</f>
        <v>0.21342246476675497</v>
      </c>
      <c r="AB11" s="9"/>
      <c r="AC11" s="10">
        <f t="shared" si="3"/>
        <v>9355.1700000000019</v>
      </c>
      <c r="AD11" s="8">
        <f>IFERROR(AC11/AC444, "NA")</f>
        <v>-1.4287282945677255</v>
      </c>
    </row>
    <row r="12" spans="1:30" ht="16.5" customHeight="1" x14ac:dyDescent="0.45">
      <c r="A12" s="12" t="s">
        <v>14</v>
      </c>
      <c r="B12" s="7">
        <v>3861.25</v>
      </c>
      <c r="C12" s="8">
        <f>IFERROR(B12/B444, "NA")</f>
        <v>2.9465033275551725E-2</v>
      </c>
      <c r="D12" s="9"/>
      <c r="E12" s="7">
        <v>0</v>
      </c>
      <c r="F12" s="8">
        <f>IFERROR(E12/E444, "NA")</f>
        <v>0</v>
      </c>
      <c r="G12" s="9"/>
      <c r="H12" s="10">
        <f t="shared" si="0"/>
        <v>3861.25</v>
      </c>
      <c r="I12" s="8">
        <f>IFERROR(H12/H444, "NA")</f>
        <v>-0.34714511632339512</v>
      </c>
      <c r="J12" s="9"/>
      <c r="K12" s="7">
        <v>2381.5500000000002</v>
      </c>
      <c r="L12" s="8">
        <f>IFERROR(K12/K444, "NA")</f>
        <v>1.7308649142623912E-2</v>
      </c>
      <c r="M12" s="9"/>
      <c r="N12" s="10">
        <f t="shared" si="1"/>
        <v>1479.6999999999998</v>
      </c>
      <c r="O12" s="8">
        <f>IFERROR(N12/N444, "NA")</f>
        <v>-0.22598084882175981</v>
      </c>
      <c r="P12" s="9"/>
      <c r="Q12" s="7">
        <v>3861.25</v>
      </c>
      <c r="R12" s="8">
        <f>IFERROR(Q12/Q444, "NA")</f>
        <v>2.9465033275551725E-2</v>
      </c>
      <c r="S12" s="9"/>
      <c r="T12" s="7">
        <v>0</v>
      </c>
      <c r="U12" s="8">
        <f>IFERROR(T12/T444, "NA")</f>
        <v>0</v>
      </c>
      <c r="V12" s="9"/>
      <c r="W12" s="10">
        <f t="shared" si="2"/>
        <v>3861.25</v>
      </c>
      <c r="X12" s="8">
        <f>IFERROR(W12/W444, "NA")</f>
        <v>-0.34714511632339512</v>
      </c>
      <c r="Y12" s="9"/>
      <c r="Z12" s="7">
        <v>2381.5500000000002</v>
      </c>
      <c r="AA12" s="8">
        <f>IFERROR(Z12/Z444, "NA")</f>
        <v>1.7308649142623912E-2</v>
      </c>
      <c r="AB12" s="9"/>
      <c r="AC12" s="10">
        <f t="shared" si="3"/>
        <v>1479.6999999999998</v>
      </c>
      <c r="AD12" s="8">
        <f>IFERROR(AC12/AC444, "NA")</f>
        <v>-0.22598084882175981</v>
      </c>
    </row>
    <row r="13" spans="1:30" ht="16.5" customHeight="1" x14ac:dyDescent="0.45">
      <c r="A13" s="12" t="s">
        <v>15</v>
      </c>
      <c r="B13" s="7">
        <v>112.5</v>
      </c>
      <c r="C13" s="8">
        <f>IFERROR(B13/B444, "NA")</f>
        <v>8.5848267879561513E-4</v>
      </c>
      <c r="D13" s="9"/>
      <c r="E13" s="7">
        <v>0</v>
      </c>
      <c r="F13" s="8">
        <f>IFERROR(E13/E444, "NA")</f>
        <v>0</v>
      </c>
      <c r="G13" s="9"/>
      <c r="H13" s="10">
        <f t="shared" si="0"/>
        <v>112.5</v>
      </c>
      <c r="I13" s="8">
        <f>IFERROR(H13/H444, "NA")</f>
        <v>-1.0114296040500343E-2</v>
      </c>
      <c r="J13" s="9"/>
      <c r="K13" s="7">
        <v>132</v>
      </c>
      <c r="L13" s="8">
        <f>IFERROR(K13/K444, "NA")</f>
        <v>9.5935071143849848E-4</v>
      </c>
      <c r="M13" s="9"/>
      <c r="N13" s="10">
        <f t="shared" si="1"/>
        <v>-19.5</v>
      </c>
      <c r="O13" s="8">
        <f>IFERROR(N13/N444, "NA")</f>
        <v>2.9780540325906042E-3</v>
      </c>
      <c r="P13" s="9"/>
      <c r="Q13" s="7">
        <v>112.5</v>
      </c>
      <c r="R13" s="8">
        <f>IFERROR(Q13/Q444, "NA")</f>
        <v>8.5848267879561513E-4</v>
      </c>
      <c r="S13" s="9"/>
      <c r="T13" s="7">
        <v>0</v>
      </c>
      <c r="U13" s="8">
        <f>IFERROR(T13/T444, "NA")</f>
        <v>0</v>
      </c>
      <c r="V13" s="9"/>
      <c r="W13" s="10">
        <f t="shared" si="2"/>
        <v>112.5</v>
      </c>
      <c r="X13" s="8">
        <f>IFERROR(W13/W444, "NA")</f>
        <v>-1.0114296040500343E-2</v>
      </c>
      <c r="Y13" s="9"/>
      <c r="Z13" s="7">
        <v>132</v>
      </c>
      <c r="AA13" s="8">
        <f>IFERROR(Z13/Z444, "NA")</f>
        <v>9.5935071143849848E-4</v>
      </c>
      <c r="AB13" s="9"/>
      <c r="AC13" s="10">
        <f t="shared" si="3"/>
        <v>-19.5</v>
      </c>
      <c r="AD13" s="8">
        <f>IFERROR(AC13/AC444, "NA")</f>
        <v>2.9780540325906042E-3</v>
      </c>
    </row>
    <row r="14" spans="1:30" ht="16.5" customHeight="1" x14ac:dyDescent="0.45">
      <c r="A14" s="12" t="s">
        <v>16</v>
      </c>
      <c r="B14" s="7">
        <v>20</v>
      </c>
      <c r="C14" s="8">
        <f>IFERROR(B14/B444, "NA")</f>
        <v>1.5261914289699824E-4</v>
      </c>
      <c r="D14" s="9"/>
      <c r="E14" s="7">
        <v>0</v>
      </c>
      <c r="F14" s="8">
        <f>IFERROR(E14/E444, "NA")</f>
        <v>0</v>
      </c>
      <c r="G14" s="9"/>
      <c r="H14" s="10">
        <f t="shared" si="0"/>
        <v>20</v>
      </c>
      <c r="I14" s="8">
        <f>IFERROR(H14/H444, "NA")</f>
        <v>-1.7980970738667276E-3</v>
      </c>
      <c r="J14" s="9"/>
      <c r="K14" s="7">
        <v>195</v>
      </c>
      <c r="L14" s="8">
        <f>IFERROR(K14/K444, "NA")</f>
        <v>1.4172226418977818E-3</v>
      </c>
      <c r="M14" s="9"/>
      <c r="N14" s="10">
        <f t="shared" si="1"/>
        <v>-175</v>
      </c>
      <c r="O14" s="8">
        <f>IFERROR(N14/N444, "NA")</f>
        <v>2.6726125933505422E-2</v>
      </c>
      <c r="P14" s="9"/>
      <c r="Q14" s="7">
        <v>20</v>
      </c>
      <c r="R14" s="8">
        <f>IFERROR(Q14/Q444, "NA")</f>
        <v>1.5261914289699824E-4</v>
      </c>
      <c r="S14" s="9"/>
      <c r="T14" s="7">
        <v>0</v>
      </c>
      <c r="U14" s="8">
        <f>IFERROR(T14/T444, "NA")</f>
        <v>0</v>
      </c>
      <c r="V14" s="9"/>
      <c r="W14" s="10">
        <f t="shared" si="2"/>
        <v>20</v>
      </c>
      <c r="X14" s="8">
        <f>IFERROR(W14/W444, "NA")</f>
        <v>-1.7980970738667276E-3</v>
      </c>
      <c r="Y14" s="9"/>
      <c r="Z14" s="7">
        <v>195</v>
      </c>
      <c r="AA14" s="8">
        <f>IFERROR(Z14/Z444, "NA")</f>
        <v>1.4172226418977818E-3</v>
      </c>
      <c r="AB14" s="9"/>
      <c r="AC14" s="10">
        <f t="shared" si="3"/>
        <v>-175</v>
      </c>
      <c r="AD14" s="8">
        <f>IFERROR(AC14/AC444, "NA")</f>
        <v>2.6726125933505422E-2</v>
      </c>
    </row>
    <row r="15" spans="1:30" ht="16.5" customHeight="1" x14ac:dyDescent="0.45">
      <c r="A15" s="12" t="s">
        <v>17</v>
      </c>
      <c r="B15" s="7">
        <v>45</v>
      </c>
      <c r="C15" s="8">
        <f>IFERROR(B15/B444, "NA")</f>
        <v>3.4339307151824607E-4</v>
      </c>
      <c r="D15" s="9"/>
      <c r="E15" s="7">
        <v>0</v>
      </c>
      <c r="F15" s="8">
        <f>IFERROR(E15/E444, "NA")</f>
        <v>0</v>
      </c>
      <c r="G15" s="9"/>
      <c r="H15" s="10">
        <f t="shared" si="0"/>
        <v>45</v>
      </c>
      <c r="I15" s="8">
        <f>IFERROR(H15/H444, "NA")</f>
        <v>-4.0457184162001371E-3</v>
      </c>
      <c r="J15" s="9"/>
      <c r="K15" s="7">
        <v>21</v>
      </c>
      <c r="L15" s="8">
        <f>IFERROR(K15/K444, "NA")</f>
        <v>1.5262397681976112E-4</v>
      </c>
      <c r="M15" s="9"/>
      <c r="N15" s="10">
        <f t="shared" si="1"/>
        <v>24</v>
      </c>
      <c r="O15" s="8">
        <f>IFERROR(N15/N444, "NA")</f>
        <v>-3.6652972708807437E-3</v>
      </c>
      <c r="P15" s="9"/>
      <c r="Q15" s="7">
        <v>45</v>
      </c>
      <c r="R15" s="8">
        <f>IFERROR(Q15/Q444, "NA")</f>
        <v>3.4339307151824607E-4</v>
      </c>
      <c r="S15" s="9"/>
      <c r="T15" s="7">
        <v>0</v>
      </c>
      <c r="U15" s="8">
        <f>IFERROR(T15/T444, "NA")</f>
        <v>0</v>
      </c>
      <c r="V15" s="9"/>
      <c r="W15" s="10">
        <f t="shared" si="2"/>
        <v>45</v>
      </c>
      <c r="X15" s="8">
        <f>IFERROR(W15/W444, "NA")</f>
        <v>-4.0457184162001371E-3</v>
      </c>
      <c r="Y15" s="9"/>
      <c r="Z15" s="7">
        <v>21</v>
      </c>
      <c r="AA15" s="8">
        <f>IFERROR(Z15/Z444, "NA")</f>
        <v>1.5262397681976112E-4</v>
      </c>
      <c r="AB15" s="9"/>
      <c r="AC15" s="10">
        <f t="shared" si="3"/>
        <v>24</v>
      </c>
      <c r="AD15" s="8">
        <f>IFERROR(AC15/AC444, "NA")</f>
        <v>-3.6652972708807437E-3</v>
      </c>
    </row>
    <row r="16" spans="1:30" ht="16.5" customHeight="1" x14ac:dyDescent="0.45">
      <c r="A16" s="12" t="s">
        <v>18</v>
      </c>
      <c r="B16" s="7">
        <v>0.21</v>
      </c>
      <c r="C16" s="8">
        <f>IFERROR(B16/B444, "NA")</f>
        <v>1.6025010004184816E-6</v>
      </c>
      <c r="D16" s="9"/>
      <c r="E16" s="7">
        <v>0</v>
      </c>
      <c r="F16" s="8">
        <f>IFERROR(E16/E444, "NA")</f>
        <v>0</v>
      </c>
      <c r="G16" s="9"/>
      <c r="H16" s="10">
        <f t="shared" si="0"/>
        <v>0.21</v>
      </c>
      <c r="I16" s="8">
        <f>IFERROR(H16/H444, "NA")</f>
        <v>-1.8880019275600639E-5</v>
      </c>
      <c r="J16" s="9"/>
      <c r="K16" s="7">
        <v>0</v>
      </c>
      <c r="L16" s="8">
        <f>IFERROR(K16/K444, "NA")</f>
        <v>0</v>
      </c>
      <c r="M16" s="9"/>
      <c r="N16" s="10">
        <f t="shared" si="1"/>
        <v>0.21</v>
      </c>
      <c r="O16" s="8">
        <f>IFERROR(N16/N444, "NA")</f>
        <v>-3.2071351120206503E-5</v>
      </c>
      <c r="P16" s="9"/>
      <c r="Q16" s="7">
        <v>0.21</v>
      </c>
      <c r="R16" s="8">
        <f>IFERROR(Q16/Q444, "NA")</f>
        <v>1.6025010004184816E-6</v>
      </c>
      <c r="S16" s="9"/>
      <c r="T16" s="7">
        <v>0</v>
      </c>
      <c r="U16" s="8">
        <f>IFERROR(T16/T444, "NA")</f>
        <v>0</v>
      </c>
      <c r="V16" s="9"/>
      <c r="W16" s="10">
        <f t="shared" si="2"/>
        <v>0.21</v>
      </c>
      <c r="X16" s="8">
        <f>IFERROR(W16/W444, "NA")</f>
        <v>-1.8880019275600639E-5</v>
      </c>
      <c r="Y16" s="9"/>
      <c r="Z16" s="7">
        <v>0</v>
      </c>
      <c r="AA16" s="8">
        <f>IFERROR(Z16/Z444, "NA")</f>
        <v>0</v>
      </c>
      <c r="AB16" s="9"/>
      <c r="AC16" s="10">
        <f t="shared" si="3"/>
        <v>0.21</v>
      </c>
      <c r="AD16" s="8">
        <f>IFERROR(AC16/AC444, "NA")</f>
        <v>-3.2071351120206503E-5</v>
      </c>
    </row>
    <row r="17" spans="1:30" ht="16.5" hidden="1" customHeight="1" x14ac:dyDescent="0.45">
      <c r="A17" s="12" t="s">
        <v>19</v>
      </c>
      <c r="B17" s="7">
        <v>0</v>
      </c>
      <c r="C17" s="8">
        <f>IFERROR(B17/B444, "NA")</f>
        <v>0</v>
      </c>
      <c r="D17" s="9"/>
      <c r="E17" s="7">
        <v>0</v>
      </c>
      <c r="F17" s="8">
        <f>IFERROR(E17/E444, "NA")</f>
        <v>0</v>
      </c>
      <c r="G17" s="9"/>
      <c r="H17" s="10">
        <f t="shared" si="0"/>
        <v>0</v>
      </c>
      <c r="I17" s="8">
        <f>IFERROR(H17/H444, "NA")</f>
        <v>0</v>
      </c>
      <c r="J17" s="9"/>
      <c r="K17" s="7">
        <v>0</v>
      </c>
      <c r="L17" s="8">
        <f>IFERROR(K17/K444, "NA")</f>
        <v>0</v>
      </c>
      <c r="M17" s="9"/>
      <c r="N17" s="10">
        <f t="shared" si="1"/>
        <v>0</v>
      </c>
      <c r="O17" s="8">
        <f>IFERROR(N17/N444, "NA")</f>
        <v>0</v>
      </c>
      <c r="P17" s="9"/>
      <c r="Q17" s="7">
        <v>0</v>
      </c>
      <c r="R17" s="8">
        <f>IFERROR(Q17/Q444, "NA")</f>
        <v>0</v>
      </c>
      <c r="S17" s="9"/>
      <c r="T17" s="7">
        <v>0</v>
      </c>
      <c r="U17" s="8">
        <f>IFERROR(T17/T444, "NA")</f>
        <v>0</v>
      </c>
      <c r="V17" s="9"/>
      <c r="W17" s="10">
        <f t="shared" si="2"/>
        <v>0</v>
      </c>
      <c r="X17" s="8">
        <f>IFERROR(W17/W444, "NA")</f>
        <v>0</v>
      </c>
      <c r="Y17" s="9"/>
      <c r="Z17" s="7">
        <v>0</v>
      </c>
      <c r="AA17" s="8">
        <f>IFERROR(Z17/Z444, "NA")</f>
        <v>0</v>
      </c>
      <c r="AB17" s="9"/>
      <c r="AC17" s="10">
        <f t="shared" si="3"/>
        <v>0</v>
      </c>
      <c r="AD17" s="8">
        <f>IFERROR(AC17/AC444, "NA")</f>
        <v>0</v>
      </c>
    </row>
    <row r="18" spans="1:30" ht="16.5" customHeight="1" x14ac:dyDescent="0.45">
      <c r="A18" s="13" t="s">
        <v>20</v>
      </c>
      <c r="B18" s="14">
        <f>IFERROR(B10+B11+B12+B13+B14+B15+B16+B17, "NA")</f>
        <v>42759.58</v>
      </c>
      <c r="C18" s="15">
        <f>IFERROR(B18/B444, "NA")</f>
        <v>0.32629652251178143</v>
      </c>
      <c r="D18" s="2"/>
      <c r="E18" s="14">
        <f>IFERROR(E10+E11+E12+E13+E14+E15+E16+E17, "NA")</f>
        <v>39807.050000000003</v>
      </c>
      <c r="F18" s="15">
        <f>IFERROR(E18/E444, "NA")</f>
        <v>0.28000001125428836</v>
      </c>
      <c r="G18" s="2"/>
      <c r="H18" s="14">
        <f t="shared" si="0"/>
        <v>2952.5299999999988</v>
      </c>
      <c r="I18" s="15">
        <f>IFERROR(H18/H444, "NA")</f>
        <v>-0.26544677767518637</v>
      </c>
      <c r="J18" s="2"/>
      <c r="K18" s="14">
        <f>IFERROR(K10+K11+K12+K13+K14+K15+K16+K17, "NA")</f>
        <v>32095</v>
      </c>
      <c r="L18" s="15">
        <f>IFERROR(K18/K444, "NA")</f>
        <v>0.23326031123953492</v>
      </c>
      <c r="M18" s="2"/>
      <c r="N18" s="14">
        <f t="shared" si="1"/>
        <v>10664.580000000002</v>
      </c>
      <c r="O18" s="15">
        <f>IFERROR(N18/N444, "NA")</f>
        <v>-1.6287023320453904</v>
      </c>
      <c r="P18" s="2"/>
      <c r="Q18" s="14">
        <f>IFERROR(Q10+Q11+Q12+Q13+Q14+Q15+Q16+Q17, "NA")</f>
        <v>42759.58</v>
      </c>
      <c r="R18" s="15">
        <f>IFERROR(Q18/Q444, "NA")</f>
        <v>0.32629652251178143</v>
      </c>
      <c r="S18" s="2"/>
      <c r="T18" s="14">
        <f>IFERROR(T10+T11+T12+T13+T14+T15+T16+T17, "NA")</f>
        <v>39807.050000000003</v>
      </c>
      <c r="U18" s="15">
        <f>IFERROR(T18/T444, "NA")</f>
        <v>0.28000001125428836</v>
      </c>
      <c r="V18" s="2"/>
      <c r="W18" s="14">
        <f t="shared" si="2"/>
        <v>2952.5299999999988</v>
      </c>
      <c r="X18" s="15">
        <f>IFERROR(W18/W444, "NA")</f>
        <v>-0.26544677767518637</v>
      </c>
      <c r="Y18" s="2"/>
      <c r="Z18" s="14">
        <f>IFERROR(Z10+Z11+Z12+Z13+Z14+Z15+Z16+Z17, "NA")</f>
        <v>32095</v>
      </c>
      <c r="AA18" s="15">
        <f>IFERROR(Z18/Z444, "NA")</f>
        <v>0.23326031123953492</v>
      </c>
      <c r="AB18" s="2"/>
      <c r="AC18" s="14">
        <f t="shared" si="3"/>
        <v>10664.580000000002</v>
      </c>
      <c r="AD18" s="15">
        <f>IFERROR(AC18/AC444, "NA")</f>
        <v>-1.6287023320453904</v>
      </c>
    </row>
    <row r="19" spans="1:30" ht="16.5" hidden="1" customHeight="1" x14ac:dyDescent="0.45">
      <c r="A19" s="6" t="s">
        <v>21</v>
      </c>
      <c r="B19" s="7">
        <v>0</v>
      </c>
      <c r="C19" s="8">
        <f>IFERROR(B19/B444, "NA")</f>
        <v>0</v>
      </c>
      <c r="D19" s="9"/>
      <c r="E19" s="7">
        <v>0</v>
      </c>
      <c r="F19" s="8">
        <f>IFERROR(E19/E444, "NA")</f>
        <v>0</v>
      </c>
      <c r="G19" s="9"/>
      <c r="H19" s="10">
        <f t="shared" si="0"/>
        <v>0</v>
      </c>
      <c r="I19" s="8">
        <f>IFERROR(H19/H444, "NA")</f>
        <v>0</v>
      </c>
      <c r="J19" s="9"/>
      <c r="K19" s="7">
        <v>0</v>
      </c>
      <c r="L19" s="8">
        <f>IFERROR(K19/K444, "NA")</f>
        <v>0</v>
      </c>
      <c r="M19" s="9"/>
      <c r="N19" s="10">
        <f t="shared" si="1"/>
        <v>0</v>
      </c>
      <c r="O19" s="8">
        <f>IFERROR(N19/N444, "NA")</f>
        <v>0</v>
      </c>
      <c r="P19" s="9"/>
      <c r="Q19" s="7">
        <v>0</v>
      </c>
      <c r="R19" s="8">
        <f>IFERROR(Q19/Q444, "NA")</f>
        <v>0</v>
      </c>
      <c r="S19" s="9"/>
      <c r="T19" s="7">
        <v>0</v>
      </c>
      <c r="U19" s="8">
        <f>IFERROR(T19/T444, "NA")</f>
        <v>0</v>
      </c>
      <c r="V19" s="9"/>
      <c r="W19" s="10">
        <f t="shared" si="2"/>
        <v>0</v>
      </c>
      <c r="X19" s="8">
        <f>IFERROR(W19/W444, "NA")</f>
        <v>0</v>
      </c>
      <c r="Y19" s="9"/>
      <c r="Z19" s="7">
        <v>0</v>
      </c>
      <c r="AA19" s="8">
        <f>IFERROR(Z19/Z444, "NA")</f>
        <v>0</v>
      </c>
      <c r="AB19" s="9"/>
      <c r="AC19" s="10">
        <f t="shared" si="3"/>
        <v>0</v>
      </c>
      <c r="AD19" s="8">
        <f>IFERROR(AC19/AC444, "NA")</f>
        <v>0</v>
      </c>
    </row>
    <row r="20" spans="1:30" ht="16.5" customHeight="1" x14ac:dyDescent="0.45">
      <c r="A20" s="11" t="s">
        <v>22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45">
      <c r="A21" s="12" t="s">
        <v>22</v>
      </c>
      <c r="B21" s="7">
        <v>0</v>
      </c>
      <c r="C21" s="8">
        <f>IFERROR(B21/B444, "NA")</f>
        <v>0</v>
      </c>
      <c r="D21" s="9"/>
      <c r="E21" s="7">
        <v>11799.95</v>
      </c>
      <c r="F21" s="8">
        <f>IFERROR(E21/E444, "NA")</f>
        <v>8.3000024689095009E-2</v>
      </c>
      <c r="G21" s="9"/>
      <c r="H21" s="10">
        <f t="shared" ref="H21:H29" si="4">IFERROR(B21-E21, "NA")</f>
        <v>-11799.95</v>
      </c>
      <c r="I21" s="8">
        <f>IFERROR(H21/H444, "NA")</f>
        <v>1.0608727783386847</v>
      </c>
      <c r="J21" s="9"/>
      <c r="K21" s="7">
        <v>0</v>
      </c>
      <c r="L21" s="8">
        <f>IFERROR(K21/K444, "NA")</f>
        <v>0</v>
      </c>
      <c r="M21" s="9"/>
      <c r="N21" s="10">
        <f t="shared" ref="N21:N29" si="5">IFERROR(B21-K21, "NA")</f>
        <v>0</v>
      </c>
      <c r="O21" s="8">
        <f>IFERROR(N21/N444, "NA")</f>
        <v>0</v>
      </c>
      <c r="P21" s="9"/>
      <c r="Q21" s="7">
        <v>0</v>
      </c>
      <c r="R21" s="8">
        <f>IFERROR(Q21/Q444, "NA")</f>
        <v>0</v>
      </c>
      <c r="S21" s="9"/>
      <c r="T21" s="7">
        <v>11799.95</v>
      </c>
      <c r="U21" s="8">
        <f>IFERROR(T21/T444, "NA")</f>
        <v>8.3000024689095009E-2</v>
      </c>
      <c r="V21" s="9"/>
      <c r="W21" s="10">
        <f t="shared" ref="W21:W29" si="6">IFERROR(Q21-T21, "NA")</f>
        <v>-11799.95</v>
      </c>
      <c r="X21" s="8">
        <f>IFERROR(W21/W444, "NA")</f>
        <v>1.0608727783386847</v>
      </c>
      <c r="Y21" s="9"/>
      <c r="Z21" s="7">
        <v>0</v>
      </c>
      <c r="AA21" s="8">
        <f>IFERROR(Z21/Z444, "NA")</f>
        <v>0</v>
      </c>
      <c r="AB21" s="9"/>
      <c r="AC21" s="10">
        <f t="shared" ref="AC21:AC29" si="7">IFERROR(Q21-Z21, "NA")</f>
        <v>0</v>
      </c>
      <c r="AD21" s="8">
        <f>IFERROR(AC21/AC444, "NA")</f>
        <v>0</v>
      </c>
    </row>
    <row r="22" spans="1:30" ht="16.5" customHeight="1" x14ac:dyDescent="0.45">
      <c r="A22" s="12" t="s">
        <v>23</v>
      </c>
      <c r="B22" s="7">
        <v>4089.35</v>
      </c>
      <c r="C22" s="8">
        <f>IFERROR(B22/B444, "NA")</f>
        <v>3.1205654600291989E-2</v>
      </c>
      <c r="D22" s="9"/>
      <c r="E22" s="7">
        <v>0</v>
      </c>
      <c r="F22" s="8">
        <f>IFERROR(E22/E444, "NA")</f>
        <v>0</v>
      </c>
      <c r="G22" s="9"/>
      <c r="H22" s="10">
        <f t="shared" si="4"/>
        <v>4089.35</v>
      </c>
      <c r="I22" s="8">
        <f>IFERROR(H22/H444, "NA")</f>
        <v>-0.36765241345084509</v>
      </c>
      <c r="J22" s="9"/>
      <c r="K22" s="7">
        <v>5501</v>
      </c>
      <c r="L22" s="8">
        <f>IFERROR(K22/K444, "NA")</f>
        <v>3.9980214118357421E-2</v>
      </c>
      <c r="M22" s="9"/>
      <c r="N22" s="10">
        <f t="shared" si="5"/>
        <v>-1411.65</v>
      </c>
      <c r="O22" s="8">
        <f>IFERROR(N22/N444, "NA")</f>
        <v>0.21558820385161676</v>
      </c>
      <c r="P22" s="9"/>
      <c r="Q22" s="7">
        <v>4089.35</v>
      </c>
      <c r="R22" s="8">
        <f>IFERROR(Q22/Q444, "NA")</f>
        <v>3.1205654600291989E-2</v>
      </c>
      <c r="S22" s="9"/>
      <c r="T22" s="7">
        <v>0</v>
      </c>
      <c r="U22" s="8">
        <f>IFERROR(T22/T444, "NA")</f>
        <v>0</v>
      </c>
      <c r="V22" s="9"/>
      <c r="W22" s="10">
        <f t="shared" si="6"/>
        <v>4089.35</v>
      </c>
      <c r="X22" s="8">
        <f>IFERROR(W22/W444, "NA")</f>
        <v>-0.36765241345084509</v>
      </c>
      <c r="Y22" s="9"/>
      <c r="Z22" s="7">
        <v>5501</v>
      </c>
      <c r="AA22" s="8">
        <f>IFERROR(Z22/Z444, "NA")</f>
        <v>3.9980214118357421E-2</v>
      </c>
      <c r="AB22" s="9"/>
      <c r="AC22" s="10">
        <f t="shared" si="7"/>
        <v>-1411.65</v>
      </c>
      <c r="AD22" s="8">
        <f>IFERROR(AC22/AC444, "NA")</f>
        <v>0.21558820385161676</v>
      </c>
    </row>
    <row r="23" spans="1:30" ht="16.5" customHeight="1" x14ac:dyDescent="0.45">
      <c r="A23" s="12" t="s">
        <v>24</v>
      </c>
      <c r="B23" s="7">
        <v>2788.56</v>
      </c>
      <c r="C23" s="8">
        <f>IFERROR(B23/B444, "NA")</f>
        <v>2.1279381855842671E-2</v>
      </c>
      <c r="D23" s="9"/>
      <c r="E23" s="7">
        <v>0</v>
      </c>
      <c r="F23" s="8">
        <f>IFERROR(E23/E444, "NA")</f>
        <v>0</v>
      </c>
      <c r="G23" s="9"/>
      <c r="H23" s="10">
        <f t="shared" si="4"/>
        <v>2788.56</v>
      </c>
      <c r="I23" s="8">
        <f>IFERROR(H23/H444, "NA")</f>
        <v>-0.25070507881509008</v>
      </c>
      <c r="J23" s="9"/>
      <c r="K23" s="7">
        <v>0</v>
      </c>
      <c r="L23" s="8">
        <f>IFERROR(K23/K444, "NA")</f>
        <v>0</v>
      </c>
      <c r="M23" s="9"/>
      <c r="N23" s="10">
        <f t="shared" si="5"/>
        <v>2788.56</v>
      </c>
      <c r="O23" s="8">
        <f>IFERROR(N23/N444, "NA")</f>
        <v>-0.42587088990363359</v>
      </c>
      <c r="P23" s="9"/>
      <c r="Q23" s="7">
        <v>2788.56</v>
      </c>
      <c r="R23" s="8">
        <f>IFERROR(Q23/Q444, "NA")</f>
        <v>2.1279381855842671E-2</v>
      </c>
      <c r="S23" s="9"/>
      <c r="T23" s="7">
        <v>0</v>
      </c>
      <c r="U23" s="8">
        <f>IFERROR(T23/T444, "NA")</f>
        <v>0</v>
      </c>
      <c r="V23" s="9"/>
      <c r="W23" s="10">
        <f t="shared" si="6"/>
        <v>2788.56</v>
      </c>
      <c r="X23" s="8">
        <f>IFERROR(W23/W444, "NA")</f>
        <v>-0.25070507881509008</v>
      </c>
      <c r="Y23" s="9"/>
      <c r="Z23" s="7">
        <v>0</v>
      </c>
      <c r="AA23" s="8">
        <f>IFERROR(Z23/Z444, "NA")</f>
        <v>0</v>
      </c>
      <c r="AB23" s="9"/>
      <c r="AC23" s="10">
        <f t="shared" si="7"/>
        <v>2788.56</v>
      </c>
      <c r="AD23" s="8">
        <f>IFERROR(AC23/AC444, "NA")</f>
        <v>-0.42587088990363359</v>
      </c>
    </row>
    <row r="24" spans="1:30" ht="16.5" customHeight="1" x14ac:dyDescent="0.45">
      <c r="A24" s="12" t="s">
        <v>25</v>
      </c>
      <c r="B24" s="7">
        <v>1013.77</v>
      </c>
      <c r="C24" s="8">
        <f>IFERROR(B24/B444, "NA")</f>
        <v>7.7360354247344955E-3</v>
      </c>
      <c r="D24" s="9"/>
      <c r="E24" s="7">
        <v>0</v>
      </c>
      <c r="F24" s="8">
        <f>IFERROR(E24/E444, "NA")</f>
        <v>0</v>
      </c>
      <c r="G24" s="9"/>
      <c r="H24" s="10">
        <f t="shared" si="4"/>
        <v>1013.77</v>
      </c>
      <c r="I24" s="8">
        <f>IFERROR(H24/H444, "NA")</f>
        <v>-9.1142843528693618E-2</v>
      </c>
      <c r="J24" s="9"/>
      <c r="K24" s="7">
        <v>954.15</v>
      </c>
      <c r="L24" s="8">
        <f>IFERROR(K24/K444, "NA")</f>
        <v>6.9345794039321462E-3</v>
      </c>
      <c r="M24" s="9"/>
      <c r="N24" s="10">
        <f t="shared" si="5"/>
        <v>59.620000000000005</v>
      </c>
      <c r="O24" s="8">
        <f>IFERROR(N24/N444, "NA")</f>
        <v>-9.1052093037462482E-3</v>
      </c>
      <c r="P24" s="9"/>
      <c r="Q24" s="7">
        <v>1013.77</v>
      </c>
      <c r="R24" s="8">
        <f>IFERROR(Q24/Q444, "NA")</f>
        <v>7.7360354247344955E-3</v>
      </c>
      <c r="S24" s="9"/>
      <c r="T24" s="7">
        <v>0</v>
      </c>
      <c r="U24" s="8">
        <f>IFERROR(T24/T444, "NA")</f>
        <v>0</v>
      </c>
      <c r="V24" s="9"/>
      <c r="W24" s="10">
        <f t="shared" si="6"/>
        <v>1013.77</v>
      </c>
      <c r="X24" s="8">
        <f>IFERROR(W24/W444, "NA")</f>
        <v>-9.1142843528693618E-2</v>
      </c>
      <c r="Y24" s="9"/>
      <c r="Z24" s="7">
        <v>954.15</v>
      </c>
      <c r="AA24" s="8">
        <f>IFERROR(Z24/Z444, "NA")</f>
        <v>6.9345794039321462E-3</v>
      </c>
      <c r="AB24" s="9"/>
      <c r="AC24" s="10">
        <f t="shared" si="7"/>
        <v>59.620000000000005</v>
      </c>
      <c r="AD24" s="8">
        <f>IFERROR(AC24/AC444, "NA")</f>
        <v>-9.1052093037462482E-3</v>
      </c>
    </row>
    <row r="25" spans="1:30" ht="16.5" customHeight="1" x14ac:dyDescent="0.45">
      <c r="A25" s="12" t="s">
        <v>26</v>
      </c>
      <c r="B25" s="7">
        <v>203.16</v>
      </c>
      <c r="C25" s="8">
        <f>IFERROR(B25/B444, "NA")</f>
        <v>1.5503052535477083E-3</v>
      </c>
      <c r="D25" s="9"/>
      <c r="E25" s="7">
        <v>0</v>
      </c>
      <c r="F25" s="8">
        <f>IFERROR(E25/E444, "NA")</f>
        <v>0</v>
      </c>
      <c r="G25" s="9"/>
      <c r="H25" s="10">
        <f t="shared" si="4"/>
        <v>203.16</v>
      </c>
      <c r="I25" s="8">
        <f>IFERROR(H25/H444, "NA")</f>
        <v>-1.8265070076338218E-2</v>
      </c>
      <c r="J25" s="9"/>
      <c r="K25" s="7">
        <v>0</v>
      </c>
      <c r="L25" s="8">
        <f>IFERROR(K25/K444, "NA")</f>
        <v>0</v>
      </c>
      <c r="M25" s="9"/>
      <c r="N25" s="10">
        <f t="shared" si="5"/>
        <v>203.16</v>
      </c>
      <c r="O25" s="8">
        <f>IFERROR(N25/N444, "NA")</f>
        <v>-3.1026741398005493E-2</v>
      </c>
      <c r="P25" s="9"/>
      <c r="Q25" s="7">
        <v>203.16</v>
      </c>
      <c r="R25" s="8">
        <f>IFERROR(Q25/Q444, "NA")</f>
        <v>1.5503052535477083E-3</v>
      </c>
      <c r="S25" s="9"/>
      <c r="T25" s="7">
        <v>0</v>
      </c>
      <c r="U25" s="8">
        <f>IFERROR(T25/T444, "NA")</f>
        <v>0</v>
      </c>
      <c r="V25" s="9"/>
      <c r="W25" s="10">
        <f t="shared" si="6"/>
        <v>203.16</v>
      </c>
      <c r="X25" s="8">
        <f>IFERROR(W25/W444, "NA")</f>
        <v>-1.8265070076338218E-2</v>
      </c>
      <c r="Y25" s="9"/>
      <c r="Z25" s="7">
        <v>0</v>
      </c>
      <c r="AA25" s="8">
        <f>IFERROR(Z25/Z444, "NA")</f>
        <v>0</v>
      </c>
      <c r="AB25" s="9"/>
      <c r="AC25" s="10">
        <f t="shared" si="7"/>
        <v>203.16</v>
      </c>
      <c r="AD25" s="8">
        <f>IFERROR(AC25/AC444, "NA")</f>
        <v>-3.1026741398005493E-2</v>
      </c>
    </row>
    <row r="26" spans="1:30" ht="16.5" customHeight="1" x14ac:dyDescent="0.45">
      <c r="A26" s="12" t="s">
        <v>27</v>
      </c>
      <c r="B26" s="7">
        <v>1624.64</v>
      </c>
      <c r="C26" s="8">
        <f>IFERROR(B26/B444, "NA")</f>
        <v>1.2397558215808962E-2</v>
      </c>
      <c r="D26" s="9"/>
      <c r="E26" s="7">
        <v>0</v>
      </c>
      <c r="F26" s="8">
        <f>IFERROR(E26/E444, "NA")</f>
        <v>0</v>
      </c>
      <c r="G26" s="9"/>
      <c r="H26" s="10">
        <f t="shared" si="4"/>
        <v>1624.64</v>
      </c>
      <c r="I26" s="8">
        <f>IFERROR(H26/H444, "NA")</f>
        <v>-0.14606302150434203</v>
      </c>
      <c r="J26" s="9"/>
      <c r="K26" s="7">
        <v>2055.46</v>
      </c>
      <c r="L26" s="8">
        <f>IFERROR(K26/K444, "NA")</f>
        <v>1.4938689494949819E-2</v>
      </c>
      <c r="M26" s="9"/>
      <c r="N26" s="10">
        <f t="shared" si="5"/>
        <v>-430.81999999999994</v>
      </c>
      <c r="O26" s="8">
        <f>IFERROR(N26/N444, "NA")</f>
        <v>6.5795140426701745E-2</v>
      </c>
      <c r="P26" s="9"/>
      <c r="Q26" s="7">
        <v>1624.64</v>
      </c>
      <c r="R26" s="8">
        <f>IFERROR(Q26/Q444, "NA")</f>
        <v>1.2397558215808962E-2</v>
      </c>
      <c r="S26" s="9"/>
      <c r="T26" s="7">
        <v>0</v>
      </c>
      <c r="U26" s="8">
        <f>IFERROR(T26/T444, "NA")</f>
        <v>0</v>
      </c>
      <c r="V26" s="9"/>
      <c r="W26" s="10">
        <f t="shared" si="6"/>
        <v>1624.64</v>
      </c>
      <c r="X26" s="8">
        <f>IFERROR(W26/W444, "NA")</f>
        <v>-0.14606302150434203</v>
      </c>
      <c r="Y26" s="9"/>
      <c r="Z26" s="7">
        <v>2055.46</v>
      </c>
      <c r="AA26" s="8">
        <f>IFERROR(Z26/Z444, "NA")</f>
        <v>1.4938689494949819E-2</v>
      </c>
      <c r="AB26" s="9"/>
      <c r="AC26" s="10">
        <f t="shared" si="7"/>
        <v>-430.81999999999994</v>
      </c>
      <c r="AD26" s="8">
        <f>IFERROR(AC26/AC444, "NA")</f>
        <v>6.5795140426701745E-2</v>
      </c>
    </row>
    <row r="27" spans="1:30" ht="16.5" hidden="1" customHeight="1" x14ac:dyDescent="0.45">
      <c r="A27" s="12" t="s">
        <v>28</v>
      </c>
      <c r="B27" s="7">
        <v>0</v>
      </c>
      <c r="C27" s="8">
        <f>IFERROR(B27/B444, "NA")</f>
        <v>0</v>
      </c>
      <c r="D27" s="9"/>
      <c r="E27" s="7">
        <v>0</v>
      </c>
      <c r="F27" s="8">
        <f>IFERROR(E27/E444, "NA")</f>
        <v>0</v>
      </c>
      <c r="G27" s="9"/>
      <c r="H27" s="10">
        <f t="shared" si="4"/>
        <v>0</v>
      </c>
      <c r="I27" s="8">
        <f>IFERROR(H27/H444, "NA")</f>
        <v>0</v>
      </c>
      <c r="J27" s="9"/>
      <c r="K27" s="7">
        <v>0</v>
      </c>
      <c r="L27" s="8">
        <f>IFERROR(K27/K444, "NA")</f>
        <v>0</v>
      </c>
      <c r="M27" s="9"/>
      <c r="N27" s="10">
        <f t="shared" si="5"/>
        <v>0</v>
      </c>
      <c r="O27" s="8">
        <f>IFERROR(N27/N444, "NA")</f>
        <v>0</v>
      </c>
      <c r="P27" s="9"/>
      <c r="Q27" s="7">
        <v>0</v>
      </c>
      <c r="R27" s="8">
        <f>IFERROR(Q27/Q444, "NA")</f>
        <v>0</v>
      </c>
      <c r="S27" s="9"/>
      <c r="T27" s="7">
        <v>0</v>
      </c>
      <c r="U27" s="8">
        <f>IFERROR(T27/T444, "NA")</f>
        <v>0</v>
      </c>
      <c r="V27" s="9"/>
      <c r="W27" s="10">
        <f t="shared" si="6"/>
        <v>0</v>
      </c>
      <c r="X27" s="8">
        <f>IFERROR(W27/W444, "NA")</f>
        <v>0</v>
      </c>
      <c r="Y27" s="9"/>
      <c r="Z27" s="7">
        <v>0</v>
      </c>
      <c r="AA27" s="8">
        <f>IFERROR(Z27/Z444, "NA")</f>
        <v>0</v>
      </c>
      <c r="AB27" s="9"/>
      <c r="AC27" s="10">
        <f t="shared" si="7"/>
        <v>0</v>
      </c>
      <c r="AD27" s="8">
        <f>IFERROR(AC27/AC444, "NA")</f>
        <v>0</v>
      </c>
    </row>
    <row r="28" spans="1:30" ht="16.5" customHeight="1" x14ac:dyDescent="0.45">
      <c r="A28" s="12" t="s">
        <v>29</v>
      </c>
      <c r="B28" s="7">
        <v>874.54</v>
      </c>
      <c r="C28" s="8">
        <f>IFERROR(B28/B444, "NA")</f>
        <v>6.6735772614570426E-3</v>
      </c>
      <c r="D28" s="9"/>
      <c r="E28" s="7">
        <v>0</v>
      </c>
      <c r="F28" s="8">
        <f>IFERROR(E28/E444, "NA")</f>
        <v>0</v>
      </c>
      <c r="G28" s="9"/>
      <c r="H28" s="10">
        <f t="shared" si="4"/>
        <v>874.54</v>
      </c>
      <c r="I28" s="8">
        <f>IFERROR(H28/H444, "NA")</f>
        <v>-7.8625390748970389E-2</v>
      </c>
      <c r="J28" s="9"/>
      <c r="K28" s="7">
        <v>826.62</v>
      </c>
      <c r="L28" s="8">
        <f>IFERROR(K28/K444, "NA")</f>
        <v>6.0077157961309965E-3</v>
      </c>
      <c r="M28" s="9"/>
      <c r="N28" s="10">
        <f t="shared" si="5"/>
        <v>47.919999999999959</v>
      </c>
      <c r="O28" s="8">
        <f>IFERROR(N28/N444, "NA")</f>
        <v>-7.3183768841918783E-3</v>
      </c>
      <c r="P28" s="9"/>
      <c r="Q28" s="7">
        <v>874.54</v>
      </c>
      <c r="R28" s="8">
        <f>IFERROR(Q28/Q444, "NA")</f>
        <v>6.6735772614570426E-3</v>
      </c>
      <c r="S28" s="9"/>
      <c r="T28" s="7">
        <v>0</v>
      </c>
      <c r="U28" s="8">
        <f>IFERROR(T28/T444, "NA")</f>
        <v>0</v>
      </c>
      <c r="V28" s="9"/>
      <c r="W28" s="10">
        <f t="shared" si="6"/>
        <v>874.54</v>
      </c>
      <c r="X28" s="8">
        <f>IFERROR(W28/W444, "NA")</f>
        <v>-7.8625390748970389E-2</v>
      </c>
      <c r="Y28" s="9"/>
      <c r="Z28" s="7">
        <v>826.62</v>
      </c>
      <c r="AA28" s="8">
        <f>IFERROR(Z28/Z444, "NA")</f>
        <v>6.0077157961309965E-3</v>
      </c>
      <c r="AB28" s="9"/>
      <c r="AC28" s="10">
        <f t="shared" si="7"/>
        <v>47.919999999999959</v>
      </c>
      <c r="AD28" s="8">
        <f>IFERROR(AC28/AC444, "NA")</f>
        <v>-7.3183768841918783E-3</v>
      </c>
    </row>
    <row r="29" spans="1:30" ht="16.5" customHeight="1" x14ac:dyDescent="0.45">
      <c r="A29" s="13" t="s">
        <v>30</v>
      </c>
      <c r="B29" s="14">
        <f>IFERROR(B21+B22+B23+B24+B25+B26+B27+B28, "NA")</f>
        <v>10594.02</v>
      </c>
      <c r="C29" s="15">
        <f>IFERROR(B29/B444, "NA")</f>
        <v>8.0842512611682876E-2</v>
      </c>
      <c r="D29" s="2"/>
      <c r="E29" s="14">
        <f>IFERROR(E21+E22+E23+E24+E25+E26+E27+E28, "NA")</f>
        <v>11799.95</v>
      </c>
      <c r="F29" s="15">
        <f>IFERROR(E29/E444, "NA")</f>
        <v>8.3000024689095009E-2</v>
      </c>
      <c r="G29" s="2"/>
      <c r="H29" s="14">
        <f t="shared" si="4"/>
        <v>-1205.9300000000003</v>
      </c>
      <c r="I29" s="15">
        <f>IFERROR(H29/H444, "NA")</f>
        <v>0.10841896021440517</v>
      </c>
      <c r="J29" s="2"/>
      <c r="K29" s="14">
        <f>IFERROR(K21+K22+K23+K24+K25+K26+K27+K28, "NA")</f>
        <v>9337.2300000000014</v>
      </c>
      <c r="L29" s="15">
        <f>IFERROR(K29/K444, "NA")</f>
        <v>6.7861198813370396E-2</v>
      </c>
      <c r="M29" s="2"/>
      <c r="N29" s="14">
        <f t="shared" si="5"/>
        <v>1256.7899999999991</v>
      </c>
      <c r="O29" s="15">
        <f>IFERROR(N29/N444, "NA")</f>
        <v>-0.1919378732112586</v>
      </c>
      <c r="P29" s="2"/>
      <c r="Q29" s="14">
        <f>IFERROR(Q21+Q22+Q23+Q24+Q25+Q26+Q27+Q28, "NA")</f>
        <v>10594.02</v>
      </c>
      <c r="R29" s="15">
        <f>IFERROR(Q29/Q444, "NA")</f>
        <v>8.0842512611682876E-2</v>
      </c>
      <c r="S29" s="2"/>
      <c r="T29" s="14">
        <f>IFERROR(T21+T22+T23+T24+T25+T26+T27+T28, "NA")</f>
        <v>11799.95</v>
      </c>
      <c r="U29" s="15">
        <f>IFERROR(T29/T444, "NA")</f>
        <v>8.3000024689095009E-2</v>
      </c>
      <c r="V29" s="2"/>
      <c r="W29" s="14">
        <f t="shared" si="6"/>
        <v>-1205.9300000000003</v>
      </c>
      <c r="X29" s="15">
        <f>IFERROR(W29/W444, "NA")</f>
        <v>0.10841896021440517</v>
      </c>
      <c r="Y29" s="2"/>
      <c r="Z29" s="14">
        <f>IFERROR(Z21+Z22+Z23+Z24+Z25+Z26+Z27+Z28, "NA")</f>
        <v>9337.2300000000014</v>
      </c>
      <c r="AA29" s="15">
        <f>IFERROR(Z29/Z444, "NA")</f>
        <v>6.7861198813370396E-2</v>
      </c>
      <c r="AB29" s="2"/>
      <c r="AC29" s="14">
        <f t="shared" si="7"/>
        <v>1256.7899999999991</v>
      </c>
      <c r="AD29" s="15">
        <f>IFERROR(AC29/AC444, "NA")</f>
        <v>-0.1919378732112586</v>
      </c>
    </row>
    <row r="30" spans="1:30" ht="16.5" customHeight="1" x14ac:dyDescent="0.45">
      <c r="A30" s="11" t="s">
        <v>31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45">
      <c r="A31" s="12" t="s">
        <v>31</v>
      </c>
      <c r="B31" s="7">
        <v>0</v>
      </c>
      <c r="C31" s="8">
        <f>IFERROR(B31/B444, "NA")</f>
        <v>0</v>
      </c>
      <c r="D31" s="9"/>
      <c r="E31" s="7">
        <v>31561.3</v>
      </c>
      <c r="F31" s="8">
        <f>IFERROR(E31/E444, "NA")</f>
        <v>0.22199998128974566</v>
      </c>
      <c r="G31" s="9"/>
      <c r="H31" s="10">
        <f t="shared" ref="H31:H40" si="8">IFERROR(B31-E31, "NA")</f>
        <v>-31561.3</v>
      </c>
      <c r="I31" s="8">
        <f>IFERROR(H31/H444, "NA")</f>
        <v>2.8375140588714975</v>
      </c>
      <c r="J31" s="9"/>
      <c r="K31" s="7">
        <v>0</v>
      </c>
      <c r="L31" s="8">
        <f>IFERROR(K31/K444, "NA")</f>
        <v>0</v>
      </c>
      <c r="M31" s="9"/>
      <c r="N31" s="10">
        <f t="shared" ref="N31:N40" si="9">IFERROR(B31-K31, "NA")</f>
        <v>0</v>
      </c>
      <c r="O31" s="8">
        <f>IFERROR(N31/N444, "NA")</f>
        <v>0</v>
      </c>
      <c r="P31" s="9"/>
      <c r="Q31" s="7">
        <v>0</v>
      </c>
      <c r="R31" s="8">
        <f>IFERROR(Q31/Q444, "NA")</f>
        <v>0</v>
      </c>
      <c r="S31" s="9"/>
      <c r="T31" s="7">
        <v>31561.3</v>
      </c>
      <c r="U31" s="8">
        <f>IFERROR(T31/T444, "NA")</f>
        <v>0.22199998128974566</v>
      </c>
      <c r="V31" s="9"/>
      <c r="W31" s="10">
        <f t="shared" ref="W31:W40" si="10">IFERROR(Q31-T31, "NA")</f>
        <v>-31561.3</v>
      </c>
      <c r="X31" s="8">
        <f>IFERROR(W31/W444, "NA")</f>
        <v>2.8375140588714975</v>
      </c>
      <c r="Y31" s="9"/>
      <c r="Z31" s="7">
        <v>0</v>
      </c>
      <c r="AA31" s="8">
        <f>IFERROR(Z31/Z444, "NA")</f>
        <v>0</v>
      </c>
      <c r="AB31" s="9"/>
      <c r="AC31" s="10">
        <f t="shared" ref="AC31:AC40" si="11">IFERROR(Q31-Z31, "NA")</f>
        <v>0</v>
      </c>
      <c r="AD31" s="8">
        <f>IFERROR(AC31/AC444, "NA")</f>
        <v>0</v>
      </c>
    </row>
    <row r="32" spans="1:30" ht="16.5" hidden="1" customHeight="1" x14ac:dyDescent="0.45">
      <c r="A32" s="12" t="s">
        <v>32</v>
      </c>
      <c r="B32" s="7">
        <v>0</v>
      </c>
      <c r="C32" s="8">
        <f>IFERROR(B32/B444, "NA")</f>
        <v>0</v>
      </c>
      <c r="D32" s="9"/>
      <c r="E32" s="7">
        <v>0</v>
      </c>
      <c r="F32" s="8">
        <f>IFERROR(E32/E444, "NA")</f>
        <v>0</v>
      </c>
      <c r="G32" s="9"/>
      <c r="H32" s="10">
        <f t="shared" si="8"/>
        <v>0</v>
      </c>
      <c r="I32" s="8">
        <f>IFERROR(H32/H444, "NA")</f>
        <v>0</v>
      </c>
      <c r="J32" s="9"/>
      <c r="K32" s="7">
        <v>0</v>
      </c>
      <c r="L32" s="8">
        <f>IFERROR(K32/K444, "NA")</f>
        <v>0</v>
      </c>
      <c r="M32" s="9"/>
      <c r="N32" s="10">
        <f t="shared" si="9"/>
        <v>0</v>
      </c>
      <c r="O32" s="8">
        <f>IFERROR(N32/N444, "NA")</f>
        <v>0</v>
      </c>
      <c r="P32" s="9"/>
      <c r="Q32" s="7">
        <v>0</v>
      </c>
      <c r="R32" s="8">
        <f>IFERROR(Q32/Q444, "NA")</f>
        <v>0</v>
      </c>
      <c r="S32" s="9"/>
      <c r="T32" s="7">
        <v>0</v>
      </c>
      <c r="U32" s="8">
        <f>IFERROR(T32/T444, "NA")</f>
        <v>0</v>
      </c>
      <c r="V32" s="9"/>
      <c r="W32" s="10">
        <f t="shared" si="10"/>
        <v>0</v>
      </c>
      <c r="X32" s="8">
        <f>IFERROR(W32/W444, "NA")</f>
        <v>0</v>
      </c>
      <c r="Y32" s="9"/>
      <c r="Z32" s="7">
        <v>0</v>
      </c>
      <c r="AA32" s="8">
        <f>IFERROR(Z32/Z444, "NA")</f>
        <v>0</v>
      </c>
      <c r="AB32" s="9"/>
      <c r="AC32" s="10">
        <f t="shared" si="11"/>
        <v>0</v>
      </c>
      <c r="AD32" s="8">
        <f>IFERROR(AC32/AC444, "NA")</f>
        <v>0</v>
      </c>
    </row>
    <row r="33" spans="1:30" ht="16.5" customHeight="1" x14ac:dyDescent="0.45">
      <c r="A33" s="12" t="s">
        <v>33</v>
      </c>
      <c r="B33" s="7">
        <v>18523.14</v>
      </c>
      <c r="C33" s="8">
        <f>IFERROR(B33/B444, "NA")</f>
        <v>0.1413492875280552</v>
      </c>
      <c r="D33" s="9"/>
      <c r="E33" s="7">
        <v>0</v>
      </c>
      <c r="F33" s="8">
        <f>IFERROR(E33/E444, "NA")</f>
        <v>0</v>
      </c>
      <c r="G33" s="9"/>
      <c r="H33" s="10">
        <f t="shared" si="8"/>
        <v>18523.14</v>
      </c>
      <c r="I33" s="8">
        <f>IFERROR(H33/H444, "NA")</f>
        <v>-1.6653201916411868</v>
      </c>
      <c r="J33" s="9"/>
      <c r="K33" s="7">
        <v>18228.43</v>
      </c>
      <c r="L33" s="8">
        <f>IFERROR(K33/K444, "NA")</f>
        <v>0.13248073703717325</v>
      </c>
      <c r="M33" s="9"/>
      <c r="N33" s="10">
        <f t="shared" si="9"/>
        <v>294.70999999999913</v>
      </c>
      <c r="O33" s="8">
        <f>IFERROR(N33/N444, "NA")</f>
        <v>-4.5008323279219199E-2</v>
      </c>
      <c r="P33" s="9"/>
      <c r="Q33" s="7">
        <v>18523.14</v>
      </c>
      <c r="R33" s="8">
        <f>IFERROR(Q33/Q444, "NA")</f>
        <v>0.1413492875280552</v>
      </c>
      <c r="S33" s="9"/>
      <c r="T33" s="7">
        <v>0</v>
      </c>
      <c r="U33" s="8">
        <f>IFERROR(T33/T444, "NA")</f>
        <v>0</v>
      </c>
      <c r="V33" s="9"/>
      <c r="W33" s="10">
        <f t="shared" si="10"/>
        <v>18523.14</v>
      </c>
      <c r="X33" s="8">
        <f>IFERROR(W33/W444, "NA")</f>
        <v>-1.6653201916411868</v>
      </c>
      <c r="Y33" s="9"/>
      <c r="Z33" s="7">
        <v>18228.43</v>
      </c>
      <c r="AA33" s="8">
        <f>IFERROR(Z33/Z444, "NA")</f>
        <v>0.13248073703717325</v>
      </c>
      <c r="AB33" s="9"/>
      <c r="AC33" s="10">
        <f t="shared" si="11"/>
        <v>294.70999999999913</v>
      </c>
      <c r="AD33" s="8">
        <f>IFERROR(AC33/AC444, "NA")</f>
        <v>-4.5008323279219199E-2</v>
      </c>
    </row>
    <row r="34" spans="1:30" ht="16.5" hidden="1" customHeight="1" x14ac:dyDescent="0.45">
      <c r="A34" s="12" t="s">
        <v>34</v>
      </c>
      <c r="B34" s="7">
        <v>0</v>
      </c>
      <c r="C34" s="8">
        <f>IFERROR(B34/B444, "NA")</f>
        <v>0</v>
      </c>
      <c r="D34" s="9"/>
      <c r="E34" s="7">
        <v>0</v>
      </c>
      <c r="F34" s="8">
        <f>IFERROR(E34/E444, "NA")</f>
        <v>0</v>
      </c>
      <c r="G34" s="9"/>
      <c r="H34" s="10">
        <f t="shared" si="8"/>
        <v>0</v>
      </c>
      <c r="I34" s="8">
        <f>IFERROR(H34/H444, "NA")</f>
        <v>0</v>
      </c>
      <c r="J34" s="9"/>
      <c r="K34" s="7">
        <v>0</v>
      </c>
      <c r="L34" s="8">
        <f>IFERROR(K34/K444, "NA")</f>
        <v>0</v>
      </c>
      <c r="M34" s="9"/>
      <c r="N34" s="10">
        <f t="shared" si="9"/>
        <v>0</v>
      </c>
      <c r="O34" s="8">
        <f>IFERROR(N34/N444, "NA")</f>
        <v>0</v>
      </c>
      <c r="P34" s="9"/>
      <c r="Q34" s="7">
        <v>0</v>
      </c>
      <c r="R34" s="8">
        <f>IFERROR(Q34/Q444, "NA")</f>
        <v>0</v>
      </c>
      <c r="S34" s="9"/>
      <c r="T34" s="7">
        <v>0</v>
      </c>
      <c r="U34" s="8">
        <f>IFERROR(T34/T444, "NA")</f>
        <v>0</v>
      </c>
      <c r="V34" s="9"/>
      <c r="W34" s="10">
        <f t="shared" si="10"/>
        <v>0</v>
      </c>
      <c r="X34" s="8">
        <f>IFERROR(W34/W444, "NA")</f>
        <v>0</v>
      </c>
      <c r="Y34" s="9"/>
      <c r="Z34" s="7">
        <v>0</v>
      </c>
      <c r="AA34" s="8">
        <f>IFERROR(Z34/Z444, "NA")</f>
        <v>0</v>
      </c>
      <c r="AB34" s="9"/>
      <c r="AC34" s="10">
        <f t="shared" si="11"/>
        <v>0</v>
      </c>
      <c r="AD34" s="8">
        <f>IFERROR(AC34/AC444, "NA")</f>
        <v>0</v>
      </c>
    </row>
    <row r="35" spans="1:30" ht="16.5" customHeight="1" x14ac:dyDescent="0.45">
      <c r="A35" s="12" t="s">
        <v>35</v>
      </c>
      <c r="B35" s="7">
        <v>1265.3499999999999</v>
      </c>
      <c r="C35" s="8">
        <f>IFERROR(B35/B444, "NA")</f>
        <v>9.6558316232358363E-3</v>
      </c>
      <c r="D35" s="9"/>
      <c r="E35" s="7">
        <v>0</v>
      </c>
      <c r="F35" s="8">
        <f>IFERROR(E35/E444, "NA")</f>
        <v>0</v>
      </c>
      <c r="G35" s="9"/>
      <c r="H35" s="10">
        <f t="shared" si="8"/>
        <v>1265.3499999999999</v>
      </c>
      <c r="I35" s="8">
        <f>IFERROR(H35/H444, "NA")</f>
        <v>-0.11376110662086318</v>
      </c>
      <c r="J35" s="9"/>
      <c r="K35" s="7">
        <v>920.37</v>
      </c>
      <c r="L35" s="8">
        <f>IFERROR(K35/K444, "NA")</f>
        <v>6.6890728355049308E-3</v>
      </c>
      <c r="M35" s="9"/>
      <c r="N35" s="10">
        <f t="shared" si="9"/>
        <v>344.9799999999999</v>
      </c>
      <c r="O35" s="8">
        <f>IFERROR(N35/N444, "NA")</f>
        <v>-5.2685593854518271E-2</v>
      </c>
      <c r="P35" s="9"/>
      <c r="Q35" s="7">
        <v>1265.3499999999999</v>
      </c>
      <c r="R35" s="8">
        <f>IFERROR(Q35/Q444, "NA")</f>
        <v>9.6558316232358363E-3</v>
      </c>
      <c r="S35" s="9"/>
      <c r="T35" s="7">
        <v>0</v>
      </c>
      <c r="U35" s="8">
        <f>IFERROR(T35/T444, "NA")</f>
        <v>0</v>
      </c>
      <c r="V35" s="9"/>
      <c r="W35" s="10">
        <f t="shared" si="10"/>
        <v>1265.3499999999999</v>
      </c>
      <c r="X35" s="8">
        <f>IFERROR(W35/W444, "NA")</f>
        <v>-0.11376110662086318</v>
      </c>
      <c r="Y35" s="9"/>
      <c r="Z35" s="7">
        <v>920.37</v>
      </c>
      <c r="AA35" s="8">
        <f>IFERROR(Z35/Z444, "NA")</f>
        <v>6.6890728355049308E-3</v>
      </c>
      <c r="AB35" s="9"/>
      <c r="AC35" s="10">
        <f t="shared" si="11"/>
        <v>344.9799999999999</v>
      </c>
      <c r="AD35" s="8">
        <f>IFERROR(AC35/AC444, "NA")</f>
        <v>-5.2685593854518271E-2</v>
      </c>
    </row>
    <row r="36" spans="1:30" ht="16.5" customHeight="1" x14ac:dyDescent="0.45">
      <c r="A36" s="12" t="s">
        <v>36</v>
      </c>
      <c r="B36" s="7">
        <v>17461.439999999999</v>
      </c>
      <c r="C36" s="8">
        <f>IFERROR(B36/B444, "NA")</f>
        <v>0.13324750032736804</v>
      </c>
      <c r="D36" s="9"/>
      <c r="E36" s="7">
        <v>0</v>
      </c>
      <c r="F36" s="8">
        <f>IFERROR(E36/E444, "NA")</f>
        <v>0</v>
      </c>
      <c r="G36" s="9"/>
      <c r="H36" s="10">
        <f t="shared" si="8"/>
        <v>17461.439999999999</v>
      </c>
      <c r="I36" s="8">
        <f>IFERROR(H36/H444, "NA")</f>
        <v>-1.5698682084749715</v>
      </c>
      <c r="J36" s="9"/>
      <c r="K36" s="7">
        <v>15905.62</v>
      </c>
      <c r="L36" s="8">
        <f>IFERROR(K36/K444, "NA")</f>
        <v>0.11559899896113947</v>
      </c>
      <c r="M36" s="9"/>
      <c r="N36" s="10">
        <f t="shared" si="9"/>
        <v>1555.8199999999979</v>
      </c>
      <c r="O36" s="8">
        <f>IFERROR(N36/N444, "NA")</f>
        <v>-0.23760594999923629</v>
      </c>
      <c r="P36" s="9"/>
      <c r="Q36" s="7">
        <v>17461.439999999999</v>
      </c>
      <c r="R36" s="8">
        <f>IFERROR(Q36/Q444, "NA")</f>
        <v>0.13324750032736804</v>
      </c>
      <c r="S36" s="9"/>
      <c r="T36" s="7">
        <v>0</v>
      </c>
      <c r="U36" s="8">
        <f>IFERROR(T36/T444, "NA")</f>
        <v>0</v>
      </c>
      <c r="V36" s="9"/>
      <c r="W36" s="10">
        <f t="shared" si="10"/>
        <v>17461.439999999999</v>
      </c>
      <c r="X36" s="8">
        <f>IFERROR(W36/W444, "NA")</f>
        <v>-1.5698682084749715</v>
      </c>
      <c r="Y36" s="9"/>
      <c r="Z36" s="7">
        <v>15905.62</v>
      </c>
      <c r="AA36" s="8">
        <f>IFERROR(Z36/Z444, "NA")</f>
        <v>0.11559899896113947</v>
      </c>
      <c r="AB36" s="9"/>
      <c r="AC36" s="10">
        <f t="shared" si="11"/>
        <v>1555.8199999999979</v>
      </c>
      <c r="AD36" s="8">
        <f>IFERROR(AC36/AC444, "NA")</f>
        <v>-0.23760594999923629</v>
      </c>
    </row>
    <row r="37" spans="1:30" ht="16.5" customHeight="1" x14ac:dyDescent="0.45">
      <c r="A37" s="12" t="s">
        <v>37</v>
      </c>
      <c r="B37" s="7">
        <v>982.34</v>
      </c>
      <c r="C37" s="8">
        <f>IFERROR(B37/B444, "NA")</f>
        <v>7.4961944416718634E-3</v>
      </c>
      <c r="D37" s="9"/>
      <c r="E37" s="7">
        <v>0</v>
      </c>
      <c r="F37" s="8">
        <f>IFERROR(E37/E444, "NA")</f>
        <v>0</v>
      </c>
      <c r="G37" s="9"/>
      <c r="H37" s="10">
        <f t="shared" si="8"/>
        <v>982.34</v>
      </c>
      <c r="I37" s="8">
        <f>IFERROR(H37/H444, "NA")</f>
        <v>-8.8317133977112064E-2</v>
      </c>
      <c r="J37" s="9"/>
      <c r="K37" s="7">
        <v>0</v>
      </c>
      <c r="L37" s="8">
        <f>IFERROR(K37/K444, "NA")</f>
        <v>0</v>
      </c>
      <c r="M37" s="9"/>
      <c r="N37" s="10">
        <f t="shared" si="9"/>
        <v>982.34</v>
      </c>
      <c r="O37" s="8">
        <f>IFERROR(N37/N444, "NA")</f>
        <v>-0.15002367171154124</v>
      </c>
      <c r="P37" s="9"/>
      <c r="Q37" s="7">
        <v>982.34</v>
      </c>
      <c r="R37" s="8">
        <f>IFERROR(Q37/Q444, "NA")</f>
        <v>7.4961944416718634E-3</v>
      </c>
      <c r="S37" s="9"/>
      <c r="T37" s="7">
        <v>0</v>
      </c>
      <c r="U37" s="8">
        <f>IFERROR(T37/T444, "NA")</f>
        <v>0</v>
      </c>
      <c r="V37" s="9"/>
      <c r="W37" s="10">
        <f t="shared" si="10"/>
        <v>982.34</v>
      </c>
      <c r="X37" s="8">
        <f>IFERROR(W37/W444, "NA")</f>
        <v>-8.8317133977112064E-2</v>
      </c>
      <c r="Y37" s="9"/>
      <c r="Z37" s="7">
        <v>0</v>
      </c>
      <c r="AA37" s="8">
        <f>IFERROR(Z37/Z444, "NA")</f>
        <v>0</v>
      </c>
      <c r="AB37" s="9"/>
      <c r="AC37" s="10">
        <f t="shared" si="11"/>
        <v>982.34</v>
      </c>
      <c r="AD37" s="8">
        <f>IFERROR(AC37/AC444, "NA")</f>
        <v>-0.15002367171154124</v>
      </c>
    </row>
    <row r="38" spans="1:30" ht="16.5" hidden="1" customHeight="1" x14ac:dyDescent="0.45">
      <c r="A38" s="12" t="s">
        <v>38</v>
      </c>
      <c r="B38" s="7">
        <v>0</v>
      </c>
      <c r="C38" s="8">
        <f>IFERROR(B38/B444, "NA")</f>
        <v>0</v>
      </c>
      <c r="D38" s="9"/>
      <c r="E38" s="7">
        <v>0</v>
      </c>
      <c r="F38" s="8">
        <f>IFERROR(E38/E444, "NA")</f>
        <v>0</v>
      </c>
      <c r="G38" s="9"/>
      <c r="H38" s="10">
        <f t="shared" si="8"/>
        <v>0</v>
      </c>
      <c r="I38" s="8">
        <f>IFERROR(H38/H444, "NA")</f>
        <v>0</v>
      </c>
      <c r="J38" s="9"/>
      <c r="K38" s="7">
        <v>0</v>
      </c>
      <c r="L38" s="8">
        <f>IFERROR(K38/K444, "NA")</f>
        <v>0</v>
      </c>
      <c r="M38" s="9"/>
      <c r="N38" s="10">
        <f t="shared" si="9"/>
        <v>0</v>
      </c>
      <c r="O38" s="8">
        <f>IFERROR(N38/N444, "NA")</f>
        <v>0</v>
      </c>
      <c r="P38" s="9"/>
      <c r="Q38" s="7">
        <v>0</v>
      </c>
      <c r="R38" s="8">
        <f>IFERROR(Q38/Q444, "NA")</f>
        <v>0</v>
      </c>
      <c r="S38" s="9"/>
      <c r="T38" s="7">
        <v>0</v>
      </c>
      <c r="U38" s="8">
        <f>IFERROR(T38/T444, "NA")</f>
        <v>0</v>
      </c>
      <c r="V38" s="9"/>
      <c r="W38" s="10">
        <f t="shared" si="10"/>
        <v>0</v>
      </c>
      <c r="X38" s="8">
        <f>IFERROR(W38/W444, "NA")</f>
        <v>0</v>
      </c>
      <c r="Y38" s="9"/>
      <c r="Z38" s="7">
        <v>0</v>
      </c>
      <c r="AA38" s="8">
        <f>IFERROR(Z38/Z444, "NA")</f>
        <v>0</v>
      </c>
      <c r="AB38" s="9"/>
      <c r="AC38" s="10">
        <f t="shared" si="11"/>
        <v>0</v>
      </c>
      <c r="AD38" s="8">
        <f>IFERROR(AC38/AC444, "NA")</f>
        <v>0</v>
      </c>
    </row>
    <row r="39" spans="1:30" ht="16.5" customHeight="1" x14ac:dyDescent="0.45">
      <c r="A39" s="12" t="s">
        <v>39</v>
      </c>
      <c r="B39" s="7">
        <v>904.59</v>
      </c>
      <c r="C39" s="8">
        <f>IFERROR(B39/B444, "NA")</f>
        <v>6.902887523659783E-3</v>
      </c>
      <c r="D39" s="9"/>
      <c r="E39" s="7">
        <v>0</v>
      </c>
      <c r="F39" s="8">
        <f>IFERROR(E39/E444, "NA")</f>
        <v>0</v>
      </c>
      <c r="G39" s="9"/>
      <c r="H39" s="10">
        <f t="shared" si="8"/>
        <v>904.59</v>
      </c>
      <c r="I39" s="8">
        <f>IFERROR(H39/H444, "NA")</f>
        <v>-8.1327031602455163E-2</v>
      </c>
      <c r="J39" s="9"/>
      <c r="K39" s="7">
        <v>1332.6</v>
      </c>
      <c r="L39" s="8">
        <f>IFERROR(K39/K444, "NA")</f>
        <v>9.6850815004768404E-3</v>
      </c>
      <c r="M39" s="9"/>
      <c r="N39" s="10">
        <f t="shared" si="9"/>
        <v>-428.00999999999988</v>
      </c>
      <c r="O39" s="8">
        <f>IFERROR(N39/N444, "NA")</f>
        <v>6.5365995204569441E-2</v>
      </c>
      <c r="P39" s="9"/>
      <c r="Q39" s="7">
        <v>904.59</v>
      </c>
      <c r="R39" s="8">
        <f>IFERROR(Q39/Q444, "NA")</f>
        <v>6.902887523659783E-3</v>
      </c>
      <c r="S39" s="9"/>
      <c r="T39" s="7">
        <v>0</v>
      </c>
      <c r="U39" s="8">
        <f>IFERROR(T39/T444, "NA")</f>
        <v>0</v>
      </c>
      <c r="V39" s="9"/>
      <c r="W39" s="10">
        <f t="shared" si="10"/>
        <v>904.59</v>
      </c>
      <c r="X39" s="8">
        <f>IFERROR(W39/W444, "NA")</f>
        <v>-8.1327031602455163E-2</v>
      </c>
      <c r="Y39" s="9"/>
      <c r="Z39" s="7">
        <v>1332.6</v>
      </c>
      <c r="AA39" s="8">
        <f>IFERROR(Z39/Z444, "NA")</f>
        <v>9.6850815004768404E-3</v>
      </c>
      <c r="AB39" s="9"/>
      <c r="AC39" s="10">
        <f t="shared" si="11"/>
        <v>-428.00999999999988</v>
      </c>
      <c r="AD39" s="8">
        <f>IFERROR(AC39/AC444, "NA")</f>
        <v>6.5365995204569441E-2</v>
      </c>
    </row>
    <row r="40" spans="1:30" ht="16.5" customHeight="1" x14ac:dyDescent="0.45">
      <c r="A40" s="13" t="s">
        <v>40</v>
      </c>
      <c r="B40" s="14">
        <f>IFERROR(B31+B32+B33+B34+B35+B36+B37+B38+B39, "NA")</f>
        <v>39136.859999999986</v>
      </c>
      <c r="C40" s="15">
        <f>IFERROR(B40/B444, "NA")</f>
        <v>0.29865170144399067</v>
      </c>
      <c r="D40" s="2"/>
      <c r="E40" s="14">
        <f>IFERROR(E31+E32+E33+E34+E35+E36+E37+E38+E39, "NA")</f>
        <v>31561.3</v>
      </c>
      <c r="F40" s="15">
        <f>IFERROR(E40/E444, "NA")</f>
        <v>0.22199998128974566</v>
      </c>
      <c r="G40" s="2"/>
      <c r="H40" s="14">
        <f t="shared" si="8"/>
        <v>7575.5599999999868</v>
      </c>
      <c r="I40" s="15">
        <f>IFERROR(H40/H444, "NA")</f>
        <v>-0.68107961344509016</v>
      </c>
      <c r="J40" s="2"/>
      <c r="K40" s="14">
        <f>IFERROR(K31+K32+K33+K34+K35+K36+K37+K38+K39, "NA")</f>
        <v>36387.019999999997</v>
      </c>
      <c r="L40" s="15">
        <f>IFERROR(K40/K444, "NA")</f>
        <v>0.26445389033429445</v>
      </c>
      <c r="M40" s="2"/>
      <c r="N40" s="14">
        <f t="shared" si="9"/>
        <v>2749.8399999999892</v>
      </c>
      <c r="O40" s="15">
        <f>IFERROR(N40/N444, "NA")</f>
        <v>-0.41995754363994436</v>
      </c>
      <c r="P40" s="2"/>
      <c r="Q40" s="14">
        <f>IFERROR(Q31+Q32+Q33+Q34+Q35+Q36+Q37+Q38+Q39, "NA")</f>
        <v>39136.859999999986</v>
      </c>
      <c r="R40" s="15">
        <f>IFERROR(Q40/Q444, "NA")</f>
        <v>0.29865170144399067</v>
      </c>
      <c r="S40" s="2"/>
      <c r="T40" s="14">
        <f>IFERROR(T31+T32+T33+T34+T35+T36+T37+T38+T39, "NA")</f>
        <v>31561.3</v>
      </c>
      <c r="U40" s="15">
        <f>IFERROR(T40/T444, "NA")</f>
        <v>0.22199998128974566</v>
      </c>
      <c r="V40" s="2"/>
      <c r="W40" s="14">
        <f t="shared" si="10"/>
        <v>7575.5599999999868</v>
      </c>
      <c r="X40" s="15">
        <f>IFERROR(W40/W444, "NA")</f>
        <v>-0.68107961344509016</v>
      </c>
      <c r="Y40" s="2"/>
      <c r="Z40" s="14">
        <f>IFERROR(Z31+Z32+Z33+Z34+Z35+Z36+Z37+Z38+Z39, "NA")</f>
        <v>36387.019999999997</v>
      </c>
      <c r="AA40" s="15">
        <f>IFERROR(Z40/Z444, "NA")</f>
        <v>0.26445389033429445</v>
      </c>
      <c r="AB40" s="2"/>
      <c r="AC40" s="14">
        <f t="shared" si="11"/>
        <v>2749.8399999999892</v>
      </c>
      <c r="AD40" s="15">
        <f>IFERROR(AC40/AC444, "NA")</f>
        <v>-0.41995754363994436</v>
      </c>
    </row>
    <row r="41" spans="1:30" ht="16.5" customHeight="1" x14ac:dyDescent="0.45">
      <c r="A41" s="11" t="s">
        <v>41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45">
      <c r="A42" s="12" t="s">
        <v>41</v>
      </c>
      <c r="B42" s="7">
        <v>0</v>
      </c>
      <c r="C42" s="8">
        <f>IFERROR(B42/B444, "NA")</f>
        <v>0</v>
      </c>
      <c r="D42" s="9"/>
      <c r="E42" s="7">
        <v>48479.3</v>
      </c>
      <c r="F42" s="8">
        <f>IFERROR(E42/E444, "NA")</f>
        <v>0.34100001245005646</v>
      </c>
      <c r="G42" s="9"/>
      <c r="H42" s="10">
        <f>IFERROR(B42-E42, "NA")</f>
        <v>-48479.3</v>
      </c>
      <c r="I42" s="8">
        <f>IFERROR(H42/H444, "NA")</f>
        <v>4.3585243736553627</v>
      </c>
      <c r="J42" s="9"/>
      <c r="K42" s="7">
        <v>0</v>
      </c>
      <c r="L42" s="8">
        <f>IFERROR(K42/K444, "NA")</f>
        <v>0</v>
      </c>
      <c r="M42" s="9"/>
      <c r="N42" s="10">
        <f>IFERROR(B42-K42, "NA")</f>
        <v>0</v>
      </c>
      <c r="O42" s="8">
        <f>IFERROR(N42/N444, "NA")</f>
        <v>0</v>
      </c>
      <c r="P42" s="9"/>
      <c r="Q42" s="7">
        <v>0</v>
      </c>
      <c r="R42" s="8">
        <f>IFERROR(Q42/Q444, "NA")</f>
        <v>0</v>
      </c>
      <c r="S42" s="9"/>
      <c r="T42" s="7">
        <v>48479.3</v>
      </c>
      <c r="U42" s="8">
        <f>IFERROR(T42/T444, "NA")</f>
        <v>0.34100001245005646</v>
      </c>
      <c r="V42" s="9"/>
      <c r="W42" s="10">
        <f>IFERROR(Q42-T42, "NA")</f>
        <v>-48479.3</v>
      </c>
      <c r="X42" s="8">
        <f>IFERROR(W42/W444, "NA")</f>
        <v>4.3585243736553627</v>
      </c>
      <c r="Y42" s="9"/>
      <c r="Z42" s="7">
        <v>0</v>
      </c>
      <c r="AA42" s="8">
        <f>IFERROR(Z42/Z444, "NA")</f>
        <v>0</v>
      </c>
      <c r="AB42" s="9"/>
      <c r="AC42" s="10">
        <f>IFERROR(Q42-Z42, "NA")</f>
        <v>0</v>
      </c>
      <c r="AD42" s="8">
        <f>IFERROR(AC42/AC444, "NA")</f>
        <v>0</v>
      </c>
    </row>
    <row r="43" spans="1:30" ht="16.5" customHeight="1" x14ac:dyDescent="0.45">
      <c r="A43" s="12" t="s">
        <v>42</v>
      </c>
      <c r="B43" s="7">
        <v>1867.88</v>
      </c>
      <c r="C43" s="8">
        <f>IFERROR(B43/B444, "NA")</f>
        <v>1.4253712231722256E-2</v>
      </c>
      <c r="D43" s="9"/>
      <c r="E43" s="7">
        <v>0</v>
      </c>
      <c r="F43" s="8">
        <f>IFERROR(E43/E444, "NA")</f>
        <v>0</v>
      </c>
      <c r="G43" s="9"/>
      <c r="H43" s="10">
        <f>IFERROR(B43-E43, "NA")</f>
        <v>1867.88</v>
      </c>
      <c r="I43" s="8">
        <f>IFERROR(H43/H444, "NA")</f>
        <v>-0.16793147811670917</v>
      </c>
      <c r="J43" s="9"/>
      <c r="K43" s="7">
        <v>5918.9</v>
      </c>
      <c r="L43" s="8">
        <f>IFERROR(K43/K444, "NA")</f>
        <v>4.3017431257070665E-2</v>
      </c>
      <c r="M43" s="9"/>
      <c r="N43" s="10">
        <f>IFERROR(B43-K43, "NA")</f>
        <v>-4051.0199999999995</v>
      </c>
      <c r="O43" s="8">
        <f>IFERROR(N43/N444, "NA")</f>
        <v>0.61867468959513783</v>
      </c>
      <c r="P43" s="9"/>
      <c r="Q43" s="7">
        <v>1867.88</v>
      </c>
      <c r="R43" s="8">
        <f>IFERROR(Q43/Q444, "NA")</f>
        <v>1.4253712231722256E-2</v>
      </c>
      <c r="S43" s="9"/>
      <c r="T43" s="7">
        <v>0</v>
      </c>
      <c r="U43" s="8">
        <f>IFERROR(T43/T444, "NA")</f>
        <v>0</v>
      </c>
      <c r="V43" s="9"/>
      <c r="W43" s="10">
        <f>IFERROR(Q43-T43, "NA")</f>
        <v>1867.88</v>
      </c>
      <c r="X43" s="8">
        <f>IFERROR(W43/W444, "NA")</f>
        <v>-0.16793147811670917</v>
      </c>
      <c r="Y43" s="9"/>
      <c r="Z43" s="7">
        <v>5918.9</v>
      </c>
      <c r="AA43" s="8">
        <f>IFERROR(Z43/Z444, "NA")</f>
        <v>4.3017431257070665E-2</v>
      </c>
      <c r="AB43" s="9"/>
      <c r="AC43" s="10">
        <f>IFERROR(Q43-Z43, "NA")</f>
        <v>-4051.0199999999995</v>
      </c>
      <c r="AD43" s="8">
        <f>IFERROR(AC43/AC444, "NA")</f>
        <v>0.61867468959513783</v>
      </c>
    </row>
    <row r="44" spans="1:30" ht="16.5" hidden="1" customHeight="1" x14ac:dyDescent="0.45">
      <c r="A44" s="12" t="s">
        <v>43</v>
      </c>
      <c r="B44" s="7">
        <v>0</v>
      </c>
      <c r="C44" s="8">
        <f>IFERROR(B44/B444, "NA")</f>
        <v>0</v>
      </c>
      <c r="D44" s="9"/>
      <c r="E44" s="7">
        <v>0</v>
      </c>
      <c r="F44" s="8">
        <f>IFERROR(E44/E444, "NA")</f>
        <v>0</v>
      </c>
      <c r="G44" s="9"/>
      <c r="H44" s="10">
        <f>IFERROR(B44-E44, "NA")</f>
        <v>0</v>
      </c>
      <c r="I44" s="8">
        <f>IFERROR(H44/H444, "NA")</f>
        <v>0</v>
      </c>
      <c r="J44" s="9"/>
      <c r="K44" s="7">
        <v>0</v>
      </c>
      <c r="L44" s="8">
        <f>IFERROR(K44/K444, "NA")</f>
        <v>0</v>
      </c>
      <c r="M44" s="9"/>
      <c r="N44" s="10">
        <f>IFERROR(B44-K44, "NA")</f>
        <v>0</v>
      </c>
      <c r="O44" s="8">
        <f>IFERROR(N44/N444, "NA")</f>
        <v>0</v>
      </c>
      <c r="P44" s="9"/>
      <c r="Q44" s="7">
        <v>0</v>
      </c>
      <c r="R44" s="8">
        <f>IFERROR(Q44/Q444, "NA")</f>
        <v>0</v>
      </c>
      <c r="S44" s="9"/>
      <c r="T44" s="7">
        <v>0</v>
      </c>
      <c r="U44" s="8">
        <f>IFERROR(T44/T444, "NA")</f>
        <v>0</v>
      </c>
      <c r="V44" s="9"/>
      <c r="W44" s="10">
        <f>IFERROR(Q44-T44, "NA")</f>
        <v>0</v>
      </c>
      <c r="X44" s="8">
        <f>IFERROR(W44/W444, "NA")</f>
        <v>0</v>
      </c>
      <c r="Y44" s="9"/>
      <c r="Z44" s="7">
        <v>0</v>
      </c>
      <c r="AA44" s="8">
        <f>IFERROR(Z44/Z444, "NA")</f>
        <v>0</v>
      </c>
      <c r="AB44" s="9"/>
      <c r="AC44" s="10">
        <f>IFERROR(Q44-Z44, "NA")</f>
        <v>0</v>
      </c>
      <c r="AD44" s="8">
        <f>IFERROR(AC44/AC444, "NA")</f>
        <v>0</v>
      </c>
    </row>
    <row r="45" spans="1:30" ht="16.5" customHeight="1" x14ac:dyDescent="0.45">
      <c r="A45" s="16" t="s">
        <v>44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45">
      <c r="A46" s="17" t="s">
        <v>44</v>
      </c>
      <c r="B46" s="7">
        <v>0</v>
      </c>
      <c r="C46" s="8">
        <f>IFERROR(B46/B444, "NA")</f>
        <v>0</v>
      </c>
      <c r="D46" s="9"/>
      <c r="E46" s="7">
        <v>0</v>
      </c>
      <c r="F46" s="8">
        <f>IFERROR(E46/E444, "NA")</f>
        <v>0</v>
      </c>
      <c r="G46" s="9"/>
      <c r="H46" s="10">
        <f t="shared" ref="H46:H62" si="12">IFERROR(B46-E46, "NA")</f>
        <v>0</v>
      </c>
      <c r="I46" s="8">
        <f>IFERROR(H46/H444, "NA")</f>
        <v>0</v>
      </c>
      <c r="J46" s="9"/>
      <c r="K46" s="7">
        <v>0</v>
      </c>
      <c r="L46" s="8">
        <f>IFERROR(K46/K444, "NA")</f>
        <v>0</v>
      </c>
      <c r="M46" s="9"/>
      <c r="N46" s="10">
        <f t="shared" ref="N46:N62" si="13">IFERROR(B46-K46, "NA")</f>
        <v>0</v>
      </c>
      <c r="O46" s="8">
        <f>IFERROR(N46/N444, "NA")</f>
        <v>0</v>
      </c>
      <c r="P46" s="9"/>
      <c r="Q46" s="7">
        <v>0</v>
      </c>
      <c r="R46" s="8">
        <f>IFERROR(Q46/Q444, "NA")</f>
        <v>0</v>
      </c>
      <c r="S46" s="9"/>
      <c r="T46" s="7">
        <v>0</v>
      </c>
      <c r="U46" s="8">
        <f>IFERROR(T46/T444, "NA")</f>
        <v>0</v>
      </c>
      <c r="V46" s="9"/>
      <c r="W46" s="10">
        <f t="shared" ref="W46:W62" si="14">IFERROR(Q46-T46, "NA")</f>
        <v>0</v>
      </c>
      <c r="X46" s="8">
        <f>IFERROR(W46/W444, "NA")</f>
        <v>0</v>
      </c>
      <c r="Y46" s="9"/>
      <c r="Z46" s="7">
        <v>0</v>
      </c>
      <c r="AA46" s="8">
        <f>IFERROR(Z46/Z444, "NA")</f>
        <v>0</v>
      </c>
      <c r="AB46" s="9"/>
      <c r="AC46" s="10">
        <f t="shared" ref="AC46:AC62" si="15">IFERROR(Q46-Z46, "NA")</f>
        <v>0</v>
      </c>
      <c r="AD46" s="8">
        <f>IFERROR(AC46/AC444, "NA")</f>
        <v>0</v>
      </c>
    </row>
    <row r="47" spans="1:30" ht="16.5" hidden="1" customHeight="1" x14ac:dyDescent="0.45">
      <c r="A47" s="17" t="s">
        <v>45</v>
      </c>
      <c r="B47" s="7">
        <v>0</v>
      </c>
      <c r="C47" s="8">
        <f>IFERROR(B47/B444, "NA")</f>
        <v>0</v>
      </c>
      <c r="D47" s="9"/>
      <c r="E47" s="7">
        <v>0</v>
      </c>
      <c r="F47" s="8">
        <f>IFERROR(E47/E444, "NA")</f>
        <v>0</v>
      </c>
      <c r="G47" s="9"/>
      <c r="H47" s="10">
        <f t="shared" si="12"/>
        <v>0</v>
      </c>
      <c r="I47" s="8">
        <f>IFERROR(H47/H444, "NA")</f>
        <v>0</v>
      </c>
      <c r="J47" s="9"/>
      <c r="K47" s="7">
        <v>0</v>
      </c>
      <c r="L47" s="8">
        <f>IFERROR(K47/K444, "NA")</f>
        <v>0</v>
      </c>
      <c r="M47" s="9"/>
      <c r="N47" s="10">
        <f t="shared" si="13"/>
        <v>0</v>
      </c>
      <c r="O47" s="8">
        <f>IFERROR(N47/N444, "NA")</f>
        <v>0</v>
      </c>
      <c r="P47" s="9"/>
      <c r="Q47" s="7">
        <v>0</v>
      </c>
      <c r="R47" s="8">
        <f>IFERROR(Q47/Q444, "NA")</f>
        <v>0</v>
      </c>
      <c r="S47" s="9"/>
      <c r="T47" s="7">
        <v>0</v>
      </c>
      <c r="U47" s="8">
        <f>IFERROR(T47/T444, "NA")</f>
        <v>0</v>
      </c>
      <c r="V47" s="9"/>
      <c r="W47" s="10">
        <f t="shared" si="14"/>
        <v>0</v>
      </c>
      <c r="X47" s="8">
        <f>IFERROR(W47/W444, "NA")</f>
        <v>0</v>
      </c>
      <c r="Y47" s="9"/>
      <c r="Z47" s="7">
        <v>0</v>
      </c>
      <c r="AA47" s="8">
        <f>IFERROR(Z47/Z444, "NA")</f>
        <v>0</v>
      </c>
      <c r="AB47" s="9"/>
      <c r="AC47" s="10">
        <f t="shared" si="15"/>
        <v>0</v>
      </c>
      <c r="AD47" s="8">
        <f>IFERROR(AC47/AC444, "NA")</f>
        <v>0</v>
      </c>
    </row>
    <row r="48" spans="1:30" ht="16.5" customHeight="1" x14ac:dyDescent="0.45">
      <c r="A48" s="17" t="s">
        <v>46</v>
      </c>
      <c r="B48" s="7">
        <v>25636.15</v>
      </c>
      <c r="C48" s="8">
        <f>IFERROR(B48/B444, "NA")</f>
        <v>0.1956283620089441</v>
      </c>
      <c r="D48" s="9"/>
      <c r="E48" s="7">
        <v>0</v>
      </c>
      <c r="F48" s="8">
        <f>IFERROR(E48/E444, "NA")</f>
        <v>0</v>
      </c>
      <c r="G48" s="9"/>
      <c r="H48" s="10">
        <f t="shared" si="12"/>
        <v>25636.15</v>
      </c>
      <c r="I48" s="8">
        <f>IFERROR(H48/H444, "NA")</f>
        <v>-2.3048143150104257</v>
      </c>
      <c r="J48" s="9"/>
      <c r="K48" s="7">
        <v>33810.67</v>
      </c>
      <c r="L48" s="8">
        <f>IFERROR(K48/K444, "NA")</f>
        <v>0.24572947211145676</v>
      </c>
      <c r="M48" s="9"/>
      <c r="N48" s="10">
        <f t="shared" si="13"/>
        <v>-8174.5199999999968</v>
      </c>
      <c r="O48" s="8">
        <f>IFERROR(N48/N444, "NA")</f>
        <v>1.2484185769483351</v>
      </c>
      <c r="P48" s="9"/>
      <c r="Q48" s="7">
        <v>25636.15</v>
      </c>
      <c r="R48" s="8">
        <f>IFERROR(Q48/Q444, "NA")</f>
        <v>0.1956283620089441</v>
      </c>
      <c r="S48" s="9"/>
      <c r="T48" s="7">
        <v>0</v>
      </c>
      <c r="U48" s="8">
        <f>IFERROR(T48/T444, "NA")</f>
        <v>0</v>
      </c>
      <c r="V48" s="9"/>
      <c r="W48" s="10">
        <f t="shared" si="14"/>
        <v>25636.15</v>
      </c>
      <c r="X48" s="8">
        <f>IFERROR(W48/W444, "NA")</f>
        <v>-2.3048143150104257</v>
      </c>
      <c r="Y48" s="9"/>
      <c r="Z48" s="7">
        <v>33810.67</v>
      </c>
      <c r="AA48" s="8">
        <f>IFERROR(Z48/Z444, "NA")</f>
        <v>0.24572947211145676</v>
      </c>
      <c r="AB48" s="9"/>
      <c r="AC48" s="10">
        <f t="shared" si="15"/>
        <v>-8174.5199999999968</v>
      </c>
      <c r="AD48" s="8">
        <f>IFERROR(AC48/AC444, "NA")</f>
        <v>1.2484185769483351</v>
      </c>
    </row>
    <row r="49" spans="1:30" ht="16.5" hidden="1" customHeight="1" x14ac:dyDescent="0.45">
      <c r="A49" s="17" t="s">
        <v>47</v>
      </c>
      <c r="B49" s="7">
        <v>0</v>
      </c>
      <c r="C49" s="8">
        <f>IFERROR(B49/B444, "NA")</f>
        <v>0</v>
      </c>
      <c r="D49" s="9"/>
      <c r="E49" s="7">
        <v>0</v>
      </c>
      <c r="F49" s="8">
        <f>IFERROR(E49/E444, "NA")</f>
        <v>0</v>
      </c>
      <c r="G49" s="9"/>
      <c r="H49" s="10">
        <f t="shared" si="12"/>
        <v>0</v>
      </c>
      <c r="I49" s="8">
        <f>IFERROR(H49/H444, "NA")</f>
        <v>0</v>
      </c>
      <c r="J49" s="9"/>
      <c r="K49" s="7">
        <v>0</v>
      </c>
      <c r="L49" s="8">
        <f>IFERROR(K49/K444, "NA")</f>
        <v>0</v>
      </c>
      <c r="M49" s="9"/>
      <c r="N49" s="10">
        <f t="shared" si="13"/>
        <v>0</v>
      </c>
      <c r="O49" s="8">
        <f>IFERROR(N49/N444, "NA")</f>
        <v>0</v>
      </c>
      <c r="P49" s="9"/>
      <c r="Q49" s="7">
        <v>0</v>
      </c>
      <c r="R49" s="8">
        <f>IFERROR(Q49/Q444, "NA")</f>
        <v>0</v>
      </c>
      <c r="S49" s="9"/>
      <c r="T49" s="7">
        <v>0</v>
      </c>
      <c r="U49" s="8">
        <f>IFERROR(T49/T444, "NA")</f>
        <v>0</v>
      </c>
      <c r="V49" s="9"/>
      <c r="W49" s="10">
        <f t="shared" si="14"/>
        <v>0</v>
      </c>
      <c r="X49" s="8">
        <f>IFERROR(W49/W444, "NA")</f>
        <v>0</v>
      </c>
      <c r="Y49" s="9"/>
      <c r="Z49" s="7">
        <v>0</v>
      </c>
      <c r="AA49" s="8">
        <f>IFERROR(Z49/Z444, "NA")</f>
        <v>0</v>
      </c>
      <c r="AB49" s="9"/>
      <c r="AC49" s="10">
        <f t="shared" si="15"/>
        <v>0</v>
      </c>
      <c r="AD49" s="8">
        <f>IFERROR(AC49/AC444, "NA")</f>
        <v>0</v>
      </c>
    </row>
    <row r="50" spans="1:30" ht="16.5" hidden="1" customHeight="1" x14ac:dyDescent="0.45">
      <c r="A50" s="17" t="s">
        <v>48</v>
      </c>
      <c r="B50" s="7">
        <v>0</v>
      </c>
      <c r="C50" s="8">
        <f>IFERROR(B50/B444, "NA")</f>
        <v>0</v>
      </c>
      <c r="D50" s="9"/>
      <c r="E50" s="7">
        <v>0</v>
      </c>
      <c r="F50" s="8">
        <f>IFERROR(E50/E444, "NA")</f>
        <v>0</v>
      </c>
      <c r="G50" s="9"/>
      <c r="H50" s="10">
        <f t="shared" si="12"/>
        <v>0</v>
      </c>
      <c r="I50" s="8">
        <f>IFERROR(H50/H444, "NA")</f>
        <v>0</v>
      </c>
      <c r="J50" s="9"/>
      <c r="K50" s="7">
        <v>0</v>
      </c>
      <c r="L50" s="8">
        <f>IFERROR(K50/K444, "NA")</f>
        <v>0</v>
      </c>
      <c r="M50" s="9"/>
      <c r="N50" s="10">
        <f t="shared" si="13"/>
        <v>0</v>
      </c>
      <c r="O50" s="8">
        <f>IFERROR(N50/N444, "NA")</f>
        <v>0</v>
      </c>
      <c r="P50" s="9"/>
      <c r="Q50" s="7">
        <v>0</v>
      </c>
      <c r="R50" s="8">
        <f>IFERROR(Q50/Q444, "NA")</f>
        <v>0</v>
      </c>
      <c r="S50" s="9"/>
      <c r="T50" s="7">
        <v>0</v>
      </c>
      <c r="U50" s="8">
        <f>IFERROR(T50/T444, "NA")</f>
        <v>0</v>
      </c>
      <c r="V50" s="9"/>
      <c r="W50" s="10">
        <f t="shared" si="14"/>
        <v>0</v>
      </c>
      <c r="X50" s="8">
        <f>IFERROR(W50/W444, "NA")</f>
        <v>0</v>
      </c>
      <c r="Y50" s="9"/>
      <c r="Z50" s="7">
        <v>0</v>
      </c>
      <c r="AA50" s="8">
        <f>IFERROR(Z50/Z444, "NA")</f>
        <v>0</v>
      </c>
      <c r="AB50" s="9"/>
      <c r="AC50" s="10">
        <f t="shared" si="15"/>
        <v>0</v>
      </c>
      <c r="AD50" s="8">
        <f>IFERROR(AC50/AC444, "NA")</f>
        <v>0</v>
      </c>
    </row>
    <row r="51" spans="1:30" ht="16.5" customHeight="1" x14ac:dyDescent="0.45">
      <c r="A51" s="17" t="s">
        <v>49</v>
      </c>
      <c r="B51" s="7">
        <v>2158.5100000000002</v>
      </c>
      <c r="C51" s="8">
        <f>IFERROR(B51/B444, "NA")</f>
        <v>1.6471497306729987E-2</v>
      </c>
      <c r="D51" s="9"/>
      <c r="E51" s="7">
        <v>0</v>
      </c>
      <c r="F51" s="8">
        <f>IFERROR(E51/E444, "NA")</f>
        <v>0</v>
      </c>
      <c r="G51" s="9"/>
      <c r="H51" s="10">
        <f t="shared" si="12"/>
        <v>2158.5100000000002</v>
      </c>
      <c r="I51" s="8">
        <f>IFERROR(H51/H444, "NA")</f>
        <v>-0.19406052574560353</v>
      </c>
      <c r="J51" s="9"/>
      <c r="K51" s="7">
        <v>3542.99</v>
      </c>
      <c r="L51" s="8">
        <f>IFERROR(K51/K444, "NA")</f>
        <v>2.5749772553935495E-2</v>
      </c>
      <c r="M51" s="9"/>
      <c r="N51" s="10">
        <f t="shared" si="13"/>
        <v>-1384.4799999999996</v>
      </c>
      <c r="O51" s="8">
        <f>IFERROR(N51/N444, "NA")</f>
        <v>0.21143878189954043</v>
      </c>
      <c r="P51" s="9"/>
      <c r="Q51" s="7">
        <v>2158.5100000000002</v>
      </c>
      <c r="R51" s="8">
        <f>IFERROR(Q51/Q444, "NA")</f>
        <v>1.6471497306729987E-2</v>
      </c>
      <c r="S51" s="9"/>
      <c r="T51" s="7">
        <v>0</v>
      </c>
      <c r="U51" s="8">
        <f>IFERROR(T51/T444, "NA")</f>
        <v>0</v>
      </c>
      <c r="V51" s="9"/>
      <c r="W51" s="10">
        <f t="shared" si="14"/>
        <v>2158.5100000000002</v>
      </c>
      <c r="X51" s="8">
        <f>IFERROR(W51/W444, "NA")</f>
        <v>-0.19406052574560353</v>
      </c>
      <c r="Y51" s="9"/>
      <c r="Z51" s="7">
        <v>3542.99</v>
      </c>
      <c r="AA51" s="8">
        <f>IFERROR(Z51/Z444, "NA")</f>
        <v>2.5749772553935495E-2</v>
      </c>
      <c r="AB51" s="9"/>
      <c r="AC51" s="10">
        <f t="shared" si="15"/>
        <v>-1384.4799999999996</v>
      </c>
      <c r="AD51" s="8">
        <f>IFERROR(AC51/AC444, "NA")</f>
        <v>0.21143878189954043</v>
      </c>
    </row>
    <row r="52" spans="1:30" ht="16.5" hidden="1" customHeight="1" x14ac:dyDescent="0.45">
      <c r="A52" s="17" t="s">
        <v>50</v>
      </c>
      <c r="B52" s="7">
        <v>0</v>
      </c>
      <c r="C52" s="8">
        <f>IFERROR(B52/B444, "NA")</f>
        <v>0</v>
      </c>
      <c r="D52" s="9"/>
      <c r="E52" s="7">
        <v>0</v>
      </c>
      <c r="F52" s="8">
        <f>IFERROR(E52/E444, "NA")</f>
        <v>0</v>
      </c>
      <c r="G52" s="9"/>
      <c r="H52" s="10">
        <f t="shared" si="12"/>
        <v>0</v>
      </c>
      <c r="I52" s="8">
        <f>IFERROR(H52/H444, "NA")</f>
        <v>0</v>
      </c>
      <c r="J52" s="9"/>
      <c r="K52" s="7">
        <v>0</v>
      </c>
      <c r="L52" s="8">
        <f>IFERROR(K52/K444, "NA")</f>
        <v>0</v>
      </c>
      <c r="M52" s="9"/>
      <c r="N52" s="10">
        <f t="shared" si="13"/>
        <v>0</v>
      </c>
      <c r="O52" s="8">
        <f>IFERROR(N52/N444, "NA")</f>
        <v>0</v>
      </c>
      <c r="P52" s="9"/>
      <c r="Q52" s="7">
        <v>0</v>
      </c>
      <c r="R52" s="8">
        <f>IFERROR(Q52/Q444, "NA")</f>
        <v>0</v>
      </c>
      <c r="S52" s="9"/>
      <c r="T52" s="7">
        <v>0</v>
      </c>
      <c r="U52" s="8">
        <f>IFERROR(T52/T444, "NA")</f>
        <v>0</v>
      </c>
      <c r="V52" s="9"/>
      <c r="W52" s="10">
        <f t="shared" si="14"/>
        <v>0</v>
      </c>
      <c r="X52" s="8">
        <f>IFERROR(W52/W444, "NA")</f>
        <v>0</v>
      </c>
      <c r="Y52" s="9"/>
      <c r="Z52" s="7">
        <v>0</v>
      </c>
      <c r="AA52" s="8">
        <f>IFERROR(Z52/Z444, "NA")</f>
        <v>0</v>
      </c>
      <c r="AB52" s="9"/>
      <c r="AC52" s="10">
        <f t="shared" si="15"/>
        <v>0</v>
      </c>
      <c r="AD52" s="8">
        <f>IFERROR(AC52/AC444, "NA")</f>
        <v>0</v>
      </c>
    </row>
    <row r="53" spans="1:30" ht="16.5" hidden="1" customHeight="1" x14ac:dyDescent="0.45">
      <c r="A53" s="17" t="s">
        <v>51</v>
      </c>
      <c r="B53" s="7">
        <v>0</v>
      </c>
      <c r="C53" s="8">
        <f>IFERROR(B53/B444, "NA")</f>
        <v>0</v>
      </c>
      <c r="D53" s="9"/>
      <c r="E53" s="7">
        <v>0</v>
      </c>
      <c r="F53" s="8">
        <f>IFERROR(E53/E444, "NA")</f>
        <v>0</v>
      </c>
      <c r="G53" s="9"/>
      <c r="H53" s="10">
        <f t="shared" si="12"/>
        <v>0</v>
      </c>
      <c r="I53" s="8">
        <f>IFERROR(H53/H444, "NA")</f>
        <v>0</v>
      </c>
      <c r="J53" s="9"/>
      <c r="K53" s="7">
        <v>0</v>
      </c>
      <c r="L53" s="8">
        <f>IFERROR(K53/K444, "NA")</f>
        <v>0</v>
      </c>
      <c r="M53" s="9"/>
      <c r="N53" s="10">
        <f t="shared" si="13"/>
        <v>0</v>
      </c>
      <c r="O53" s="8">
        <f>IFERROR(N53/N444, "NA")</f>
        <v>0</v>
      </c>
      <c r="P53" s="9"/>
      <c r="Q53" s="7">
        <v>0</v>
      </c>
      <c r="R53" s="8">
        <f>IFERROR(Q53/Q444, "NA")</f>
        <v>0</v>
      </c>
      <c r="S53" s="9"/>
      <c r="T53" s="7">
        <v>0</v>
      </c>
      <c r="U53" s="8">
        <f>IFERROR(T53/T444, "NA")</f>
        <v>0</v>
      </c>
      <c r="V53" s="9"/>
      <c r="W53" s="10">
        <f t="shared" si="14"/>
        <v>0</v>
      </c>
      <c r="X53" s="8">
        <f>IFERROR(W53/W444, "NA")</f>
        <v>0</v>
      </c>
      <c r="Y53" s="9"/>
      <c r="Z53" s="7">
        <v>0</v>
      </c>
      <c r="AA53" s="8">
        <f>IFERROR(Z53/Z444, "NA")</f>
        <v>0</v>
      </c>
      <c r="AB53" s="9"/>
      <c r="AC53" s="10">
        <f t="shared" si="15"/>
        <v>0</v>
      </c>
      <c r="AD53" s="8">
        <f>IFERROR(AC53/AC444, "NA")</f>
        <v>0</v>
      </c>
    </row>
    <row r="54" spans="1:30" ht="16.5" hidden="1" customHeight="1" x14ac:dyDescent="0.45">
      <c r="A54" s="17" t="s">
        <v>52</v>
      </c>
      <c r="B54" s="7">
        <v>0</v>
      </c>
      <c r="C54" s="8">
        <f>IFERROR(B54/B444, "NA")</f>
        <v>0</v>
      </c>
      <c r="D54" s="9"/>
      <c r="E54" s="7">
        <v>0</v>
      </c>
      <c r="F54" s="8">
        <f>IFERROR(E54/E444, "NA")</f>
        <v>0</v>
      </c>
      <c r="G54" s="9"/>
      <c r="H54" s="10">
        <f t="shared" si="12"/>
        <v>0</v>
      </c>
      <c r="I54" s="8">
        <f>IFERROR(H54/H444, "NA")</f>
        <v>0</v>
      </c>
      <c r="J54" s="9"/>
      <c r="K54" s="7">
        <v>0</v>
      </c>
      <c r="L54" s="8">
        <f>IFERROR(K54/K444, "NA")</f>
        <v>0</v>
      </c>
      <c r="M54" s="9"/>
      <c r="N54" s="10">
        <f t="shared" si="13"/>
        <v>0</v>
      </c>
      <c r="O54" s="8">
        <f>IFERROR(N54/N444, "NA")</f>
        <v>0</v>
      </c>
      <c r="P54" s="9"/>
      <c r="Q54" s="7">
        <v>0</v>
      </c>
      <c r="R54" s="8">
        <f>IFERROR(Q54/Q444, "NA")</f>
        <v>0</v>
      </c>
      <c r="S54" s="9"/>
      <c r="T54" s="7">
        <v>0</v>
      </c>
      <c r="U54" s="8">
        <f>IFERROR(T54/T444, "NA")</f>
        <v>0</v>
      </c>
      <c r="V54" s="9"/>
      <c r="W54" s="10">
        <f t="shared" si="14"/>
        <v>0</v>
      </c>
      <c r="X54" s="8">
        <f>IFERROR(W54/W444, "NA")</f>
        <v>0</v>
      </c>
      <c r="Y54" s="9"/>
      <c r="Z54" s="7">
        <v>0</v>
      </c>
      <c r="AA54" s="8">
        <f>IFERROR(Z54/Z444, "NA")</f>
        <v>0</v>
      </c>
      <c r="AB54" s="9"/>
      <c r="AC54" s="10">
        <f t="shared" si="15"/>
        <v>0</v>
      </c>
      <c r="AD54" s="8">
        <f>IFERROR(AC54/AC444, "NA")</f>
        <v>0</v>
      </c>
    </row>
    <row r="55" spans="1:30" ht="16.5" hidden="1" customHeight="1" x14ac:dyDescent="0.45">
      <c r="A55" s="17" t="s">
        <v>53</v>
      </c>
      <c r="B55" s="7">
        <v>0</v>
      </c>
      <c r="C55" s="8">
        <f>IFERROR(B55/B444, "NA")</f>
        <v>0</v>
      </c>
      <c r="D55" s="9"/>
      <c r="E55" s="7">
        <v>0</v>
      </c>
      <c r="F55" s="8">
        <f>IFERROR(E55/E444, "NA")</f>
        <v>0</v>
      </c>
      <c r="G55" s="9"/>
      <c r="H55" s="10">
        <f t="shared" si="12"/>
        <v>0</v>
      </c>
      <c r="I55" s="8">
        <f>IFERROR(H55/H444, "NA")</f>
        <v>0</v>
      </c>
      <c r="J55" s="9"/>
      <c r="K55" s="7">
        <v>0</v>
      </c>
      <c r="L55" s="8">
        <f>IFERROR(K55/K444, "NA")</f>
        <v>0</v>
      </c>
      <c r="M55" s="9"/>
      <c r="N55" s="10">
        <f t="shared" si="13"/>
        <v>0</v>
      </c>
      <c r="O55" s="8">
        <f>IFERROR(N55/N444, "NA")</f>
        <v>0</v>
      </c>
      <c r="P55" s="9"/>
      <c r="Q55" s="7">
        <v>0</v>
      </c>
      <c r="R55" s="8">
        <f>IFERROR(Q55/Q444, "NA")</f>
        <v>0</v>
      </c>
      <c r="S55" s="9"/>
      <c r="T55" s="7">
        <v>0</v>
      </c>
      <c r="U55" s="8">
        <f>IFERROR(T55/T444, "NA")</f>
        <v>0</v>
      </c>
      <c r="V55" s="9"/>
      <c r="W55" s="10">
        <f t="shared" si="14"/>
        <v>0</v>
      </c>
      <c r="X55" s="8">
        <f>IFERROR(W55/W444, "NA")</f>
        <v>0</v>
      </c>
      <c r="Y55" s="9"/>
      <c r="Z55" s="7">
        <v>0</v>
      </c>
      <c r="AA55" s="8">
        <f>IFERROR(Z55/Z444, "NA")</f>
        <v>0</v>
      </c>
      <c r="AB55" s="9"/>
      <c r="AC55" s="10">
        <f t="shared" si="15"/>
        <v>0</v>
      </c>
      <c r="AD55" s="8">
        <f>IFERROR(AC55/AC444, "NA")</f>
        <v>0</v>
      </c>
    </row>
    <row r="56" spans="1:30" ht="16.5" hidden="1" customHeight="1" x14ac:dyDescent="0.45">
      <c r="A56" s="17" t="s">
        <v>54</v>
      </c>
      <c r="B56" s="7">
        <v>0</v>
      </c>
      <c r="C56" s="8">
        <f>IFERROR(B56/B444, "NA")</f>
        <v>0</v>
      </c>
      <c r="D56" s="9"/>
      <c r="E56" s="7">
        <v>0</v>
      </c>
      <c r="F56" s="8">
        <f>IFERROR(E56/E444, "NA")</f>
        <v>0</v>
      </c>
      <c r="G56" s="9"/>
      <c r="H56" s="10">
        <f t="shared" si="12"/>
        <v>0</v>
      </c>
      <c r="I56" s="8">
        <f>IFERROR(H56/H444, "NA")</f>
        <v>0</v>
      </c>
      <c r="J56" s="9"/>
      <c r="K56" s="7">
        <v>0</v>
      </c>
      <c r="L56" s="8">
        <f>IFERROR(K56/K444, "NA")</f>
        <v>0</v>
      </c>
      <c r="M56" s="9"/>
      <c r="N56" s="10">
        <f t="shared" si="13"/>
        <v>0</v>
      </c>
      <c r="O56" s="8">
        <f>IFERROR(N56/N444, "NA")</f>
        <v>0</v>
      </c>
      <c r="P56" s="9"/>
      <c r="Q56" s="7">
        <v>0</v>
      </c>
      <c r="R56" s="8">
        <f>IFERROR(Q56/Q444, "NA")</f>
        <v>0</v>
      </c>
      <c r="S56" s="9"/>
      <c r="T56" s="7">
        <v>0</v>
      </c>
      <c r="U56" s="8">
        <f>IFERROR(T56/T444, "NA")</f>
        <v>0</v>
      </c>
      <c r="V56" s="9"/>
      <c r="W56" s="10">
        <f t="shared" si="14"/>
        <v>0</v>
      </c>
      <c r="X56" s="8">
        <f>IFERROR(W56/W444, "NA")</f>
        <v>0</v>
      </c>
      <c r="Y56" s="9"/>
      <c r="Z56" s="7">
        <v>0</v>
      </c>
      <c r="AA56" s="8">
        <f>IFERROR(Z56/Z444, "NA")</f>
        <v>0</v>
      </c>
      <c r="AB56" s="9"/>
      <c r="AC56" s="10">
        <f t="shared" si="15"/>
        <v>0</v>
      </c>
      <c r="AD56" s="8">
        <f>IFERROR(AC56/AC444, "NA")</f>
        <v>0</v>
      </c>
    </row>
    <row r="57" spans="1:30" ht="16.5" hidden="1" customHeight="1" x14ac:dyDescent="0.45">
      <c r="A57" s="17" t="s">
        <v>55</v>
      </c>
      <c r="B57" s="7">
        <v>0</v>
      </c>
      <c r="C57" s="8">
        <f>IFERROR(B57/B444, "NA")</f>
        <v>0</v>
      </c>
      <c r="D57" s="9"/>
      <c r="E57" s="7">
        <v>0</v>
      </c>
      <c r="F57" s="8">
        <f>IFERROR(E57/E444, "NA")</f>
        <v>0</v>
      </c>
      <c r="G57" s="9"/>
      <c r="H57" s="10">
        <f t="shared" si="12"/>
        <v>0</v>
      </c>
      <c r="I57" s="8">
        <f>IFERROR(H57/H444, "NA")</f>
        <v>0</v>
      </c>
      <c r="J57" s="9"/>
      <c r="K57" s="7">
        <v>0</v>
      </c>
      <c r="L57" s="8">
        <f>IFERROR(K57/K444, "NA")</f>
        <v>0</v>
      </c>
      <c r="M57" s="9"/>
      <c r="N57" s="10">
        <f t="shared" si="13"/>
        <v>0</v>
      </c>
      <c r="O57" s="8">
        <f>IFERROR(N57/N444, "NA")</f>
        <v>0</v>
      </c>
      <c r="P57" s="9"/>
      <c r="Q57" s="7">
        <v>0</v>
      </c>
      <c r="R57" s="8">
        <f>IFERROR(Q57/Q444, "NA")</f>
        <v>0</v>
      </c>
      <c r="S57" s="9"/>
      <c r="T57" s="7">
        <v>0</v>
      </c>
      <c r="U57" s="8">
        <f>IFERROR(T57/T444, "NA")</f>
        <v>0</v>
      </c>
      <c r="V57" s="9"/>
      <c r="W57" s="10">
        <f t="shared" si="14"/>
        <v>0</v>
      </c>
      <c r="X57" s="8">
        <f>IFERROR(W57/W444, "NA")</f>
        <v>0</v>
      </c>
      <c r="Y57" s="9"/>
      <c r="Z57" s="7">
        <v>0</v>
      </c>
      <c r="AA57" s="8">
        <f>IFERROR(Z57/Z444, "NA")</f>
        <v>0</v>
      </c>
      <c r="AB57" s="9"/>
      <c r="AC57" s="10">
        <f t="shared" si="15"/>
        <v>0</v>
      </c>
      <c r="AD57" s="8">
        <f>IFERROR(AC57/AC444, "NA")</f>
        <v>0</v>
      </c>
    </row>
    <row r="58" spans="1:30" ht="16.5" hidden="1" customHeight="1" x14ac:dyDescent="0.45">
      <c r="A58" s="17" t="s">
        <v>56</v>
      </c>
      <c r="B58" s="7">
        <v>0</v>
      </c>
      <c r="C58" s="8">
        <f>IFERROR(B58/B444, "NA")</f>
        <v>0</v>
      </c>
      <c r="D58" s="9"/>
      <c r="E58" s="7">
        <v>0</v>
      </c>
      <c r="F58" s="8">
        <f>IFERROR(E58/E444, "NA")</f>
        <v>0</v>
      </c>
      <c r="G58" s="9"/>
      <c r="H58" s="10">
        <f t="shared" si="12"/>
        <v>0</v>
      </c>
      <c r="I58" s="8">
        <f>IFERROR(H58/H444, "NA")</f>
        <v>0</v>
      </c>
      <c r="J58" s="9"/>
      <c r="K58" s="7">
        <v>0</v>
      </c>
      <c r="L58" s="8">
        <f>IFERROR(K58/K444, "NA")</f>
        <v>0</v>
      </c>
      <c r="M58" s="9"/>
      <c r="N58" s="10">
        <f t="shared" si="13"/>
        <v>0</v>
      </c>
      <c r="O58" s="8">
        <f>IFERROR(N58/N444, "NA")</f>
        <v>0</v>
      </c>
      <c r="P58" s="9"/>
      <c r="Q58" s="7">
        <v>0</v>
      </c>
      <c r="R58" s="8">
        <f>IFERROR(Q58/Q444, "NA")</f>
        <v>0</v>
      </c>
      <c r="S58" s="9"/>
      <c r="T58" s="7">
        <v>0</v>
      </c>
      <c r="U58" s="8">
        <f>IFERROR(T58/T444, "NA")</f>
        <v>0</v>
      </c>
      <c r="V58" s="9"/>
      <c r="W58" s="10">
        <f t="shared" si="14"/>
        <v>0</v>
      </c>
      <c r="X58" s="8">
        <f>IFERROR(W58/W444, "NA")</f>
        <v>0</v>
      </c>
      <c r="Y58" s="9"/>
      <c r="Z58" s="7">
        <v>0</v>
      </c>
      <c r="AA58" s="8">
        <f>IFERROR(Z58/Z444, "NA")</f>
        <v>0</v>
      </c>
      <c r="AB58" s="9"/>
      <c r="AC58" s="10">
        <f t="shared" si="15"/>
        <v>0</v>
      </c>
      <c r="AD58" s="8">
        <f>IFERROR(AC58/AC444, "NA")</f>
        <v>0</v>
      </c>
    </row>
    <row r="59" spans="1:30" ht="16.5" hidden="1" customHeight="1" x14ac:dyDescent="0.45">
      <c r="A59" s="17" t="s">
        <v>57</v>
      </c>
      <c r="B59" s="7">
        <v>0</v>
      </c>
      <c r="C59" s="8">
        <f>IFERROR(B59/B444, "NA")</f>
        <v>0</v>
      </c>
      <c r="D59" s="9"/>
      <c r="E59" s="7">
        <v>0</v>
      </c>
      <c r="F59" s="8">
        <f>IFERROR(E59/E444, "NA")</f>
        <v>0</v>
      </c>
      <c r="G59" s="9"/>
      <c r="H59" s="10">
        <f t="shared" si="12"/>
        <v>0</v>
      </c>
      <c r="I59" s="8">
        <f>IFERROR(H59/H444, "NA")</f>
        <v>0</v>
      </c>
      <c r="J59" s="9"/>
      <c r="K59" s="7">
        <v>0</v>
      </c>
      <c r="L59" s="8">
        <f>IFERROR(K59/K444, "NA")</f>
        <v>0</v>
      </c>
      <c r="M59" s="9"/>
      <c r="N59" s="10">
        <f t="shared" si="13"/>
        <v>0</v>
      </c>
      <c r="O59" s="8">
        <f>IFERROR(N59/N444, "NA")</f>
        <v>0</v>
      </c>
      <c r="P59" s="9"/>
      <c r="Q59" s="7">
        <v>0</v>
      </c>
      <c r="R59" s="8">
        <f>IFERROR(Q59/Q444, "NA")</f>
        <v>0</v>
      </c>
      <c r="S59" s="9"/>
      <c r="T59" s="7">
        <v>0</v>
      </c>
      <c r="U59" s="8">
        <f>IFERROR(T59/T444, "NA")</f>
        <v>0</v>
      </c>
      <c r="V59" s="9"/>
      <c r="W59" s="10">
        <f t="shared" si="14"/>
        <v>0</v>
      </c>
      <c r="X59" s="8">
        <f>IFERROR(W59/W444, "NA")</f>
        <v>0</v>
      </c>
      <c r="Y59" s="9"/>
      <c r="Z59" s="7">
        <v>0</v>
      </c>
      <c r="AA59" s="8">
        <f>IFERROR(Z59/Z444, "NA")</f>
        <v>0</v>
      </c>
      <c r="AB59" s="9"/>
      <c r="AC59" s="10">
        <f t="shared" si="15"/>
        <v>0</v>
      </c>
      <c r="AD59" s="8">
        <f>IFERROR(AC59/AC444, "NA")</f>
        <v>0</v>
      </c>
    </row>
    <row r="60" spans="1:30" ht="16.5" hidden="1" customHeight="1" x14ac:dyDescent="0.45">
      <c r="A60" s="17" t="s">
        <v>58</v>
      </c>
      <c r="B60" s="7">
        <v>0</v>
      </c>
      <c r="C60" s="8">
        <f>IFERROR(B60/B444, "NA")</f>
        <v>0</v>
      </c>
      <c r="D60" s="9"/>
      <c r="E60" s="7">
        <v>0</v>
      </c>
      <c r="F60" s="8">
        <f>IFERROR(E60/E444, "NA")</f>
        <v>0</v>
      </c>
      <c r="G60" s="9"/>
      <c r="H60" s="10">
        <f t="shared" si="12"/>
        <v>0</v>
      </c>
      <c r="I60" s="8">
        <f>IFERROR(H60/H444, "NA")</f>
        <v>0</v>
      </c>
      <c r="J60" s="9"/>
      <c r="K60" s="7">
        <v>0</v>
      </c>
      <c r="L60" s="8">
        <f>IFERROR(K60/K444, "NA")</f>
        <v>0</v>
      </c>
      <c r="M60" s="9"/>
      <c r="N60" s="10">
        <f t="shared" si="13"/>
        <v>0</v>
      </c>
      <c r="O60" s="8">
        <f>IFERROR(N60/N444, "NA")</f>
        <v>0</v>
      </c>
      <c r="P60" s="9"/>
      <c r="Q60" s="7">
        <v>0</v>
      </c>
      <c r="R60" s="8">
        <f>IFERROR(Q60/Q444, "NA")</f>
        <v>0</v>
      </c>
      <c r="S60" s="9"/>
      <c r="T60" s="7">
        <v>0</v>
      </c>
      <c r="U60" s="8">
        <f>IFERROR(T60/T444, "NA")</f>
        <v>0</v>
      </c>
      <c r="V60" s="9"/>
      <c r="W60" s="10">
        <f t="shared" si="14"/>
        <v>0</v>
      </c>
      <c r="X60" s="8">
        <f>IFERROR(W60/W444, "NA")</f>
        <v>0</v>
      </c>
      <c r="Y60" s="9"/>
      <c r="Z60" s="7">
        <v>0</v>
      </c>
      <c r="AA60" s="8">
        <f>IFERROR(Z60/Z444, "NA")</f>
        <v>0</v>
      </c>
      <c r="AB60" s="9"/>
      <c r="AC60" s="10">
        <f t="shared" si="15"/>
        <v>0</v>
      </c>
      <c r="AD60" s="8">
        <f>IFERROR(AC60/AC444, "NA")</f>
        <v>0</v>
      </c>
    </row>
    <row r="61" spans="1:30" ht="16.5" customHeight="1" x14ac:dyDescent="0.45">
      <c r="A61" s="18" t="s">
        <v>59</v>
      </c>
      <c r="B61" s="14">
        <f>IFERROR(B46+B47+B48+B49+B50+B51+B52+B53+B54+B55+B56+B57+B58+B59+B60, "NA")</f>
        <v>27794.660000000003</v>
      </c>
      <c r="C61" s="15">
        <f>IFERROR(B61/B444, "NA")</f>
        <v>0.2120998593156741</v>
      </c>
      <c r="D61" s="2"/>
      <c r="E61" s="14">
        <f>IFERROR(E46+E47+E48+E49+E50+E51+E52+E53+E54+E55+E56+E57+E58+E59+E60, "NA")</f>
        <v>0</v>
      </c>
      <c r="F61" s="15">
        <f>IFERROR(E61/E444, "NA")</f>
        <v>0</v>
      </c>
      <c r="G61" s="2"/>
      <c r="H61" s="14">
        <f t="shared" si="12"/>
        <v>27794.660000000003</v>
      </c>
      <c r="I61" s="15">
        <f>IFERROR(H61/H444, "NA")</f>
        <v>-2.4988748407560291</v>
      </c>
      <c r="J61" s="2"/>
      <c r="K61" s="14">
        <f>IFERROR(K46+K47+K48+K49+K50+K51+K52+K53+K54+K55+K56+K57+K58+K59+K60, "NA")</f>
        <v>37353.659999999996</v>
      </c>
      <c r="L61" s="15">
        <f>IFERROR(K61/K444, "NA")</f>
        <v>0.27147924466539225</v>
      </c>
      <c r="M61" s="2"/>
      <c r="N61" s="14">
        <f t="shared" si="13"/>
        <v>-9558.9999999999927</v>
      </c>
      <c r="O61" s="15">
        <f>IFERROR(N61/N444, "NA")</f>
        <v>1.4598573588478752</v>
      </c>
      <c r="P61" s="2"/>
      <c r="Q61" s="14">
        <f>IFERROR(Q46+Q47+Q48+Q49+Q50+Q51+Q52+Q53+Q54+Q55+Q56+Q57+Q58+Q59+Q60, "NA")</f>
        <v>27794.660000000003</v>
      </c>
      <c r="R61" s="15">
        <f>IFERROR(Q61/Q444, "NA")</f>
        <v>0.2120998593156741</v>
      </c>
      <c r="S61" s="2"/>
      <c r="T61" s="14">
        <f>IFERROR(T46+T47+T48+T49+T50+T51+T52+T53+T54+T55+T56+T57+T58+T59+T60, "NA")</f>
        <v>0</v>
      </c>
      <c r="U61" s="15">
        <f>IFERROR(T61/T444, "NA")</f>
        <v>0</v>
      </c>
      <c r="V61" s="2"/>
      <c r="W61" s="14">
        <f t="shared" si="14"/>
        <v>27794.660000000003</v>
      </c>
      <c r="X61" s="15">
        <f>IFERROR(W61/W444, "NA")</f>
        <v>-2.4988748407560291</v>
      </c>
      <c r="Y61" s="2"/>
      <c r="Z61" s="14">
        <f>IFERROR(Z46+Z47+Z48+Z49+Z50+Z51+Z52+Z53+Z54+Z55+Z56+Z57+Z58+Z59+Z60, "NA")</f>
        <v>37353.659999999996</v>
      </c>
      <c r="AA61" s="15">
        <f>IFERROR(Z61/Z444, "NA")</f>
        <v>0.27147924466539225</v>
      </c>
      <c r="AB61" s="2"/>
      <c r="AC61" s="14">
        <f t="shared" si="15"/>
        <v>-9558.9999999999927</v>
      </c>
      <c r="AD61" s="15">
        <f>IFERROR(AC61/AC444, "NA")</f>
        <v>1.4598573588478752</v>
      </c>
    </row>
    <row r="62" spans="1:30" ht="16.5" customHeight="1" x14ac:dyDescent="0.45">
      <c r="A62" s="13" t="s">
        <v>60</v>
      </c>
      <c r="B62" s="14">
        <f>IFERROR(B42+B43+B44+B46+B47+B48+B49+B50+B51+B52+B53+B54+B55+B56+B57+B58+B59+B60, "NA")</f>
        <v>29662.54</v>
      </c>
      <c r="C62" s="15">
        <f>IFERROR(B62/B444, "NA")</f>
        <v>0.22635357154739633</v>
      </c>
      <c r="D62" s="2"/>
      <c r="E62" s="14">
        <f>IFERROR(E42+E43+E44+E46+E47+E48+E49+E50+E51+E52+E53+E54+E55+E56+E57+E58+E59+E60, "NA")</f>
        <v>48479.3</v>
      </c>
      <c r="F62" s="15">
        <f>IFERROR(E62/E444, "NA")</f>
        <v>0.34100001245005646</v>
      </c>
      <c r="G62" s="2"/>
      <c r="H62" s="14">
        <f t="shared" si="12"/>
        <v>-18816.760000000002</v>
      </c>
      <c r="I62" s="15">
        <f>IFERROR(H62/H444, "NA")</f>
        <v>1.6917180547826245</v>
      </c>
      <c r="J62" s="2"/>
      <c r="K62" s="14">
        <f>IFERROR(K42+K43+K44+K46+K47+K48+K49+K50+K51+K52+K53+K54+K55+K56+K57+K58+K59+K60, "NA")</f>
        <v>43272.56</v>
      </c>
      <c r="L62" s="15">
        <f>IFERROR(K62/K444, "NA")</f>
        <v>0.31449667592246294</v>
      </c>
      <c r="M62" s="2"/>
      <c r="N62" s="14">
        <f t="shared" si="13"/>
        <v>-13610.019999999997</v>
      </c>
      <c r="O62" s="15">
        <f>IFERROR(N62/N444, "NA")</f>
        <v>2.0785320484430136</v>
      </c>
      <c r="P62" s="2"/>
      <c r="Q62" s="14">
        <f>IFERROR(Q42+Q43+Q44+Q46+Q47+Q48+Q49+Q50+Q51+Q52+Q53+Q54+Q55+Q56+Q57+Q58+Q59+Q60, "NA")</f>
        <v>29662.54</v>
      </c>
      <c r="R62" s="15">
        <f>IFERROR(Q62/Q444, "NA")</f>
        <v>0.22635357154739633</v>
      </c>
      <c r="S62" s="2"/>
      <c r="T62" s="14">
        <f>IFERROR(T42+T43+T44+T46+T47+T48+T49+T50+T51+T52+T53+T54+T55+T56+T57+T58+T59+T60, "NA")</f>
        <v>48479.3</v>
      </c>
      <c r="U62" s="15">
        <f>IFERROR(T62/T444, "NA")</f>
        <v>0.34100001245005646</v>
      </c>
      <c r="V62" s="2"/>
      <c r="W62" s="14">
        <f t="shared" si="14"/>
        <v>-18816.760000000002</v>
      </c>
      <c r="X62" s="15">
        <f>IFERROR(W62/W444, "NA")</f>
        <v>1.6917180547826245</v>
      </c>
      <c r="Y62" s="2"/>
      <c r="Z62" s="14">
        <f>IFERROR(Z42+Z43+Z44+Z46+Z47+Z48+Z49+Z50+Z51+Z52+Z53+Z54+Z55+Z56+Z57+Z58+Z59+Z60, "NA")</f>
        <v>43272.56</v>
      </c>
      <c r="AA62" s="15">
        <f>IFERROR(Z62/Z444, "NA")</f>
        <v>0.31449667592246294</v>
      </c>
      <c r="AB62" s="2"/>
      <c r="AC62" s="14">
        <f t="shared" si="15"/>
        <v>-13610.019999999997</v>
      </c>
      <c r="AD62" s="15">
        <f>IFERROR(AC62/AC444, "NA")</f>
        <v>2.0785320484430136</v>
      </c>
    </row>
    <row r="63" spans="1:30" ht="16.5" customHeight="1" x14ac:dyDescent="0.45">
      <c r="A63" s="11" t="s">
        <v>61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45">
      <c r="A64" s="12" t="s">
        <v>61</v>
      </c>
      <c r="B64" s="7">
        <v>0</v>
      </c>
      <c r="C64" s="8">
        <f>IFERROR(B64/B444, "NA")</f>
        <v>0</v>
      </c>
      <c r="D64" s="9"/>
      <c r="E64" s="7">
        <v>12368.62</v>
      </c>
      <c r="F64" s="8">
        <f>IFERROR(E64/E444, "NA")</f>
        <v>8.700000977716299E-2</v>
      </c>
      <c r="G64" s="9"/>
      <c r="H64" s="10">
        <f t="shared" ref="H64:H73" si="16">IFERROR(B64-E64, "NA")</f>
        <v>-12368.62</v>
      </c>
      <c r="I64" s="8">
        <f>IFERROR(H64/H444, "NA")</f>
        <v>1.1119989714884744</v>
      </c>
      <c r="J64" s="9"/>
      <c r="K64" s="7">
        <v>0</v>
      </c>
      <c r="L64" s="8">
        <f>IFERROR(K64/K444, "NA")</f>
        <v>0</v>
      </c>
      <c r="M64" s="9"/>
      <c r="N64" s="10">
        <f t="shared" ref="N64:N73" si="17">IFERROR(B64-K64, "NA")</f>
        <v>0</v>
      </c>
      <c r="O64" s="8">
        <f>IFERROR(N64/N444, "NA")</f>
        <v>0</v>
      </c>
      <c r="P64" s="9"/>
      <c r="Q64" s="7">
        <v>0</v>
      </c>
      <c r="R64" s="8">
        <f>IFERROR(Q64/Q444, "NA")</f>
        <v>0</v>
      </c>
      <c r="S64" s="9"/>
      <c r="T64" s="7">
        <v>12368.62</v>
      </c>
      <c r="U64" s="8">
        <f>IFERROR(T64/T444, "NA")</f>
        <v>8.700000977716299E-2</v>
      </c>
      <c r="V64" s="9"/>
      <c r="W64" s="10">
        <f t="shared" ref="W64:W73" si="18">IFERROR(Q64-T64, "NA")</f>
        <v>-12368.62</v>
      </c>
      <c r="X64" s="8">
        <f>IFERROR(W64/W444, "NA")</f>
        <v>1.1119989714884744</v>
      </c>
      <c r="Y64" s="9"/>
      <c r="Z64" s="7">
        <v>0</v>
      </c>
      <c r="AA64" s="8">
        <f>IFERROR(Z64/Z444, "NA")</f>
        <v>0</v>
      </c>
      <c r="AB64" s="9"/>
      <c r="AC64" s="10">
        <f t="shared" ref="AC64:AC73" si="19">IFERROR(Q64-Z64, "NA")</f>
        <v>0</v>
      </c>
      <c r="AD64" s="8">
        <f>IFERROR(AC64/AC444, "NA")</f>
        <v>0</v>
      </c>
    </row>
    <row r="65" spans="1:30" ht="16.5" customHeight="1" x14ac:dyDescent="0.45">
      <c r="A65" s="12" t="s">
        <v>62</v>
      </c>
      <c r="B65" s="7">
        <v>1513.13</v>
      </c>
      <c r="C65" s="8">
        <f>IFERROR(B65/B444, "NA")</f>
        <v>1.1546630184586749E-2</v>
      </c>
      <c r="D65" s="9"/>
      <c r="E65" s="7">
        <v>0</v>
      </c>
      <c r="F65" s="8">
        <f>IFERROR(E65/E444, "NA")</f>
        <v>0</v>
      </c>
      <c r="G65" s="9"/>
      <c r="H65" s="10">
        <f t="shared" si="16"/>
        <v>1513.13</v>
      </c>
      <c r="I65" s="8">
        <f>IFERROR(H65/H444, "NA")</f>
        <v>-0.1360377312689981</v>
      </c>
      <c r="J65" s="9"/>
      <c r="K65" s="7">
        <v>0</v>
      </c>
      <c r="L65" s="8">
        <f>IFERROR(K65/K444, "NA")</f>
        <v>0</v>
      </c>
      <c r="M65" s="9"/>
      <c r="N65" s="10">
        <f t="shared" si="17"/>
        <v>1513.13</v>
      </c>
      <c r="O65" s="8">
        <f>IFERROR(N65/N444, "NA")</f>
        <v>-0.2310863024786575</v>
      </c>
      <c r="P65" s="9"/>
      <c r="Q65" s="7">
        <v>1513.13</v>
      </c>
      <c r="R65" s="8">
        <f>IFERROR(Q65/Q444, "NA")</f>
        <v>1.1546630184586749E-2</v>
      </c>
      <c r="S65" s="9"/>
      <c r="T65" s="7">
        <v>0</v>
      </c>
      <c r="U65" s="8">
        <f>IFERROR(T65/T444, "NA")</f>
        <v>0</v>
      </c>
      <c r="V65" s="9"/>
      <c r="W65" s="10">
        <f t="shared" si="18"/>
        <v>1513.13</v>
      </c>
      <c r="X65" s="8">
        <f>IFERROR(W65/W444, "NA")</f>
        <v>-0.1360377312689981</v>
      </c>
      <c r="Y65" s="9"/>
      <c r="Z65" s="7">
        <v>0</v>
      </c>
      <c r="AA65" s="8">
        <f>IFERROR(Z65/Z444, "NA")</f>
        <v>0</v>
      </c>
      <c r="AB65" s="9"/>
      <c r="AC65" s="10">
        <f t="shared" si="19"/>
        <v>1513.13</v>
      </c>
      <c r="AD65" s="8">
        <f>IFERROR(AC65/AC444, "NA")</f>
        <v>-0.2310863024786575</v>
      </c>
    </row>
    <row r="66" spans="1:30" ht="16.5" customHeight="1" x14ac:dyDescent="0.45">
      <c r="A66" s="12" t="s">
        <v>63</v>
      </c>
      <c r="B66" s="7">
        <v>9418.23</v>
      </c>
      <c r="C66" s="8">
        <f>IFERROR(B66/B444, "NA")</f>
        <v>7.1870109510339786E-2</v>
      </c>
      <c r="D66" s="9"/>
      <c r="E66" s="7">
        <v>0</v>
      </c>
      <c r="F66" s="8">
        <f>IFERROR(E66/E444, "NA")</f>
        <v>0</v>
      </c>
      <c r="G66" s="9"/>
      <c r="H66" s="10">
        <f t="shared" si="16"/>
        <v>9418.23</v>
      </c>
      <c r="I66" s="8">
        <f>IFERROR(H66/H444, "NA")</f>
        <v>-0.84674459020019144</v>
      </c>
      <c r="J66" s="9"/>
      <c r="K66" s="7">
        <v>7204.22</v>
      </c>
      <c r="L66" s="8">
        <f>IFERROR(K66/K444, "NA")</f>
        <v>5.2358890775450452E-2</v>
      </c>
      <c r="M66" s="9"/>
      <c r="N66" s="10">
        <f t="shared" si="17"/>
        <v>2214.0099999999993</v>
      </c>
      <c r="O66" s="8">
        <f>IFERROR(N66/N444, "NA")</f>
        <v>-0.33812520044594468</v>
      </c>
      <c r="P66" s="9"/>
      <c r="Q66" s="7">
        <v>9418.23</v>
      </c>
      <c r="R66" s="8">
        <f>IFERROR(Q66/Q444, "NA")</f>
        <v>7.1870109510339786E-2</v>
      </c>
      <c r="S66" s="9"/>
      <c r="T66" s="7">
        <v>0</v>
      </c>
      <c r="U66" s="8">
        <f>IFERROR(T66/T444, "NA")</f>
        <v>0</v>
      </c>
      <c r="V66" s="9"/>
      <c r="W66" s="10">
        <f t="shared" si="18"/>
        <v>9418.23</v>
      </c>
      <c r="X66" s="8">
        <f>IFERROR(W66/W444, "NA")</f>
        <v>-0.84674459020019144</v>
      </c>
      <c r="Y66" s="9"/>
      <c r="Z66" s="7">
        <v>7204.22</v>
      </c>
      <c r="AA66" s="8">
        <f>IFERROR(Z66/Z444, "NA")</f>
        <v>5.2358890775450452E-2</v>
      </c>
      <c r="AB66" s="9"/>
      <c r="AC66" s="10">
        <f t="shared" si="19"/>
        <v>2214.0099999999993</v>
      </c>
      <c r="AD66" s="8">
        <f>IFERROR(AC66/AC444, "NA")</f>
        <v>-0.33812520044594468</v>
      </c>
    </row>
    <row r="67" spans="1:30" ht="16.5" customHeight="1" x14ac:dyDescent="0.45">
      <c r="A67" s="12" t="s">
        <v>64</v>
      </c>
      <c r="B67" s="7">
        <v>0</v>
      </c>
      <c r="C67" s="8">
        <f>IFERROR(B67/B444, "NA")</f>
        <v>0</v>
      </c>
      <c r="D67" s="9"/>
      <c r="E67" s="7">
        <v>0</v>
      </c>
      <c r="F67" s="8">
        <f>IFERROR(E67/E444, "NA")</f>
        <v>0</v>
      </c>
      <c r="G67" s="9"/>
      <c r="H67" s="10">
        <f t="shared" si="16"/>
        <v>0</v>
      </c>
      <c r="I67" s="8">
        <f>IFERROR(H67/H444, "NA")</f>
        <v>0</v>
      </c>
      <c r="J67" s="9"/>
      <c r="K67" s="7">
        <v>9882.75</v>
      </c>
      <c r="L67" s="8">
        <f>IFERROR(K67/K444, "NA")</f>
        <v>7.1825933662642574E-2</v>
      </c>
      <c r="M67" s="9"/>
      <c r="N67" s="10">
        <f t="shared" si="17"/>
        <v>-9882.75</v>
      </c>
      <c r="O67" s="8">
        <f>IFERROR(N67/N444, "NA")</f>
        <v>1.5093006918248613</v>
      </c>
      <c r="P67" s="9"/>
      <c r="Q67" s="7">
        <v>0</v>
      </c>
      <c r="R67" s="8">
        <f>IFERROR(Q67/Q444, "NA")</f>
        <v>0</v>
      </c>
      <c r="S67" s="9"/>
      <c r="T67" s="7">
        <v>0</v>
      </c>
      <c r="U67" s="8">
        <f>IFERROR(T67/T444, "NA")</f>
        <v>0</v>
      </c>
      <c r="V67" s="9"/>
      <c r="W67" s="10">
        <f t="shared" si="18"/>
        <v>0</v>
      </c>
      <c r="X67" s="8">
        <f>IFERROR(W67/W444, "NA")</f>
        <v>0</v>
      </c>
      <c r="Y67" s="9"/>
      <c r="Z67" s="7">
        <v>9882.75</v>
      </c>
      <c r="AA67" s="8">
        <f>IFERROR(Z67/Z444, "NA")</f>
        <v>7.1825933662642574E-2</v>
      </c>
      <c r="AB67" s="9"/>
      <c r="AC67" s="10">
        <f t="shared" si="19"/>
        <v>-9882.75</v>
      </c>
      <c r="AD67" s="8">
        <f>IFERROR(AC67/AC444, "NA")</f>
        <v>1.5093006918248613</v>
      </c>
    </row>
    <row r="68" spans="1:30" ht="16.5" hidden="1" customHeight="1" x14ac:dyDescent="0.45">
      <c r="A68" s="12" t="s">
        <v>65</v>
      </c>
      <c r="B68" s="7">
        <v>0</v>
      </c>
      <c r="C68" s="8">
        <f>IFERROR(B68/B444, "NA")</f>
        <v>0</v>
      </c>
      <c r="D68" s="9"/>
      <c r="E68" s="7">
        <v>0</v>
      </c>
      <c r="F68" s="8">
        <f>IFERROR(E68/E444, "NA")</f>
        <v>0</v>
      </c>
      <c r="G68" s="9"/>
      <c r="H68" s="10">
        <f t="shared" si="16"/>
        <v>0</v>
      </c>
      <c r="I68" s="8">
        <f>IFERROR(H68/H444, "NA")</f>
        <v>0</v>
      </c>
      <c r="J68" s="9"/>
      <c r="K68" s="7">
        <v>0</v>
      </c>
      <c r="L68" s="8">
        <f>IFERROR(K68/K444, "NA")</f>
        <v>0</v>
      </c>
      <c r="M68" s="9"/>
      <c r="N68" s="10">
        <f t="shared" si="17"/>
        <v>0</v>
      </c>
      <c r="O68" s="8">
        <f>IFERROR(N68/N444, "NA")</f>
        <v>0</v>
      </c>
      <c r="P68" s="9"/>
      <c r="Q68" s="7">
        <v>0</v>
      </c>
      <c r="R68" s="8">
        <f>IFERROR(Q68/Q444, "NA")</f>
        <v>0</v>
      </c>
      <c r="S68" s="9"/>
      <c r="T68" s="7">
        <v>0</v>
      </c>
      <c r="U68" s="8">
        <f>IFERROR(T68/T444, "NA")</f>
        <v>0</v>
      </c>
      <c r="V68" s="9"/>
      <c r="W68" s="10">
        <f t="shared" si="18"/>
        <v>0</v>
      </c>
      <c r="X68" s="8">
        <f>IFERROR(W68/W444, "NA")</f>
        <v>0</v>
      </c>
      <c r="Y68" s="9"/>
      <c r="Z68" s="7">
        <v>0</v>
      </c>
      <c r="AA68" s="8">
        <f>IFERROR(Z68/Z444, "NA")</f>
        <v>0</v>
      </c>
      <c r="AB68" s="9"/>
      <c r="AC68" s="10">
        <f t="shared" si="19"/>
        <v>0</v>
      </c>
      <c r="AD68" s="8">
        <f>IFERROR(AC68/AC444, "NA")</f>
        <v>0</v>
      </c>
    </row>
    <row r="69" spans="1:30" ht="16.5" hidden="1" customHeight="1" x14ac:dyDescent="0.45">
      <c r="A69" s="12" t="s">
        <v>66</v>
      </c>
      <c r="B69" s="7">
        <v>0</v>
      </c>
      <c r="C69" s="8">
        <f>IFERROR(B69/B444, "NA")</f>
        <v>0</v>
      </c>
      <c r="D69" s="9"/>
      <c r="E69" s="7">
        <v>0</v>
      </c>
      <c r="F69" s="8">
        <f>IFERROR(E69/E444, "NA")</f>
        <v>0</v>
      </c>
      <c r="G69" s="9"/>
      <c r="H69" s="10">
        <f t="shared" si="16"/>
        <v>0</v>
      </c>
      <c r="I69" s="8">
        <f>IFERROR(H69/H444, "NA")</f>
        <v>0</v>
      </c>
      <c r="J69" s="9"/>
      <c r="K69" s="7">
        <v>0</v>
      </c>
      <c r="L69" s="8">
        <f>IFERROR(K69/K444, "NA")</f>
        <v>0</v>
      </c>
      <c r="M69" s="9"/>
      <c r="N69" s="10">
        <f t="shared" si="17"/>
        <v>0</v>
      </c>
      <c r="O69" s="8">
        <f>IFERROR(N69/N444, "NA")</f>
        <v>0</v>
      </c>
      <c r="P69" s="9"/>
      <c r="Q69" s="7">
        <v>0</v>
      </c>
      <c r="R69" s="8">
        <f>IFERROR(Q69/Q444, "NA")</f>
        <v>0</v>
      </c>
      <c r="S69" s="9"/>
      <c r="T69" s="7">
        <v>0</v>
      </c>
      <c r="U69" s="8">
        <f>IFERROR(T69/T444, "NA")</f>
        <v>0</v>
      </c>
      <c r="V69" s="9"/>
      <c r="W69" s="10">
        <f t="shared" si="18"/>
        <v>0</v>
      </c>
      <c r="X69" s="8">
        <f>IFERROR(W69/W444, "NA")</f>
        <v>0</v>
      </c>
      <c r="Y69" s="9"/>
      <c r="Z69" s="7">
        <v>0</v>
      </c>
      <c r="AA69" s="8">
        <f>IFERROR(Z69/Z444, "NA")</f>
        <v>0</v>
      </c>
      <c r="AB69" s="9"/>
      <c r="AC69" s="10">
        <f t="shared" si="19"/>
        <v>0</v>
      </c>
      <c r="AD69" s="8">
        <f>IFERROR(AC69/AC444, "NA")</f>
        <v>0</v>
      </c>
    </row>
    <row r="70" spans="1:30" ht="16.5" hidden="1" customHeight="1" x14ac:dyDescent="0.45">
      <c r="A70" s="12" t="s">
        <v>67</v>
      </c>
      <c r="B70" s="7">
        <v>0</v>
      </c>
      <c r="C70" s="8">
        <f>IFERROR(B70/B444, "NA")</f>
        <v>0</v>
      </c>
      <c r="D70" s="9"/>
      <c r="E70" s="7">
        <v>0</v>
      </c>
      <c r="F70" s="8">
        <f>IFERROR(E70/E444, "NA")</f>
        <v>0</v>
      </c>
      <c r="G70" s="9"/>
      <c r="H70" s="10">
        <f t="shared" si="16"/>
        <v>0</v>
      </c>
      <c r="I70" s="8">
        <f>IFERROR(H70/H444, "NA")</f>
        <v>0</v>
      </c>
      <c r="J70" s="9"/>
      <c r="K70" s="7">
        <v>0</v>
      </c>
      <c r="L70" s="8">
        <f>IFERROR(K70/K444, "NA")</f>
        <v>0</v>
      </c>
      <c r="M70" s="9"/>
      <c r="N70" s="10">
        <f t="shared" si="17"/>
        <v>0</v>
      </c>
      <c r="O70" s="8">
        <f>IFERROR(N70/N444, "NA")</f>
        <v>0</v>
      </c>
      <c r="P70" s="9"/>
      <c r="Q70" s="7">
        <v>0</v>
      </c>
      <c r="R70" s="8">
        <f>IFERROR(Q70/Q444, "NA")</f>
        <v>0</v>
      </c>
      <c r="S70" s="9"/>
      <c r="T70" s="7">
        <v>0</v>
      </c>
      <c r="U70" s="8">
        <f>IFERROR(T70/T444, "NA")</f>
        <v>0</v>
      </c>
      <c r="V70" s="9"/>
      <c r="W70" s="10">
        <f t="shared" si="18"/>
        <v>0</v>
      </c>
      <c r="X70" s="8">
        <f>IFERROR(W70/W444, "NA")</f>
        <v>0</v>
      </c>
      <c r="Y70" s="9"/>
      <c r="Z70" s="7">
        <v>0</v>
      </c>
      <c r="AA70" s="8">
        <f>IFERROR(Z70/Z444, "NA")</f>
        <v>0</v>
      </c>
      <c r="AB70" s="9"/>
      <c r="AC70" s="10">
        <f t="shared" si="19"/>
        <v>0</v>
      </c>
      <c r="AD70" s="8">
        <f>IFERROR(AC70/AC444, "NA")</f>
        <v>0</v>
      </c>
    </row>
    <row r="71" spans="1:30" ht="16.5" hidden="1" customHeight="1" x14ac:dyDescent="0.45">
      <c r="A71" s="12" t="s">
        <v>68</v>
      </c>
      <c r="B71" s="7">
        <v>0</v>
      </c>
      <c r="C71" s="8">
        <f>IFERROR(B71/B444, "NA")</f>
        <v>0</v>
      </c>
      <c r="D71" s="9"/>
      <c r="E71" s="7">
        <v>0</v>
      </c>
      <c r="F71" s="8">
        <f>IFERROR(E71/E444, "NA")</f>
        <v>0</v>
      </c>
      <c r="G71" s="9"/>
      <c r="H71" s="10">
        <f t="shared" si="16"/>
        <v>0</v>
      </c>
      <c r="I71" s="8">
        <f>IFERROR(H71/H444, "NA")</f>
        <v>0</v>
      </c>
      <c r="J71" s="9"/>
      <c r="K71" s="7">
        <v>0</v>
      </c>
      <c r="L71" s="8">
        <f>IFERROR(K71/K444, "NA")</f>
        <v>0</v>
      </c>
      <c r="M71" s="9"/>
      <c r="N71" s="10">
        <f t="shared" si="17"/>
        <v>0</v>
      </c>
      <c r="O71" s="8">
        <f>IFERROR(N71/N444, "NA")</f>
        <v>0</v>
      </c>
      <c r="P71" s="9"/>
      <c r="Q71" s="7">
        <v>0</v>
      </c>
      <c r="R71" s="8">
        <f>IFERROR(Q71/Q444, "NA")</f>
        <v>0</v>
      </c>
      <c r="S71" s="9"/>
      <c r="T71" s="7">
        <v>0</v>
      </c>
      <c r="U71" s="8">
        <f>IFERROR(T71/T444, "NA")</f>
        <v>0</v>
      </c>
      <c r="V71" s="9"/>
      <c r="W71" s="10">
        <f t="shared" si="18"/>
        <v>0</v>
      </c>
      <c r="X71" s="8">
        <f>IFERROR(W71/W444, "NA")</f>
        <v>0</v>
      </c>
      <c r="Y71" s="9"/>
      <c r="Z71" s="7">
        <v>0</v>
      </c>
      <c r="AA71" s="8">
        <f>IFERROR(Z71/Z444, "NA")</f>
        <v>0</v>
      </c>
      <c r="AB71" s="9"/>
      <c r="AC71" s="10">
        <f t="shared" si="19"/>
        <v>0</v>
      </c>
      <c r="AD71" s="8">
        <f>IFERROR(AC71/AC444, "NA")</f>
        <v>0</v>
      </c>
    </row>
    <row r="72" spans="1:30" ht="16.5" hidden="1" customHeight="1" x14ac:dyDescent="0.45">
      <c r="A72" s="12" t="s">
        <v>69</v>
      </c>
      <c r="B72" s="7">
        <v>0</v>
      </c>
      <c r="C72" s="8">
        <f>IFERROR(B72/B444, "NA")</f>
        <v>0</v>
      </c>
      <c r="D72" s="9"/>
      <c r="E72" s="7">
        <v>0</v>
      </c>
      <c r="F72" s="8">
        <f>IFERROR(E72/E444, "NA")</f>
        <v>0</v>
      </c>
      <c r="G72" s="9"/>
      <c r="H72" s="10">
        <f t="shared" si="16"/>
        <v>0</v>
      </c>
      <c r="I72" s="8">
        <f>IFERROR(H72/H444, "NA")</f>
        <v>0</v>
      </c>
      <c r="J72" s="9"/>
      <c r="K72" s="7">
        <v>0</v>
      </c>
      <c r="L72" s="8">
        <f>IFERROR(K72/K444, "NA")</f>
        <v>0</v>
      </c>
      <c r="M72" s="9"/>
      <c r="N72" s="10">
        <f t="shared" si="17"/>
        <v>0</v>
      </c>
      <c r="O72" s="8">
        <f>IFERROR(N72/N444, "NA")</f>
        <v>0</v>
      </c>
      <c r="P72" s="9"/>
      <c r="Q72" s="7">
        <v>0</v>
      </c>
      <c r="R72" s="8">
        <f>IFERROR(Q72/Q444, "NA")</f>
        <v>0</v>
      </c>
      <c r="S72" s="9"/>
      <c r="T72" s="7">
        <v>0</v>
      </c>
      <c r="U72" s="8">
        <f>IFERROR(T72/T444, "NA")</f>
        <v>0</v>
      </c>
      <c r="V72" s="9"/>
      <c r="W72" s="10">
        <f t="shared" si="18"/>
        <v>0</v>
      </c>
      <c r="X72" s="8">
        <f>IFERROR(W72/W444, "NA")</f>
        <v>0</v>
      </c>
      <c r="Y72" s="9"/>
      <c r="Z72" s="7">
        <v>0</v>
      </c>
      <c r="AA72" s="8">
        <f>IFERROR(Z72/Z444, "NA")</f>
        <v>0</v>
      </c>
      <c r="AB72" s="9"/>
      <c r="AC72" s="10">
        <f t="shared" si="19"/>
        <v>0</v>
      </c>
      <c r="AD72" s="8">
        <f>IFERROR(AC72/AC444, "NA")</f>
        <v>0</v>
      </c>
    </row>
    <row r="73" spans="1:30" ht="16.5" customHeight="1" x14ac:dyDescent="0.45">
      <c r="A73" s="13" t="s">
        <v>70</v>
      </c>
      <c r="B73" s="14">
        <f>IFERROR(B64+B65+B66+B67+B68+B69+B70+B71+B72, "NA")</f>
        <v>10931.36</v>
      </c>
      <c r="C73" s="15">
        <f>IFERROR(B73/B444, "NA")</f>
        <v>8.341673969492655E-2</v>
      </c>
      <c r="D73" s="2"/>
      <c r="E73" s="14">
        <f>IFERROR(E64+E65+E66+E67+E68+E69+E70+E71+E72, "NA")</f>
        <v>12368.62</v>
      </c>
      <c r="F73" s="15">
        <f>IFERROR(E73/E444, "NA")</f>
        <v>8.700000977716299E-2</v>
      </c>
      <c r="G73" s="2"/>
      <c r="H73" s="14">
        <f t="shared" si="16"/>
        <v>-1437.2600000000002</v>
      </c>
      <c r="I73" s="15">
        <f>IFERROR(H73/H444, "NA")</f>
        <v>0.12921665001928467</v>
      </c>
      <c r="J73" s="2"/>
      <c r="K73" s="14">
        <f>IFERROR(K64+K65+K66+K67+K68+K69+K70+K71+K72, "NA")</f>
        <v>17086.97</v>
      </c>
      <c r="L73" s="15">
        <f>IFERROR(K73/K444, "NA")</f>
        <v>0.12418482443809303</v>
      </c>
      <c r="M73" s="2"/>
      <c r="N73" s="14">
        <f t="shared" si="17"/>
        <v>-6155.6100000000006</v>
      </c>
      <c r="O73" s="15">
        <f>IFERROR(N73/N444, "NA")</f>
        <v>0.94008918890025905</v>
      </c>
      <c r="P73" s="2"/>
      <c r="Q73" s="14">
        <f>IFERROR(Q64+Q65+Q66+Q67+Q68+Q69+Q70+Q71+Q72, "NA")</f>
        <v>10931.36</v>
      </c>
      <c r="R73" s="15">
        <f>IFERROR(Q73/Q444, "NA")</f>
        <v>8.341673969492655E-2</v>
      </c>
      <c r="S73" s="2"/>
      <c r="T73" s="14">
        <f>IFERROR(T64+T65+T66+T67+T68+T69+T70+T71+T72, "NA")</f>
        <v>12368.62</v>
      </c>
      <c r="U73" s="15">
        <f>IFERROR(T73/T444, "NA")</f>
        <v>8.700000977716299E-2</v>
      </c>
      <c r="V73" s="2"/>
      <c r="W73" s="14">
        <f t="shared" si="18"/>
        <v>-1437.2600000000002</v>
      </c>
      <c r="X73" s="15">
        <f>IFERROR(W73/W444, "NA")</f>
        <v>0.12921665001928467</v>
      </c>
      <c r="Y73" s="2"/>
      <c r="Z73" s="14">
        <f>IFERROR(Z64+Z65+Z66+Z67+Z68+Z69+Z70+Z71+Z72, "NA")</f>
        <v>17086.97</v>
      </c>
      <c r="AA73" s="15">
        <f>IFERROR(Z73/Z444, "NA")</f>
        <v>0.12418482443809303</v>
      </c>
      <c r="AB73" s="2"/>
      <c r="AC73" s="14">
        <f t="shared" si="19"/>
        <v>-6155.6100000000006</v>
      </c>
      <c r="AD73" s="15">
        <f>IFERROR(AC73/AC444, "NA")</f>
        <v>0.94008918890025905</v>
      </c>
    </row>
    <row r="74" spans="1:30" ht="16.5" customHeight="1" x14ac:dyDescent="0.45">
      <c r="A74" s="11" t="s">
        <v>71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45">
      <c r="A75" s="12" t="s">
        <v>71</v>
      </c>
      <c r="B75" s="7">
        <v>0</v>
      </c>
      <c r="C75" s="8">
        <f>IFERROR(B75/B444, "NA")</f>
        <v>0</v>
      </c>
      <c r="D75" s="9"/>
      <c r="E75" s="7">
        <v>3980.7</v>
      </c>
      <c r="F75" s="8">
        <f>IFERROR(E75/E444, "NA")</f>
        <v>2.799996595577782E-2</v>
      </c>
      <c r="G75" s="9"/>
      <c r="H75" s="10">
        <f t="shared" ref="H75:H92" si="20">IFERROR(B75-E75, "NA")</f>
        <v>-3980.7</v>
      </c>
      <c r="I75" s="8">
        <f>IFERROR(H75/H444, "NA")</f>
        <v>0.35788425109706412</v>
      </c>
      <c r="J75" s="9"/>
      <c r="K75" s="7">
        <v>0</v>
      </c>
      <c r="L75" s="8">
        <f>IFERROR(K75/K444, "NA")</f>
        <v>0</v>
      </c>
      <c r="M75" s="9"/>
      <c r="N75" s="10">
        <f t="shared" ref="N75:N92" si="21">IFERROR(B75-K75, "NA")</f>
        <v>0</v>
      </c>
      <c r="O75" s="8">
        <f>IFERROR(N75/N444, "NA")</f>
        <v>0</v>
      </c>
      <c r="P75" s="9"/>
      <c r="Q75" s="7">
        <v>0</v>
      </c>
      <c r="R75" s="8">
        <f>IFERROR(Q75/Q444, "NA")</f>
        <v>0</v>
      </c>
      <c r="S75" s="9"/>
      <c r="T75" s="7">
        <v>3980.7</v>
      </c>
      <c r="U75" s="8">
        <f>IFERROR(T75/T444, "NA")</f>
        <v>2.799996595577782E-2</v>
      </c>
      <c r="V75" s="9"/>
      <c r="W75" s="10">
        <f t="shared" ref="W75:W92" si="22">IFERROR(Q75-T75, "NA")</f>
        <v>-3980.7</v>
      </c>
      <c r="X75" s="8">
        <f>IFERROR(W75/W444, "NA")</f>
        <v>0.35788425109706412</v>
      </c>
      <c r="Y75" s="9"/>
      <c r="Z75" s="7">
        <v>0</v>
      </c>
      <c r="AA75" s="8">
        <f>IFERROR(Z75/Z444, "NA")</f>
        <v>0</v>
      </c>
      <c r="AB75" s="9"/>
      <c r="AC75" s="10">
        <f t="shared" ref="AC75:AC92" si="23">IFERROR(Q75-Z75, "NA")</f>
        <v>0</v>
      </c>
      <c r="AD75" s="8">
        <f>IFERROR(AC75/AC444, "NA")</f>
        <v>0</v>
      </c>
    </row>
    <row r="76" spans="1:30" ht="16.5" hidden="1" customHeight="1" x14ac:dyDescent="0.45">
      <c r="A76" s="12" t="s">
        <v>72</v>
      </c>
      <c r="B76" s="7">
        <v>0</v>
      </c>
      <c r="C76" s="8">
        <f>IFERROR(B76/B444, "NA")</f>
        <v>0</v>
      </c>
      <c r="D76" s="9"/>
      <c r="E76" s="7">
        <v>0</v>
      </c>
      <c r="F76" s="8">
        <f>IFERROR(E76/E444, "NA")</f>
        <v>0</v>
      </c>
      <c r="G76" s="9"/>
      <c r="H76" s="10">
        <f t="shared" si="20"/>
        <v>0</v>
      </c>
      <c r="I76" s="8">
        <f>IFERROR(H76/H444, "NA")</f>
        <v>0</v>
      </c>
      <c r="J76" s="9"/>
      <c r="K76" s="7">
        <v>0</v>
      </c>
      <c r="L76" s="8">
        <f>IFERROR(K76/K444, "NA")</f>
        <v>0</v>
      </c>
      <c r="M76" s="9"/>
      <c r="N76" s="10">
        <f t="shared" si="21"/>
        <v>0</v>
      </c>
      <c r="O76" s="8">
        <f>IFERROR(N76/N444, "NA")</f>
        <v>0</v>
      </c>
      <c r="P76" s="9"/>
      <c r="Q76" s="7">
        <v>0</v>
      </c>
      <c r="R76" s="8">
        <f>IFERROR(Q76/Q444, "NA")</f>
        <v>0</v>
      </c>
      <c r="S76" s="9"/>
      <c r="T76" s="7">
        <v>0</v>
      </c>
      <c r="U76" s="8">
        <f>IFERROR(T76/T444, "NA")</f>
        <v>0</v>
      </c>
      <c r="V76" s="9"/>
      <c r="W76" s="10">
        <f t="shared" si="22"/>
        <v>0</v>
      </c>
      <c r="X76" s="8">
        <f>IFERROR(W76/W444, "NA")</f>
        <v>0</v>
      </c>
      <c r="Y76" s="9"/>
      <c r="Z76" s="7">
        <v>0</v>
      </c>
      <c r="AA76" s="8">
        <f>IFERROR(Z76/Z444, "NA")</f>
        <v>0</v>
      </c>
      <c r="AB76" s="9"/>
      <c r="AC76" s="10">
        <f t="shared" si="23"/>
        <v>0</v>
      </c>
      <c r="AD76" s="8">
        <f>IFERROR(AC76/AC444, "NA")</f>
        <v>0</v>
      </c>
    </row>
    <row r="77" spans="1:30" ht="16.5" customHeight="1" x14ac:dyDescent="0.45">
      <c r="A77" s="12" t="s">
        <v>73</v>
      </c>
      <c r="B77" s="7">
        <v>262.83999999999997</v>
      </c>
      <c r="C77" s="8">
        <f>IFERROR(B77/B444, "NA")</f>
        <v>2.0057207759523509E-3</v>
      </c>
      <c r="D77" s="9"/>
      <c r="E77" s="7">
        <v>0</v>
      </c>
      <c r="F77" s="8">
        <f>IFERROR(E77/E444, "NA")</f>
        <v>0</v>
      </c>
      <c r="G77" s="9"/>
      <c r="H77" s="10">
        <f t="shared" si="20"/>
        <v>262.83999999999997</v>
      </c>
      <c r="I77" s="8">
        <f>IFERROR(H77/H444, "NA")</f>
        <v>-2.363059174475653E-2</v>
      </c>
      <c r="J77" s="9"/>
      <c r="K77" s="7">
        <v>689.75</v>
      </c>
      <c r="L77" s="8">
        <f>IFERROR(K77/K444, "NA")</f>
        <v>5.0129708576871542E-3</v>
      </c>
      <c r="M77" s="9"/>
      <c r="N77" s="10">
        <f t="shared" si="21"/>
        <v>-426.91</v>
      </c>
      <c r="O77" s="8">
        <f>IFERROR(N77/N444, "NA")</f>
        <v>6.5198002412987427E-2</v>
      </c>
      <c r="P77" s="9"/>
      <c r="Q77" s="7">
        <v>262.83999999999997</v>
      </c>
      <c r="R77" s="8">
        <f>IFERROR(Q77/Q444, "NA")</f>
        <v>2.0057207759523509E-3</v>
      </c>
      <c r="S77" s="9"/>
      <c r="T77" s="7">
        <v>0</v>
      </c>
      <c r="U77" s="8">
        <f>IFERROR(T77/T444, "NA")</f>
        <v>0</v>
      </c>
      <c r="V77" s="9"/>
      <c r="W77" s="10">
        <f t="shared" si="22"/>
        <v>262.83999999999997</v>
      </c>
      <c r="X77" s="8">
        <f>IFERROR(W77/W444, "NA")</f>
        <v>-2.363059174475653E-2</v>
      </c>
      <c r="Y77" s="9"/>
      <c r="Z77" s="7">
        <v>689.75</v>
      </c>
      <c r="AA77" s="8">
        <f>IFERROR(Z77/Z444, "NA")</f>
        <v>5.0129708576871542E-3</v>
      </c>
      <c r="AB77" s="9"/>
      <c r="AC77" s="10">
        <f t="shared" si="23"/>
        <v>-426.91</v>
      </c>
      <c r="AD77" s="8">
        <f>IFERROR(AC77/AC444, "NA")</f>
        <v>6.5198002412987427E-2</v>
      </c>
    </row>
    <row r="78" spans="1:30" ht="16.5" hidden="1" customHeight="1" x14ac:dyDescent="0.45">
      <c r="A78" s="12" t="s">
        <v>74</v>
      </c>
      <c r="B78" s="7">
        <v>0</v>
      </c>
      <c r="C78" s="8">
        <f>IFERROR(B78/B444, "NA")</f>
        <v>0</v>
      </c>
      <c r="D78" s="9"/>
      <c r="E78" s="7">
        <v>0</v>
      </c>
      <c r="F78" s="8">
        <f>IFERROR(E78/E444, "NA")</f>
        <v>0</v>
      </c>
      <c r="G78" s="9"/>
      <c r="H78" s="10">
        <f t="shared" si="20"/>
        <v>0</v>
      </c>
      <c r="I78" s="8">
        <f>IFERROR(H78/H444, "NA")</f>
        <v>0</v>
      </c>
      <c r="J78" s="9"/>
      <c r="K78" s="7">
        <v>0</v>
      </c>
      <c r="L78" s="8">
        <f>IFERROR(K78/K444, "NA")</f>
        <v>0</v>
      </c>
      <c r="M78" s="9"/>
      <c r="N78" s="10">
        <f t="shared" si="21"/>
        <v>0</v>
      </c>
      <c r="O78" s="8">
        <f>IFERROR(N78/N444, "NA")</f>
        <v>0</v>
      </c>
      <c r="P78" s="9"/>
      <c r="Q78" s="7">
        <v>0</v>
      </c>
      <c r="R78" s="8">
        <f>IFERROR(Q78/Q444, "NA")</f>
        <v>0</v>
      </c>
      <c r="S78" s="9"/>
      <c r="T78" s="7">
        <v>0</v>
      </c>
      <c r="U78" s="8">
        <f>IFERROR(T78/T444, "NA")</f>
        <v>0</v>
      </c>
      <c r="V78" s="9"/>
      <c r="W78" s="10">
        <f t="shared" si="22"/>
        <v>0</v>
      </c>
      <c r="X78" s="8">
        <f>IFERROR(W78/W444, "NA")</f>
        <v>0</v>
      </c>
      <c r="Y78" s="9"/>
      <c r="Z78" s="7">
        <v>0</v>
      </c>
      <c r="AA78" s="8">
        <f>IFERROR(Z78/Z444, "NA")</f>
        <v>0</v>
      </c>
      <c r="AB78" s="9"/>
      <c r="AC78" s="10">
        <f t="shared" si="23"/>
        <v>0</v>
      </c>
      <c r="AD78" s="8">
        <f>IFERROR(AC78/AC444, "NA")</f>
        <v>0</v>
      </c>
    </row>
    <row r="79" spans="1:30" ht="16.5" customHeight="1" x14ac:dyDescent="0.45">
      <c r="A79" s="12" t="s">
        <v>75</v>
      </c>
      <c r="B79" s="7">
        <v>5.98</v>
      </c>
      <c r="C79" s="8">
        <f>IFERROR(B79/B444, "NA")</f>
        <v>4.5633123726202482E-5</v>
      </c>
      <c r="D79" s="9"/>
      <c r="E79" s="7">
        <v>0</v>
      </c>
      <c r="F79" s="8">
        <f>IFERROR(E79/E444, "NA")</f>
        <v>0</v>
      </c>
      <c r="G79" s="9"/>
      <c r="H79" s="10">
        <f t="shared" si="20"/>
        <v>5.98</v>
      </c>
      <c r="I79" s="8">
        <f>IFERROR(H79/H444, "NA")</f>
        <v>-5.3763102508615158E-4</v>
      </c>
      <c r="J79" s="9"/>
      <c r="K79" s="7">
        <v>0</v>
      </c>
      <c r="L79" s="8">
        <f>IFERROR(K79/K444, "NA")</f>
        <v>0</v>
      </c>
      <c r="M79" s="9"/>
      <c r="N79" s="10">
        <f t="shared" si="21"/>
        <v>5.98</v>
      </c>
      <c r="O79" s="8">
        <f>IFERROR(N79/N444, "NA")</f>
        <v>-9.1326990332778538E-4</v>
      </c>
      <c r="P79" s="9"/>
      <c r="Q79" s="7">
        <v>5.98</v>
      </c>
      <c r="R79" s="8">
        <f>IFERROR(Q79/Q444, "NA")</f>
        <v>4.5633123726202482E-5</v>
      </c>
      <c r="S79" s="9"/>
      <c r="T79" s="7">
        <v>0</v>
      </c>
      <c r="U79" s="8">
        <f>IFERROR(T79/T444, "NA")</f>
        <v>0</v>
      </c>
      <c r="V79" s="9"/>
      <c r="W79" s="10">
        <f t="shared" si="22"/>
        <v>5.98</v>
      </c>
      <c r="X79" s="8">
        <f>IFERROR(W79/W444, "NA")</f>
        <v>-5.3763102508615158E-4</v>
      </c>
      <c r="Y79" s="9"/>
      <c r="Z79" s="7">
        <v>0</v>
      </c>
      <c r="AA79" s="8">
        <f>IFERROR(Z79/Z444, "NA")</f>
        <v>0</v>
      </c>
      <c r="AB79" s="9"/>
      <c r="AC79" s="10">
        <f t="shared" si="23"/>
        <v>5.98</v>
      </c>
      <c r="AD79" s="8">
        <f>IFERROR(AC79/AC444, "NA")</f>
        <v>-9.1326990332778538E-4</v>
      </c>
    </row>
    <row r="80" spans="1:30" ht="16.5" customHeight="1" x14ac:dyDescent="0.45">
      <c r="A80" s="12" t="s">
        <v>76</v>
      </c>
      <c r="B80" s="7">
        <v>2364.4899999999998</v>
      </c>
      <c r="C80" s="8">
        <f>IFERROR(B80/B444, "NA")</f>
        <v>1.8043321859426167E-2</v>
      </c>
      <c r="D80" s="9"/>
      <c r="E80" s="7">
        <v>0</v>
      </c>
      <c r="F80" s="8">
        <f>IFERROR(E80/E444, "NA")</f>
        <v>0</v>
      </c>
      <c r="G80" s="9"/>
      <c r="H80" s="10">
        <f t="shared" si="20"/>
        <v>2364.4899999999998</v>
      </c>
      <c r="I80" s="8">
        <f>IFERROR(H80/H444, "NA")</f>
        <v>-0.21257912750935692</v>
      </c>
      <c r="J80" s="9"/>
      <c r="K80" s="7">
        <v>3166.17</v>
      </c>
      <c r="L80" s="8">
        <f>IFERROR(K80/K444, "NA")</f>
        <v>2.3011116985115383E-2</v>
      </c>
      <c r="M80" s="9"/>
      <c r="N80" s="10">
        <f t="shared" si="21"/>
        <v>-801.68000000000029</v>
      </c>
      <c r="O80" s="8">
        <f>IFERROR(N80/N444, "NA")</f>
        <v>0.12243314650498649</v>
      </c>
      <c r="P80" s="9"/>
      <c r="Q80" s="7">
        <v>2364.4899999999998</v>
      </c>
      <c r="R80" s="8">
        <f>IFERROR(Q80/Q444, "NA")</f>
        <v>1.8043321859426167E-2</v>
      </c>
      <c r="S80" s="9"/>
      <c r="T80" s="7">
        <v>0</v>
      </c>
      <c r="U80" s="8">
        <f>IFERROR(T80/T444, "NA")</f>
        <v>0</v>
      </c>
      <c r="V80" s="9"/>
      <c r="W80" s="10">
        <f t="shared" si="22"/>
        <v>2364.4899999999998</v>
      </c>
      <c r="X80" s="8">
        <f>IFERROR(W80/W444, "NA")</f>
        <v>-0.21257912750935692</v>
      </c>
      <c r="Y80" s="9"/>
      <c r="Z80" s="7">
        <v>3166.17</v>
      </c>
      <c r="AA80" s="8">
        <f>IFERROR(Z80/Z444, "NA")</f>
        <v>2.3011116985115383E-2</v>
      </c>
      <c r="AB80" s="9"/>
      <c r="AC80" s="10">
        <f t="shared" si="23"/>
        <v>-801.68000000000029</v>
      </c>
      <c r="AD80" s="8">
        <f>IFERROR(AC80/AC444, "NA")</f>
        <v>0.12243314650498649</v>
      </c>
    </row>
    <row r="81" spans="1:30" ht="16.5" hidden="1" customHeight="1" x14ac:dyDescent="0.45">
      <c r="A81" s="12" t="s">
        <v>77</v>
      </c>
      <c r="B81" s="7">
        <v>0</v>
      </c>
      <c r="C81" s="8">
        <f>IFERROR(B81/B444, "NA")</f>
        <v>0</v>
      </c>
      <c r="D81" s="9"/>
      <c r="E81" s="7">
        <v>0</v>
      </c>
      <c r="F81" s="8">
        <f>IFERROR(E81/E444, "NA")</f>
        <v>0</v>
      </c>
      <c r="G81" s="9"/>
      <c r="H81" s="10">
        <f t="shared" si="20"/>
        <v>0</v>
      </c>
      <c r="I81" s="8">
        <f>IFERROR(H81/H444, "NA")</f>
        <v>0</v>
      </c>
      <c r="J81" s="9"/>
      <c r="K81" s="7">
        <v>0</v>
      </c>
      <c r="L81" s="8">
        <f>IFERROR(K81/K444, "NA")</f>
        <v>0</v>
      </c>
      <c r="M81" s="9"/>
      <c r="N81" s="10">
        <f t="shared" si="21"/>
        <v>0</v>
      </c>
      <c r="O81" s="8">
        <f>IFERROR(N81/N444, "NA")</f>
        <v>0</v>
      </c>
      <c r="P81" s="9"/>
      <c r="Q81" s="7">
        <v>0</v>
      </c>
      <c r="R81" s="8">
        <f>IFERROR(Q81/Q444, "NA")</f>
        <v>0</v>
      </c>
      <c r="S81" s="9"/>
      <c r="T81" s="7">
        <v>0</v>
      </c>
      <c r="U81" s="8">
        <f>IFERROR(T81/T444, "NA")</f>
        <v>0</v>
      </c>
      <c r="V81" s="9"/>
      <c r="W81" s="10">
        <f t="shared" si="22"/>
        <v>0</v>
      </c>
      <c r="X81" s="8">
        <f>IFERROR(W81/W444, "NA")</f>
        <v>0</v>
      </c>
      <c r="Y81" s="9"/>
      <c r="Z81" s="7">
        <v>0</v>
      </c>
      <c r="AA81" s="8">
        <f>IFERROR(Z81/Z444, "NA")</f>
        <v>0</v>
      </c>
      <c r="AB81" s="9"/>
      <c r="AC81" s="10">
        <f t="shared" si="23"/>
        <v>0</v>
      </c>
      <c r="AD81" s="8">
        <f>IFERROR(AC81/AC444, "NA")</f>
        <v>0</v>
      </c>
    </row>
    <row r="82" spans="1:30" ht="16.5" hidden="1" customHeight="1" x14ac:dyDescent="0.45">
      <c r="A82" s="12" t="s">
        <v>78</v>
      </c>
      <c r="B82" s="7">
        <v>0</v>
      </c>
      <c r="C82" s="8">
        <f>IFERROR(B82/B444, "NA")</f>
        <v>0</v>
      </c>
      <c r="D82" s="9"/>
      <c r="E82" s="7">
        <v>0</v>
      </c>
      <c r="F82" s="8">
        <f>IFERROR(E82/E444, "NA")</f>
        <v>0</v>
      </c>
      <c r="G82" s="9"/>
      <c r="H82" s="10">
        <f t="shared" si="20"/>
        <v>0</v>
      </c>
      <c r="I82" s="8">
        <f>IFERROR(H82/H444, "NA")</f>
        <v>0</v>
      </c>
      <c r="J82" s="9"/>
      <c r="K82" s="7">
        <v>0</v>
      </c>
      <c r="L82" s="8">
        <f>IFERROR(K82/K444, "NA")</f>
        <v>0</v>
      </c>
      <c r="M82" s="9"/>
      <c r="N82" s="10">
        <f t="shared" si="21"/>
        <v>0</v>
      </c>
      <c r="O82" s="8">
        <f>IFERROR(N82/N444, "NA")</f>
        <v>0</v>
      </c>
      <c r="P82" s="9"/>
      <c r="Q82" s="7">
        <v>0</v>
      </c>
      <c r="R82" s="8">
        <f>IFERROR(Q82/Q444, "NA")</f>
        <v>0</v>
      </c>
      <c r="S82" s="9"/>
      <c r="T82" s="7">
        <v>0</v>
      </c>
      <c r="U82" s="8">
        <f>IFERROR(T82/T444, "NA")</f>
        <v>0</v>
      </c>
      <c r="V82" s="9"/>
      <c r="W82" s="10">
        <f t="shared" si="22"/>
        <v>0</v>
      </c>
      <c r="X82" s="8">
        <f>IFERROR(W82/W444, "NA")</f>
        <v>0</v>
      </c>
      <c r="Y82" s="9"/>
      <c r="Z82" s="7">
        <v>0</v>
      </c>
      <c r="AA82" s="8">
        <f>IFERROR(Z82/Z444, "NA")</f>
        <v>0</v>
      </c>
      <c r="AB82" s="9"/>
      <c r="AC82" s="10">
        <f t="shared" si="23"/>
        <v>0</v>
      </c>
      <c r="AD82" s="8">
        <f>IFERROR(AC82/AC444, "NA")</f>
        <v>0</v>
      </c>
    </row>
    <row r="83" spans="1:30" ht="16.5" hidden="1" customHeight="1" x14ac:dyDescent="0.45">
      <c r="A83" s="12" t="s">
        <v>79</v>
      </c>
      <c r="B83" s="7">
        <v>0</v>
      </c>
      <c r="C83" s="8">
        <f>IFERROR(B83/B444, "NA")</f>
        <v>0</v>
      </c>
      <c r="D83" s="9"/>
      <c r="E83" s="7">
        <v>0</v>
      </c>
      <c r="F83" s="8">
        <f>IFERROR(E83/E444, "NA")</f>
        <v>0</v>
      </c>
      <c r="G83" s="9"/>
      <c r="H83" s="10">
        <f t="shared" si="20"/>
        <v>0</v>
      </c>
      <c r="I83" s="8">
        <f>IFERROR(H83/H444, "NA")</f>
        <v>0</v>
      </c>
      <c r="J83" s="9"/>
      <c r="K83" s="7">
        <v>0</v>
      </c>
      <c r="L83" s="8">
        <f>IFERROR(K83/K444, "NA")</f>
        <v>0</v>
      </c>
      <c r="M83" s="9"/>
      <c r="N83" s="10">
        <f t="shared" si="21"/>
        <v>0</v>
      </c>
      <c r="O83" s="8">
        <f>IFERROR(N83/N444, "NA")</f>
        <v>0</v>
      </c>
      <c r="P83" s="9"/>
      <c r="Q83" s="7">
        <v>0</v>
      </c>
      <c r="R83" s="8">
        <f>IFERROR(Q83/Q444, "NA")</f>
        <v>0</v>
      </c>
      <c r="S83" s="9"/>
      <c r="T83" s="7">
        <v>0</v>
      </c>
      <c r="U83" s="8">
        <f>IFERROR(T83/T444, "NA")</f>
        <v>0</v>
      </c>
      <c r="V83" s="9"/>
      <c r="W83" s="10">
        <f t="shared" si="22"/>
        <v>0</v>
      </c>
      <c r="X83" s="8">
        <f>IFERROR(W83/W444, "NA")</f>
        <v>0</v>
      </c>
      <c r="Y83" s="9"/>
      <c r="Z83" s="7">
        <v>0</v>
      </c>
      <c r="AA83" s="8">
        <f>IFERROR(Z83/Z444, "NA")</f>
        <v>0</v>
      </c>
      <c r="AB83" s="9"/>
      <c r="AC83" s="10">
        <f t="shared" si="23"/>
        <v>0</v>
      </c>
      <c r="AD83" s="8">
        <f>IFERROR(AC83/AC444, "NA")</f>
        <v>0</v>
      </c>
    </row>
    <row r="84" spans="1:30" ht="16.5" hidden="1" customHeight="1" x14ac:dyDescent="0.45">
      <c r="A84" s="12" t="s">
        <v>80</v>
      </c>
      <c r="B84" s="7">
        <v>0</v>
      </c>
      <c r="C84" s="8">
        <f>IFERROR(B84/B444, "NA")</f>
        <v>0</v>
      </c>
      <c r="D84" s="9"/>
      <c r="E84" s="7">
        <v>0</v>
      </c>
      <c r="F84" s="8">
        <f>IFERROR(E84/E444, "NA")</f>
        <v>0</v>
      </c>
      <c r="G84" s="9"/>
      <c r="H84" s="10">
        <f t="shared" si="20"/>
        <v>0</v>
      </c>
      <c r="I84" s="8">
        <f>IFERROR(H84/H444, "NA")</f>
        <v>0</v>
      </c>
      <c r="J84" s="9"/>
      <c r="K84" s="7">
        <v>0</v>
      </c>
      <c r="L84" s="8">
        <f>IFERROR(K84/K444, "NA")</f>
        <v>0</v>
      </c>
      <c r="M84" s="9"/>
      <c r="N84" s="10">
        <f t="shared" si="21"/>
        <v>0</v>
      </c>
      <c r="O84" s="8">
        <f>IFERROR(N84/N444, "NA")</f>
        <v>0</v>
      </c>
      <c r="P84" s="9"/>
      <c r="Q84" s="7">
        <v>0</v>
      </c>
      <c r="R84" s="8">
        <f>IFERROR(Q84/Q444, "NA")</f>
        <v>0</v>
      </c>
      <c r="S84" s="9"/>
      <c r="T84" s="7">
        <v>0</v>
      </c>
      <c r="U84" s="8">
        <f>IFERROR(T84/T444, "NA")</f>
        <v>0</v>
      </c>
      <c r="V84" s="9"/>
      <c r="W84" s="10">
        <f t="shared" si="22"/>
        <v>0</v>
      </c>
      <c r="X84" s="8">
        <f>IFERROR(W84/W444, "NA")</f>
        <v>0</v>
      </c>
      <c r="Y84" s="9"/>
      <c r="Z84" s="7">
        <v>0</v>
      </c>
      <c r="AA84" s="8">
        <f>IFERROR(Z84/Z444, "NA")</f>
        <v>0</v>
      </c>
      <c r="AB84" s="9"/>
      <c r="AC84" s="10">
        <f t="shared" si="23"/>
        <v>0</v>
      </c>
      <c r="AD84" s="8">
        <f>IFERROR(AC84/AC444, "NA")</f>
        <v>0</v>
      </c>
    </row>
    <row r="85" spans="1:30" ht="16.5" hidden="1" customHeight="1" x14ac:dyDescent="0.45">
      <c r="A85" s="12" t="s">
        <v>81</v>
      </c>
      <c r="B85" s="7">
        <v>0</v>
      </c>
      <c r="C85" s="8">
        <f>IFERROR(B85/B444, "NA")</f>
        <v>0</v>
      </c>
      <c r="D85" s="9"/>
      <c r="E85" s="7">
        <v>0</v>
      </c>
      <c r="F85" s="8">
        <f>IFERROR(E85/E444, "NA")</f>
        <v>0</v>
      </c>
      <c r="G85" s="9"/>
      <c r="H85" s="10">
        <f t="shared" si="20"/>
        <v>0</v>
      </c>
      <c r="I85" s="8">
        <f>IFERROR(H85/H444, "NA")</f>
        <v>0</v>
      </c>
      <c r="J85" s="9"/>
      <c r="K85" s="7">
        <v>0</v>
      </c>
      <c r="L85" s="8">
        <f>IFERROR(K85/K444, "NA")</f>
        <v>0</v>
      </c>
      <c r="M85" s="9"/>
      <c r="N85" s="10">
        <f t="shared" si="21"/>
        <v>0</v>
      </c>
      <c r="O85" s="8">
        <f>IFERROR(N85/N444, "NA")</f>
        <v>0</v>
      </c>
      <c r="P85" s="9"/>
      <c r="Q85" s="7">
        <v>0</v>
      </c>
      <c r="R85" s="8">
        <f>IFERROR(Q85/Q444, "NA")</f>
        <v>0</v>
      </c>
      <c r="S85" s="9"/>
      <c r="T85" s="7">
        <v>0</v>
      </c>
      <c r="U85" s="8">
        <f>IFERROR(T85/T444, "NA")</f>
        <v>0</v>
      </c>
      <c r="V85" s="9"/>
      <c r="W85" s="10">
        <f t="shared" si="22"/>
        <v>0</v>
      </c>
      <c r="X85" s="8">
        <f>IFERROR(W85/W444, "NA")</f>
        <v>0</v>
      </c>
      <c r="Y85" s="9"/>
      <c r="Z85" s="7">
        <v>0</v>
      </c>
      <c r="AA85" s="8">
        <f>IFERROR(Z85/Z444, "NA")</f>
        <v>0</v>
      </c>
      <c r="AB85" s="9"/>
      <c r="AC85" s="10">
        <f t="shared" si="23"/>
        <v>0</v>
      </c>
      <c r="AD85" s="8">
        <f>IFERROR(AC85/AC444, "NA")</f>
        <v>0</v>
      </c>
    </row>
    <row r="86" spans="1:30" ht="16.5" hidden="1" customHeight="1" x14ac:dyDescent="0.45">
      <c r="A86" s="12" t="s">
        <v>82</v>
      </c>
      <c r="B86" s="7">
        <v>0</v>
      </c>
      <c r="C86" s="8">
        <f>IFERROR(B86/B444, "NA")</f>
        <v>0</v>
      </c>
      <c r="D86" s="9"/>
      <c r="E86" s="7">
        <v>0</v>
      </c>
      <c r="F86" s="8">
        <f>IFERROR(E86/E444, "NA")</f>
        <v>0</v>
      </c>
      <c r="G86" s="9"/>
      <c r="H86" s="10">
        <f t="shared" si="20"/>
        <v>0</v>
      </c>
      <c r="I86" s="8">
        <f>IFERROR(H86/H444, "NA")</f>
        <v>0</v>
      </c>
      <c r="J86" s="9"/>
      <c r="K86" s="7">
        <v>0</v>
      </c>
      <c r="L86" s="8">
        <f>IFERROR(K86/K444, "NA")</f>
        <v>0</v>
      </c>
      <c r="M86" s="9"/>
      <c r="N86" s="10">
        <f t="shared" si="21"/>
        <v>0</v>
      </c>
      <c r="O86" s="8">
        <f>IFERROR(N86/N444, "NA")</f>
        <v>0</v>
      </c>
      <c r="P86" s="9"/>
      <c r="Q86" s="7">
        <v>0</v>
      </c>
      <c r="R86" s="8">
        <f>IFERROR(Q86/Q444, "NA")</f>
        <v>0</v>
      </c>
      <c r="S86" s="9"/>
      <c r="T86" s="7">
        <v>0</v>
      </c>
      <c r="U86" s="8">
        <f>IFERROR(T86/T444, "NA")</f>
        <v>0</v>
      </c>
      <c r="V86" s="9"/>
      <c r="W86" s="10">
        <f t="shared" si="22"/>
        <v>0</v>
      </c>
      <c r="X86" s="8">
        <f>IFERROR(W86/W444, "NA")</f>
        <v>0</v>
      </c>
      <c r="Y86" s="9"/>
      <c r="Z86" s="7">
        <v>0</v>
      </c>
      <c r="AA86" s="8">
        <f>IFERROR(Z86/Z444, "NA")</f>
        <v>0</v>
      </c>
      <c r="AB86" s="9"/>
      <c r="AC86" s="10">
        <f t="shared" si="23"/>
        <v>0</v>
      </c>
      <c r="AD86" s="8">
        <f>IFERROR(AC86/AC444, "NA")</f>
        <v>0</v>
      </c>
    </row>
    <row r="87" spans="1:30" ht="16.5" customHeight="1" x14ac:dyDescent="0.45">
      <c r="A87" s="12" t="s">
        <v>83</v>
      </c>
      <c r="B87" s="7">
        <v>0</v>
      </c>
      <c r="C87" s="8">
        <f>IFERROR(B87/B444, "NA")</f>
        <v>0</v>
      </c>
      <c r="D87" s="9"/>
      <c r="E87" s="7">
        <v>0</v>
      </c>
      <c r="F87" s="8">
        <f>IFERROR(E87/E444, "NA")</f>
        <v>0</v>
      </c>
      <c r="G87" s="9"/>
      <c r="H87" s="10">
        <f t="shared" si="20"/>
        <v>0</v>
      </c>
      <c r="I87" s="8">
        <f>IFERROR(H87/H444, "NA")</f>
        <v>0</v>
      </c>
      <c r="J87" s="9"/>
      <c r="K87" s="7">
        <v>988.28</v>
      </c>
      <c r="L87" s="8">
        <f>IFERROR(K87/K444, "NA")</f>
        <v>7.1826297053063579E-3</v>
      </c>
      <c r="M87" s="9"/>
      <c r="N87" s="10">
        <f t="shared" si="21"/>
        <v>-988.28</v>
      </c>
      <c r="O87" s="8">
        <f>IFERROR(N87/N444, "NA")</f>
        <v>0.15093083278608421</v>
      </c>
      <c r="P87" s="9"/>
      <c r="Q87" s="7">
        <v>0</v>
      </c>
      <c r="R87" s="8">
        <f>IFERROR(Q87/Q444, "NA")</f>
        <v>0</v>
      </c>
      <c r="S87" s="9"/>
      <c r="T87" s="7">
        <v>0</v>
      </c>
      <c r="U87" s="8">
        <f>IFERROR(T87/T444, "NA")</f>
        <v>0</v>
      </c>
      <c r="V87" s="9"/>
      <c r="W87" s="10">
        <f t="shared" si="22"/>
        <v>0</v>
      </c>
      <c r="X87" s="8">
        <f>IFERROR(W87/W444, "NA")</f>
        <v>0</v>
      </c>
      <c r="Y87" s="9"/>
      <c r="Z87" s="7">
        <v>988.28</v>
      </c>
      <c r="AA87" s="8">
        <f>IFERROR(Z87/Z444, "NA")</f>
        <v>7.1826297053063579E-3</v>
      </c>
      <c r="AB87" s="9"/>
      <c r="AC87" s="10">
        <f t="shared" si="23"/>
        <v>-988.28</v>
      </c>
      <c r="AD87" s="8">
        <f>IFERROR(AC87/AC444, "NA")</f>
        <v>0.15093083278608421</v>
      </c>
    </row>
    <row r="88" spans="1:30" ht="16.5" customHeight="1" x14ac:dyDescent="0.45">
      <c r="A88" s="13" t="s">
        <v>84</v>
      </c>
      <c r="B88" s="14">
        <f>IFERROR(B75+B76+B77+B78+B79+B80+B81+B82+B83+B84+B85+B86+B87, "NA")</f>
        <v>2633.31</v>
      </c>
      <c r="C88" s="15">
        <f>IFERROR(B88/B444, "NA")</f>
        <v>2.0094675759104723E-2</v>
      </c>
      <c r="D88" s="2"/>
      <c r="E88" s="14">
        <f>IFERROR(E75+E76+E77+E78+E79+E80+E81+E82+E83+E84+E85+E86+E87, "NA")</f>
        <v>3980.7</v>
      </c>
      <c r="F88" s="15">
        <f>IFERROR(E88/E444, "NA")</f>
        <v>2.799996595577782E-2</v>
      </c>
      <c r="G88" s="2"/>
      <c r="H88" s="14">
        <f t="shared" si="20"/>
        <v>-1347.3899999999999</v>
      </c>
      <c r="I88" s="15">
        <f>IFERROR(H88/H444, "NA")</f>
        <v>0.12113690081786449</v>
      </c>
      <c r="J88" s="2"/>
      <c r="K88" s="14">
        <f>IFERROR(K75+K76+K77+K78+K79+K80+K81+K82+K83+K84+K85+K86+K87, "NA")</f>
        <v>4844.2</v>
      </c>
      <c r="L88" s="15">
        <f>IFERROR(K88/K444, "NA")</f>
        <v>3.5206717548108897E-2</v>
      </c>
      <c r="M88" s="2"/>
      <c r="N88" s="14">
        <f t="shared" si="21"/>
        <v>-2210.89</v>
      </c>
      <c r="O88" s="15">
        <f>IFERROR(N88/N444, "NA")</f>
        <v>0.33764871180073031</v>
      </c>
      <c r="P88" s="2"/>
      <c r="Q88" s="14">
        <f>IFERROR(Q75+Q76+Q77+Q78+Q79+Q80+Q81+Q82+Q83+Q84+Q85+Q86+Q87, "NA")</f>
        <v>2633.31</v>
      </c>
      <c r="R88" s="15">
        <f>IFERROR(Q88/Q444, "NA")</f>
        <v>2.0094675759104723E-2</v>
      </c>
      <c r="S88" s="2"/>
      <c r="T88" s="14">
        <f>IFERROR(T75+T76+T77+T78+T79+T80+T81+T82+T83+T84+T85+T86+T87, "NA")</f>
        <v>3980.7</v>
      </c>
      <c r="U88" s="15">
        <f>IFERROR(T88/T444, "NA")</f>
        <v>2.799996595577782E-2</v>
      </c>
      <c r="V88" s="2"/>
      <c r="W88" s="14">
        <f t="shared" si="22"/>
        <v>-1347.3899999999999</v>
      </c>
      <c r="X88" s="15">
        <f>IFERROR(W88/W444, "NA")</f>
        <v>0.12113690081786449</v>
      </c>
      <c r="Y88" s="2"/>
      <c r="Z88" s="14">
        <f>IFERROR(Z75+Z76+Z77+Z78+Z79+Z80+Z81+Z82+Z83+Z84+Z85+Z86+Z87, "NA")</f>
        <v>4844.2</v>
      </c>
      <c r="AA88" s="15">
        <f>IFERROR(Z88/Z444, "NA")</f>
        <v>3.5206717548108897E-2</v>
      </c>
      <c r="AB88" s="2"/>
      <c r="AC88" s="14">
        <f t="shared" si="23"/>
        <v>-2210.89</v>
      </c>
      <c r="AD88" s="15">
        <f>IFERROR(AC88/AC444, "NA")</f>
        <v>0.33764871180073031</v>
      </c>
    </row>
    <row r="89" spans="1:30" ht="16.5" hidden="1" customHeight="1" x14ac:dyDescent="0.45">
      <c r="A89" s="6" t="s">
        <v>85</v>
      </c>
      <c r="B89" s="7">
        <v>0</v>
      </c>
      <c r="C89" s="8">
        <f>IFERROR(B89/B444, "NA")</f>
        <v>0</v>
      </c>
      <c r="D89" s="9"/>
      <c r="E89" s="7">
        <v>0</v>
      </c>
      <c r="F89" s="8">
        <f>IFERROR(E89/E444, "NA")</f>
        <v>0</v>
      </c>
      <c r="G89" s="9"/>
      <c r="H89" s="10">
        <f t="shared" si="20"/>
        <v>0</v>
      </c>
      <c r="I89" s="8">
        <f>IFERROR(H89/H444, "NA")</f>
        <v>0</v>
      </c>
      <c r="J89" s="9"/>
      <c r="K89" s="7">
        <v>0</v>
      </c>
      <c r="L89" s="8">
        <f>IFERROR(K89/K444, "NA")</f>
        <v>0</v>
      </c>
      <c r="M89" s="9"/>
      <c r="N89" s="10">
        <f t="shared" si="21"/>
        <v>0</v>
      </c>
      <c r="O89" s="8">
        <f>IFERROR(N89/N444, "NA")</f>
        <v>0</v>
      </c>
      <c r="P89" s="9"/>
      <c r="Q89" s="7">
        <v>0</v>
      </c>
      <c r="R89" s="8">
        <f>IFERROR(Q89/Q444, "NA")</f>
        <v>0</v>
      </c>
      <c r="S89" s="9"/>
      <c r="T89" s="7">
        <v>0</v>
      </c>
      <c r="U89" s="8">
        <f>IFERROR(T89/T444, "NA")</f>
        <v>0</v>
      </c>
      <c r="V89" s="9"/>
      <c r="W89" s="10">
        <f t="shared" si="22"/>
        <v>0</v>
      </c>
      <c r="X89" s="8">
        <f>IFERROR(W89/W444, "NA")</f>
        <v>0</v>
      </c>
      <c r="Y89" s="9"/>
      <c r="Z89" s="7">
        <v>0</v>
      </c>
      <c r="AA89" s="8">
        <f>IFERROR(Z89/Z444, "NA")</f>
        <v>0</v>
      </c>
      <c r="AB89" s="9"/>
      <c r="AC89" s="10">
        <f t="shared" si="23"/>
        <v>0</v>
      </c>
      <c r="AD89" s="8">
        <f>IFERROR(AC89/AC444, "NA")</f>
        <v>0</v>
      </c>
    </row>
    <row r="90" spans="1:30" ht="16.5" customHeight="1" x14ac:dyDescent="0.45">
      <c r="A90" s="6" t="s">
        <v>86</v>
      </c>
      <c r="B90" s="7">
        <v>-205.45</v>
      </c>
      <c r="C90" s="8">
        <f>IFERROR(B90/B444, "NA")</f>
        <v>-1.5677801454094145E-3</v>
      </c>
      <c r="D90" s="9"/>
      <c r="E90" s="7">
        <v>0</v>
      </c>
      <c r="F90" s="8">
        <f>IFERROR(E90/E444, "NA")</f>
        <v>0</v>
      </c>
      <c r="G90" s="9"/>
      <c r="H90" s="10">
        <f t="shared" si="20"/>
        <v>-205.45</v>
      </c>
      <c r="I90" s="8">
        <f>IFERROR(H90/H444, "NA")</f>
        <v>1.8470952191295957E-2</v>
      </c>
      <c r="J90" s="9"/>
      <c r="K90" s="7">
        <v>0</v>
      </c>
      <c r="L90" s="8">
        <f>IFERROR(K90/K444, "NA")</f>
        <v>0</v>
      </c>
      <c r="M90" s="9"/>
      <c r="N90" s="10">
        <f t="shared" si="21"/>
        <v>-205.45</v>
      </c>
      <c r="O90" s="8">
        <f>IFERROR(N90/N444, "NA")</f>
        <v>3.1376471845935366E-2</v>
      </c>
      <c r="P90" s="9"/>
      <c r="Q90" s="7">
        <v>-205.45</v>
      </c>
      <c r="R90" s="8">
        <f>IFERROR(Q90/Q444, "NA")</f>
        <v>-1.5677801454094145E-3</v>
      </c>
      <c r="S90" s="9"/>
      <c r="T90" s="7">
        <v>0</v>
      </c>
      <c r="U90" s="8">
        <f>IFERROR(T90/T444, "NA")</f>
        <v>0</v>
      </c>
      <c r="V90" s="9"/>
      <c r="W90" s="10">
        <f t="shared" si="22"/>
        <v>-205.45</v>
      </c>
      <c r="X90" s="8">
        <f>IFERROR(W90/W444, "NA")</f>
        <v>1.8470952191295957E-2</v>
      </c>
      <c r="Y90" s="9"/>
      <c r="Z90" s="7">
        <v>0</v>
      </c>
      <c r="AA90" s="8">
        <f>IFERROR(Z90/Z444, "NA")</f>
        <v>0</v>
      </c>
      <c r="AB90" s="9"/>
      <c r="AC90" s="10">
        <f t="shared" si="23"/>
        <v>-205.45</v>
      </c>
      <c r="AD90" s="8">
        <f>IFERROR(AC90/AC444, "NA")</f>
        <v>3.1376471845935366E-2</v>
      </c>
    </row>
    <row r="91" spans="1:30" ht="16.5" hidden="1" customHeight="1" x14ac:dyDescent="0.45">
      <c r="A91" s="6" t="s">
        <v>87</v>
      </c>
      <c r="B91" s="7">
        <v>0</v>
      </c>
      <c r="C91" s="8">
        <f>IFERROR(B91/B444, "NA")</f>
        <v>0</v>
      </c>
      <c r="D91" s="9"/>
      <c r="E91" s="7">
        <v>0</v>
      </c>
      <c r="F91" s="8">
        <f>IFERROR(E91/E444, "NA")</f>
        <v>0</v>
      </c>
      <c r="G91" s="9"/>
      <c r="H91" s="10">
        <f t="shared" si="20"/>
        <v>0</v>
      </c>
      <c r="I91" s="8">
        <f>IFERROR(H91/H444, "NA")</f>
        <v>0</v>
      </c>
      <c r="J91" s="9"/>
      <c r="K91" s="7">
        <v>0</v>
      </c>
      <c r="L91" s="8">
        <f>IFERROR(K91/K444, "NA")</f>
        <v>0</v>
      </c>
      <c r="M91" s="9"/>
      <c r="N91" s="10">
        <f t="shared" si="21"/>
        <v>0</v>
      </c>
      <c r="O91" s="8">
        <f>IFERROR(N91/N444, "NA")</f>
        <v>0</v>
      </c>
      <c r="P91" s="9"/>
      <c r="Q91" s="7">
        <v>0</v>
      </c>
      <c r="R91" s="8">
        <f>IFERROR(Q91/Q444, "NA")</f>
        <v>0</v>
      </c>
      <c r="S91" s="9"/>
      <c r="T91" s="7">
        <v>0</v>
      </c>
      <c r="U91" s="8">
        <f>IFERROR(T91/T444, "NA")</f>
        <v>0</v>
      </c>
      <c r="V91" s="9"/>
      <c r="W91" s="10">
        <f t="shared" si="22"/>
        <v>0</v>
      </c>
      <c r="X91" s="8">
        <f>IFERROR(W91/W444, "NA")</f>
        <v>0</v>
      </c>
      <c r="Y91" s="9"/>
      <c r="Z91" s="7">
        <v>0</v>
      </c>
      <c r="AA91" s="8">
        <f>IFERROR(Z91/Z444, "NA")</f>
        <v>0</v>
      </c>
      <c r="AB91" s="9"/>
      <c r="AC91" s="10">
        <f t="shared" si="23"/>
        <v>0</v>
      </c>
      <c r="AD91" s="8">
        <f>IFERROR(AC91/AC444, "NA")</f>
        <v>0</v>
      </c>
    </row>
    <row r="92" spans="1:30" ht="16.5" hidden="1" customHeight="1" x14ac:dyDescent="0.45">
      <c r="A92" s="6" t="s">
        <v>88</v>
      </c>
      <c r="B92" s="7">
        <v>0</v>
      </c>
      <c r="C92" s="8">
        <f>IFERROR(B92/B444, "NA")</f>
        <v>0</v>
      </c>
      <c r="D92" s="9"/>
      <c r="E92" s="7">
        <v>0</v>
      </c>
      <c r="F92" s="8">
        <f>IFERROR(E92/E444, "NA")</f>
        <v>0</v>
      </c>
      <c r="G92" s="9"/>
      <c r="H92" s="10">
        <f t="shared" si="20"/>
        <v>0</v>
      </c>
      <c r="I92" s="8">
        <f>IFERROR(H92/H444, "NA")</f>
        <v>0</v>
      </c>
      <c r="J92" s="9"/>
      <c r="K92" s="7">
        <v>0</v>
      </c>
      <c r="L92" s="8">
        <f>IFERROR(K92/K444, "NA")</f>
        <v>0</v>
      </c>
      <c r="M92" s="9"/>
      <c r="N92" s="10">
        <f t="shared" si="21"/>
        <v>0</v>
      </c>
      <c r="O92" s="8">
        <f>IFERROR(N92/N444, "NA")</f>
        <v>0</v>
      </c>
      <c r="P92" s="9"/>
      <c r="Q92" s="7">
        <v>0</v>
      </c>
      <c r="R92" s="8">
        <f>IFERROR(Q92/Q444, "NA")</f>
        <v>0</v>
      </c>
      <c r="S92" s="9"/>
      <c r="T92" s="7">
        <v>0</v>
      </c>
      <c r="U92" s="8">
        <f>IFERROR(T92/T444, "NA")</f>
        <v>0</v>
      </c>
      <c r="V92" s="9"/>
      <c r="W92" s="10">
        <f t="shared" si="22"/>
        <v>0</v>
      </c>
      <c r="X92" s="8">
        <f>IFERROR(W92/W444, "NA")</f>
        <v>0</v>
      </c>
      <c r="Y92" s="9"/>
      <c r="Z92" s="7">
        <v>0</v>
      </c>
      <c r="AA92" s="8">
        <f>IFERROR(Z92/Z444, "NA")</f>
        <v>0</v>
      </c>
      <c r="AB92" s="9"/>
      <c r="AC92" s="10">
        <f t="shared" si="23"/>
        <v>0</v>
      </c>
      <c r="AD92" s="8">
        <f>IFERROR(AC92/AC444, "NA")</f>
        <v>0</v>
      </c>
    </row>
    <row r="93" spans="1:30" ht="16.5" customHeight="1" x14ac:dyDescent="0.45">
      <c r="A93" s="11" t="s">
        <v>89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45">
      <c r="A94" s="12" t="s">
        <v>89</v>
      </c>
      <c r="B94" s="7">
        <v>0</v>
      </c>
      <c r="C94" s="8">
        <f>IFERROR(B94/B444, "NA")</f>
        <v>0</v>
      </c>
      <c r="D94" s="9"/>
      <c r="E94" s="7">
        <v>-5828.89</v>
      </c>
      <c r="F94" s="8">
        <f>IFERROR(E94/E444, "NA")</f>
        <v>-4.1000005416126258E-2</v>
      </c>
      <c r="G94" s="9"/>
      <c r="H94" s="10">
        <f t="shared" ref="H94:H124" si="24">IFERROR(B94-E94, "NA")</f>
        <v>5828.89</v>
      </c>
      <c r="I94" s="8">
        <f>IFERROR(H94/H444, "NA")</f>
        <v>-0.52404550264455152</v>
      </c>
      <c r="J94" s="9"/>
      <c r="K94" s="7">
        <v>0</v>
      </c>
      <c r="L94" s="8">
        <f>IFERROR(K94/K444, "NA")</f>
        <v>0</v>
      </c>
      <c r="M94" s="9"/>
      <c r="N94" s="10">
        <f t="shared" ref="N94:N124" si="25">IFERROR(B94-K94, "NA")</f>
        <v>0</v>
      </c>
      <c r="O94" s="8">
        <f>IFERROR(N94/N444, "NA")</f>
        <v>0</v>
      </c>
      <c r="P94" s="9"/>
      <c r="Q94" s="7">
        <v>0</v>
      </c>
      <c r="R94" s="8">
        <f>IFERROR(Q94/Q444, "NA")</f>
        <v>0</v>
      </c>
      <c r="S94" s="9"/>
      <c r="T94" s="7">
        <v>-5828.89</v>
      </c>
      <c r="U94" s="8">
        <f>IFERROR(T94/T444, "NA")</f>
        <v>-4.1000005416126258E-2</v>
      </c>
      <c r="V94" s="9"/>
      <c r="W94" s="10">
        <f t="shared" ref="W94:W124" si="26">IFERROR(Q94-T94, "NA")</f>
        <v>5828.89</v>
      </c>
      <c r="X94" s="8">
        <f>IFERROR(W94/W444, "NA")</f>
        <v>-0.52404550264455152</v>
      </c>
      <c r="Y94" s="9"/>
      <c r="Z94" s="7">
        <v>0</v>
      </c>
      <c r="AA94" s="8">
        <f>IFERROR(Z94/Z444, "NA")</f>
        <v>0</v>
      </c>
      <c r="AB94" s="9"/>
      <c r="AC94" s="10">
        <f t="shared" ref="AC94:AC124" si="27">IFERROR(Q94-Z94, "NA")</f>
        <v>0</v>
      </c>
      <c r="AD94" s="8">
        <f>IFERROR(AC94/AC444, "NA")</f>
        <v>0</v>
      </c>
    </row>
    <row r="95" spans="1:30" ht="16.5" hidden="1" customHeight="1" x14ac:dyDescent="0.45">
      <c r="A95" s="12" t="s">
        <v>90</v>
      </c>
      <c r="B95" s="7">
        <v>0</v>
      </c>
      <c r="C95" s="8">
        <f>IFERROR(B95/B444, "NA")</f>
        <v>0</v>
      </c>
      <c r="D95" s="9"/>
      <c r="E95" s="7">
        <v>0</v>
      </c>
      <c r="F95" s="8">
        <f>IFERROR(E95/E444, "NA")</f>
        <v>0</v>
      </c>
      <c r="G95" s="9"/>
      <c r="H95" s="10">
        <f t="shared" si="24"/>
        <v>0</v>
      </c>
      <c r="I95" s="8">
        <f>IFERROR(H95/H444, "NA")</f>
        <v>0</v>
      </c>
      <c r="J95" s="9"/>
      <c r="K95" s="7">
        <v>0</v>
      </c>
      <c r="L95" s="8">
        <f>IFERROR(K95/K444, "NA")</f>
        <v>0</v>
      </c>
      <c r="M95" s="9"/>
      <c r="N95" s="10">
        <f t="shared" si="25"/>
        <v>0</v>
      </c>
      <c r="O95" s="8">
        <f>IFERROR(N95/N444, "NA")</f>
        <v>0</v>
      </c>
      <c r="P95" s="9"/>
      <c r="Q95" s="7">
        <v>0</v>
      </c>
      <c r="R95" s="8">
        <f>IFERROR(Q95/Q444, "NA")</f>
        <v>0</v>
      </c>
      <c r="S95" s="9"/>
      <c r="T95" s="7">
        <v>0</v>
      </c>
      <c r="U95" s="8">
        <f>IFERROR(T95/T444, "NA")</f>
        <v>0</v>
      </c>
      <c r="V95" s="9"/>
      <c r="W95" s="10">
        <f t="shared" si="26"/>
        <v>0</v>
      </c>
      <c r="X95" s="8">
        <f>IFERROR(W95/W444, "NA")</f>
        <v>0</v>
      </c>
      <c r="Y95" s="9"/>
      <c r="Z95" s="7">
        <v>0</v>
      </c>
      <c r="AA95" s="8">
        <f>IFERROR(Z95/Z444, "NA")</f>
        <v>0</v>
      </c>
      <c r="AB95" s="9"/>
      <c r="AC95" s="10">
        <f t="shared" si="27"/>
        <v>0</v>
      </c>
      <c r="AD95" s="8">
        <f>IFERROR(AC95/AC444, "NA")</f>
        <v>0</v>
      </c>
    </row>
    <row r="96" spans="1:30" ht="16.5" customHeight="1" x14ac:dyDescent="0.45">
      <c r="A96" s="12" t="s">
        <v>91</v>
      </c>
      <c r="B96" s="7">
        <v>-803.55</v>
      </c>
      <c r="C96" s="8">
        <f>IFERROR(B96/B444, "NA")</f>
        <v>-6.1318556137441469E-3</v>
      </c>
      <c r="D96" s="9"/>
      <c r="E96" s="7">
        <v>0</v>
      </c>
      <c r="F96" s="8">
        <f>IFERROR(E96/E444, "NA")</f>
        <v>0</v>
      </c>
      <c r="G96" s="9"/>
      <c r="H96" s="10">
        <f t="shared" si="24"/>
        <v>-803.55</v>
      </c>
      <c r="I96" s="8">
        <f>IFERROR(H96/H444, "NA")</f>
        <v>7.2243045185280449E-2</v>
      </c>
      <c r="J96" s="9"/>
      <c r="K96" s="7">
        <v>-1513.95</v>
      </c>
      <c r="L96" s="8">
        <f>IFERROR(K96/K444, "NA")</f>
        <v>-1.1003098557441778E-2</v>
      </c>
      <c r="M96" s="9"/>
      <c r="N96" s="10">
        <f t="shared" si="25"/>
        <v>710.40000000000009</v>
      </c>
      <c r="O96" s="8">
        <f>IFERROR(N96/N444, "NA")</f>
        <v>-0.10849279921807002</v>
      </c>
      <c r="P96" s="9"/>
      <c r="Q96" s="7">
        <v>-803.55</v>
      </c>
      <c r="R96" s="8">
        <f>IFERROR(Q96/Q444, "NA")</f>
        <v>-6.1318556137441469E-3</v>
      </c>
      <c r="S96" s="9"/>
      <c r="T96" s="7">
        <v>0</v>
      </c>
      <c r="U96" s="8">
        <f>IFERROR(T96/T444, "NA")</f>
        <v>0</v>
      </c>
      <c r="V96" s="9"/>
      <c r="W96" s="10">
        <f t="shared" si="26"/>
        <v>-803.55</v>
      </c>
      <c r="X96" s="8">
        <f>IFERROR(W96/W444, "NA")</f>
        <v>7.2243045185280449E-2</v>
      </c>
      <c r="Y96" s="9"/>
      <c r="Z96" s="7">
        <v>-1513.95</v>
      </c>
      <c r="AA96" s="8">
        <f>IFERROR(Z96/Z444, "NA")</f>
        <v>-1.1003098557441778E-2</v>
      </c>
      <c r="AB96" s="9"/>
      <c r="AC96" s="10">
        <f t="shared" si="27"/>
        <v>710.40000000000009</v>
      </c>
      <c r="AD96" s="8">
        <f>IFERROR(AC96/AC444, "NA")</f>
        <v>-0.10849279921807002</v>
      </c>
    </row>
    <row r="97" spans="1:30" ht="16.5" hidden="1" customHeight="1" x14ac:dyDescent="0.45">
      <c r="A97" s="12" t="s">
        <v>92</v>
      </c>
      <c r="B97" s="7">
        <v>0</v>
      </c>
      <c r="C97" s="8">
        <f>IFERROR(B97/B444, "NA")</f>
        <v>0</v>
      </c>
      <c r="D97" s="9"/>
      <c r="E97" s="7">
        <v>0</v>
      </c>
      <c r="F97" s="8">
        <f>IFERROR(E97/E444, "NA")</f>
        <v>0</v>
      </c>
      <c r="G97" s="9"/>
      <c r="H97" s="10">
        <f t="shared" si="24"/>
        <v>0</v>
      </c>
      <c r="I97" s="8">
        <f>IFERROR(H97/H444, "NA")</f>
        <v>0</v>
      </c>
      <c r="J97" s="9"/>
      <c r="K97" s="7">
        <v>0</v>
      </c>
      <c r="L97" s="8">
        <f>IFERROR(K97/K444, "NA")</f>
        <v>0</v>
      </c>
      <c r="M97" s="9"/>
      <c r="N97" s="10">
        <f t="shared" si="25"/>
        <v>0</v>
      </c>
      <c r="O97" s="8">
        <f>IFERROR(N97/N444, "NA")</f>
        <v>0</v>
      </c>
      <c r="P97" s="9"/>
      <c r="Q97" s="7">
        <v>0</v>
      </c>
      <c r="R97" s="8">
        <f>IFERROR(Q97/Q444, "NA")</f>
        <v>0</v>
      </c>
      <c r="S97" s="9"/>
      <c r="T97" s="7">
        <v>0</v>
      </c>
      <c r="U97" s="8">
        <f>IFERROR(T97/T444, "NA")</f>
        <v>0</v>
      </c>
      <c r="V97" s="9"/>
      <c r="W97" s="10">
        <f t="shared" si="26"/>
        <v>0</v>
      </c>
      <c r="X97" s="8">
        <f>IFERROR(W97/W444, "NA")</f>
        <v>0</v>
      </c>
      <c r="Y97" s="9"/>
      <c r="Z97" s="7">
        <v>0</v>
      </c>
      <c r="AA97" s="8">
        <f>IFERROR(Z97/Z444, "NA")</f>
        <v>0</v>
      </c>
      <c r="AB97" s="9"/>
      <c r="AC97" s="10">
        <f t="shared" si="27"/>
        <v>0</v>
      </c>
      <c r="AD97" s="8">
        <f>IFERROR(AC97/AC444, "NA")</f>
        <v>0</v>
      </c>
    </row>
    <row r="98" spans="1:30" ht="16.5" customHeight="1" x14ac:dyDescent="0.45">
      <c r="A98" s="12" t="s">
        <v>93</v>
      </c>
      <c r="B98" s="7">
        <v>-2123.5700000000002</v>
      </c>
      <c r="C98" s="8">
        <f>IFERROR(B98/B444, "NA")</f>
        <v>-1.6204871664088929E-2</v>
      </c>
      <c r="D98" s="9"/>
      <c r="E98" s="7">
        <v>0</v>
      </c>
      <c r="F98" s="8">
        <f>IFERROR(E98/E444, "NA")</f>
        <v>0</v>
      </c>
      <c r="G98" s="9"/>
      <c r="H98" s="10">
        <f t="shared" si="24"/>
        <v>-2123.5700000000002</v>
      </c>
      <c r="I98" s="8">
        <f>IFERROR(H98/H444, "NA")</f>
        <v>0.19091925015755834</v>
      </c>
      <c r="J98" s="9"/>
      <c r="K98" s="7">
        <v>-1611.74</v>
      </c>
      <c r="L98" s="8">
        <f>IFERROR(K98/K444, "NA")</f>
        <v>-1.1713817542832466E-2</v>
      </c>
      <c r="M98" s="9"/>
      <c r="N98" s="10">
        <f t="shared" si="25"/>
        <v>-511.83000000000015</v>
      </c>
      <c r="O98" s="8">
        <f>IFERROR(N98/N444, "NA")</f>
        <v>7.8167045923120487E-2</v>
      </c>
      <c r="P98" s="9"/>
      <c r="Q98" s="7">
        <v>-2123.5700000000002</v>
      </c>
      <c r="R98" s="8">
        <f>IFERROR(Q98/Q444, "NA")</f>
        <v>-1.6204871664088929E-2</v>
      </c>
      <c r="S98" s="9"/>
      <c r="T98" s="7">
        <v>0</v>
      </c>
      <c r="U98" s="8">
        <f>IFERROR(T98/T444, "NA")</f>
        <v>0</v>
      </c>
      <c r="V98" s="9"/>
      <c r="W98" s="10">
        <f t="shared" si="26"/>
        <v>-2123.5700000000002</v>
      </c>
      <c r="X98" s="8">
        <f>IFERROR(W98/W444, "NA")</f>
        <v>0.19091925015755834</v>
      </c>
      <c r="Y98" s="9"/>
      <c r="Z98" s="7">
        <v>-1611.74</v>
      </c>
      <c r="AA98" s="8">
        <f>IFERROR(Z98/Z444, "NA")</f>
        <v>-1.1713817542832466E-2</v>
      </c>
      <c r="AB98" s="9"/>
      <c r="AC98" s="10">
        <f t="shared" si="27"/>
        <v>-511.83000000000015</v>
      </c>
      <c r="AD98" s="8">
        <f>IFERROR(AC98/AC444, "NA")</f>
        <v>7.8167045923120487E-2</v>
      </c>
    </row>
    <row r="99" spans="1:30" ht="16.5" hidden="1" customHeight="1" x14ac:dyDescent="0.45">
      <c r="A99" s="12" t="s">
        <v>94</v>
      </c>
      <c r="B99" s="7">
        <v>0</v>
      </c>
      <c r="C99" s="8">
        <f>IFERROR(B99/B444, "NA")</f>
        <v>0</v>
      </c>
      <c r="D99" s="9"/>
      <c r="E99" s="7">
        <v>0</v>
      </c>
      <c r="F99" s="8">
        <f>IFERROR(E99/E444, "NA")</f>
        <v>0</v>
      </c>
      <c r="G99" s="9"/>
      <c r="H99" s="10">
        <f t="shared" si="24"/>
        <v>0</v>
      </c>
      <c r="I99" s="8">
        <f>IFERROR(H99/H444, "NA")</f>
        <v>0</v>
      </c>
      <c r="J99" s="9"/>
      <c r="K99" s="7">
        <v>0</v>
      </c>
      <c r="L99" s="8">
        <f>IFERROR(K99/K444, "NA")</f>
        <v>0</v>
      </c>
      <c r="M99" s="9"/>
      <c r="N99" s="10">
        <f t="shared" si="25"/>
        <v>0</v>
      </c>
      <c r="O99" s="8">
        <f>IFERROR(N99/N444, "NA")</f>
        <v>0</v>
      </c>
      <c r="P99" s="9"/>
      <c r="Q99" s="7">
        <v>0</v>
      </c>
      <c r="R99" s="8">
        <f>IFERROR(Q99/Q444, "NA")</f>
        <v>0</v>
      </c>
      <c r="S99" s="9"/>
      <c r="T99" s="7">
        <v>0</v>
      </c>
      <c r="U99" s="8">
        <f>IFERROR(T99/T444, "NA")</f>
        <v>0</v>
      </c>
      <c r="V99" s="9"/>
      <c r="W99" s="10">
        <f t="shared" si="26"/>
        <v>0</v>
      </c>
      <c r="X99" s="8">
        <f>IFERROR(W99/W444, "NA")</f>
        <v>0</v>
      </c>
      <c r="Y99" s="9"/>
      <c r="Z99" s="7">
        <v>0</v>
      </c>
      <c r="AA99" s="8">
        <f>IFERROR(Z99/Z444, "NA")</f>
        <v>0</v>
      </c>
      <c r="AB99" s="9"/>
      <c r="AC99" s="10">
        <f t="shared" si="27"/>
        <v>0</v>
      </c>
      <c r="AD99" s="8">
        <f>IFERROR(AC99/AC444, "NA")</f>
        <v>0</v>
      </c>
    </row>
    <row r="100" spans="1:30" ht="16.5" customHeight="1" x14ac:dyDescent="0.45">
      <c r="A100" s="12" t="s">
        <v>95</v>
      </c>
      <c r="B100" s="7">
        <v>-17.59</v>
      </c>
      <c r="C100" s="8">
        <f>IFERROR(B100/B444, "NA")</f>
        <v>-1.3422853617790995E-4</v>
      </c>
      <c r="D100" s="9"/>
      <c r="E100" s="7">
        <v>0</v>
      </c>
      <c r="F100" s="8">
        <f>IFERROR(E100/E444, "NA")</f>
        <v>0</v>
      </c>
      <c r="G100" s="9"/>
      <c r="H100" s="10">
        <f t="shared" si="24"/>
        <v>-17.59</v>
      </c>
      <c r="I100" s="8">
        <f>IFERROR(H100/H444, "NA")</f>
        <v>1.5814263764657869E-3</v>
      </c>
      <c r="J100" s="9"/>
      <c r="K100" s="7">
        <v>-378.66</v>
      </c>
      <c r="L100" s="8">
        <f>IFERROR(K100/K444, "NA")</f>
        <v>-2.7520283363128926E-3</v>
      </c>
      <c r="M100" s="9"/>
      <c r="N100" s="10">
        <f t="shared" si="25"/>
        <v>361.07000000000005</v>
      </c>
      <c r="O100" s="8">
        <f>IFERROR(N100/N444, "NA")</f>
        <v>-5.5142870233204598E-2</v>
      </c>
      <c r="P100" s="9"/>
      <c r="Q100" s="7">
        <v>-17.59</v>
      </c>
      <c r="R100" s="8">
        <f>IFERROR(Q100/Q444, "NA")</f>
        <v>-1.3422853617790995E-4</v>
      </c>
      <c r="S100" s="9"/>
      <c r="T100" s="7">
        <v>0</v>
      </c>
      <c r="U100" s="8">
        <f>IFERROR(T100/T444, "NA")</f>
        <v>0</v>
      </c>
      <c r="V100" s="9"/>
      <c r="W100" s="10">
        <f t="shared" si="26"/>
        <v>-17.59</v>
      </c>
      <c r="X100" s="8">
        <f>IFERROR(W100/W444, "NA")</f>
        <v>1.5814263764657869E-3</v>
      </c>
      <c r="Y100" s="9"/>
      <c r="Z100" s="7">
        <v>-378.66</v>
      </c>
      <c r="AA100" s="8">
        <f>IFERROR(Z100/Z444, "NA")</f>
        <v>-2.7520283363128926E-3</v>
      </c>
      <c r="AB100" s="9"/>
      <c r="AC100" s="10">
        <f t="shared" si="27"/>
        <v>361.07000000000005</v>
      </c>
      <c r="AD100" s="8">
        <f>IFERROR(AC100/AC444, "NA")</f>
        <v>-5.5142870233204598E-2</v>
      </c>
    </row>
    <row r="101" spans="1:30" ht="16.5" hidden="1" customHeight="1" x14ac:dyDescent="0.45">
      <c r="A101" s="12" t="s">
        <v>96</v>
      </c>
      <c r="B101" s="7">
        <v>0</v>
      </c>
      <c r="C101" s="8">
        <f>IFERROR(B101/B444, "NA")</f>
        <v>0</v>
      </c>
      <c r="D101" s="9"/>
      <c r="E101" s="7">
        <v>0</v>
      </c>
      <c r="F101" s="8">
        <f>IFERROR(E101/E444, "NA")</f>
        <v>0</v>
      </c>
      <c r="G101" s="9"/>
      <c r="H101" s="10">
        <f t="shared" si="24"/>
        <v>0</v>
      </c>
      <c r="I101" s="8">
        <f>IFERROR(H101/H444, "NA")</f>
        <v>0</v>
      </c>
      <c r="J101" s="9"/>
      <c r="K101" s="7">
        <v>0</v>
      </c>
      <c r="L101" s="8">
        <f>IFERROR(K101/K444, "NA")</f>
        <v>0</v>
      </c>
      <c r="M101" s="9"/>
      <c r="N101" s="10">
        <f t="shared" si="25"/>
        <v>0</v>
      </c>
      <c r="O101" s="8">
        <f>IFERROR(N101/N444, "NA")</f>
        <v>0</v>
      </c>
      <c r="P101" s="9"/>
      <c r="Q101" s="7">
        <v>0</v>
      </c>
      <c r="R101" s="8">
        <f>IFERROR(Q101/Q444, "NA")</f>
        <v>0</v>
      </c>
      <c r="S101" s="9"/>
      <c r="T101" s="7">
        <v>0</v>
      </c>
      <c r="U101" s="8">
        <f>IFERROR(T101/T444, "NA")</f>
        <v>0</v>
      </c>
      <c r="V101" s="9"/>
      <c r="W101" s="10">
        <f t="shared" si="26"/>
        <v>0</v>
      </c>
      <c r="X101" s="8">
        <f>IFERROR(W101/W444, "NA")</f>
        <v>0</v>
      </c>
      <c r="Y101" s="9"/>
      <c r="Z101" s="7">
        <v>0</v>
      </c>
      <c r="AA101" s="8">
        <f>IFERROR(Z101/Z444, "NA")</f>
        <v>0</v>
      </c>
      <c r="AB101" s="9"/>
      <c r="AC101" s="10">
        <f t="shared" si="27"/>
        <v>0</v>
      </c>
      <c r="AD101" s="8">
        <f>IFERROR(AC101/AC444, "NA")</f>
        <v>0</v>
      </c>
    </row>
    <row r="102" spans="1:30" ht="16.5" customHeight="1" x14ac:dyDescent="0.45">
      <c r="A102" s="12" t="s">
        <v>97</v>
      </c>
      <c r="B102" s="7">
        <v>-1171.04</v>
      </c>
      <c r="C102" s="8">
        <f>IFERROR(B102/B444, "NA")</f>
        <v>-8.9361560549050412E-3</v>
      </c>
      <c r="D102" s="9"/>
      <c r="E102" s="7">
        <v>0</v>
      </c>
      <c r="F102" s="8">
        <f>IFERROR(E102/E444, "NA")</f>
        <v>0</v>
      </c>
      <c r="G102" s="9"/>
      <c r="H102" s="10">
        <f t="shared" si="24"/>
        <v>-1171.04</v>
      </c>
      <c r="I102" s="8">
        <f>IFERROR(H102/H444, "NA")</f>
        <v>0.10528217986904463</v>
      </c>
      <c r="J102" s="9"/>
      <c r="K102" s="7">
        <v>-1375.8</v>
      </c>
      <c r="L102" s="8">
        <f>IFERROR(K102/K444, "NA")</f>
        <v>-9.9990508242203489E-3</v>
      </c>
      <c r="M102" s="9"/>
      <c r="N102" s="10">
        <f t="shared" si="25"/>
        <v>204.76</v>
      </c>
      <c r="O102" s="8">
        <f>IFERROR(N102/N444, "NA")</f>
        <v>-3.1271094549397541E-2</v>
      </c>
      <c r="P102" s="9"/>
      <c r="Q102" s="7">
        <v>-1171.04</v>
      </c>
      <c r="R102" s="8">
        <f>IFERROR(Q102/Q444, "NA")</f>
        <v>-8.9361560549050412E-3</v>
      </c>
      <c r="S102" s="9"/>
      <c r="T102" s="7">
        <v>0</v>
      </c>
      <c r="U102" s="8">
        <f>IFERROR(T102/T444, "NA")</f>
        <v>0</v>
      </c>
      <c r="V102" s="9"/>
      <c r="W102" s="10">
        <f t="shared" si="26"/>
        <v>-1171.04</v>
      </c>
      <c r="X102" s="8">
        <f>IFERROR(W102/W444, "NA")</f>
        <v>0.10528217986904463</v>
      </c>
      <c r="Y102" s="9"/>
      <c r="Z102" s="7">
        <v>-1375.8</v>
      </c>
      <c r="AA102" s="8">
        <f>IFERROR(Z102/Z444, "NA")</f>
        <v>-9.9990508242203489E-3</v>
      </c>
      <c r="AB102" s="9"/>
      <c r="AC102" s="10">
        <f t="shared" si="27"/>
        <v>204.76</v>
      </c>
      <c r="AD102" s="8">
        <f>IFERROR(AC102/AC444, "NA")</f>
        <v>-3.1271094549397541E-2</v>
      </c>
    </row>
    <row r="103" spans="1:30" ht="16.5" customHeight="1" x14ac:dyDescent="0.45">
      <c r="A103" s="12" t="s">
        <v>98</v>
      </c>
      <c r="B103" s="7">
        <v>-86</v>
      </c>
      <c r="C103" s="8">
        <f>IFERROR(B103/B444, "NA")</f>
        <v>-6.5626231445709243E-4</v>
      </c>
      <c r="D103" s="9"/>
      <c r="E103" s="7">
        <v>0</v>
      </c>
      <c r="F103" s="8">
        <f>IFERROR(E103/E444, "NA")</f>
        <v>0</v>
      </c>
      <c r="G103" s="9"/>
      <c r="H103" s="10">
        <f t="shared" si="24"/>
        <v>-86</v>
      </c>
      <c r="I103" s="8">
        <f>IFERROR(H103/H444, "NA")</f>
        <v>7.7318174176269289E-3</v>
      </c>
      <c r="J103" s="9"/>
      <c r="K103" s="7">
        <v>0</v>
      </c>
      <c r="L103" s="8">
        <f>IFERROR(K103/K444, "NA")</f>
        <v>0</v>
      </c>
      <c r="M103" s="9"/>
      <c r="N103" s="10">
        <f t="shared" si="25"/>
        <v>-86</v>
      </c>
      <c r="O103" s="8">
        <f>IFERROR(N103/N444, "NA")</f>
        <v>1.3133981887322664E-2</v>
      </c>
      <c r="P103" s="9"/>
      <c r="Q103" s="7">
        <v>-86</v>
      </c>
      <c r="R103" s="8">
        <f>IFERROR(Q103/Q444, "NA")</f>
        <v>-6.5626231445709243E-4</v>
      </c>
      <c r="S103" s="9"/>
      <c r="T103" s="7">
        <v>0</v>
      </c>
      <c r="U103" s="8">
        <f>IFERROR(T103/T444, "NA")</f>
        <v>0</v>
      </c>
      <c r="V103" s="9"/>
      <c r="W103" s="10">
        <f t="shared" si="26"/>
        <v>-86</v>
      </c>
      <c r="X103" s="8">
        <f>IFERROR(W103/W444, "NA")</f>
        <v>7.7318174176269289E-3</v>
      </c>
      <c r="Y103" s="9"/>
      <c r="Z103" s="7">
        <v>0</v>
      </c>
      <c r="AA103" s="8">
        <f>IFERROR(Z103/Z444, "NA")</f>
        <v>0</v>
      </c>
      <c r="AB103" s="9"/>
      <c r="AC103" s="10">
        <f t="shared" si="27"/>
        <v>-86</v>
      </c>
      <c r="AD103" s="8">
        <f>IFERROR(AC103/AC444, "NA")</f>
        <v>1.3133981887322664E-2</v>
      </c>
    </row>
    <row r="104" spans="1:30" ht="16.5" customHeight="1" x14ac:dyDescent="0.45">
      <c r="A104" s="12" t="s">
        <v>99</v>
      </c>
      <c r="B104" s="7">
        <v>-265.31</v>
      </c>
      <c r="C104" s="8">
        <f>IFERROR(B104/B444, "NA")</f>
        <v>-2.0245692401001303E-3</v>
      </c>
      <c r="D104" s="9"/>
      <c r="E104" s="7">
        <v>0</v>
      </c>
      <c r="F104" s="8">
        <f>IFERROR(E104/E444, "NA")</f>
        <v>0</v>
      </c>
      <c r="G104" s="9"/>
      <c r="H104" s="10">
        <f t="shared" si="24"/>
        <v>-265.31</v>
      </c>
      <c r="I104" s="8">
        <f>IFERROR(H104/H444, "NA")</f>
        <v>2.3852656733379076E-2</v>
      </c>
      <c r="J104" s="9"/>
      <c r="K104" s="7">
        <v>-549.77</v>
      </c>
      <c r="L104" s="8">
        <f>IFERROR(K104/K444, "NA")</f>
        <v>-3.9956230350571458E-3</v>
      </c>
      <c r="M104" s="9"/>
      <c r="N104" s="10">
        <f t="shared" si="25"/>
        <v>284.45999999999998</v>
      </c>
      <c r="O104" s="8">
        <f>IFERROR(N104/N444, "NA")</f>
        <v>-4.3442935903114009E-2</v>
      </c>
      <c r="P104" s="9"/>
      <c r="Q104" s="7">
        <v>-265.31</v>
      </c>
      <c r="R104" s="8">
        <f>IFERROR(Q104/Q444, "NA")</f>
        <v>-2.0245692401001303E-3</v>
      </c>
      <c r="S104" s="9"/>
      <c r="T104" s="7">
        <v>0</v>
      </c>
      <c r="U104" s="8">
        <f>IFERROR(T104/T444, "NA")</f>
        <v>0</v>
      </c>
      <c r="V104" s="9"/>
      <c r="W104" s="10">
        <f t="shared" si="26"/>
        <v>-265.31</v>
      </c>
      <c r="X104" s="8">
        <f>IFERROR(W104/W444, "NA")</f>
        <v>2.3852656733379076E-2</v>
      </c>
      <c r="Y104" s="9"/>
      <c r="Z104" s="7">
        <v>-549.77</v>
      </c>
      <c r="AA104" s="8">
        <f>IFERROR(Z104/Z444, "NA")</f>
        <v>-3.9956230350571458E-3</v>
      </c>
      <c r="AB104" s="9"/>
      <c r="AC104" s="10">
        <f t="shared" si="27"/>
        <v>284.45999999999998</v>
      </c>
      <c r="AD104" s="8">
        <f>IFERROR(AC104/AC444, "NA")</f>
        <v>-4.3442935903114009E-2</v>
      </c>
    </row>
    <row r="105" spans="1:30" ht="16.5" hidden="1" customHeight="1" x14ac:dyDescent="0.45">
      <c r="A105" s="12" t="s">
        <v>100</v>
      </c>
      <c r="B105" s="7">
        <v>0</v>
      </c>
      <c r="C105" s="8">
        <f>IFERROR(B105/B444, "NA")</f>
        <v>0</v>
      </c>
      <c r="D105" s="9"/>
      <c r="E105" s="7">
        <v>0</v>
      </c>
      <c r="F105" s="8">
        <f>IFERROR(E105/E444, "NA")</f>
        <v>0</v>
      </c>
      <c r="G105" s="9"/>
      <c r="H105" s="10">
        <f t="shared" si="24"/>
        <v>0</v>
      </c>
      <c r="I105" s="8">
        <f>IFERROR(H105/H444, "NA")</f>
        <v>0</v>
      </c>
      <c r="J105" s="9"/>
      <c r="K105" s="7">
        <v>0</v>
      </c>
      <c r="L105" s="8">
        <f>IFERROR(K105/K444, "NA")</f>
        <v>0</v>
      </c>
      <c r="M105" s="9"/>
      <c r="N105" s="10">
        <f t="shared" si="25"/>
        <v>0</v>
      </c>
      <c r="O105" s="8">
        <f>IFERROR(N105/N444, "NA")</f>
        <v>0</v>
      </c>
      <c r="P105" s="9"/>
      <c r="Q105" s="7">
        <v>0</v>
      </c>
      <c r="R105" s="8">
        <f>IFERROR(Q105/Q444, "NA")</f>
        <v>0</v>
      </c>
      <c r="S105" s="9"/>
      <c r="T105" s="7">
        <v>0</v>
      </c>
      <c r="U105" s="8">
        <f>IFERROR(T105/T444, "NA")</f>
        <v>0</v>
      </c>
      <c r="V105" s="9"/>
      <c r="W105" s="10">
        <f t="shared" si="26"/>
        <v>0</v>
      </c>
      <c r="X105" s="8">
        <f>IFERROR(W105/W444, "NA")</f>
        <v>0</v>
      </c>
      <c r="Y105" s="9"/>
      <c r="Z105" s="7">
        <v>0</v>
      </c>
      <c r="AA105" s="8">
        <f>IFERROR(Z105/Z444, "NA")</f>
        <v>0</v>
      </c>
      <c r="AB105" s="9"/>
      <c r="AC105" s="10">
        <f t="shared" si="27"/>
        <v>0</v>
      </c>
      <c r="AD105" s="8">
        <f>IFERROR(AC105/AC444, "NA")</f>
        <v>0</v>
      </c>
    </row>
    <row r="106" spans="1:30" ht="16.5" hidden="1" customHeight="1" x14ac:dyDescent="0.45">
      <c r="A106" s="12" t="s">
        <v>101</v>
      </c>
      <c r="B106" s="7">
        <v>0</v>
      </c>
      <c r="C106" s="8">
        <f>IFERROR(B106/B444, "NA")</f>
        <v>0</v>
      </c>
      <c r="D106" s="9"/>
      <c r="E106" s="7">
        <v>0</v>
      </c>
      <c r="F106" s="8">
        <f>IFERROR(E106/E444, "NA")</f>
        <v>0</v>
      </c>
      <c r="G106" s="9"/>
      <c r="H106" s="10">
        <f t="shared" si="24"/>
        <v>0</v>
      </c>
      <c r="I106" s="8">
        <f>IFERROR(H106/H444, "NA")</f>
        <v>0</v>
      </c>
      <c r="J106" s="9"/>
      <c r="K106" s="7">
        <v>0</v>
      </c>
      <c r="L106" s="8">
        <f>IFERROR(K106/K444, "NA")</f>
        <v>0</v>
      </c>
      <c r="M106" s="9"/>
      <c r="N106" s="10">
        <f t="shared" si="25"/>
        <v>0</v>
      </c>
      <c r="O106" s="8">
        <f>IFERROR(N106/N444, "NA")</f>
        <v>0</v>
      </c>
      <c r="P106" s="9"/>
      <c r="Q106" s="7">
        <v>0</v>
      </c>
      <c r="R106" s="8">
        <f>IFERROR(Q106/Q444, "NA")</f>
        <v>0</v>
      </c>
      <c r="S106" s="9"/>
      <c r="T106" s="7">
        <v>0</v>
      </c>
      <c r="U106" s="8">
        <f>IFERROR(T106/T444, "NA")</f>
        <v>0</v>
      </c>
      <c r="V106" s="9"/>
      <c r="W106" s="10">
        <f t="shared" si="26"/>
        <v>0</v>
      </c>
      <c r="X106" s="8">
        <f>IFERROR(W106/W444, "NA")</f>
        <v>0</v>
      </c>
      <c r="Y106" s="9"/>
      <c r="Z106" s="7">
        <v>0</v>
      </c>
      <c r="AA106" s="8">
        <f>IFERROR(Z106/Z444, "NA")</f>
        <v>0</v>
      </c>
      <c r="AB106" s="9"/>
      <c r="AC106" s="10">
        <f t="shared" si="27"/>
        <v>0</v>
      </c>
      <c r="AD106" s="8">
        <f>IFERROR(AC106/AC444, "NA")</f>
        <v>0</v>
      </c>
    </row>
    <row r="107" spans="1:30" ht="16.5" hidden="1" customHeight="1" x14ac:dyDescent="0.45">
      <c r="A107" s="12" t="s">
        <v>102</v>
      </c>
      <c r="B107" s="7">
        <v>0</v>
      </c>
      <c r="C107" s="8">
        <f>IFERROR(B107/B444, "NA")</f>
        <v>0</v>
      </c>
      <c r="D107" s="9"/>
      <c r="E107" s="7">
        <v>0</v>
      </c>
      <c r="F107" s="8">
        <f>IFERROR(E107/E444, "NA")</f>
        <v>0</v>
      </c>
      <c r="G107" s="9"/>
      <c r="H107" s="10">
        <f t="shared" si="24"/>
        <v>0</v>
      </c>
      <c r="I107" s="8">
        <f>IFERROR(H107/H444, "NA")</f>
        <v>0</v>
      </c>
      <c r="J107" s="9"/>
      <c r="K107" s="7">
        <v>0</v>
      </c>
      <c r="L107" s="8">
        <f>IFERROR(K107/K444, "NA")</f>
        <v>0</v>
      </c>
      <c r="M107" s="9"/>
      <c r="N107" s="10">
        <f t="shared" si="25"/>
        <v>0</v>
      </c>
      <c r="O107" s="8">
        <f>IFERROR(N107/N444, "NA")</f>
        <v>0</v>
      </c>
      <c r="P107" s="9"/>
      <c r="Q107" s="7">
        <v>0</v>
      </c>
      <c r="R107" s="8">
        <f>IFERROR(Q107/Q444, "NA")</f>
        <v>0</v>
      </c>
      <c r="S107" s="9"/>
      <c r="T107" s="7">
        <v>0</v>
      </c>
      <c r="U107" s="8">
        <f>IFERROR(T107/T444, "NA")</f>
        <v>0</v>
      </c>
      <c r="V107" s="9"/>
      <c r="W107" s="10">
        <f t="shared" si="26"/>
        <v>0</v>
      </c>
      <c r="X107" s="8">
        <f>IFERROR(W107/W444, "NA")</f>
        <v>0</v>
      </c>
      <c r="Y107" s="9"/>
      <c r="Z107" s="7">
        <v>0</v>
      </c>
      <c r="AA107" s="8">
        <f>IFERROR(Z107/Z444, "NA")</f>
        <v>0</v>
      </c>
      <c r="AB107" s="9"/>
      <c r="AC107" s="10">
        <f t="shared" si="27"/>
        <v>0</v>
      </c>
      <c r="AD107" s="8">
        <f>IFERROR(AC107/AC444, "NA")</f>
        <v>0</v>
      </c>
    </row>
    <row r="108" spans="1:30" ht="16.5" hidden="1" customHeight="1" x14ac:dyDescent="0.45">
      <c r="A108" s="12" t="s">
        <v>103</v>
      </c>
      <c r="B108" s="7">
        <v>0</v>
      </c>
      <c r="C108" s="8">
        <f>IFERROR(B108/B444, "NA")</f>
        <v>0</v>
      </c>
      <c r="D108" s="9"/>
      <c r="E108" s="7">
        <v>0</v>
      </c>
      <c r="F108" s="8">
        <f>IFERROR(E108/E444, "NA")</f>
        <v>0</v>
      </c>
      <c r="G108" s="9"/>
      <c r="H108" s="10">
        <f t="shared" si="24"/>
        <v>0</v>
      </c>
      <c r="I108" s="8">
        <f>IFERROR(H108/H444, "NA")</f>
        <v>0</v>
      </c>
      <c r="J108" s="9"/>
      <c r="K108" s="7">
        <v>0</v>
      </c>
      <c r="L108" s="8">
        <f>IFERROR(K108/K444, "NA")</f>
        <v>0</v>
      </c>
      <c r="M108" s="9"/>
      <c r="N108" s="10">
        <f t="shared" si="25"/>
        <v>0</v>
      </c>
      <c r="O108" s="8">
        <f>IFERROR(N108/N444, "NA")</f>
        <v>0</v>
      </c>
      <c r="P108" s="9"/>
      <c r="Q108" s="7">
        <v>0</v>
      </c>
      <c r="R108" s="8">
        <f>IFERROR(Q108/Q444, "NA")</f>
        <v>0</v>
      </c>
      <c r="S108" s="9"/>
      <c r="T108" s="7">
        <v>0</v>
      </c>
      <c r="U108" s="8">
        <f>IFERROR(T108/T444, "NA")</f>
        <v>0</v>
      </c>
      <c r="V108" s="9"/>
      <c r="W108" s="10">
        <f t="shared" si="26"/>
        <v>0</v>
      </c>
      <c r="X108" s="8">
        <f>IFERROR(W108/W444, "NA")</f>
        <v>0</v>
      </c>
      <c r="Y108" s="9"/>
      <c r="Z108" s="7">
        <v>0</v>
      </c>
      <c r="AA108" s="8">
        <f>IFERROR(Z108/Z444, "NA")</f>
        <v>0</v>
      </c>
      <c r="AB108" s="9"/>
      <c r="AC108" s="10">
        <f t="shared" si="27"/>
        <v>0</v>
      </c>
      <c r="AD108" s="8">
        <f>IFERROR(AC108/AC444, "NA")</f>
        <v>0</v>
      </c>
    </row>
    <row r="109" spans="1:30" ht="16.5" hidden="1" customHeight="1" x14ac:dyDescent="0.45">
      <c r="A109" s="12" t="s">
        <v>104</v>
      </c>
      <c r="B109" s="7">
        <v>0</v>
      </c>
      <c r="C109" s="8">
        <f>IFERROR(B109/B444, "NA")</f>
        <v>0</v>
      </c>
      <c r="D109" s="9"/>
      <c r="E109" s="7">
        <v>0</v>
      </c>
      <c r="F109" s="8">
        <f>IFERROR(E109/E444, "NA")</f>
        <v>0</v>
      </c>
      <c r="G109" s="9"/>
      <c r="H109" s="10">
        <f t="shared" si="24"/>
        <v>0</v>
      </c>
      <c r="I109" s="8">
        <f>IFERROR(H109/H444, "NA")</f>
        <v>0</v>
      </c>
      <c r="J109" s="9"/>
      <c r="K109" s="7">
        <v>0</v>
      </c>
      <c r="L109" s="8">
        <f>IFERROR(K109/K444, "NA")</f>
        <v>0</v>
      </c>
      <c r="M109" s="9"/>
      <c r="N109" s="10">
        <f t="shared" si="25"/>
        <v>0</v>
      </c>
      <c r="O109" s="8">
        <f>IFERROR(N109/N444, "NA")</f>
        <v>0</v>
      </c>
      <c r="P109" s="9"/>
      <c r="Q109" s="7">
        <v>0</v>
      </c>
      <c r="R109" s="8">
        <f>IFERROR(Q109/Q444, "NA")</f>
        <v>0</v>
      </c>
      <c r="S109" s="9"/>
      <c r="T109" s="7">
        <v>0</v>
      </c>
      <c r="U109" s="8">
        <f>IFERROR(T109/T444, "NA")</f>
        <v>0</v>
      </c>
      <c r="V109" s="9"/>
      <c r="W109" s="10">
        <f t="shared" si="26"/>
        <v>0</v>
      </c>
      <c r="X109" s="8">
        <f>IFERROR(W109/W444, "NA")</f>
        <v>0</v>
      </c>
      <c r="Y109" s="9"/>
      <c r="Z109" s="7">
        <v>0</v>
      </c>
      <c r="AA109" s="8">
        <f>IFERROR(Z109/Z444, "NA")</f>
        <v>0</v>
      </c>
      <c r="AB109" s="9"/>
      <c r="AC109" s="10">
        <f t="shared" si="27"/>
        <v>0</v>
      </c>
      <c r="AD109" s="8">
        <f>IFERROR(AC109/AC444, "NA")</f>
        <v>0</v>
      </c>
    </row>
    <row r="110" spans="1:30" ht="16.5" hidden="1" customHeight="1" x14ac:dyDescent="0.45">
      <c r="A110" s="12" t="s">
        <v>105</v>
      </c>
      <c r="B110" s="7">
        <v>0</v>
      </c>
      <c r="C110" s="8">
        <f>IFERROR(B110/B444, "NA")</f>
        <v>0</v>
      </c>
      <c r="D110" s="9"/>
      <c r="E110" s="7">
        <v>0</v>
      </c>
      <c r="F110" s="8">
        <f>IFERROR(E110/E444, "NA")</f>
        <v>0</v>
      </c>
      <c r="G110" s="9"/>
      <c r="H110" s="10">
        <f t="shared" si="24"/>
        <v>0</v>
      </c>
      <c r="I110" s="8">
        <f>IFERROR(H110/H444, "NA")</f>
        <v>0</v>
      </c>
      <c r="J110" s="9"/>
      <c r="K110" s="7">
        <v>0</v>
      </c>
      <c r="L110" s="8">
        <f>IFERROR(K110/K444, "NA")</f>
        <v>0</v>
      </c>
      <c r="M110" s="9"/>
      <c r="N110" s="10">
        <f t="shared" si="25"/>
        <v>0</v>
      </c>
      <c r="O110" s="8">
        <f>IFERROR(N110/N444, "NA")</f>
        <v>0</v>
      </c>
      <c r="P110" s="9"/>
      <c r="Q110" s="7">
        <v>0</v>
      </c>
      <c r="R110" s="8">
        <f>IFERROR(Q110/Q444, "NA")</f>
        <v>0</v>
      </c>
      <c r="S110" s="9"/>
      <c r="T110" s="7">
        <v>0</v>
      </c>
      <c r="U110" s="8">
        <f>IFERROR(T110/T444, "NA")</f>
        <v>0</v>
      </c>
      <c r="V110" s="9"/>
      <c r="W110" s="10">
        <f t="shared" si="26"/>
        <v>0</v>
      </c>
      <c r="X110" s="8">
        <f>IFERROR(W110/W444, "NA")</f>
        <v>0</v>
      </c>
      <c r="Y110" s="9"/>
      <c r="Z110" s="7">
        <v>0</v>
      </c>
      <c r="AA110" s="8">
        <f>IFERROR(Z110/Z444, "NA")</f>
        <v>0</v>
      </c>
      <c r="AB110" s="9"/>
      <c r="AC110" s="10">
        <f t="shared" si="27"/>
        <v>0</v>
      </c>
      <c r="AD110" s="8">
        <f>IFERROR(AC110/AC444, "NA")</f>
        <v>0</v>
      </c>
    </row>
    <row r="111" spans="1:30" ht="16.5" hidden="1" customHeight="1" x14ac:dyDescent="0.45">
      <c r="A111" s="12" t="s">
        <v>106</v>
      </c>
      <c r="B111" s="7">
        <v>0</v>
      </c>
      <c r="C111" s="8">
        <f>IFERROR(B111/B444, "NA")</f>
        <v>0</v>
      </c>
      <c r="D111" s="9"/>
      <c r="E111" s="7">
        <v>0</v>
      </c>
      <c r="F111" s="8">
        <f>IFERROR(E111/E444, "NA")</f>
        <v>0</v>
      </c>
      <c r="G111" s="9"/>
      <c r="H111" s="10">
        <f t="shared" si="24"/>
        <v>0</v>
      </c>
      <c r="I111" s="8">
        <f>IFERROR(H111/H444, "NA")</f>
        <v>0</v>
      </c>
      <c r="J111" s="9"/>
      <c r="K111" s="7">
        <v>0</v>
      </c>
      <c r="L111" s="8">
        <f>IFERROR(K111/K444, "NA")</f>
        <v>0</v>
      </c>
      <c r="M111" s="9"/>
      <c r="N111" s="10">
        <f t="shared" si="25"/>
        <v>0</v>
      </c>
      <c r="O111" s="8">
        <f>IFERROR(N111/N444, "NA")</f>
        <v>0</v>
      </c>
      <c r="P111" s="9"/>
      <c r="Q111" s="7">
        <v>0</v>
      </c>
      <c r="R111" s="8">
        <f>IFERROR(Q111/Q444, "NA")</f>
        <v>0</v>
      </c>
      <c r="S111" s="9"/>
      <c r="T111" s="7">
        <v>0</v>
      </c>
      <c r="U111" s="8">
        <f>IFERROR(T111/T444, "NA")</f>
        <v>0</v>
      </c>
      <c r="V111" s="9"/>
      <c r="W111" s="10">
        <f t="shared" si="26"/>
        <v>0</v>
      </c>
      <c r="X111" s="8">
        <f>IFERROR(W111/W444, "NA")</f>
        <v>0</v>
      </c>
      <c r="Y111" s="9"/>
      <c r="Z111" s="7">
        <v>0</v>
      </c>
      <c r="AA111" s="8">
        <f>IFERROR(Z111/Z444, "NA")</f>
        <v>0</v>
      </c>
      <c r="AB111" s="9"/>
      <c r="AC111" s="10">
        <f t="shared" si="27"/>
        <v>0</v>
      </c>
      <c r="AD111" s="8">
        <f>IFERROR(AC111/AC444, "NA")</f>
        <v>0</v>
      </c>
    </row>
    <row r="112" spans="1:30" ht="16.5" hidden="1" customHeight="1" x14ac:dyDescent="0.45">
      <c r="A112" s="12" t="s">
        <v>107</v>
      </c>
      <c r="B112" s="7">
        <v>0</v>
      </c>
      <c r="C112" s="8">
        <f>IFERROR(B112/B444, "NA")</f>
        <v>0</v>
      </c>
      <c r="D112" s="9"/>
      <c r="E112" s="7">
        <v>0</v>
      </c>
      <c r="F112" s="8">
        <f>IFERROR(E112/E444, "NA")</f>
        <v>0</v>
      </c>
      <c r="G112" s="9"/>
      <c r="H112" s="10">
        <f t="shared" si="24"/>
        <v>0</v>
      </c>
      <c r="I112" s="8">
        <f>IFERROR(H112/H444, "NA")</f>
        <v>0</v>
      </c>
      <c r="J112" s="9"/>
      <c r="K112" s="7">
        <v>0</v>
      </c>
      <c r="L112" s="8">
        <f>IFERROR(K112/K444, "NA")</f>
        <v>0</v>
      </c>
      <c r="M112" s="9"/>
      <c r="N112" s="10">
        <f t="shared" si="25"/>
        <v>0</v>
      </c>
      <c r="O112" s="8">
        <f>IFERROR(N112/N444, "NA")</f>
        <v>0</v>
      </c>
      <c r="P112" s="9"/>
      <c r="Q112" s="7">
        <v>0</v>
      </c>
      <c r="R112" s="8">
        <f>IFERROR(Q112/Q444, "NA")</f>
        <v>0</v>
      </c>
      <c r="S112" s="9"/>
      <c r="T112" s="7">
        <v>0</v>
      </c>
      <c r="U112" s="8">
        <f>IFERROR(T112/T444, "NA")</f>
        <v>0</v>
      </c>
      <c r="V112" s="9"/>
      <c r="W112" s="10">
        <f t="shared" si="26"/>
        <v>0</v>
      </c>
      <c r="X112" s="8">
        <f>IFERROR(W112/W444, "NA")</f>
        <v>0</v>
      </c>
      <c r="Y112" s="9"/>
      <c r="Z112" s="7">
        <v>0</v>
      </c>
      <c r="AA112" s="8">
        <f>IFERROR(Z112/Z444, "NA")</f>
        <v>0</v>
      </c>
      <c r="AB112" s="9"/>
      <c r="AC112" s="10">
        <f t="shared" si="27"/>
        <v>0</v>
      </c>
      <c r="AD112" s="8">
        <f>IFERROR(AC112/AC444, "NA")</f>
        <v>0</v>
      </c>
    </row>
    <row r="113" spans="1:30" ht="16.5" hidden="1" customHeight="1" x14ac:dyDescent="0.45">
      <c r="A113" s="12" t="s">
        <v>108</v>
      </c>
      <c r="B113" s="7">
        <v>0</v>
      </c>
      <c r="C113" s="8">
        <f>IFERROR(B113/B444, "NA")</f>
        <v>0</v>
      </c>
      <c r="D113" s="9"/>
      <c r="E113" s="7">
        <v>0</v>
      </c>
      <c r="F113" s="8">
        <f>IFERROR(E113/E444, "NA")</f>
        <v>0</v>
      </c>
      <c r="G113" s="9"/>
      <c r="H113" s="10">
        <f t="shared" si="24"/>
        <v>0</v>
      </c>
      <c r="I113" s="8">
        <f>IFERROR(H113/H444, "NA")</f>
        <v>0</v>
      </c>
      <c r="J113" s="9"/>
      <c r="K113" s="7">
        <v>0</v>
      </c>
      <c r="L113" s="8">
        <f>IFERROR(K113/K444, "NA")</f>
        <v>0</v>
      </c>
      <c r="M113" s="9"/>
      <c r="N113" s="10">
        <f t="shared" si="25"/>
        <v>0</v>
      </c>
      <c r="O113" s="8">
        <f>IFERROR(N113/N444, "NA")</f>
        <v>0</v>
      </c>
      <c r="P113" s="9"/>
      <c r="Q113" s="7">
        <v>0</v>
      </c>
      <c r="R113" s="8">
        <f>IFERROR(Q113/Q444, "NA")</f>
        <v>0</v>
      </c>
      <c r="S113" s="9"/>
      <c r="T113" s="7">
        <v>0</v>
      </c>
      <c r="U113" s="8">
        <f>IFERROR(T113/T444, "NA")</f>
        <v>0</v>
      </c>
      <c r="V113" s="9"/>
      <c r="W113" s="10">
        <f t="shared" si="26"/>
        <v>0</v>
      </c>
      <c r="X113" s="8">
        <f>IFERROR(W113/W444, "NA")</f>
        <v>0</v>
      </c>
      <c r="Y113" s="9"/>
      <c r="Z113" s="7">
        <v>0</v>
      </c>
      <c r="AA113" s="8">
        <f>IFERROR(Z113/Z444, "NA")</f>
        <v>0</v>
      </c>
      <c r="AB113" s="9"/>
      <c r="AC113" s="10">
        <f t="shared" si="27"/>
        <v>0</v>
      </c>
      <c r="AD113" s="8">
        <f>IFERROR(AC113/AC444, "NA")</f>
        <v>0</v>
      </c>
    </row>
    <row r="114" spans="1:30" ht="16.5" hidden="1" customHeight="1" x14ac:dyDescent="0.45">
      <c r="A114" s="12" t="s">
        <v>109</v>
      </c>
      <c r="B114" s="7">
        <v>0</v>
      </c>
      <c r="C114" s="8">
        <f>IFERROR(B114/B444, "NA")</f>
        <v>0</v>
      </c>
      <c r="D114" s="9"/>
      <c r="E114" s="7">
        <v>0</v>
      </c>
      <c r="F114" s="8">
        <f>IFERROR(E114/E444, "NA")</f>
        <v>0</v>
      </c>
      <c r="G114" s="9"/>
      <c r="H114" s="10">
        <f t="shared" si="24"/>
        <v>0</v>
      </c>
      <c r="I114" s="8">
        <f>IFERROR(H114/H444, "NA")</f>
        <v>0</v>
      </c>
      <c r="J114" s="9"/>
      <c r="K114" s="7">
        <v>0</v>
      </c>
      <c r="L114" s="8">
        <f>IFERROR(K114/K444, "NA")</f>
        <v>0</v>
      </c>
      <c r="M114" s="9"/>
      <c r="N114" s="10">
        <f t="shared" si="25"/>
        <v>0</v>
      </c>
      <c r="O114" s="8">
        <f>IFERROR(N114/N444, "NA")</f>
        <v>0</v>
      </c>
      <c r="P114" s="9"/>
      <c r="Q114" s="7">
        <v>0</v>
      </c>
      <c r="R114" s="8">
        <f>IFERROR(Q114/Q444, "NA")</f>
        <v>0</v>
      </c>
      <c r="S114" s="9"/>
      <c r="T114" s="7">
        <v>0</v>
      </c>
      <c r="U114" s="8">
        <f>IFERROR(T114/T444, "NA")</f>
        <v>0</v>
      </c>
      <c r="V114" s="9"/>
      <c r="W114" s="10">
        <f t="shared" si="26"/>
        <v>0</v>
      </c>
      <c r="X114" s="8">
        <f>IFERROR(W114/W444, "NA")</f>
        <v>0</v>
      </c>
      <c r="Y114" s="9"/>
      <c r="Z114" s="7">
        <v>0</v>
      </c>
      <c r="AA114" s="8">
        <f>IFERROR(Z114/Z444, "NA")</f>
        <v>0</v>
      </c>
      <c r="AB114" s="9"/>
      <c r="AC114" s="10">
        <f t="shared" si="27"/>
        <v>0</v>
      </c>
      <c r="AD114" s="8">
        <f>IFERROR(AC114/AC444, "NA")</f>
        <v>0</v>
      </c>
    </row>
    <row r="115" spans="1:30" ht="16.5" hidden="1" customHeight="1" x14ac:dyDescent="0.45">
      <c r="A115" s="12" t="s">
        <v>110</v>
      </c>
      <c r="B115" s="7">
        <v>0</v>
      </c>
      <c r="C115" s="8">
        <f>IFERROR(B115/B444, "NA")</f>
        <v>0</v>
      </c>
      <c r="D115" s="9"/>
      <c r="E115" s="7">
        <v>0</v>
      </c>
      <c r="F115" s="8">
        <f>IFERROR(E115/E444, "NA")</f>
        <v>0</v>
      </c>
      <c r="G115" s="9"/>
      <c r="H115" s="10">
        <f t="shared" si="24"/>
        <v>0</v>
      </c>
      <c r="I115" s="8">
        <f>IFERROR(H115/H444, "NA")</f>
        <v>0</v>
      </c>
      <c r="J115" s="9"/>
      <c r="K115" s="7">
        <v>0</v>
      </c>
      <c r="L115" s="8">
        <f>IFERROR(K115/K444, "NA")</f>
        <v>0</v>
      </c>
      <c r="M115" s="9"/>
      <c r="N115" s="10">
        <f t="shared" si="25"/>
        <v>0</v>
      </c>
      <c r="O115" s="8">
        <f>IFERROR(N115/N444, "NA")</f>
        <v>0</v>
      </c>
      <c r="P115" s="9"/>
      <c r="Q115" s="7">
        <v>0</v>
      </c>
      <c r="R115" s="8">
        <f>IFERROR(Q115/Q444, "NA")</f>
        <v>0</v>
      </c>
      <c r="S115" s="9"/>
      <c r="T115" s="7">
        <v>0</v>
      </c>
      <c r="U115" s="8">
        <f>IFERROR(T115/T444, "NA")</f>
        <v>0</v>
      </c>
      <c r="V115" s="9"/>
      <c r="W115" s="10">
        <f t="shared" si="26"/>
        <v>0</v>
      </c>
      <c r="X115" s="8">
        <f>IFERROR(W115/W444, "NA")</f>
        <v>0</v>
      </c>
      <c r="Y115" s="9"/>
      <c r="Z115" s="7">
        <v>0</v>
      </c>
      <c r="AA115" s="8">
        <f>IFERROR(Z115/Z444, "NA")</f>
        <v>0</v>
      </c>
      <c r="AB115" s="9"/>
      <c r="AC115" s="10">
        <f t="shared" si="27"/>
        <v>0</v>
      </c>
      <c r="AD115" s="8">
        <f>IFERROR(AC115/AC444, "NA")</f>
        <v>0</v>
      </c>
    </row>
    <row r="116" spans="1:30" ht="16.5" hidden="1" customHeight="1" x14ac:dyDescent="0.45">
      <c r="A116" s="12" t="s">
        <v>111</v>
      </c>
      <c r="B116" s="7">
        <v>0</v>
      </c>
      <c r="C116" s="8">
        <f>IFERROR(B116/B444, "NA")</f>
        <v>0</v>
      </c>
      <c r="D116" s="9"/>
      <c r="E116" s="7">
        <v>0</v>
      </c>
      <c r="F116" s="8">
        <f>IFERROR(E116/E444, "NA")</f>
        <v>0</v>
      </c>
      <c r="G116" s="9"/>
      <c r="H116" s="10">
        <f t="shared" si="24"/>
        <v>0</v>
      </c>
      <c r="I116" s="8">
        <f>IFERROR(H116/H444, "NA")</f>
        <v>0</v>
      </c>
      <c r="J116" s="9"/>
      <c r="K116" s="7">
        <v>0</v>
      </c>
      <c r="L116" s="8">
        <f>IFERROR(K116/K444, "NA")</f>
        <v>0</v>
      </c>
      <c r="M116" s="9"/>
      <c r="N116" s="10">
        <f t="shared" si="25"/>
        <v>0</v>
      </c>
      <c r="O116" s="8">
        <f>IFERROR(N116/N444, "NA")</f>
        <v>0</v>
      </c>
      <c r="P116" s="9"/>
      <c r="Q116" s="7">
        <v>0</v>
      </c>
      <c r="R116" s="8">
        <f>IFERROR(Q116/Q444, "NA")</f>
        <v>0</v>
      </c>
      <c r="S116" s="9"/>
      <c r="T116" s="7">
        <v>0</v>
      </c>
      <c r="U116" s="8">
        <f>IFERROR(T116/T444, "NA")</f>
        <v>0</v>
      </c>
      <c r="V116" s="9"/>
      <c r="W116" s="10">
        <f t="shared" si="26"/>
        <v>0</v>
      </c>
      <c r="X116" s="8">
        <f>IFERROR(W116/W444, "NA")</f>
        <v>0</v>
      </c>
      <c r="Y116" s="9"/>
      <c r="Z116" s="7">
        <v>0</v>
      </c>
      <c r="AA116" s="8">
        <f>IFERROR(Z116/Z444, "NA")</f>
        <v>0</v>
      </c>
      <c r="AB116" s="9"/>
      <c r="AC116" s="10">
        <f t="shared" si="27"/>
        <v>0</v>
      </c>
      <c r="AD116" s="8">
        <f>IFERROR(AC116/AC444, "NA")</f>
        <v>0</v>
      </c>
    </row>
    <row r="117" spans="1:30" ht="16.5" hidden="1" customHeight="1" x14ac:dyDescent="0.45">
      <c r="A117" s="12" t="s">
        <v>112</v>
      </c>
      <c r="B117" s="7">
        <v>0</v>
      </c>
      <c r="C117" s="8">
        <f>IFERROR(B117/B444, "NA")</f>
        <v>0</v>
      </c>
      <c r="D117" s="9"/>
      <c r="E117" s="7">
        <v>0</v>
      </c>
      <c r="F117" s="8">
        <f>IFERROR(E117/E444, "NA")</f>
        <v>0</v>
      </c>
      <c r="G117" s="9"/>
      <c r="H117" s="10">
        <f t="shared" si="24"/>
        <v>0</v>
      </c>
      <c r="I117" s="8">
        <f>IFERROR(H117/H444, "NA")</f>
        <v>0</v>
      </c>
      <c r="J117" s="9"/>
      <c r="K117" s="7">
        <v>0</v>
      </c>
      <c r="L117" s="8">
        <f>IFERROR(K117/K444, "NA")</f>
        <v>0</v>
      </c>
      <c r="M117" s="9"/>
      <c r="N117" s="10">
        <f t="shared" si="25"/>
        <v>0</v>
      </c>
      <c r="O117" s="8">
        <f>IFERROR(N117/N444, "NA")</f>
        <v>0</v>
      </c>
      <c r="P117" s="9"/>
      <c r="Q117" s="7">
        <v>0</v>
      </c>
      <c r="R117" s="8">
        <f>IFERROR(Q117/Q444, "NA")</f>
        <v>0</v>
      </c>
      <c r="S117" s="9"/>
      <c r="T117" s="7">
        <v>0</v>
      </c>
      <c r="U117" s="8">
        <f>IFERROR(T117/T444, "NA")</f>
        <v>0</v>
      </c>
      <c r="V117" s="9"/>
      <c r="W117" s="10">
        <f t="shared" si="26"/>
        <v>0</v>
      </c>
      <c r="X117" s="8">
        <f>IFERROR(W117/W444, "NA")</f>
        <v>0</v>
      </c>
      <c r="Y117" s="9"/>
      <c r="Z117" s="7">
        <v>0</v>
      </c>
      <c r="AA117" s="8">
        <f>IFERROR(Z117/Z444, "NA")</f>
        <v>0</v>
      </c>
      <c r="AB117" s="9"/>
      <c r="AC117" s="10">
        <f t="shared" si="27"/>
        <v>0</v>
      </c>
      <c r="AD117" s="8">
        <f>IFERROR(AC117/AC444, "NA")</f>
        <v>0</v>
      </c>
    </row>
    <row r="118" spans="1:30" ht="16.5" customHeight="1" x14ac:dyDescent="0.45">
      <c r="A118" s="13" t="s">
        <v>113</v>
      </c>
      <c r="B118" s="14">
        <f>IFERROR(B94+B95+B96+B97+B98+B99+B100+B101+B102+B103+B104+B105+B106+B107+B108+B109+B110+B111+B112+B113+B114+B115+B116+B117, "NA")</f>
        <v>-4467.0600000000004</v>
      </c>
      <c r="C118" s="15">
        <f>IFERROR(B118/B444, "NA")</f>
        <v>-3.4087943423473252E-2</v>
      </c>
      <c r="D118" s="2"/>
      <c r="E118" s="14">
        <f>IFERROR(E94+E95+E96+E97+E98+E99+E100+E101+E102+E103+E104+E105+E106+E107+E108+E109+E110+E111+E112+E113+E114+E115+E116+E117, "NA")</f>
        <v>-5828.89</v>
      </c>
      <c r="F118" s="15">
        <f>IFERROR(E118/E444, "NA")</f>
        <v>-4.1000005416126258E-2</v>
      </c>
      <c r="G118" s="2"/>
      <c r="H118" s="14">
        <f t="shared" si="24"/>
        <v>1361.83</v>
      </c>
      <c r="I118" s="15">
        <f>IFERROR(H118/H444, "NA")</f>
        <v>-0.12243512690519627</v>
      </c>
      <c r="J118" s="2"/>
      <c r="K118" s="14">
        <f>IFERROR(K94+K95+K96+K97+K98+K99+K100+K101+K102+K103+K104+K105+K106+K107+K108+K109+K110+K111+K112+K113+K114+K115+K116+K117, "NA")</f>
        <v>-5429.92</v>
      </c>
      <c r="L118" s="15">
        <f>IFERROR(K118/K444, "NA")</f>
        <v>-3.946361829586463E-2</v>
      </c>
      <c r="M118" s="2"/>
      <c r="N118" s="14">
        <f t="shared" si="25"/>
        <v>962.85999999999967</v>
      </c>
      <c r="O118" s="15">
        <f>IFERROR(N118/N444, "NA")</f>
        <v>-0.14704867209334299</v>
      </c>
      <c r="P118" s="2"/>
      <c r="Q118" s="14">
        <f>IFERROR(Q94+Q95+Q96+Q97+Q98+Q99+Q100+Q101+Q102+Q103+Q104+Q105+Q106+Q107+Q108+Q109+Q110+Q111+Q112+Q113+Q114+Q115+Q116+Q117, "NA")</f>
        <v>-4467.0600000000004</v>
      </c>
      <c r="R118" s="15">
        <f>IFERROR(Q118/Q444, "NA")</f>
        <v>-3.4087943423473252E-2</v>
      </c>
      <c r="S118" s="2"/>
      <c r="T118" s="14">
        <f>IFERROR(T94+T95+T96+T97+T98+T99+T100+T101+T102+T103+T104+T105+T106+T107+T108+T109+T110+T111+T112+T113+T114+T115+T116+T117, "NA")</f>
        <v>-5828.89</v>
      </c>
      <c r="U118" s="15">
        <f>IFERROR(T118/T444, "NA")</f>
        <v>-4.1000005416126258E-2</v>
      </c>
      <c r="V118" s="2"/>
      <c r="W118" s="14">
        <f t="shared" si="26"/>
        <v>1361.83</v>
      </c>
      <c r="X118" s="15">
        <f>IFERROR(W118/W444, "NA")</f>
        <v>-0.12243512690519627</v>
      </c>
      <c r="Y118" s="2"/>
      <c r="Z118" s="14">
        <f>IFERROR(Z94+Z95+Z96+Z97+Z98+Z99+Z100+Z101+Z102+Z103+Z104+Z105+Z106+Z107+Z108+Z109+Z110+Z111+Z112+Z113+Z114+Z115+Z116+Z117, "NA")</f>
        <v>-5429.92</v>
      </c>
      <c r="AA118" s="15">
        <f>IFERROR(Z118/Z444, "NA")</f>
        <v>-3.946361829586463E-2</v>
      </c>
      <c r="AB118" s="2"/>
      <c r="AC118" s="14">
        <f t="shared" si="27"/>
        <v>962.85999999999967</v>
      </c>
      <c r="AD118" s="15">
        <f>IFERROR(AC118/AC444, "NA")</f>
        <v>-0.14704867209334299</v>
      </c>
    </row>
    <row r="119" spans="1:30" ht="16.5" hidden="1" customHeight="1" x14ac:dyDescent="0.45">
      <c r="A119" s="6" t="s">
        <v>114</v>
      </c>
      <c r="B119" s="7">
        <v>0</v>
      </c>
      <c r="C119" s="8">
        <f>IFERROR(B119/B444, "NA")</f>
        <v>0</v>
      </c>
      <c r="D119" s="9"/>
      <c r="E119" s="7">
        <v>0</v>
      </c>
      <c r="F119" s="8">
        <f>IFERROR(E119/E444, "NA")</f>
        <v>0</v>
      </c>
      <c r="G119" s="9"/>
      <c r="H119" s="10">
        <f t="shared" si="24"/>
        <v>0</v>
      </c>
      <c r="I119" s="8">
        <f>IFERROR(H119/H444, "NA")</f>
        <v>0</v>
      </c>
      <c r="J119" s="9"/>
      <c r="K119" s="7">
        <v>0</v>
      </c>
      <c r="L119" s="8">
        <f>IFERROR(K119/K444, "NA")</f>
        <v>0</v>
      </c>
      <c r="M119" s="9"/>
      <c r="N119" s="10">
        <f t="shared" si="25"/>
        <v>0</v>
      </c>
      <c r="O119" s="8">
        <f>IFERROR(N119/N444, "NA")</f>
        <v>0</v>
      </c>
      <c r="P119" s="9"/>
      <c r="Q119" s="7">
        <v>0</v>
      </c>
      <c r="R119" s="8">
        <f>IFERROR(Q119/Q444, "NA")</f>
        <v>0</v>
      </c>
      <c r="S119" s="9"/>
      <c r="T119" s="7">
        <v>0</v>
      </c>
      <c r="U119" s="8">
        <f>IFERROR(T119/T444, "NA")</f>
        <v>0</v>
      </c>
      <c r="V119" s="9"/>
      <c r="W119" s="10">
        <f t="shared" si="26"/>
        <v>0</v>
      </c>
      <c r="X119" s="8">
        <f>IFERROR(W119/W444, "NA")</f>
        <v>0</v>
      </c>
      <c r="Y119" s="9"/>
      <c r="Z119" s="7">
        <v>0</v>
      </c>
      <c r="AA119" s="8">
        <f>IFERROR(Z119/Z444, "NA")</f>
        <v>0</v>
      </c>
      <c r="AB119" s="9"/>
      <c r="AC119" s="10">
        <f t="shared" si="27"/>
        <v>0</v>
      </c>
      <c r="AD119" s="8">
        <f>IFERROR(AC119/AC444, "NA")</f>
        <v>0</v>
      </c>
    </row>
    <row r="120" spans="1:30" ht="16.5" hidden="1" customHeight="1" x14ac:dyDescent="0.45">
      <c r="A120" s="6" t="s">
        <v>115</v>
      </c>
      <c r="B120" s="7">
        <v>0</v>
      </c>
      <c r="C120" s="8">
        <f>IFERROR(B120/B444, "NA")</f>
        <v>0</v>
      </c>
      <c r="D120" s="9"/>
      <c r="E120" s="7">
        <v>0</v>
      </c>
      <c r="F120" s="8">
        <f>IFERROR(E120/E444, "NA")</f>
        <v>0</v>
      </c>
      <c r="G120" s="9"/>
      <c r="H120" s="10">
        <f t="shared" si="24"/>
        <v>0</v>
      </c>
      <c r="I120" s="8">
        <f>IFERROR(H120/H444, "NA")</f>
        <v>0</v>
      </c>
      <c r="J120" s="9"/>
      <c r="K120" s="7">
        <v>0</v>
      </c>
      <c r="L120" s="8">
        <f>IFERROR(K120/K444, "NA")</f>
        <v>0</v>
      </c>
      <c r="M120" s="9"/>
      <c r="N120" s="10">
        <f t="shared" si="25"/>
        <v>0</v>
      </c>
      <c r="O120" s="8">
        <f>IFERROR(N120/N444, "NA")</f>
        <v>0</v>
      </c>
      <c r="P120" s="9"/>
      <c r="Q120" s="7">
        <v>0</v>
      </c>
      <c r="R120" s="8">
        <f>IFERROR(Q120/Q444, "NA")</f>
        <v>0</v>
      </c>
      <c r="S120" s="9"/>
      <c r="T120" s="7">
        <v>0</v>
      </c>
      <c r="U120" s="8">
        <f>IFERROR(T120/T444, "NA")</f>
        <v>0</v>
      </c>
      <c r="V120" s="9"/>
      <c r="W120" s="10">
        <f t="shared" si="26"/>
        <v>0</v>
      </c>
      <c r="X120" s="8">
        <f>IFERROR(W120/W444, "NA")</f>
        <v>0</v>
      </c>
      <c r="Y120" s="9"/>
      <c r="Z120" s="7">
        <v>0</v>
      </c>
      <c r="AA120" s="8">
        <f>IFERROR(Z120/Z444, "NA")</f>
        <v>0</v>
      </c>
      <c r="AB120" s="9"/>
      <c r="AC120" s="10">
        <f t="shared" si="27"/>
        <v>0</v>
      </c>
      <c r="AD120" s="8">
        <f>IFERROR(AC120/AC444, "NA")</f>
        <v>0</v>
      </c>
    </row>
    <row r="121" spans="1:30" ht="16.5" hidden="1" customHeight="1" x14ac:dyDescent="0.45">
      <c r="A121" s="6" t="s">
        <v>116</v>
      </c>
      <c r="B121" s="7">
        <v>0</v>
      </c>
      <c r="C121" s="8">
        <f>IFERROR(B121/B444, "NA")</f>
        <v>0</v>
      </c>
      <c r="D121" s="9"/>
      <c r="E121" s="7">
        <v>0</v>
      </c>
      <c r="F121" s="8">
        <f>IFERROR(E121/E444, "NA")</f>
        <v>0</v>
      </c>
      <c r="G121" s="9"/>
      <c r="H121" s="10">
        <f t="shared" si="24"/>
        <v>0</v>
      </c>
      <c r="I121" s="8">
        <f>IFERROR(H121/H444, "NA")</f>
        <v>0</v>
      </c>
      <c r="J121" s="9"/>
      <c r="K121" s="7">
        <v>0</v>
      </c>
      <c r="L121" s="8">
        <f>IFERROR(K121/K444, "NA")</f>
        <v>0</v>
      </c>
      <c r="M121" s="9"/>
      <c r="N121" s="10">
        <f t="shared" si="25"/>
        <v>0</v>
      </c>
      <c r="O121" s="8">
        <f>IFERROR(N121/N444, "NA")</f>
        <v>0</v>
      </c>
      <c r="P121" s="9"/>
      <c r="Q121" s="7">
        <v>0</v>
      </c>
      <c r="R121" s="8">
        <f>IFERROR(Q121/Q444, "NA")</f>
        <v>0</v>
      </c>
      <c r="S121" s="9"/>
      <c r="T121" s="7">
        <v>0</v>
      </c>
      <c r="U121" s="8">
        <f>IFERROR(T121/T444, "NA")</f>
        <v>0</v>
      </c>
      <c r="V121" s="9"/>
      <c r="W121" s="10">
        <f t="shared" si="26"/>
        <v>0</v>
      </c>
      <c r="X121" s="8">
        <f>IFERROR(W121/W444, "NA")</f>
        <v>0</v>
      </c>
      <c r="Y121" s="9"/>
      <c r="Z121" s="7">
        <v>0</v>
      </c>
      <c r="AA121" s="8">
        <f>IFERROR(Z121/Z444, "NA")</f>
        <v>0</v>
      </c>
      <c r="AB121" s="9"/>
      <c r="AC121" s="10">
        <f t="shared" si="27"/>
        <v>0</v>
      </c>
      <c r="AD121" s="8">
        <f>IFERROR(AC121/AC444, "NA")</f>
        <v>0</v>
      </c>
    </row>
    <row r="122" spans="1:30" ht="16.5" customHeight="1" x14ac:dyDescent="0.45">
      <c r="A122" s="19" t="s">
        <v>117</v>
      </c>
      <c r="B122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131045.15999999997</v>
      </c>
      <c r="C122" s="15">
        <f>IFERROR(B122/B444, "NA")</f>
        <v>0.99999999999999978</v>
      </c>
      <c r="D122" s="2"/>
      <c r="E122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142168.03</v>
      </c>
      <c r="F122" s="15">
        <f>IFERROR(E122/E444, "NA")</f>
        <v>1</v>
      </c>
      <c r="G122" s="2"/>
      <c r="H122" s="14">
        <f t="shared" si="24"/>
        <v>-11122.870000000024</v>
      </c>
      <c r="I122" s="15">
        <f>IFERROR(H122/H444, "NA")</f>
        <v>1.0000000000000027</v>
      </c>
      <c r="J122" s="2"/>
      <c r="K122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137593.06000000006</v>
      </c>
      <c r="L122" s="15">
        <f>IFERROR(K122/K444, "NA")</f>
        <v>1.0000000000000004</v>
      </c>
      <c r="M122" s="2"/>
      <c r="N122" s="14">
        <f t="shared" si="25"/>
        <v>-6547.9000000000815</v>
      </c>
      <c r="O122" s="15">
        <f>IFERROR(N122/N444, "NA")</f>
        <v>1.0000000000000133</v>
      </c>
      <c r="P122" s="2"/>
      <c r="Q122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131045.15999999997</v>
      </c>
      <c r="R122" s="15">
        <f>IFERROR(Q122/Q444, "NA")</f>
        <v>0.99999999999999978</v>
      </c>
      <c r="S122" s="2"/>
      <c r="T122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142168.03</v>
      </c>
      <c r="U122" s="15">
        <f>IFERROR(T122/T444, "NA")</f>
        <v>1</v>
      </c>
      <c r="V122" s="2"/>
      <c r="W122" s="14">
        <f t="shared" si="26"/>
        <v>-11122.870000000024</v>
      </c>
      <c r="X122" s="15">
        <f>IFERROR(W122/W444, "NA")</f>
        <v>1.0000000000000027</v>
      </c>
      <c r="Y122" s="2"/>
      <c r="Z122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137593.06000000006</v>
      </c>
      <c r="AA122" s="15">
        <f>IFERROR(Z122/Z444, "NA")</f>
        <v>1.0000000000000004</v>
      </c>
      <c r="AB122" s="2"/>
      <c r="AC122" s="14">
        <f t="shared" si="27"/>
        <v>-6547.9000000000815</v>
      </c>
      <c r="AD122" s="15">
        <f>IFERROR(AC122/AC444, "NA")</f>
        <v>1.0000000000000133</v>
      </c>
    </row>
    <row r="123" spans="1:30" ht="16.5" hidden="1" customHeight="1" x14ac:dyDescent="0.45">
      <c r="A123" s="20" t="s">
        <v>118</v>
      </c>
      <c r="B123" s="7">
        <v>0</v>
      </c>
      <c r="C123" s="8">
        <f>IFERROR(B123/B444, "NA")</f>
        <v>0</v>
      </c>
      <c r="D123" s="9"/>
      <c r="E123" s="7">
        <v>0</v>
      </c>
      <c r="F123" s="8">
        <f>IFERROR(E123/E444, "NA")</f>
        <v>0</v>
      </c>
      <c r="G123" s="9"/>
      <c r="H123" s="10">
        <f t="shared" si="24"/>
        <v>0</v>
      </c>
      <c r="I123" s="8">
        <f>IFERROR(H123/H444, "NA")</f>
        <v>0</v>
      </c>
      <c r="J123" s="9"/>
      <c r="K123" s="7">
        <v>0</v>
      </c>
      <c r="L123" s="8">
        <f>IFERROR(K123/K444, "NA")</f>
        <v>0</v>
      </c>
      <c r="M123" s="9"/>
      <c r="N123" s="10">
        <f t="shared" si="25"/>
        <v>0</v>
      </c>
      <c r="O123" s="8">
        <f>IFERROR(N123/N444, "NA")</f>
        <v>0</v>
      </c>
      <c r="P123" s="9"/>
      <c r="Q123" s="7">
        <v>0</v>
      </c>
      <c r="R123" s="8">
        <f>IFERROR(Q123/Q444, "NA")</f>
        <v>0</v>
      </c>
      <c r="S123" s="9"/>
      <c r="T123" s="7">
        <v>0</v>
      </c>
      <c r="U123" s="8">
        <f>IFERROR(T123/T444, "NA")</f>
        <v>0</v>
      </c>
      <c r="V123" s="9"/>
      <c r="W123" s="10">
        <f t="shared" si="26"/>
        <v>0</v>
      </c>
      <c r="X123" s="8">
        <f>IFERROR(W123/W444, "NA")</f>
        <v>0</v>
      </c>
      <c r="Y123" s="9"/>
      <c r="Z123" s="7">
        <v>0</v>
      </c>
      <c r="AA123" s="8">
        <f>IFERROR(Z123/Z444, "NA")</f>
        <v>0</v>
      </c>
      <c r="AB123" s="9"/>
      <c r="AC123" s="10">
        <f t="shared" si="27"/>
        <v>0</v>
      </c>
      <c r="AD123" s="8">
        <f>IFERROR(AC123/AC444, "NA")</f>
        <v>0</v>
      </c>
    </row>
    <row r="124" spans="1:30" ht="16.5" customHeight="1" x14ac:dyDescent="0.45">
      <c r="A124" s="21" t="s">
        <v>117</v>
      </c>
      <c r="B124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131045.15999999997</v>
      </c>
      <c r="C124" s="15">
        <f>IFERROR(B124/B444, "NA")</f>
        <v>0.99999999999999978</v>
      </c>
      <c r="D124" s="2"/>
      <c r="E124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142168.03</v>
      </c>
      <c r="F124" s="15">
        <f>IFERROR(E124/E444, "NA")</f>
        <v>1</v>
      </c>
      <c r="G124" s="2"/>
      <c r="H124" s="14">
        <f t="shared" si="24"/>
        <v>-11122.870000000024</v>
      </c>
      <c r="I124" s="15">
        <f>IFERROR(H124/H444, "NA")</f>
        <v>1.0000000000000027</v>
      </c>
      <c r="J124" s="2"/>
      <c r="K124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137593.06000000006</v>
      </c>
      <c r="L124" s="15">
        <f>IFERROR(K124/K444, "NA")</f>
        <v>1.0000000000000004</v>
      </c>
      <c r="M124" s="2"/>
      <c r="N124" s="14">
        <f t="shared" si="25"/>
        <v>-6547.9000000000815</v>
      </c>
      <c r="O124" s="15">
        <f>IFERROR(N124/N444, "NA")</f>
        <v>1.0000000000000133</v>
      </c>
      <c r="P124" s="2"/>
      <c r="Q124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131045.15999999997</v>
      </c>
      <c r="R124" s="15">
        <f>IFERROR(Q124/Q444, "NA")</f>
        <v>0.99999999999999978</v>
      </c>
      <c r="S124" s="2"/>
      <c r="T124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142168.03</v>
      </c>
      <c r="U124" s="15">
        <f>IFERROR(T124/T444, "NA")</f>
        <v>1</v>
      </c>
      <c r="V124" s="2"/>
      <c r="W124" s="14">
        <f t="shared" si="26"/>
        <v>-11122.870000000024</v>
      </c>
      <c r="X124" s="15">
        <f>IFERROR(W124/W444, "NA")</f>
        <v>1.0000000000000027</v>
      </c>
      <c r="Y124" s="2"/>
      <c r="Z124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137593.06000000006</v>
      </c>
      <c r="AA124" s="15">
        <f>IFERROR(Z124/Z444, "NA")</f>
        <v>1.0000000000000004</v>
      </c>
      <c r="AB124" s="2"/>
      <c r="AC124" s="14">
        <f t="shared" si="27"/>
        <v>-6547.9000000000815</v>
      </c>
      <c r="AD124" s="15">
        <f>IFERROR(AC124/AC444, "NA")</f>
        <v>1.0000000000000133</v>
      </c>
    </row>
    <row r="125" spans="1:30" ht="16.5" customHeight="1" x14ac:dyDescent="0.45">
      <c r="A125" s="1" t="s">
        <v>119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45">
      <c r="A126" s="5" t="s">
        <v>120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45">
      <c r="A127" s="6" t="s">
        <v>120</v>
      </c>
      <c r="B127" s="7">
        <v>0</v>
      </c>
      <c r="C127" s="8">
        <f>IFERROR(B127/B444, "NA")</f>
        <v>0</v>
      </c>
      <c r="D127" s="9"/>
      <c r="E127" s="7">
        <v>0</v>
      </c>
      <c r="F127" s="8">
        <f>IFERROR(E127/E444, "NA")</f>
        <v>0</v>
      </c>
      <c r="G127" s="9"/>
      <c r="H127" s="10">
        <f>IFERROR(-(B127-E127), "NA")</f>
        <v>0</v>
      </c>
      <c r="I127" s="8">
        <f>IFERROR(H127/H444, "NA")</f>
        <v>0</v>
      </c>
      <c r="J127" s="9"/>
      <c r="K127" s="7">
        <v>0</v>
      </c>
      <c r="L127" s="8">
        <f>IFERROR(K127/K444, "NA")</f>
        <v>0</v>
      </c>
      <c r="M127" s="9"/>
      <c r="N127" s="10">
        <f>IFERROR(-(B127-K127), "NA")</f>
        <v>0</v>
      </c>
      <c r="O127" s="8">
        <f>IFERROR(N127/N444, "NA")</f>
        <v>0</v>
      </c>
      <c r="P127" s="9"/>
      <c r="Q127" s="7">
        <v>0</v>
      </c>
      <c r="R127" s="8">
        <f>IFERROR(Q127/Q444, "NA")</f>
        <v>0</v>
      </c>
      <c r="S127" s="9"/>
      <c r="T127" s="7">
        <v>0</v>
      </c>
      <c r="U127" s="8">
        <f>IFERROR(T127/T444, "NA")</f>
        <v>0</v>
      </c>
      <c r="V127" s="9"/>
      <c r="W127" s="10">
        <f>IFERROR(-(Q127-T127), "NA")</f>
        <v>0</v>
      </c>
      <c r="X127" s="8">
        <f>IFERROR(W127/W444, "NA")</f>
        <v>0</v>
      </c>
      <c r="Y127" s="9"/>
      <c r="Z127" s="7">
        <v>0</v>
      </c>
      <c r="AA127" s="8">
        <f>IFERROR(Z127/Z444, "NA")</f>
        <v>0</v>
      </c>
      <c r="AB127" s="9"/>
      <c r="AC127" s="10">
        <f>IFERROR(-(Q127-Z127), "NA")</f>
        <v>0</v>
      </c>
      <c r="AD127" s="8">
        <f>IFERROR(AC127/AC444, "NA")</f>
        <v>0</v>
      </c>
    </row>
    <row r="128" spans="1:30" ht="16.5" customHeight="1" x14ac:dyDescent="0.45">
      <c r="A128" s="11" t="s">
        <v>121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45">
      <c r="A129" s="12" t="s">
        <v>121</v>
      </c>
      <c r="B129" s="7">
        <v>0</v>
      </c>
      <c r="C129" s="8">
        <f>IFERROR(B129/B444, "NA")</f>
        <v>0</v>
      </c>
      <c r="D129" s="9"/>
      <c r="E129" s="7">
        <v>30566.13</v>
      </c>
      <c r="F129" s="8">
        <f>IFERROR(E129/E444, "NA")</f>
        <v>0.21500002497045223</v>
      </c>
      <c r="G129" s="9"/>
      <c r="H129" s="10">
        <f t="shared" ref="H129:H141" si="28">IFERROR(-(B129-E129), "NA")</f>
        <v>30566.13</v>
      </c>
      <c r="I129" s="8">
        <f>IFERROR(H129/H444, "NA")</f>
        <v>-2.7480434456215002</v>
      </c>
      <c r="J129" s="9"/>
      <c r="K129" s="7">
        <v>0</v>
      </c>
      <c r="L129" s="8">
        <f>IFERROR(K129/K444, "NA")</f>
        <v>0</v>
      </c>
      <c r="M129" s="9"/>
      <c r="N129" s="10">
        <f t="shared" ref="N129:N141" si="29">IFERROR(-(B129-K129), "NA")</f>
        <v>0</v>
      </c>
      <c r="O129" s="8">
        <f>IFERROR(N129/N444, "NA")</f>
        <v>0</v>
      </c>
      <c r="P129" s="9"/>
      <c r="Q129" s="7">
        <v>0</v>
      </c>
      <c r="R129" s="8">
        <f>IFERROR(Q129/Q444, "NA")</f>
        <v>0</v>
      </c>
      <c r="S129" s="9"/>
      <c r="T129" s="7">
        <v>30566.13</v>
      </c>
      <c r="U129" s="8">
        <f>IFERROR(T129/T444, "NA")</f>
        <v>0.21500002497045223</v>
      </c>
      <c r="V129" s="9"/>
      <c r="W129" s="10">
        <f t="shared" ref="W129:W141" si="30">IFERROR(-(Q129-T129), "NA")</f>
        <v>30566.13</v>
      </c>
      <c r="X129" s="8">
        <f>IFERROR(W129/W444, "NA")</f>
        <v>-2.7480434456215002</v>
      </c>
      <c r="Y129" s="9"/>
      <c r="Z129" s="7">
        <v>0</v>
      </c>
      <c r="AA129" s="8">
        <f>IFERROR(Z129/Z444, "NA")</f>
        <v>0</v>
      </c>
      <c r="AB129" s="9"/>
      <c r="AC129" s="10">
        <f t="shared" ref="AC129:AC141" si="31">IFERROR(-(Q129-Z129), "NA")</f>
        <v>0</v>
      </c>
      <c r="AD129" s="8">
        <f>IFERROR(AC129/AC444, "NA")</f>
        <v>0</v>
      </c>
    </row>
    <row r="130" spans="1:30" ht="16.5" customHeight="1" x14ac:dyDescent="0.45">
      <c r="A130" s="12" t="s">
        <v>122</v>
      </c>
      <c r="B130" s="7">
        <v>6474.61</v>
      </c>
      <c r="C130" s="8">
        <f>IFERROR(B130/B444, "NA")</f>
        <v>4.9407471439616692E-2</v>
      </c>
      <c r="D130" s="9"/>
      <c r="E130" s="7">
        <v>0</v>
      </c>
      <c r="F130" s="8">
        <f>IFERROR(E130/E444, "NA")</f>
        <v>0</v>
      </c>
      <c r="G130" s="9"/>
      <c r="H130" s="10">
        <f t="shared" si="28"/>
        <v>-6474.61</v>
      </c>
      <c r="I130" s="8">
        <f>IFERROR(H130/H444, "NA")</f>
        <v>0.58209886477141259</v>
      </c>
      <c r="J130" s="9"/>
      <c r="K130" s="7">
        <v>7016.73</v>
      </c>
      <c r="L130" s="8">
        <f>IFERROR(K130/K444, "NA")</f>
        <v>5.0996249374786778E-2</v>
      </c>
      <c r="M130" s="9"/>
      <c r="N130" s="10">
        <f t="shared" si="29"/>
        <v>542.11999999999989</v>
      </c>
      <c r="O130" s="8">
        <f>IFERROR(N130/N444, "NA")</f>
        <v>-8.2792956520411187E-2</v>
      </c>
      <c r="P130" s="9"/>
      <c r="Q130" s="7">
        <v>6474.61</v>
      </c>
      <c r="R130" s="8">
        <f>IFERROR(Q130/Q444, "NA")</f>
        <v>4.9407471439616692E-2</v>
      </c>
      <c r="S130" s="9"/>
      <c r="T130" s="7">
        <v>0</v>
      </c>
      <c r="U130" s="8">
        <f>IFERROR(T130/T444, "NA")</f>
        <v>0</v>
      </c>
      <c r="V130" s="9"/>
      <c r="W130" s="10">
        <f t="shared" si="30"/>
        <v>-6474.61</v>
      </c>
      <c r="X130" s="8">
        <f>IFERROR(W130/W444, "NA")</f>
        <v>0.58209886477141259</v>
      </c>
      <c r="Y130" s="9"/>
      <c r="Z130" s="7">
        <v>7016.73</v>
      </c>
      <c r="AA130" s="8">
        <f>IFERROR(Z130/Z444, "NA")</f>
        <v>5.0996249374786778E-2</v>
      </c>
      <c r="AB130" s="9"/>
      <c r="AC130" s="10">
        <f t="shared" si="31"/>
        <v>542.11999999999989</v>
      </c>
      <c r="AD130" s="8">
        <f>IFERROR(AC130/AC444, "NA")</f>
        <v>-8.2792956520411187E-2</v>
      </c>
    </row>
    <row r="131" spans="1:30" ht="16.5" customHeight="1" x14ac:dyDescent="0.45">
      <c r="A131" s="12" t="s">
        <v>123</v>
      </c>
      <c r="B131" s="7">
        <v>4233.76</v>
      </c>
      <c r="C131" s="8">
        <f>IFERROR(B131/B444, "NA")</f>
        <v>3.2307641121579765E-2</v>
      </c>
      <c r="D131" s="9"/>
      <c r="E131" s="7">
        <v>0</v>
      </c>
      <c r="F131" s="8">
        <f>IFERROR(E131/E444, "NA")</f>
        <v>0</v>
      </c>
      <c r="G131" s="9"/>
      <c r="H131" s="10">
        <f t="shared" si="28"/>
        <v>-4233.76</v>
      </c>
      <c r="I131" s="8">
        <f>IFERROR(H131/H444, "NA")</f>
        <v>0.38063557337269988</v>
      </c>
      <c r="J131" s="9"/>
      <c r="K131" s="7">
        <v>3799.31</v>
      </c>
      <c r="L131" s="8">
        <f>IFERROR(K131/K444, "NA")</f>
        <v>2.7612657208146981E-2</v>
      </c>
      <c r="M131" s="9"/>
      <c r="N131" s="10">
        <f t="shared" si="29"/>
        <v>-434.45000000000027</v>
      </c>
      <c r="O131" s="8">
        <f>IFERROR(N131/N444, "NA")</f>
        <v>6.6349516638922509E-2</v>
      </c>
      <c r="P131" s="9"/>
      <c r="Q131" s="7">
        <v>4233.76</v>
      </c>
      <c r="R131" s="8">
        <f>IFERROR(Q131/Q444, "NA")</f>
        <v>3.2307641121579765E-2</v>
      </c>
      <c r="S131" s="9"/>
      <c r="T131" s="7">
        <v>0</v>
      </c>
      <c r="U131" s="8">
        <f>IFERROR(T131/T444, "NA")</f>
        <v>0</v>
      </c>
      <c r="V131" s="9"/>
      <c r="W131" s="10">
        <f t="shared" si="30"/>
        <v>-4233.76</v>
      </c>
      <c r="X131" s="8">
        <f>IFERROR(W131/W444, "NA")</f>
        <v>0.38063557337269988</v>
      </c>
      <c r="Y131" s="9"/>
      <c r="Z131" s="7">
        <v>3799.31</v>
      </c>
      <c r="AA131" s="8">
        <f>IFERROR(Z131/Z444, "NA")</f>
        <v>2.7612657208146981E-2</v>
      </c>
      <c r="AB131" s="9"/>
      <c r="AC131" s="10">
        <f t="shared" si="31"/>
        <v>-434.45000000000027</v>
      </c>
      <c r="AD131" s="8">
        <f>IFERROR(AC131/AC444, "NA")</f>
        <v>6.6349516638922509E-2</v>
      </c>
    </row>
    <row r="132" spans="1:30" ht="16.5" customHeight="1" x14ac:dyDescent="0.45">
      <c r="A132" s="12" t="s">
        <v>124</v>
      </c>
      <c r="B132" s="7">
        <v>3976.29</v>
      </c>
      <c r="C132" s="8">
        <f>IFERROR(B132/B444, "NA")</f>
        <v>3.034289858549526E-2</v>
      </c>
      <c r="D132" s="9"/>
      <c r="E132" s="7">
        <v>0</v>
      </c>
      <c r="F132" s="8">
        <f>IFERROR(E132/E444, "NA")</f>
        <v>0</v>
      </c>
      <c r="G132" s="9"/>
      <c r="H132" s="10">
        <f t="shared" si="28"/>
        <v>-3976.29</v>
      </c>
      <c r="I132" s="8">
        <f>IFERROR(H132/H444, "NA")</f>
        <v>0.3574877706922765</v>
      </c>
      <c r="J132" s="9"/>
      <c r="K132" s="7">
        <v>5064.37</v>
      </c>
      <c r="L132" s="8">
        <f>IFERROR(K132/K444, "NA")</f>
        <v>3.6806870927937788E-2</v>
      </c>
      <c r="M132" s="9"/>
      <c r="N132" s="10">
        <f t="shared" si="29"/>
        <v>1088.08</v>
      </c>
      <c r="O132" s="8">
        <f>IFERROR(N132/N444, "NA")</f>
        <v>-0.16617236060416329</v>
      </c>
      <c r="P132" s="9"/>
      <c r="Q132" s="7">
        <v>3976.29</v>
      </c>
      <c r="R132" s="8">
        <f>IFERROR(Q132/Q444, "NA")</f>
        <v>3.034289858549526E-2</v>
      </c>
      <c r="S132" s="9"/>
      <c r="T132" s="7">
        <v>0</v>
      </c>
      <c r="U132" s="8">
        <f>IFERROR(T132/T444, "NA")</f>
        <v>0</v>
      </c>
      <c r="V132" s="9"/>
      <c r="W132" s="10">
        <f t="shared" si="30"/>
        <v>-3976.29</v>
      </c>
      <c r="X132" s="8">
        <f>IFERROR(W132/W444, "NA")</f>
        <v>0.3574877706922765</v>
      </c>
      <c r="Y132" s="9"/>
      <c r="Z132" s="7">
        <v>5064.37</v>
      </c>
      <c r="AA132" s="8">
        <f>IFERROR(Z132/Z444, "NA")</f>
        <v>3.6806870927937788E-2</v>
      </c>
      <c r="AB132" s="9"/>
      <c r="AC132" s="10">
        <f t="shared" si="31"/>
        <v>1088.08</v>
      </c>
      <c r="AD132" s="8">
        <f>IFERROR(AC132/AC444, "NA")</f>
        <v>-0.16617236060416329</v>
      </c>
    </row>
    <row r="133" spans="1:30" ht="16.5" customHeight="1" x14ac:dyDescent="0.45">
      <c r="A133" s="12" t="s">
        <v>125</v>
      </c>
      <c r="B133" s="7">
        <v>2982.03</v>
      </c>
      <c r="C133" s="8">
        <f>IFERROR(B133/B444, "NA")</f>
        <v>2.2755743134656788E-2</v>
      </c>
      <c r="D133" s="9"/>
      <c r="E133" s="7">
        <v>0</v>
      </c>
      <c r="F133" s="8">
        <f>IFERROR(E133/E444, "NA")</f>
        <v>0</v>
      </c>
      <c r="G133" s="9"/>
      <c r="H133" s="10">
        <f t="shared" si="28"/>
        <v>-2982.03</v>
      </c>
      <c r="I133" s="8">
        <f>IFERROR(H133/H444, "NA")</f>
        <v>0.26809897085913992</v>
      </c>
      <c r="J133" s="9"/>
      <c r="K133" s="7">
        <v>2881.02</v>
      </c>
      <c r="L133" s="8">
        <f>IFERROR(K133/K444, "NA")</f>
        <v>2.0938701414155627E-2</v>
      </c>
      <c r="M133" s="9"/>
      <c r="N133" s="10">
        <f t="shared" si="29"/>
        <v>-101.01000000000022</v>
      </c>
      <c r="O133" s="8">
        <f>IFERROR(N133/N444, "NA")</f>
        <v>1.5426319888819363E-2</v>
      </c>
      <c r="P133" s="9"/>
      <c r="Q133" s="7">
        <v>2982.03</v>
      </c>
      <c r="R133" s="8">
        <f>IFERROR(Q133/Q444, "NA")</f>
        <v>2.2755743134656788E-2</v>
      </c>
      <c r="S133" s="9"/>
      <c r="T133" s="7">
        <v>0</v>
      </c>
      <c r="U133" s="8">
        <f>IFERROR(T133/T444, "NA")</f>
        <v>0</v>
      </c>
      <c r="V133" s="9"/>
      <c r="W133" s="10">
        <f t="shared" si="30"/>
        <v>-2982.03</v>
      </c>
      <c r="X133" s="8">
        <f>IFERROR(W133/W444, "NA")</f>
        <v>0.26809897085913992</v>
      </c>
      <c r="Y133" s="9"/>
      <c r="Z133" s="7">
        <v>2881.02</v>
      </c>
      <c r="AA133" s="8">
        <f>IFERROR(Z133/Z444, "NA")</f>
        <v>2.0938701414155627E-2</v>
      </c>
      <c r="AB133" s="9"/>
      <c r="AC133" s="10">
        <f t="shared" si="31"/>
        <v>-101.01000000000022</v>
      </c>
      <c r="AD133" s="8">
        <f>IFERROR(AC133/AC444, "NA")</f>
        <v>1.5426319888819363E-2</v>
      </c>
    </row>
    <row r="134" spans="1:30" ht="16.5" customHeight="1" x14ac:dyDescent="0.45">
      <c r="A134" s="12" t="s">
        <v>126</v>
      </c>
      <c r="B134" s="7">
        <v>1267.31</v>
      </c>
      <c r="C134" s="8">
        <f>IFERROR(B134/B444, "NA")</f>
        <v>9.670788299239742E-3</v>
      </c>
      <c r="D134" s="9"/>
      <c r="E134" s="7">
        <v>0</v>
      </c>
      <c r="F134" s="8">
        <f>IFERROR(E134/E444, "NA")</f>
        <v>0</v>
      </c>
      <c r="G134" s="9"/>
      <c r="H134" s="10">
        <f t="shared" si="28"/>
        <v>-1267.31</v>
      </c>
      <c r="I134" s="8">
        <f>IFERROR(H134/H444, "NA")</f>
        <v>0.11393732013410213</v>
      </c>
      <c r="J134" s="9"/>
      <c r="K134" s="7">
        <v>952.43</v>
      </c>
      <c r="L134" s="8">
        <f>IFERROR(K134/K444, "NA")</f>
        <v>6.9220787734497651E-3</v>
      </c>
      <c r="M134" s="9"/>
      <c r="N134" s="10">
        <f t="shared" si="29"/>
        <v>-314.88</v>
      </c>
      <c r="O134" s="8">
        <f>IFERROR(N134/N444, "NA")</f>
        <v>4.8088700193955357E-2</v>
      </c>
      <c r="P134" s="9"/>
      <c r="Q134" s="7">
        <v>1267.31</v>
      </c>
      <c r="R134" s="8">
        <f>IFERROR(Q134/Q444, "NA")</f>
        <v>9.670788299239742E-3</v>
      </c>
      <c r="S134" s="9"/>
      <c r="T134" s="7">
        <v>0</v>
      </c>
      <c r="U134" s="8">
        <f>IFERROR(T134/T444, "NA")</f>
        <v>0</v>
      </c>
      <c r="V134" s="9"/>
      <c r="W134" s="10">
        <f t="shared" si="30"/>
        <v>-1267.31</v>
      </c>
      <c r="X134" s="8">
        <f>IFERROR(W134/W444, "NA")</f>
        <v>0.11393732013410213</v>
      </c>
      <c r="Y134" s="9"/>
      <c r="Z134" s="7">
        <v>952.43</v>
      </c>
      <c r="AA134" s="8">
        <f>IFERROR(Z134/Z444, "NA")</f>
        <v>6.9220787734497651E-3</v>
      </c>
      <c r="AB134" s="9"/>
      <c r="AC134" s="10">
        <f t="shared" si="31"/>
        <v>-314.88</v>
      </c>
      <c r="AD134" s="8">
        <f>IFERROR(AC134/AC444, "NA")</f>
        <v>4.8088700193955357E-2</v>
      </c>
    </row>
    <row r="135" spans="1:30" ht="16.5" customHeight="1" x14ac:dyDescent="0.45">
      <c r="A135" s="12" t="s">
        <v>127</v>
      </c>
      <c r="B135" s="7">
        <v>1292</v>
      </c>
      <c r="C135" s="8">
        <f>IFERROR(B135/B444, "NA")</f>
        <v>9.8591966311460874E-3</v>
      </c>
      <c r="D135" s="9"/>
      <c r="E135" s="7">
        <v>0</v>
      </c>
      <c r="F135" s="8">
        <f>IFERROR(E135/E444, "NA")</f>
        <v>0</v>
      </c>
      <c r="G135" s="9"/>
      <c r="H135" s="10">
        <f t="shared" si="28"/>
        <v>-1292</v>
      </c>
      <c r="I135" s="8">
        <f>IFERROR(H135/H444, "NA")</f>
        <v>0.11615707097179061</v>
      </c>
      <c r="J135" s="9"/>
      <c r="K135" s="7">
        <v>1655.11</v>
      </c>
      <c r="L135" s="8">
        <f>IFERROR(K135/K444, "NA")</f>
        <v>1.2029022394007372E-2</v>
      </c>
      <c r="M135" s="9"/>
      <c r="N135" s="10">
        <f t="shared" si="29"/>
        <v>363.1099999999999</v>
      </c>
      <c r="O135" s="8">
        <f>IFERROR(N135/N444, "NA")</f>
        <v>-5.5454420501229437E-2</v>
      </c>
      <c r="P135" s="9"/>
      <c r="Q135" s="7">
        <v>1292</v>
      </c>
      <c r="R135" s="8">
        <f>IFERROR(Q135/Q444, "NA")</f>
        <v>9.8591966311460874E-3</v>
      </c>
      <c r="S135" s="9"/>
      <c r="T135" s="7">
        <v>0</v>
      </c>
      <c r="U135" s="8">
        <f>IFERROR(T135/T444, "NA")</f>
        <v>0</v>
      </c>
      <c r="V135" s="9"/>
      <c r="W135" s="10">
        <f t="shared" si="30"/>
        <v>-1292</v>
      </c>
      <c r="X135" s="8">
        <f>IFERROR(W135/W444, "NA")</f>
        <v>0.11615707097179061</v>
      </c>
      <c r="Y135" s="9"/>
      <c r="Z135" s="7">
        <v>1655.11</v>
      </c>
      <c r="AA135" s="8">
        <f>IFERROR(Z135/Z444, "NA")</f>
        <v>1.2029022394007372E-2</v>
      </c>
      <c r="AB135" s="9"/>
      <c r="AC135" s="10">
        <f t="shared" si="31"/>
        <v>363.1099999999999</v>
      </c>
      <c r="AD135" s="8">
        <f>IFERROR(AC135/AC444, "NA")</f>
        <v>-5.5454420501229437E-2</v>
      </c>
    </row>
    <row r="136" spans="1:30" ht="16.5" customHeight="1" x14ac:dyDescent="0.45">
      <c r="A136" s="12" t="s">
        <v>128</v>
      </c>
      <c r="B136" s="7">
        <v>0</v>
      </c>
      <c r="C136" s="8">
        <f>IFERROR(B136/B444, "NA")</f>
        <v>0</v>
      </c>
      <c r="D136" s="9"/>
      <c r="E136" s="7">
        <v>0</v>
      </c>
      <c r="F136" s="8">
        <f>IFERROR(E136/E444, "NA")</f>
        <v>0</v>
      </c>
      <c r="G136" s="9"/>
      <c r="H136" s="10">
        <f t="shared" si="28"/>
        <v>0</v>
      </c>
      <c r="I136" s="8">
        <f>IFERROR(H136/H444, "NA")</f>
        <v>0</v>
      </c>
      <c r="J136" s="9"/>
      <c r="K136" s="7">
        <v>918.42</v>
      </c>
      <c r="L136" s="8">
        <f>IFERROR(K136/K444, "NA")</f>
        <v>6.6749006090859519E-3</v>
      </c>
      <c r="M136" s="9"/>
      <c r="N136" s="10">
        <f t="shared" si="29"/>
        <v>918.42</v>
      </c>
      <c r="O136" s="8">
        <f>IFERROR(N136/N444, "NA")</f>
        <v>-0.14026176331342885</v>
      </c>
      <c r="P136" s="9"/>
      <c r="Q136" s="7">
        <v>0</v>
      </c>
      <c r="R136" s="8">
        <f>IFERROR(Q136/Q444, "NA")</f>
        <v>0</v>
      </c>
      <c r="S136" s="9"/>
      <c r="T136" s="7">
        <v>0</v>
      </c>
      <c r="U136" s="8">
        <f>IFERROR(T136/T444, "NA")</f>
        <v>0</v>
      </c>
      <c r="V136" s="9"/>
      <c r="W136" s="10">
        <f t="shared" si="30"/>
        <v>0</v>
      </c>
      <c r="X136" s="8">
        <f>IFERROR(W136/W444, "NA")</f>
        <v>0</v>
      </c>
      <c r="Y136" s="9"/>
      <c r="Z136" s="7">
        <v>918.42</v>
      </c>
      <c r="AA136" s="8">
        <f>IFERROR(Z136/Z444, "NA")</f>
        <v>6.6749006090859519E-3</v>
      </c>
      <c r="AB136" s="9"/>
      <c r="AC136" s="10">
        <f t="shared" si="31"/>
        <v>918.42</v>
      </c>
      <c r="AD136" s="8">
        <f>IFERROR(AC136/AC444, "NA")</f>
        <v>-0.14026176331342885</v>
      </c>
    </row>
    <row r="137" spans="1:30" ht="16.5" customHeight="1" x14ac:dyDescent="0.45">
      <c r="A137" s="12" t="s">
        <v>129</v>
      </c>
      <c r="B137" s="7">
        <v>521.16999999999996</v>
      </c>
      <c r="C137" s="8">
        <f>IFERROR(B137/B444, "NA")</f>
        <v>3.9770259351814283E-3</v>
      </c>
      <c r="D137" s="9"/>
      <c r="E137" s="7">
        <v>0</v>
      </c>
      <c r="F137" s="8">
        <f>IFERROR(E137/E444, "NA")</f>
        <v>0</v>
      </c>
      <c r="G137" s="9"/>
      <c r="H137" s="10">
        <f t="shared" si="28"/>
        <v>-521.16999999999996</v>
      </c>
      <c r="I137" s="8">
        <f>IFERROR(H137/H444, "NA")</f>
        <v>4.6855712599356114E-2</v>
      </c>
      <c r="J137" s="9"/>
      <c r="K137" s="7">
        <v>592.38</v>
      </c>
      <c r="L137" s="8">
        <f>IFERROR(K137/K444, "NA")</f>
        <v>4.3053043518328617E-3</v>
      </c>
      <c r="M137" s="9"/>
      <c r="N137" s="10">
        <f t="shared" si="29"/>
        <v>71.210000000000036</v>
      </c>
      <c r="O137" s="8">
        <f>IFERROR(N137/N444, "NA")</f>
        <v>-1.0875242444142412E-2</v>
      </c>
      <c r="P137" s="9"/>
      <c r="Q137" s="7">
        <v>521.16999999999996</v>
      </c>
      <c r="R137" s="8">
        <f>IFERROR(Q137/Q444, "NA")</f>
        <v>3.9770259351814283E-3</v>
      </c>
      <c r="S137" s="9"/>
      <c r="T137" s="7">
        <v>0</v>
      </c>
      <c r="U137" s="8">
        <f>IFERROR(T137/T444, "NA")</f>
        <v>0</v>
      </c>
      <c r="V137" s="9"/>
      <c r="W137" s="10">
        <f t="shared" si="30"/>
        <v>-521.16999999999996</v>
      </c>
      <c r="X137" s="8">
        <f>IFERROR(W137/W444, "NA")</f>
        <v>4.6855712599356114E-2</v>
      </c>
      <c r="Y137" s="9"/>
      <c r="Z137" s="7">
        <v>592.38</v>
      </c>
      <c r="AA137" s="8">
        <f>IFERROR(Z137/Z444, "NA")</f>
        <v>4.3053043518328617E-3</v>
      </c>
      <c r="AB137" s="9"/>
      <c r="AC137" s="10">
        <f t="shared" si="31"/>
        <v>71.210000000000036</v>
      </c>
      <c r="AD137" s="8">
        <f>IFERROR(AC137/AC444, "NA")</f>
        <v>-1.0875242444142412E-2</v>
      </c>
    </row>
    <row r="138" spans="1:30" ht="16.5" customHeight="1" x14ac:dyDescent="0.45">
      <c r="A138" s="12" t="s">
        <v>130</v>
      </c>
      <c r="B138" s="7">
        <v>9127.0400000000009</v>
      </c>
      <c r="C138" s="8">
        <f>IFERROR(B138/B444, "NA")</f>
        <v>6.9648051099330949E-2</v>
      </c>
      <c r="D138" s="9"/>
      <c r="E138" s="7">
        <v>0</v>
      </c>
      <c r="F138" s="8">
        <f>IFERROR(E138/E444, "NA")</f>
        <v>0</v>
      </c>
      <c r="G138" s="9"/>
      <c r="H138" s="10">
        <f t="shared" si="28"/>
        <v>-9127.0400000000009</v>
      </c>
      <c r="I138" s="8">
        <f>IFERROR(H138/H444, "NA")</f>
        <v>0.82056519585322896</v>
      </c>
      <c r="J138" s="9"/>
      <c r="K138" s="7">
        <v>6974.2</v>
      </c>
      <c r="L138" s="8">
        <f>IFERROR(K138/K444, "NA")</f>
        <v>5.0687149482684664E-2</v>
      </c>
      <c r="M138" s="9"/>
      <c r="N138" s="10">
        <f t="shared" si="29"/>
        <v>-2152.8400000000011</v>
      </c>
      <c r="O138" s="8">
        <f>IFERROR(N138/N444, "NA")</f>
        <v>0.32878327402678764</v>
      </c>
      <c r="P138" s="9"/>
      <c r="Q138" s="7">
        <v>9127.0400000000009</v>
      </c>
      <c r="R138" s="8">
        <f>IFERROR(Q138/Q444, "NA")</f>
        <v>6.9648051099330949E-2</v>
      </c>
      <c r="S138" s="9"/>
      <c r="T138" s="7">
        <v>0</v>
      </c>
      <c r="U138" s="8">
        <f>IFERROR(T138/T444, "NA")</f>
        <v>0</v>
      </c>
      <c r="V138" s="9"/>
      <c r="W138" s="10">
        <f t="shared" si="30"/>
        <v>-9127.0400000000009</v>
      </c>
      <c r="X138" s="8">
        <f>IFERROR(W138/W444, "NA")</f>
        <v>0.82056519585322896</v>
      </c>
      <c r="Y138" s="9"/>
      <c r="Z138" s="7">
        <v>6974.2</v>
      </c>
      <c r="AA138" s="8">
        <f>IFERROR(Z138/Z444, "NA")</f>
        <v>5.0687149482684664E-2</v>
      </c>
      <c r="AB138" s="9"/>
      <c r="AC138" s="10">
        <f t="shared" si="31"/>
        <v>-2152.8400000000011</v>
      </c>
      <c r="AD138" s="8">
        <f>IFERROR(AC138/AC444, "NA")</f>
        <v>0.32878327402678764</v>
      </c>
    </row>
    <row r="139" spans="1:30" ht="16.5" hidden="1" customHeight="1" x14ac:dyDescent="0.45">
      <c r="A139" s="12" t="s">
        <v>131</v>
      </c>
      <c r="B139" s="7">
        <v>0</v>
      </c>
      <c r="C139" s="8">
        <f>IFERROR(B139/B444, "NA")</f>
        <v>0</v>
      </c>
      <c r="D139" s="9"/>
      <c r="E139" s="7">
        <v>0</v>
      </c>
      <c r="F139" s="8">
        <f>IFERROR(E139/E444, "NA")</f>
        <v>0</v>
      </c>
      <c r="G139" s="9"/>
      <c r="H139" s="10">
        <f t="shared" si="28"/>
        <v>0</v>
      </c>
      <c r="I139" s="8">
        <f>IFERROR(H139/H444, "NA")</f>
        <v>0</v>
      </c>
      <c r="J139" s="9"/>
      <c r="K139" s="7">
        <v>0</v>
      </c>
      <c r="L139" s="8">
        <f>IFERROR(K139/K444, "NA")</f>
        <v>0</v>
      </c>
      <c r="M139" s="9"/>
      <c r="N139" s="10">
        <f t="shared" si="29"/>
        <v>0</v>
      </c>
      <c r="O139" s="8">
        <f>IFERROR(N139/N444, "NA")</f>
        <v>0</v>
      </c>
      <c r="P139" s="9"/>
      <c r="Q139" s="7">
        <v>0</v>
      </c>
      <c r="R139" s="8">
        <f>IFERROR(Q139/Q444, "NA")</f>
        <v>0</v>
      </c>
      <c r="S139" s="9"/>
      <c r="T139" s="7">
        <v>0</v>
      </c>
      <c r="U139" s="8">
        <f>IFERROR(T139/T444, "NA")</f>
        <v>0</v>
      </c>
      <c r="V139" s="9"/>
      <c r="W139" s="10">
        <f t="shared" si="30"/>
        <v>0</v>
      </c>
      <c r="X139" s="8">
        <f>IFERROR(W139/W444, "NA")</f>
        <v>0</v>
      </c>
      <c r="Y139" s="9"/>
      <c r="Z139" s="7">
        <v>0</v>
      </c>
      <c r="AA139" s="8">
        <f>IFERROR(Z139/Z444, "NA")</f>
        <v>0</v>
      </c>
      <c r="AB139" s="9"/>
      <c r="AC139" s="10">
        <f t="shared" si="31"/>
        <v>0</v>
      </c>
      <c r="AD139" s="8">
        <f>IFERROR(AC139/AC444, "NA")</f>
        <v>0</v>
      </c>
    </row>
    <row r="140" spans="1:30" ht="16.5" hidden="1" customHeight="1" x14ac:dyDescent="0.45">
      <c r="A140" s="12" t="s">
        <v>132</v>
      </c>
      <c r="B140" s="7">
        <v>0</v>
      </c>
      <c r="C140" s="8">
        <f>IFERROR(B140/B444, "NA")</f>
        <v>0</v>
      </c>
      <c r="D140" s="9"/>
      <c r="E140" s="7">
        <v>0</v>
      </c>
      <c r="F140" s="8">
        <f>IFERROR(E140/E444, "NA")</f>
        <v>0</v>
      </c>
      <c r="G140" s="9"/>
      <c r="H140" s="10">
        <f t="shared" si="28"/>
        <v>0</v>
      </c>
      <c r="I140" s="8">
        <f>IFERROR(H140/H444, "NA")</f>
        <v>0</v>
      </c>
      <c r="J140" s="9"/>
      <c r="K140" s="7">
        <v>0</v>
      </c>
      <c r="L140" s="8">
        <f>IFERROR(K140/K444, "NA")</f>
        <v>0</v>
      </c>
      <c r="M140" s="9"/>
      <c r="N140" s="10">
        <f t="shared" si="29"/>
        <v>0</v>
      </c>
      <c r="O140" s="8">
        <f>IFERROR(N140/N444, "NA")</f>
        <v>0</v>
      </c>
      <c r="P140" s="9"/>
      <c r="Q140" s="7">
        <v>0</v>
      </c>
      <c r="R140" s="8">
        <f>IFERROR(Q140/Q444, "NA")</f>
        <v>0</v>
      </c>
      <c r="S140" s="9"/>
      <c r="T140" s="7">
        <v>0</v>
      </c>
      <c r="U140" s="8">
        <f>IFERROR(T140/T444, "NA")</f>
        <v>0</v>
      </c>
      <c r="V140" s="9"/>
      <c r="W140" s="10">
        <f t="shared" si="30"/>
        <v>0</v>
      </c>
      <c r="X140" s="8">
        <f>IFERROR(W140/W444, "NA")</f>
        <v>0</v>
      </c>
      <c r="Y140" s="9"/>
      <c r="Z140" s="7">
        <v>0</v>
      </c>
      <c r="AA140" s="8">
        <f>IFERROR(Z140/Z444, "NA")</f>
        <v>0</v>
      </c>
      <c r="AB140" s="9"/>
      <c r="AC140" s="10">
        <f t="shared" si="31"/>
        <v>0</v>
      </c>
      <c r="AD140" s="8">
        <f>IFERROR(AC140/AC444, "NA")</f>
        <v>0</v>
      </c>
    </row>
    <row r="141" spans="1:30" ht="16.5" customHeight="1" x14ac:dyDescent="0.45">
      <c r="A141" s="13" t="s">
        <v>133</v>
      </c>
      <c r="B141" s="14">
        <f>IFERROR(B129+B130+B131+B132+B133+B134+B135+B136+B137+B138+B139+B140, "NA")</f>
        <v>29874.21</v>
      </c>
      <c r="C141" s="15">
        <f>IFERROR(B141/B444, "NA")</f>
        <v>0.22796881624624671</v>
      </c>
      <c r="D141" s="2"/>
      <c r="E141" s="14">
        <f>IFERROR(E129+E130+E131+E132+E133+E134+E135+E136+E137+E138+E139+E140, "NA")</f>
        <v>30566.13</v>
      </c>
      <c r="F141" s="15">
        <f>IFERROR(E141/E444, "NA")</f>
        <v>0.21500002497045223</v>
      </c>
      <c r="G141" s="2"/>
      <c r="H141" s="14">
        <f t="shared" si="28"/>
        <v>691.92000000000189</v>
      </c>
      <c r="I141" s="15">
        <f>IFERROR(H141/H444, "NA")</f>
        <v>-6.2206966367493476E-2</v>
      </c>
      <c r="J141" s="2"/>
      <c r="K141" s="14">
        <f>IFERROR(K129+K130+K131+K132+K133+K134+K135+K136+K137+K138+K139+K140, "NA")</f>
        <v>29853.97</v>
      </c>
      <c r="L141" s="15">
        <f>IFERROR(K141/K444, "NA")</f>
        <v>0.21697293453608782</v>
      </c>
      <c r="M141" s="2"/>
      <c r="N141" s="14">
        <f t="shared" si="29"/>
        <v>-20.239999999997963</v>
      </c>
      <c r="O141" s="15">
        <f>IFERROR(N141/N444, "NA")</f>
        <v>3.091067365109116E-3</v>
      </c>
      <c r="P141" s="2"/>
      <c r="Q141" s="14">
        <f>IFERROR(Q129+Q130+Q131+Q132+Q133+Q134+Q135+Q136+Q137+Q138+Q139+Q140, "NA")</f>
        <v>29874.21</v>
      </c>
      <c r="R141" s="15">
        <f>IFERROR(Q141/Q444, "NA")</f>
        <v>0.22796881624624671</v>
      </c>
      <c r="S141" s="2"/>
      <c r="T141" s="14">
        <f>IFERROR(T129+T130+T131+T132+T133+T134+T135+T136+T137+T138+T139+T140, "NA")</f>
        <v>30566.13</v>
      </c>
      <c r="U141" s="15">
        <f>IFERROR(T141/T444, "NA")</f>
        <v>0.21500002497045223</v>
      </c>
      <c r="V141" s="2"/>
      <c r="W141" s="14">
        <f t="shared" si="30"/>
        <v>691.92000000000189</v>
      </c>
      <c r="X141" s="15">
        <f>IFERROR(W141/W444, "NA")</f>
        <v>-6.2206966367493476E-2</v>
      </c>
      <c r="Y141" s="2"/>
      <c r="Z141" s="14">
        <f>IFERROR(Z129+Z130+Z131+Z132+Z133+Z134+Z135+Z136+Z137+Z138+Z139+Z140, "NA")</f>
        <v>29853.97</v>
      </c>
      <c r="AA141" s="15">
        <f>IFERROR(Z141/Z444, "NA")</f>
        <v>0.21697293453608782</v>
      </c>
      <c r="AB141" s="2"/>
      <c r="AC141" s="14">
        <f t="shared" si="31"/>
        <v>-20.239999999997963</v>
      </c>
      <c r="AD141" s="15">
        <f>IFERROR(AC141/AC444, "NA")</f>
        <v>3.091067365109116E-3</v>
      </c>
    </row>
    <row r="142" spans="1:30" ht="16.5" customHeight="1" x14ac:dyDescent="0.45">
      <c r="A142" s="11" t="s">
        <v>134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45">
      <c r="A143" s="12" t="s">
        <v>134</v>
      </c>
      <c r="B143" s="7">
        <v>0</v>
      </c>
      <c r="C143" s="8">
        <f>IFERROR(B143/B444, "NA")</f>
        <v>0</v>
      </c>
      <c r="D143" s="9"/>
      <c r="E143" s="7">
        <v>1279.51</v>
      </c>
      <c r="F143" s="8">
        <f>IFERROR(E143/E444, "NA")</f>
        <v>8.9999840329784402E-3</v>
      </c>
      <c r="G143" s="9"/>
      <c r="H143" s="10">
        <f t="shared" ref="H143:H149" si="32">IFERROR(-(B143-E143), "NA")</f>
        <v>1279.51</v>
      </c>
      <c r="I143" s="8">
        <f>IFERROR(H143/H444, "NA")</f>
        <v>-0.11503415934916084</v>
      </c>
      <c r="J143" s="9"/>
      <c r="K143" s="7">
        <v>0</v>
      </c>
      <c r="L143" s="8">
        <f>IFERROR(K143/K444, "NA")</f>
        <v>0</v>
      </c>
      <c r="M143" s="9"/>
      <c r="N143" s="10">
        <f t="shared" ref="N143:N149" si="33">IFERROR(-(B143-K143), "NA")</f>
        <v>0</v>
      </c>
      <c r="O143" s="8">
        <f>IFERROR(N143/N444, "NA")</f>
        <v>0</v>
      </c>
      <c r="P143" s="9"/>
      <c r="Q143" s="7">
        <v>0</v>
      </c>
      <c r="R143" s="8">
        <f>IFERROR(Q143/Q444, "NA")</f>
        <v>0</v>
      </c>
      <c r="S143" s="9"/>
      <c r="T143" s="7">
        <v>1279.51</v>
      </c>
      <c r="U143" s="8">
        <f>IFERROR(T143/T444, "NA")</f>
        <v>8.9999840329784402E-3</v>
      </c>
      <c r="V143" s="9"/>
      <c r="W143" s="10">
        <f t="shared" ref="W143:W149" si="34">IFERROR(-(Q143-T143), "NA")</f>
        <v>1279.51</v>
      </c>
      <c r="X143" s="8">
        <f>IFERROR(W143/W444, "NA")</f>
        <v>-0.11503415934916084</v>
      </c>
      <c r="Y143" s="9"/>
      <c r="Z143" s="7">
        <v>0</v>
      </c>
      <c r="AA143" s="8">
        <f>IFERROR(Z143/Z444, "NA")</f>
        <v>0</v>
      </c>
      <c r="AB143" s="9"/>
      <c r="AC143" s="10">
        <f t="shared" ref="AC143:AC149" si="35">IFERROR(-(Q143-Z143), "NA")</f>
        <v>0</v>
      </c>
      <c r="AD143" s="8">
        <f>IFERROR(AC143/AC444, "NA")</f>
        <v>0</v>
      </c>
    </row>
    <row r="144" spans="1:30" ht="16.5" customHeight="1" x14ac:dyDescent="0.45">
      <c r="A144" s="12" t="s">
        <v>135</v>
      </c>
      <c r="B144" s="7">
        <v>1387.52</v>
      </c>
      <c r="C144" s="8">
        <f>IFERROR(B144/B444, "NA")</f>
        <v>1.058810565762215E-2</v>
      </c>
      <c r="D144" s="9"/>
      <c r="E144" s="7">
        <v>0</v>
      </c>
      <c r="F144" s="8">
        <f>IFERROR(E144/E444, "NA")</f>
        <v>0</v>
      </c>
      <c r="G144" s="9"/>
      <c r="H144" s="10">
        <f t="shared" si="32"/>
        <v>-1387.52</v>
      </c>
      <c r="I144" s="8">
        <f>IFERROR(H144/H444, "NA")</f>
        <v>0.12474478259657809</v>
      </c>
      <c r="J144" s="9"/>
      <c r="K144" s="7">
        <v>2027.88</v>
      </c>
      <c r="L144" s="8">
        <f>IFERROR(K144/K444, "NA")</f>
        <v>1.4738243338726533E-2</v>
      </c>
      <c r="M144" s="9"/>
      <c r="N144" s="10">
        <f t="shared" si="33"/>
        <v>640.36000000000013</v>
      </c>
      <c r="O144" s="8">
        <f>IFERROR(N144/N444, "NA")</f>
        <v>-9.7796240015883065E-2</v>
      </c>
      <c r="P144" s="9"/>
      <c r="Q144" s="7">
        <v>1387.52</v>
      </c>
      <c r="R144" s="8">
        <f>IFERROR(Q144/Q444, "NA")</f>
        <v>1.058810565762215E-2</v>
      </c>
      <c r="S144" s="9"/>
      <c r="T144" s="7">
        <v>0</v>
      </c>
      <c r="U144" s="8">
        <f>IFERROR(T144/T444, "NA")</f>
        <v>0</v>
      </c>
      <c r="V144" s="9"/>
      <c r="W144" s="10">
        <f t="shared" si="34"/>
        <v>-1387.52</v>
      </c>
      <c r="X144" s="8">
        <f>IFERROR(W144/W444, "NA")</f>
        <v>0.12474478259657809</v>
      </c>
      <c r="Y144" s="9"/>
      <c r="Z144" s="7">
        <v>2027.88</v>
      </c>
      <c r="AA144" s="8">
        <f>IFERROR(Z144/Z444, "NA")</f>
        <v>1.4738243338726533E-2</v>
      </c>
      <c r="AB144" s="9"/>
      <c r="AC144" s="10">
        <f t="shared" si="35"/>
        <v>640.36000000000013</v>
      </c>
      <c r="AD144" s="8">
        <f>IFERROR(AC144/AC444, "NA")</f>
        <v>-9.7796240015883065E-2</v>
      </c>
    </row>
    <row r="145" spans="1:30" ht="16.5" customHeight="1" x14ac:dyDescent="0.45">
      <c r="A145" s="12" t="s">
        <v>136</v>
      </c>
      <c r="B145" s="7">
        <v>34.86</v>
      </c>
      <c r="C145" s="8">
        <f>IFERROR(B145/B444, "NA")</f>
        <v>2.6601516606946794E-4</v>
      </c>
      <c r="D145" s="9"/>
      <c r="E145" s="7">
        <v>0</v>
      </c>
      <c r="F145" s="8">
        <f>IFERROR(E145/E444, "NA")</f>
        <v>0</v>
      </c>
      <c r="G145" s="9"/>
      <c r="H145" s="10">
        <f t="shared" si="32"/>
        <v>-34.86</v>
      </c>
      <c r="I145" s="8">
        <f>IFERROR(H145/H444, "NA")</f>
        <v>3.1340831997497061E-3</v>
      </c>
      <c r="J145" s="9"/>
      <c r="K145" s="7">
        <v>30.13</v>
      </c>
      <c r="L145" s="8">
        <f>IFERROR(K145/K444, "NA")</f>
        <v>2.1897906769425724E-4</v>
      </c>
      <c r="M145" s="9"/>
      <c r="N145" s="10">
        <f t="shared" si="33"/>
        <v>-4.7300000000000004</v>
      </c>
      <c r="O145" s="8">
        <f>IFERROR(N145/N444, "NA")</f>
        <v>7.2236900380274658E-4</v>
      </c>
      <c r="P145" s="9"/>
      <c r="Q145" s="7">
        <v>34.86</v>
      </c>
      <c r="R145" s="8">
        <f>IFERROR(Q145/Q444, "NA")</f>
        <v>2.6601516606946794E-4</v>
      </c>
      <c r="S145" s="9"/>
      <c r="T145" s="7">
        <v>0</v>
      </c>
      <c r="U145" s="8">
        <f>IFERROR(T145/T444, "NA")</f>
        <v>0</v>
      </c>
      <c r="V145" s="9"/>
      <c r="W145" s="10">
        <f t="shared" si="34"/>
        <v>-34.86</v>
      </c>
      <c r="X145" s="8">
        <f>IFERROR(W145/W444, "NA")</f>
        <v>3.1340831997497061E-3</v>
      </c>
      <c r="Y145" s="9"/>
      <c r="Z145" s="7">
        <v>30.13</v>
      </c>
      <c r="AA145" s="8">
        <f>IFERROR(Z145/Z444, "NA")</f>
        <v>2.1897906769425724E-4</v>
      </c>
      <c r="AB145" s="9"/>
      <c r="AC145" s="10">
        <f t="shared" si="35"/>
        <v>-4.7300000000000004</v>
      </c>
      <c r="AD145" s="8">
        <f>IFERROR(AC145/AC444, "NA")</f>
        <v>7.2236900380274658E-4</v>
      </c>
    </row>
    <row r="146" spans="1:30" ht="16.5" customHeight="1" x14ac:dyDescent="0.45">
      <c r="A146" s="12" t="s">
        <v>137</v>
      </c>
      <c r="B146" s="7">
        <v>1.6</v>
      </c>
      <c r="C146" s="8">
        <f>IFERROR(B146/B444, "NA")</f>
        <v>1.2209531431759861E-5</v>
      </c>
      <c r="D146" s="9"/>
      <c r="E146" s="7">
        <v>0</v>
      </c>
      <c r="F146" s="8">
        <f>IFERROR(E146/E444, "NA")</f>
        <v>0</v>
      </c>
      <c r="G146" s="9"/>
      <c r="H146" s="10">
        <f t="shared" si="32"/>
        <v>-1.6</v>
      </c>
      <c r="I146" s="8">
        <f>IFERROR(H146/H444, "NA")</f>
        <v>1.4384776590933821E-4</v>
      </c>
      <c r="J146" s="9"/>
      <c r="K146" s="7">
        <v>712.76</v>
      </c>
      <c r="L146" s="8">
        <f>IFERROR(K146/K444, "NA")</f>
        <v>5.1802031294310921E-3</v>
      </c>
      <c r="M146" s="9"/>
      <c r="N146" s="10">
        <f t="shared" si="33"/>
        <v>711.16</v>
      </c>
      <c r="O146" s="8">
        <f>IFERROR(N146/N444, "NA")</f>
        <v>-0.10860886696498123</v>
      </c>
      <c r="P146" s="9"/>
      <c r="Q146" s="7">
        <v>1.6</v>
      </c>
      <c r="R146" s="8">
        <f>IFERROR(Q146/Q444, "NA")</f>
        <v>1.2209531431759861E-5</v>
      </c>
      <c r="S146" s="9"/>
      <c r="T146" s="7">
        <v>0</v>
      </c>
      <c r="U146" s="8">
        <f>IFERROR(T146/T444, "NA")</f>
        <v>0</v>
      </c>
      <c r="V146" s="9"/>
      <c r="W146" s="10">
        <f t="shared" si="34"/>
        <v>-1.6</v>
      </c>
      <c r="X146" s="8">
        <f>IFERROR(W146/W444, "NA")</f>
        <v>1.4384776590933821E-4</v>
      </c>
      <c r="Y146" s="9"/>
      <c r="Z146" s="7">
        <v>712.76</v>
      </c>
      <c r="AA146" s="8">
        <f>IFERROR(Z146/Z444, "NA")</f>
        <v>5.1802031294310921E-3</v>
      </c>
      <c r="AB146" s="9"/>
      <c r="AC146" s="10">
        <f t="shared" si="35"/>
        <v>711.16</v>
      </c>
      <c r="AD146" s="8">
        <f>IFERROR(AC146/AC444, "NA")</f>
        <v>-0.10860886696498123</v>
      </c>
    </row>
    <row r="147" spans="1:30" ht="16.5" customHeight="1" x14ac:dyDescent="0.45">
      <c r="A147" s="12" t="s">
        <v>138</v>
      </c>
      <c r="B147" s="7">
        <v>-2.84</v>
      </c>
      <c r="C147" s="8">
        <f>IFERROR(B147/B444, "NA")</f>
        <v>-2.1671918291373751E-5</v>
      </c>
      <c r="D147" s="9"/>
      <c r="E147" s="7">
        <v>0</v>
      </c>
      <c r="F147" s="8">
        <f>IFERROR(E147/E444, "NA")</f>
        <v>0</v>
      </c>
      <c r="G147" s="9"/>
      <c r="H147" s="10">
        <f t="shared" si="32"/>
        <v>2.84</v>
      </c>
      <c r="I147" s="8">
        <f>IFERROR(H147/H444, "NA")</f>
        <v>-2.5532978448907531E-4</v>
      </c>
      <c r="J147" s="9"/>
      <c r="K147" s="7">
        <v>17.02</v>
      </c>
      <c r="L147" s="8">
        <f>IFERROR(K147/K444, "NA")</f>
        <v>1.236980993082064E-4</v>
      </c>
      <c r="M147" s="9"/>
      <c r="N147" s="10">
        <f t="shared" si="33"/>
        <v>19.86</v>
      </c>
      <c r="O147" s="8">
        <f>IFERROR(N147/N444, "NA")</f>
        <v>-3.0330334916538154E-3</v>
      </c>
      <c r="P147" s="9"/>
      <c r="Q147" s="7">
        <v>-2.84</v>
      </c>
      <c r="R147" s="8">
        <f>IFERROR(Q147/Q444, "NA")</f>
        <v>-2.1671918291373751E-5</v>
      </c>
      <c r="S147" s="9"/>
      <c r="T147" s="7">
        <v>0</v>
      </c>
      <c r="U147" s="8">
        <f>IFERROR(T147/T444, "NA")</f>
        <v>0</v>
      </c>
      <c r="V147" s="9"/>
      <c r="W147" s="10">
        <f t="shared" si="34"/>
        <v>2.84</v>
      </c>
      <c r="X147" s="8">
        <f>IFERROR(W147/W444, "NA")</f>
        <v>-2.5532978448907531E-4</v>
      </c>
      <c r="Y147" s="9"/>
      <c r="Z147" s="7">
        <v>17.02</v>
      </c>
      <c r="AA147" s="8">
        <f>IFERROR(Z147/Z444, "NA")</f>
        <v>1.236980993082064E-4</v>
      </c>
      <c r="AB147" s="9"/>
      <c r="AC147" s="10">
        <f t="shared" si="35"/>
        <v>19.86</v>
      </c>
      <c r="AD147" s="8">
        <f>IFERROR(AC147/AC444, "NA")</f>
        <v>-3.0330334916538154E-3</v>
      </c>
    </row>
    <row r="148" spans="1:30" ht="16.5" customHeight="1" x14ac:dyDescent="0.45">
      <c r="A148" s="13" t="s">
        <v>139</v>
      </c>
      <c r="B148" s="14">
        <f>IFERROR(B143+B144+B145+B146+B147, "NA")</f>
        <v>1421.1399999999999</v>
      </c>
      <c r="C148" s="15">
        <f>IFERROR(B148/B444, "NA")</f>
        <v>1.0844658436832005E-2</v>
      </c>
      <c r="D148" s="2"/>
      <c r="E148" s="14">
        <f>IFERROR(E143+E144+E145+E146+E147, "NA")</f>
        <v>1279.51</v>
      </c>
      <c r="F148" s="15">
        <f>IFERROR(E148/E444, "NA")</f>
        <v>8.9999840329784402E-3</v>
      </c>
      <c r="G148" s="2"/>
      <c r="H148" s="14">
        <f t="shared" si="32"/>
        <v>-141.62999999999988</v>
      </c>
      <c r="I148" s="15">
        <f>IFERROR(H148/H444, "NA")</f>
        <v>1.2733224428587221E-2</v>
      </c>
      <c r="J148" s="2"/>
      <c r="K148" s="14">
        <f>IFERROR(K143+K144+K145+K146+K147, "NA")</f>
        <v>2787.7900000000004</v>
      </c>
      <c r="L148" s="15">
        <f>IFERROR(K148/K444, "NA")</f>
        <v>2.026112363516009E-2</v>
      </c>
      <c r="M148" s="2"/>
      <c r="N148" s="14">
        <f t="shared" si="33"/>
        <v>1366.6500000000005</v>
      </c>
      <c r="O148" s="15">
        <f>IFERROR(N148/N444, "NA")</f>
        <v>-0.20871577146871542</v>
      </c>
      <c r="P148" s="2"/>
      <c r="Q148" s="14">
        <f>IFERROR(Q143+Q144+Q145+Q146+Q147, "NA")</f>
        <v>1421.1399999999999</v>
      </c>
      <c r="R148" s="15">
        <f>IFERROR(Q148/Q444, "NA")</f>
        <v>1.0844658436832005E-2</v>
      </c>
      <c r="S148" s="2"/>
      <c r="T148" s="14">
        <f>IFERROR(T143+T144+T145+T146+T147, "NA")</f>
        <v>1279.51</v>
      </c>
      <c r="U148" s="15">
        <f>IFERROR(T148/T444, "NA")</f>
        <v>8.9999840329784402E-3</v>
      </c>
      <c r="V148" s="2"/>
      <c r="W148" s="14">
        <f t="shared" si="34"/>
        <v>-141.62999999999988</v>
      </c>
      <c r="X148" s="15">
        <f>IFERROR(W148/W444, "NA")</f>
        <v>1.2733224428587221E-2</v>
      </c>
      <c r="Y148" s="2"/>
      <c r="Z148" s="14">
        <f>IFERROR(Z143+Z144+Z145+Z146+Z147, "NA")</f>
        <v>2787.7900000000004</v>
      </c>
      <c r="AA148" s="15">
        <f>IFERROR(Z148/Z444, "NA")</f>
        <v>2.026112363516009E-2</v>
      </c>
      <c r="AB148" s="2"/>
      <c r="AC148" s="14">
        <f t="shared" si="35"/>
        <v>1366.6500000000005</v>
      </c>
      <c r="AD148" s="15">
        <f>IFERROR(AC148/AC444, "NA")</f>
        <v>-0.20871577146871542</v>
      </c>
    </row>
    <row r="149" spans="1:30" ht="16.5" customHeight="1" x14ac:dyDescent="0.45">
      <c r="A149" s="19" t="s">
        <v>140</v>
      </c>
      <c r="B149" s="14">
        <f>IFERROR(B127+B129+B130+B131+B132+B133+B134+B135+B136+B137+B138+B139+B140+B143+B144+B145+B146+B147, "NA")</f>
        <v>31295.35</v>
      </c>
      <c r="C149" s="15">
        <f>IFERROR(B149/B444, "NA")</f>
        <v>0.2388134746830787</v>
      </c>
      <c r="D149" s="2"/>
      <c r="E149" s="14">
        <f>IFERROR(E127+E129+E130+E131+E132+E133+E134+E135+E136+E137+E138+E139+E140+E143+E144+E145+E146+E147, "NA")</f>
        <v>31845.64</v>
      </c>
      <c r="F149" s="15">
        <f>IFERROR(E149/E444, "NA")</f>
        <v>0.22400000900343064</v>
      </c>
      <c r="G149" s="2"/>
      <c r="H149" s="14">
        <f t="shared" si="32"/>
        <v>550.29000000000087</v>
      </c>
      <c r="I149" s="15">
        <f>IFERROR(H149/H444, "NA")</f>
        <v>-4.9473741938906156E-2</v>
      </c>
      <c r="J149" s="2"/>
      <c r="K149" s="14">
        <f>IFERROR(K127+K129+K130+K131+K132+K133+K134+K135+K136+K137+K138+K139+K140+K143+K144+K145+K146+K147, "NA")</f>
        <v>32641.760000000002</v>
      </c>
      <c r="L149" s="15">
        <f>IFERROR(K149/K444, "NA")</f>
        <v>0.2372340581712479</v>
      </c>
      <c r="M149" s="2"/>
      <c r="N149" s="14">
        <f t="shared" si="33"/>
        <v>1346.4100000000035</v>
      </c>
      <c r="O149" s="15">
        <f>IFERROR(N149/N444, "NA")</f>
        <v>-0.20562470410360645</v>
      </c>
      <c r="P149" s="2"/>
      <c r="Q149" s="14">
        <f>IFERROR(Q127+Q129+Q130+Q131+Q132+Q133+Q134+Q135+Q136+Q137+Q138+Q139+Q140+Q143+Q144+Q145+Q146+Q147, "NA")</f>
        <v>31295.35</v>
      </c>
      <c r="R149" s="15">
        <f>IFERROR(Q149/Q444, "NA")</f>
        <v>0.2388134746830787</v>
      </c>
      <c r="S149" s="2"/>
      <c r="T149" s="14">
        <f>IFERROR(T127+T129+T130+T131+T132+T133+T134+T135+T136+T137+T138+T139+T140+T143+T144+T145+T146+T147, "NA")</f>
        <v>31845.64</v>
      </c>
      <c r="U149" s="15">
        <f>IFERROR(T149/T444, "NA")</f>
        <v>0.22400000900343064</v>
      </c>
      <c r="V149" s="2"/>
      <c r="W149" s="14">
        <f t="shared" si="34"/>
        <v>550.29000000000087</v>
      </c>
      <c r="X149" s="15">
        <f>IFERROR(W149/W444, "NA")</f>
        <v>-4.9473741938906156E-2</v>
      </c>
      <c r="Y149" s="2"/>
      <c r="Z149" s="14">
        <f>IFERROR(Z127+Z129+Z130+Z131+Z132+Z133+Z134+Z135+Z136+Z137+Z138+Z139+Z140+Z143+Z144+Z145+Z146+Z147, "NA")</f>
        <v>32641.760000000002</v>
      </c>
      <c r="AA149" s="15">
        <f>IFERROR(Z149/Z444, "NA")</f>
        <v>0.2372340581712479</v>
      </c>
      <c r="AB149" s="2"/>
      <c r="AC149" s="14">
        <f t="shared" si="35"/>
        <v>1346.4100000000035</v>
      </c>
      <c r="AD149" s="15">
        <f>IFERROR(AC149/AC444, "NA")</f>
        <v>-0.20562470410360645</v>
      </c>
    </row>
    <row r="150" spans="1:30" ht="16.5" customHeight="1" x14ac:dyDescent="0.45">
      <c r="A150" s="5" t="s">
        <v>141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45">
      <c r="A151" s="6" t="s">
        <v>141</v>
      </c>
      <c r="B151" s="7">
        <v>0</v>
      </c>
      <c r="C151" s="8">
        <f>IFERROR(B151/B444, "NA")</f>
        <v>0</v>
      </c>
      <c r="D151" s="9"/>
      <c r="E151" s="7">
        <v>0</v>
      </c>
      <c r="F151" s="8">
        <f>IFERROR(E151/E444, "NA")</f>
        <v>0</v>
      </c>
      <c r="G151" s="9"/>
      <c r="H151" s="10">
        <f>IFERROR(-(B151-E151), "NA")</f>
        <v>0</v>
      </c>
      <c r="I151" s="8">
        <f>IFERROR(H151/H444, "NA")</f>
        <v>0</v>
      </c>
      <c r="J151" s="9"/>
      <c r="K151" s="7">
        <v>0</v>
      </c>
      <c r="L151" s="8">
        <f>IFERROR(K151/K444, "NA")</f>
        <v>0</v>
      </c>
      <c r="M151" s="9"/>
      <c r="N151" s="10">
        <f>IFERROR(-(B151-K151), "NA")</f>
        <v>0</v>
      </c>
      <c r="O151" s="8">
        <f>IFERROR(N151/N444, "NA")</f>
        <v>0</v>
      </c>
      <c r="P151" s="9"/>
      <c r="Q151" s="7">
        <v>0</v>
      </c>
      <c r="R151" s="8">
        <f>IFERROR(Q151/Q444, "NA")</f>
        <v>0</v>
      </c>
      <c r="S151" s="9"/>
      <c r="T151" s="7">
        <v>0</v>
      </c>
      <c r="U151" s="8">
        <f>IFERROR(T151/T444, "NA")</f>
        <v>0</v>
      </c>
      <c r="V151" s="9"/>
      <c r="W151" s="10">
        <f>IFERROR(-(Q151-T151), "NA")</f>
        <v>0</v>
      </c>
      <c r="X151" s="8">
        <f>IFERROR(W151/W444, "NA")</f>
        <v>0</v>
      </c>
      <c r="Y151" s="9"/>
      <c r="Z151" s="7">
        <v>0</v>
      </c>
      <c r="AA151" s="8">
        <f>IFERROR(Z151/Z444, "NA")</f>
        <v>0</v>
      </c>
      <c r="AB151" s="9"/>
      <c r="AC151" s="10">
        <f>IFERROR(-(Q151-Z151), "NA")</f>
        <v>0</v>
      </c>
      <c r="AD151" s="8">
        <f>IFERROR(AC151/AC444, "NA")</f>
        <v>0</v>
      </c>
    </row>
    <row r="152" spans="1:30" ht="16.5" customHeight="1" x14ac:dyDescent="0.45">
      <c r="A152" s="11" t="s">
        <v>142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45">
      <c r="A153" s="12" t="s">
        <v>142</v>
      </c>
      <c r="B153" s="7">
        <v>0</v>
      </c>
      <c r="C153" s="8">
        <f>IFERROR(B153/B444, "NA")</f>
        <v>0</v>
      </c>
      <c r="D153" s="9"/>
      <c r="E153" s="7">
        <v>5828.89</v>
      </c>
      <c r="F153" s="8">
        <f>IFERROR(E153/E444, "NA")</f>
        <v>4.1000005416126258E-2</v>
      </c>
      <c r="G153" s="9"/>
      <c r="H153" s="10">
        <f t="shared" ref="H153:H158" si="36">IFERROR(-(B153-E153), "NA")</f>
        <v>5828.89</v>
      </c>
      <c r="I153" s="8">
        <f>IFERROR(H153/H444, "NA")</f>
        <v>-0.52404550264455152</v>
      </c>
      <c r="J153" s="9"/>
      <c r="K153" s="7">
        <v>0</v>
      </c>
      <c r="L153" s="8">
        <f>IFERROR(K153/K444, "NA")</f>
        <v>0</v>
      </c>
      <c r="M153" s="9"/>
      <c r="N153" s="10">
        <f t="shared" ref="N153:N158" si="37">IFERROR(-(B153-K153), "NA")</f>
        <v>0</v>
      </c>
      <c r="O153" s="8">
        <f>IFERROR(N153/N444, "NA")</f>
        <v>0</v>
      </c>
      <c r="P153" s="9"/>
      <c r="Q153" s="7">
        <v>0</v>
      </c>
      <c r="R153" s="8">
        <f>IFERROR(Q153/Q444, "NA")</f>
        <v>0</v>
      </c>
      <c r="S153" s="9"/>
      <c r="T153" s="7">
        <v>5828.89</v>
      </c>
      <c r="U153" s="8">
        <f>IFERROR(T153/T444, "NA")</f>
        <v>4.1000005416126258E-2</v>
      </c>
      <c r="V153" s="9"/>
      <c r="W153" s="10">
        <f t="shared" ref="W153:W158" si="38">IFERROR(-(Q153-T153), "NA")</f>
        <v>5828.89</v>
      </c>
      <c r="X153" s="8">
        <f>IFERROR(W153/W444, "NA")</f>
        <v>-0.52404550264455152</v>
      </c>
      <c r="Y153" s="9"/>
      <c r="Z153" s="7">
        <v>0</v>
      </c>
      <c r="AA153" s="8">
        <f>IFERROR(Z153/Z444, "NA")</f>
        <v>0</v>
      </c>
      <c r="AB153" s="9"/>
      <c r="AC153" s="10">
        <f t="shared" ref="AC153:AC158" si="39">IFERROR(-(Q153-Z153), "NA")</f>
        <v>0</v>
      </c>
      <c r="AD153" s="8">
        <f>IFERROR(AC153/AC444, "NA")</f>
        <v>0</v>
      </c>
    </row>
    <row r="154" spans="1:30" ht="16.5" customHeight="1" x14ac:dyDescent="0.45">
      <c r="A154" s="12" t="s">
        <v>143</v>
      </c>
      <c r="B154" s="7">
        <v>3827.39</v>
      </c>
      <c r="C154" s="8">
        <f>IFERROR(B154/B444, "NA")</f>
        <v>2.9206649066627104E-2</v>
      </c>
      <c r="D154" s="9"/>
      <c r="E154" s="7">
        <v>0</v>
      </c>
      <c r="F154" s="8">
        <f>IFERROR(E154/E444, "NA")</f>
        <v>0</v>
      </c>
      <c r="G154" s="9"/>
      <c r="H154" s="10">
        <f t="shared" si="36"/>
        <v>-3827.39</v>
      </c>
      <c r="I154" s="8">
        <f>IFERROR(H154/H444, "NA")</f>
        <v>0.34410093797733871</v>
      </c>
      <c r="J154" s="9"/>
      <c r="K154" s="7">
        <v>3362.62</v>
      </c>
      <c r="L154" s="8">
        <f>IFERROR(K154/K444, "NA")</f>
        <v>2.4438877949222147E-2</v>
      </c>
      <c r="M154" s="9"/>
      <c r="N154" s="10">
        <f t="shared" si="37"/>
        <v>-464.77</v>
      </c>
      <c r="O154" s="8">
        <f>IFERROR(N154/N444, "NA")</f>
        <v>7.0980008857801799E-2</v>
      </c>
      <c r="P154" s="9"/>
      <c r="Q154" s="7">
        <v>3827.39</v>
      </c>
      <c r="R154" s="8">
        <f>IFERROR(Q154/Q444, "NA")</f>
        <v>2.9206649066627104E-2</v>
      </c>
      <c r="S154" s="9"/>
      <c r="T154" s="7">
        <v>0</v>
      </c>
      <c r="U154" s="8">
        <f>IFERROR(T154/T444, "NA")</f>
        <v>0</v>
      </c>
      <c r="V154" s="9"/>
      <c r="W154" s="10">
        <f t="shared" si="38"/>
        <v>-3827.39</v>
      </c>
      <c r="X154" s="8">
        <f>IFERROR(W154/W444, "NA")</f>
        <v>0.34410093797733871</v>
      </c>
      <c r="Y154" s="9"/>
      <c r="Z154" s="7">
        <v>3362.62</v>
      </c>
      <c r="AA154" s="8">
        <f>IFERROR(Z154/Z444, "NA")</f>
        <v>2.4438877949222147E-2</v>
      </c>
      <c r="AB154" s="9"/>
      <c r="AC154" s="10">
        <f t="shared" si="39"/>
        <v>-464.77</v>
      </c>
      <c r="AD154" s="8">
        <f>IFERROR(AC154/AC444, "NA")</f>
        <v>7.0980008857801799E-2</v>
      </c>
    </row>
    <row r="155" spans="1:30" ht="16.5" customHeight="1" x14ac:dyDescent="0.45">
      <c r="A155" s="12" t="s">
        <v>144</v>
      </c>
      <c r="B155" s="7">
        <v>1471.36</v>
      </c>
      <c r="C155" s="8">
        <f>IFERROR(B155/B444, "NA")</f>
        <v>1.1227885104646366E-2</v>
      </c>
      <c r="D155" s="9"/>
      <c r="E155" s="7">
        <v>0</v>
      </c>
      <c r="F155" s="8">
        <f>IFERROR(E155/E444, "NA")</f>
        <v>0</v>
      </c>
      <c r="G155" s="9"/>
      <c r="H155" s="10">
        <f t="shared" si="36"/>
        <v>-1471.36</v>
      </c>
      <c r="I155" s="8">
        <f>IFERROR(H155/H444, "NA")</f>
        <v>0.13228240553022741</v>
      </c>
      <c r="J155" s="9"/>
      <c r="K155" s="7">
        <v>2273.44</v>
      </c>
      <c r="L155" s="8">
        <f>IFERROR(K155/K444, "NA")</f>
        <v>1.6522926374338939E-2</v>
      </c>
      <c r="M155" s="9"/>
      <c r="N155" s="10">
        <f t="shared" si="37"/>
        <v>802.08000000000015</v>
      </c>
      <c r="O155" s="8">
        <f>IFERROR(N155/N444, "NA")</f>
        <v>-0.12249423479283447</v>
      </c>
      <c r="P155" s="9"/>
      <c r="Q155" s="7">
        <v>1471.36</v>
      </c>
      <c r="R155" s="8">
        <f>IFERROR(Q155/Q444, "NA")</f>
        <v>1.1227885104646366E-2</v>
      </c>
      <c r="S155" s="9"/>
      <c r="T155" s="7">
        <v>0</v>
      </c>
      <c r="U155" s="8">
        <f>IFERROR(T155/T444, "NA")</f>
        <v>0</v>
      </c>
      <c r="V155" s="9"/>
      <c r="W155" s="10">
        <f t="shared" si="38"/>
        <v>-1471.36</v>
      </c>
      <c r="X155" s="8">
        <f>IFERROR(W155/W444, "NA")</f>
        <v>0.13228240553022741</v>
      </c>
      <c r="Y155" s="9"/>
      <c r="Z155" s="7">
        <v>2273.44</v>
      </c>
      <c r="AA155" s="8">
        <f>IFERROR(Z155/Z444, "NA")</f>
        <v>1.6522926374338939E-2</v>
      </c>
      <c r="AB155" s="9"/>
      <c r="AC155" s="10">
        <f t="shared" si="39"/>
        <v>802.08000000000015</v>
      </c>
      <c r="AD155" s="8">
        <f>IFERROR(AC155/AC444, "NA")</f>
        <v>-0.12249423479283447</v>
      </c>
    </row>
    <row r="156" spans="1:30" ht="16.5" hidden="1" customHeight="1" x14ac:dyDescent="0.45">
      <c r="A156" s="12" t="s">
        <v>145</v>
      </c>
      <c r="B156" s="7">
        <v>0</v>
      </c>
      <c r="C156" s="8">
        <f>IFERROR(B156/B444, "NA")</f>
        <v>0</v>
      </c>
      <c r="D156" s="9"/>
      <c r="E156" s="7">
        <v>0</v>
      </c>
      <c r="F156" s="8">
        <f>IFERROR(E156/E444, "NA")</f>
        <v>0</v>
      </c>
      <c r="G156" s="9"/>
      <c r="H156" s="10">
        <f t="shared" si="36"/>
        <v>0</v>
      </c>
      <c r="I156" s="8">
        <f>IFERROR(H156/H444, "NA")</f>
        <v>0</v>
      </c>
      <c r="J156" s="9"/>
      <c r="K156" s="7">
        <v>0</v>
      </c>
      <c r="L156" s="8">
        <f>IFERROR(K156/K444, "NA")</f>
        <v>0</v>
      </c>
      <c r="M156" s="9"/>
      <c r="N156" s="10">
        <f t="shared" si="37"/>
        <v>0</v>
      </c>
      <c r="O156" s="8">
        <f>IFERROR(N156/N444, "NA")</f>
        <v>0</v>
      </c>
      <c r="P156" s="9"/>
      <c r="Q156" s="7">
        <v>0</v>
      </c>
      <c r="R156" s="8">
        <f>IFERROR(Q156/Q444, "NA")</f>
        <v>0</v>
      </c>
      <c r="S156" s="9"/>
      <c r="T156" s="7">
        <v>0</v>
      </c>
      <c r="U156" s="8">
        <f>IFERROR(T156/T444, "NA")</f>
        <v>0</v>
      </c>
      <c r="V156" s="9"/>
      <c r="W156" s="10">
        <f t="shared" si="38"/>
        <v>0</v>
      </c>
      <c r="X156" s="8">
        <f>IFERROR(W156/W444, "NA")</f>
        <v>0</v>
      </c>
      <c r="Y156" s="9"/>
      <c r="Z156" s="7">
        <v>0</v>
      </c>
      <c r="AA156" s="8">
        <f>IFERROR(Z156/Z444, "NA")</f>
        <v>0</v>
      </c>
      <c r="AB156" s="9"/>
      <c r="AC156" s="10">
        <f t="shared" si="39"/>
        <v>0</v>
      </c>
      <c r="AD156" s="8">
        <f>IFERROR(AC156/AC444, "NA")</f>
        <v>0</v>
      </c>
    </row>
    <row r="157" spans="1:30" ht="16.5" hidden="1" customHeight="1" x14ac:dyDescent="0.45">
      <c r="A157" s="12" t="s">
        <v>146</v>
      </c>
      <c r="B157" s="7">
        <v>0</v>
      </c>
      <c r="C157" s="8">
        <f>IFERROR(B157/B444, "NA")</f>
        <v>0</v>
      </c>
      <c r="D157" s="9"/>
      <c r="E157" s="7">
        <v>0</v>
      </c>
      <c r="F157" s="8">
        <f>IFERROR(E157/E444, "NA")</f>
        <v>0</v>
      </c>
      <c r="G157" s="9"/>
      <c r="H157" s="10">
        <f t="shared" si="36"/>
        <v>0</v>
      </c>
      <c r="I157" s="8">
        <f>IFERROR(H157/H444, "NA")</f>
        <v>0</v>
      </c>
      <c r="J157" s="9"/>
      <c r="K157" s="7">
        <v>0</v>
      </c>
      <c r="L157" s="8">
        <f>IFERROR(K157/K444, "NA")</f>
        <v>0</v>
      </c>
      <c r="M157" s="9"/>
      <c r="N157" s="10">
        <f t="shared" si="37"/>
        <v>0</v>
      </c>
      <c r="O157" s="8">
        <f>IFERROR(N157/N444, "NA")</f>
        <v>0</v>
      </c>
      <c r="P157" s="9"/>
      <c r="Q157" s="7">
        <v>0</v>
      </c>
      <c r="R157" s="8">
        <f>IFERROR(Q157/Q444, "NA")</f>
        <v>0</v>
      </c>
      <c r="S157" s="9"/>
      <c r="T157" s="7">
        <v>0</v>
      </c>
      <c r="U157" s="8">
        <f>IFERROR(T157/T444, "NA")</f>
        <v>0</v>
      </c>
      <c r="V157" s="9"/>
      <c r="W157" s="10">
        <f t="shared" si="38"/>
        <v>0</v>
      </c>
      <c r="X157" s="8">
        <f>IFERROR(W157/W444, "NA")</f>
        <v>0</v>
      </c>
      <c r="Y157" s="9"/>
      <c r="Z157" s="7">
        <v>0</v>
      </c>
      <c r="AA157" s="8">
        <f>IFERROR(Z157/Z444, "NA")</f>
        <v>0</v>
      </c>
      <c r="AB157" s="9"/>
      <c r="AC157" s="10">
        <f t="shared" si="39"/>
        <v>0</v>
      </c>
      <c r="AD157" s="8">
        <f>IFERROR(AC157/AC444, "NA")</f>
        <v>0</v>
      </c>
    </row>
    <row r="158" spans="1:30" ht="16.5" customHeight="1" x14ac:dyDescent="0.45">
      <c r="A158" s="13" t="s">
        <v>147</v>
      </c>
      <c r="B158" s="14">
        <f>IFERROR(B153+B154+B155+B156+B157, "NA")</f>
        <v>5298.75</v>
      </c>
      <c r="C158" s="15">
        <f>IFERROR(B158/B444, "NA")</f>
        <v>4.0434534171273476E-2</v>
      </c>
      <c r="D158" s="2"/>
      <c r="E158" s="14">
        <f>IFERROR(E153+E154+E155+E156+E157, "NA")</f>
        <v>5828.89</v>
      </c>
      <c r="F158" s="15">
        <f>IFERROR(E158/E444, "NA")</f>
        <v>4.1000005416126258E-2</v>
      </c>
      <c r="G158" s="2"/>
      <c r="H158" s="14">
        <f t="shared" si="36"/>
        <v>530.14000000000033</v>
      </c>
      <c r="I158" s="15">
        <f>IFERROR(H158/H444, "NA")</f>
        <v>-4.7662159136985377E-2</v>
      </c>
      <c r="J158" s="2"/>
      <c r="K158" s="14">
        <f>IFERROR(K153+K154+K155+K156+K157, "NA")</f>
        <v>5636.0599999999995</v>
      </c>
      <c r="L158" s="15">
        <f>IFERROR(K158/K444, "NA")</f>
        <v>4.0961804323561085E-2</v>
      </c>
      <c r="M158" s="2"/>
      <c r="N158" s="14">
        <f t="shared" si="37"/>
        <v>337.30999999999949</v>
      </c>
      <c r="O158" s="15">
        <f>IFERROR(N158/N444, "NA")</f>
        <v>-5.1514225935032576E-2</v>
      </c>
      <c r="P158" s="2"/>
      <c r="Q158" s="14">
        <f>IFERROR(Q153+Q154+Q155+Q156+Q157, "NA")</f>
        <v>5298.75</v>
      </c>
      <c r="R158" s="15">
        <f>IFERROR(Q158/Q444, "NA")</f>
        <v>4.0434534171273476E-2</v>
      </c>
      <c r="S158" s="2"/>
      <c r="T158" s="14">
        <f>IFERROR(T153+T154+T155+T156+T157, "NA")</f>
        <v>5828.89</v>
      </c>
      <c r="U158" s="15">
        <f>IFERROR(T158/T444, "NA")</f>
        <v>4.1000005416126258E-2</v>
      </c>
      <c r="V158" s="2"/>
      <c r="W158" s="14">
        <f t="shared" si="38"/>
        <v>530.14000000000033</v>
      </c>
      <c r="X158" s="15">
        <f>IFERROR(W158/W444, "NA")</f>
        <v>-4.7662159136985377E-2</v>
      </c>
      <c r="Y158" s="2"/>
      <c r="Z158" s="14">
        <f>IFERROR(Z153+Z154+Z155+Z156+Z157, "NA")</f>
        <v>5636.0599999999995</v>
      </c>
      <c r="AA158" s="15">
        <f>IFERROR(Z158/Z444, "NA")</f>
        <v>4.0961804323561085E-2</v>
      </c>
      <c r="AB158" s="2"/>
      <c r="AC158" s="14">
        <f t="shared" si="39"/>
        <v>337.30999999999949</v>
      </c>
      <c r="AD158" s="15">
        <f>IFERROR(AC158/AC444, "NA")</f>
        <v>-5.1514225935032576E-2</v>
      </c>
    </row>
    <row r="159" spans="1:30" ht="16.5" customHeight="1" x14ac:dyDescent="0.45">
      <c r="A159" s="11" t="s">
        <v>148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45">
      <c r="A160" s="12" t="s">
        <v>148</v>
      </c>
      <c r="B160" s="7">
        <v>0</v>
      </c>
      <c r="C160" s="8">
        <f>IFERROR(B160/B444, "NA")</f>
        <v>0</v>
      </c>
      <c r="D160" s="9"/>
      <c r="E160" s="7">
        <v>0</v>
      </c>
      <c r="F160" s="8">
        <f>IFERROR(E160/E444, "NA")</f>
        <v>0</v>
      </c>
      <c r="G160" s="9"/>
      <c r="H160" s="10">
        <f t="shared" ref="H160:H171" si="40">IFERROR(-(B160-E160), "NA")</f>
        <v>0</v>
      </c>
      <c r="I160" s="8">
        <f>IFERROR(H160/H444, "NA")</f>
        <v>0</v>
      </c>
      <c r="J160" s="9"/>
      <c r="K160" s="7">
        <v>0</v>
      </c>
      <c r="L160" s="8">
        <f>IFERROR(K160/K444, "NA")</f>
        <v>0</v>
      </c>
      <c r="M160" s="9"/>
      <c r="N160" s="10">
        <f t="shared" ref="N160:N171" si="41">IFERROR(-(B160-K160), "NA")</f>
        <v>0</v>
      </c>
      <c r="O160" s="8">
        <f>IFERROR(N160/N444, "NA")</f>
        <v>0</v>
      </c>
      <c r="P160" s="9"/>
      <c r="Q160" s="7">
        <v>0</v>
      </c>
      <c r="R160" s="8">
        <f>IFERROR(Q160/Q444, "NA")</f>
        <v>0</v>
      </c>
      <c r="S160" s="9"/>
      <c r="T160" s="7">
        <v>0</v>
      </c>
      <c r="U160" s="8">
        <f>IFERROR(T160/T444, "NA")</f>
        <v>0</v>
      </c>
      <c r="V160" s="9"/>
      <c r="W160" s="10">
        <f t="shared" ref="W160:W171" si="42">IFERROR(-(Q160-T160), "NA")</f>
        <v>0</v>
      </c>
      <c r="X160" s="8">
        <f>IFERROR(W160/W444, "NA")</f>
        <v>0</v>
      </c>
      <c r="Y160" s="9"/>
      <c r="Z160" s="7">
        <v>0</v>
      </c>
      <c r="AA160" s="8">
        <f>IFERROR(Z160/Z444, "NA")</f>
        <v>0</v>
      </c>
      <c r="AB160" s="9"/>
      <c r="AC160" s="10">
        <f t="shared" ref="AC160:AC171" si="43">IFERROR(-(Q160-Z160), "NA")</f>
        <v>0</v>
      </c>
      <c r="AD160" s="8">
        <f>IFERROR(AC160/AC444, "NA")</f>
        <v>0</v>
      </c>
    </row>
    <row r="161" spans="1:30" ht="16.5" customHeight="1" x14ac:dyDescent="0.45">
      <c r="A161" s="12" t="s">
        <v>149</v>
      </c>
      <c r="B161" s="7">
        <v>180.57</v>
      </c>
      <c r="C161" s="8">
        <f>IFERROR(B161/B444, "NA")</f>
        <v>1.3779219316455487E-3</v>
      </c>
      <c r="D161" s="9"/>
      <c r="E161" s="7">
        <v>0</v>
      </c>
      <c r="F161" s="8">
        <f>IFERROR(E161/E444, "NA")</f>
        <v>0</v>
      </c>
      <c r="G161" s="9"/>
      <c r="H161" s="10">
        <f t="shared" si="40"/>
        <v>-180.57</v>
      </c>
      <c r="I161" s="8">
        <f>IFERROR(H161/H444, "NA")</f>
        <v>1.623411943140575E-2</v>
      </c>
      <c r="J161" s="9"/>
      <c r="K161" s="7">
        <v>57.18</v>
      </c>
      <c r="L161" s="8">
        <f>IFERROR(K161/K444, "NA")</f>
        <v>4.1557328545494953E-4</v>
      </c>
      <c r="M161" s="9"/>
      <c r="N161" s="10">
        <f t="shared" si="41"/>
        <v>-123.38999999999999</v>
      </c>
      <c r="O161" s="8">
        <f>IFERROR(N161/N444, "NA")</f>
        <v>1.8844209593915622E-2</v>
      </c>
      <c r="P161" s="9"/>
      <c r="Q161" s="7">
        <v>180.57</v>
      </c>
      <c r="R161" s="8">
        <f>IFERROR(Q161/Q444, "NA")</f>
        <v>1.3779219316455487E-3</v>
      </c>
      <c r="S161" s="9"/>
      <c r="T161" s="7">
        <v>0</v>
      </c>
      <c r="U161" s="8">
        <f>IFERROR(T161/T444, "NA")</f>
        <v>0</v>
      </c>
      <c r="V161" s="9"/>
      <c r="W161" s="10">
        <f t="shared" si="42"/>
        <v>-180.57</v>
      </c>
      <c r="X161" s="8">
        <f>IFERROR(W161/W444, "NA")</f>
        <v>1.623411943140575E-2</v>
      </c>
      <c r="Y161" s="9"/>
      <c r="Z161" s="7">
        <v>57.18</v>
      </c>
      <c r="AA161" s="8">
        <f>IFERROR(Z161/Z444, "NA")</f>
        <v>4.1557328545494953E-4</v>
      </c>
      <c r="AB161" s="9"/>
      <c r="AC161" s="10">
        <f t="shared" si="43"/>
        <v>-123.38999999999999</v>
      </c>
      <c r="AD161" s="8">
        <f>IFERROR(AC161/AC444, "NA")</f>
        <v>1.8844209593915622E-2</v>
      </c>
    </row>
    <row r="162" spans="1:30" ht="16.5" hidden="1" customHeight="1" x14ac:dyDescent="0.45">
      <c r="A162" s="12" t="s">
        <v>150</v>
      </c>
      <c r="B162" s="7">
        <v>0</v>
      </c>
      <c r="C162" s="8">
        <f>IFERROR(B162/B444, "NA")</f>
        <v>0</v>
      </c>
      <c r="D162" s="9"/>
      <c r="E162" s="7">
        <v>0</v>
      </c>
      <c r="F162" s="8">
        <f>IFERROR(E162/E444, "NA")</f>
        <v>0</v>
      </c>
      <c r="G162" s="9"/>
      <c r="H162" s="10">
        <f t="shared" si="40"/>
        <v>0</v>
      </c>
      <c r="I162" s="8">
        <f>IFERROR(H162/H444, "NA")</f>
        <v>0</v>
      </c>
      <c r="J162" s="9"/>
      <c r="K162" s="7">
        <v>0</v>
      </c>
      <c r="L162" s="8">
        <f>IFERROR(K162/K444, "NA")</f>
        <v>0</v>
      </c>
      <c r="M162" s="9"/>
      <c r="N162" s="10">
        <f t="shared" si="41"/>
        <v>0</v>
      </c>
      <c r="O162" s="8">
        <f>IFERROR(N162/N444, "NA")</f>
        <v>0</v>
      </c>
      <c r="P162" s="9"/>
      <c r="Q162" s="7">
        <v>0</v>
      </c>
      <c r="R162" s="8">
        <f>IFERROR(Q162/Q444, "NA")</f>
        <v>0</v>
      </c>
      <c r="S162" s="9"/>
      <c r="T162" s="7">
        <v>0</v>
      </c>
      <c r="U162" s="8">
        <f>IFERROR(T162/T444, "NA")</f>
        <v>0</v>
      </c>
      <c r="V162" s="9"/>
      <c r="W162" s="10">
        <f t="shared" si="42"/>
        <v>0</v>
      </c>
      <c r="X162" s="8">
        <f>IFERROR(W162/W444, "NA")</f>
        <v>0</v>
      </c>
      <c r="Y162" s="9"/>
      <c r="Z162" s="7">
        <v>0</v>
      </c>
      <c r="AA162" s="8">
        <f>IFERROR(Z162/Z444, "NA")</f>
        <v>0</v>
      </c>
      <c r="AB162" s="9"/>
      <c r="AC162" s="10">
        <f t="shared" si="43"/>
        <v>0</v>
      </c>
      <c r="AD162" s="8">
        <f>IFERROR(AC162/AC444, "NA")</f>
        <v>0</v>
      </c>
    </row>
    <row r="163" spans="1:30" ht="16.5" hidden="1" customHeight="1" x14ac:dyDescent="0.45">
      <c r="A163" s="12" t="s">
        <v>151</v>
      </c>
      <c r="B163" s="7">
        <v>0</v>
      </c>
      <c r="C163" s="8">
        <f>IFERROR(B163/B444, "NA")</f>
        <v>0</v>
      </c>
      <c r="D163" s="9"/>
      <c r="E163" s="7">
        <v>0</v>
      </c>
      <c r="F163" s="8">
        <f>IFERROR(E163/E444, "NA")</f>
        <v>0</v>
      </c>
      <c r="G163" s="9"/>
      <c r="H163" s="10">
        <f t="shared" si="40"/>
        <v>0</v>
      </c>
      <c r="I163" s="8">
        <f>IFERROR(H163/H444, "NA")</f>
        <v>0</v>
      </c>
      <c r="J163" s="9"/>
      <c r="K163" s="7">
        <v>0</v>
      </c>
      <c r="L163" s="8">
        <f>IFERROR(K163/K444, "NA")</f>
        <v>0</v>
      </c>
      <c r="M163" s="9"/>
      <c r="N163" s="10">
        <f t="shared" si="41"/>
        <v>0</v>
      </c>
      <c r="O163" s="8">
        <f>IFERROR(N163/N444, "NA")</f>
        <v>0</v>
      </c>
      <c r="P163" s="9"/>
      <c r="Q163" s="7">
        <v>0</v>
      </c>
      <c r="R163" s="8">
        <f>IFERROR(Q163/Q444, "NA")</f>
        <v>0</v>
      </c>
      <c r="S163" s="9"/>
      <c r="T163" s="7">
        <v>0</v>
      </c>
      <c r="U163" s="8">
        <f>IFERROR(T163/T444, "NA")</f>
        <v>0</v>
      </c>
      <c r="V163" s="9"/>
      <c r="W163" s="10">
        <f t="shared" si="42"/>
        <v>0</v>
      </c>
      <c r="X163" s="8">
        <f>IFERROR(W163/W444, "NA")</f>
        <v>0</v>
      </c>
      <c r="Y163" s="9"/>
      <c r="Z163" s="7">
        <v>0</v>
      </c>
      <c r="AA163" s="8">
        <f>IFERROR(Z163/Z444, "NA")</f>
        <v>0</v>
      </c>
      <c r="AB163" s="9"/>
      <c r="AC163" s="10">
        <f t="shared" si="43"/>
        <v>0</v>
      </c>
      <c r="AD163" s="8">
        <f>IFERROR(AC163/AC444, "NA")</f>
        <v>0</v>
      </c>
    </row>
    <row r="164" spans="1:30" ht="16.5" hidden="1" customHeight="1" x14ac:dyDescent="0.45">
      <c r="A164" s="12" t="s">
        <v>152</v>
      </c>
      <c r="B164" s="7">
        <v>0</v>
      </c>
      <c r="C164" s="8">
        <f>IFERROR(B164/B444, "NA")</f>
        <v>0</v>
      </c>
      <c r="D164" s="9"/>
      <c r="E164" s="7">
        <v>0</v>
      </c>
      <c r="F164" s="8">
        <f>IFERROR(E164/E444, "NA")</f>
        <v>0</v>
      </c>
      <c r="G164" s="9"/>
      <c r="H164" s="10">
        <f t="shared" si="40"/>
        <v>0</v>
      </c>
      <c r="I164" s="8">
        <f>IFERROR(H164/H444, "NA")</f>
        <v>0</v>
      </c>
      <c r="J164" s="9"/>
      <c r="K164" s="7">
        <v>0</v>
      </c>
      <c r="L164" s="8">
        <f>IFERROR(K164/K444, "NA")</f>
        <v>0</v>
      </c>
      <c r="M164" s="9"/>
      <c r="N164" s="10">
        <f t="shared" si="41"/>
        <v>0</v>
      </c>
      <c r="O164" s="8">
        <f>IFERROR(N164/N444, "NA")</f>
        <v>0</v>
      </c>
      <c r="P164" s="9"/>
      <c r="Q164" s="7">
        <v>0</v>
      </c>
      <c r="R164" s="8">
        <f>IFERROR(Q164/Q444, "NA")</f>
        <v>0</v>
      </c>
      <c r="S164" s="9"/>
      <c r="T164" s="7">
        <v>0</v>
      </c>
      <c r="U164" s="8">
        <f>IFERROR(T164/T444, "NA")</f>
        <v>0</v>
      </c>
      <c r="V164" s="9"/>
      <c r="W164" s="10">
        <f t="shared" si="42"/>
        <v>0</v>
      </c>
      <c r="X164" s="8">
        <f>IFERROR(W164/W444, "NA")</f>
        <v>0</v>
      </c>
      <c r="Y164" s="9"/>
      <c r="Z164" s="7">
        <v>0</v>
      </c>
      <c r="AA164" s="8">
        <f>IFERROR(Z164/Z444, "NA")</f>
        <v>0</v>
      </c>
      <c r="AB164" s="9"/>
      <c r="AC164" s="10">
        <f t="shared" si="43"/>
        <v>0</v>
      </c>
      <c r="AD164" s="8">
        <f>IFERROR(AC164/AC444, "NA")</f>
        <v>0</v>
      </c>
    </row>
    <row r="165" spans="1:30" ht="16.5" hidden="1" customHeight="1" x14ac:dyDescent="0.45">
      <c r="A165" s="12" t="s">
        <v>153</v>
      </c>
      <c r="B165" s="7">
        <v>0</v>
      </c>
      <c r="C165" s="8">
        <f>IFERROR(B165/B444, "NA")</f>
        <v>0</v>
      </c>
      <c r="D165" s="9"/>
      <c r="E165" s="7">
        <v>0</v>
      </c>
      <c r="F165" s="8">
        <f>IFERROR(E165/E444, "NA")</f>
        <v>0</v>
      </c>
      <c r="G165" s="9"/>
      <c r="H165" s="10">
        <f t="shared" si="40"/>
        <v>0</v>
      </c>
      <c r="I165" s="8">
        <f>IFERROR(H165/H444, "NA")</f>
        <v>0</v>
      </c>
      <c r="J165" s="9"/>
      <c r="K165" s="7">
        <v>0</v>
      </c>
      <c r="L165" s="8">
        <f>IFERROR(K165/K444, "NA")</f>
        <v>0</v>
      </c>
      <c r="M165" s="9"/>
      <c r="N165" s="10">
        <f t="shared" si="41"/>
        <v>0</v>
      </c>
      <c r="O165" s="8">
        <f>IFERROR(N165/N444, "NA")</f>
        <v>0</v>
      </c>
      <c r="P165" s="9"/>
      <c r="Q165" s="7">
        <v>0</v>
      </c>
      <c r="R165" s="8">
        <f>IFERROR(Q165/Q444, "NA")</f>
        <v>0</v>
      </c>
      <c r="S165" s="9"/>
      <c r="T165" s="7">
        <v>0</v>
      </c>
      <c r="U165" s="8">
        <f>IFERROR(T165/T444, "NA")</f>
        <v>0</v>
      </c>
      <c r="V165" s="9"/>
      <c r="W165" s="10">
        <f t="shared" si="42"/>
        <v>0</v>
      </c>
      <c r="X165" s="8">
        <f>IFERROR(W165/W444, "NA")</f>
        <v>0</v>
      </c>
      <c r="Y165" s="9"/>
      <c r="Z165" s="7">
        <v>0</v>
      </c>
      <c r="AA165" s="8">
        <f>IFERROR(Z165/Z444, "NA")</f>
        <v>0</v>
      </c>
      <c r="AB165" s="9"/>
      <c r="AC165" s="10">
        <f t="shared" si="43"/>
        <v>0</v>
      </c>
      <c r="AD165" s="8">
        <f>IFERROR(AC165/AC444, "NA")</f>
        <v>0</v>
      </c>
    </row>
    <row r="166" spans="1:30" ht="16.5" customHeight="1" x14ac:dyDescent="0.45">
      <c r="A166" s="13" t="s">
        <v>154</v>
      </c>
      <c r="B166" s="14">
        <f>IFERROR(B160+B161+B162+B163+B164+B165, "NA")</f>
        <v>180.57</v>
      </c>
      <c r="C166" s="15">
        <f>IFERROR(B166/B444, "NA")</f>
        <v>1.3779219316455487E-3</v>
      </c>
      <c r="D166" s="2"/>
      <c r="E166" s="14">
        <f>IFERROR(E160+E161+E162+E163+E164+E165, "NA")</f>
        <v>0</v>
      </c>
      <c r="F166" s="15">
        <f>IFERROR(E166/E444, "NA")</f>
        <v>0</v>
      </c>
      <c r="G166" s="2"/>
      <c r="H166" s="14">
        <f t="shared" si="40"/>
        <v>-180.57</v>
      </c>
      <c r="I166" s="15">
        <f>IFERROR(H166/H444, "NA")</f>
        <v>1.623411943140575E-2</v>
      </c>
      <c r="J166" s="2"/>
      <c r="K166" s="14">
        <f>IFERROR(K160+K161+K162+K163+K164+K165, "NA")</f>
        <v>57.18</v>
      </c>
      <c r="L166" s="15">
        <f>IFERROR(K166/K444, "NA")</f>
        <v>4.1557328545494953E-4</v>
      </c>
      <c r="M166" s="2"/>
      <c r="N166" s="14">
        <f t="shared" si="41"/>
        <v>-123.38999999999999</v>
      </c>
      <c r="O166" s="15">
        <f>IFERROR(N166/N444, "NA")</f>
        <v>1.8844209593915622E-2</v>
      </c>
      <c r="P166" s="2"/>
      <c r="Q166" s="14">
        <f>IFERROR(Q160+Q161+Q162+Q163+Q164+Q165, "NA")</f>
        <v>180.57</v>
      </c>
      <c r="R166" s="15">
        <f>IFERROR(Q166/Q444, "NA")</f>
        <v>1.3779219316455487E-3</v>
      </c>
      <c r="S166" s="2"/>
      <c r="T166" s="14">
        <f>IFERROR(T160+T161+T162+T163+T164+T165, "NA")</f>
        <v>0</v>
      </c>
      <c r="U166" s="15">
        <f>IFERROR(T166/T444, "NA")</f>
        <v>0</v>
      </c>
      <c r="V166" s="2"/>
      <c r="W166" s="14">
        <f t="shared" si="42"/>
        <v>-180.57</v>
      </c>
      <c r="X166" s="15">
        <f>IFERROR(W166/W444, "NA")</f>
        <v>1.623411943140575E-2</v>
      </c>
      <c r="Y166" s="2"/>
      <c r="Z166" s="14">
        <f>IFERROR(Z160+Z161+Z162+Z163+Z164+Z165, "NA")</f>
        <v>57.18</v>
      </c>
      <c r="AA166" s="15">
        <f>IFERROR(Z166/Z444, "NA")</f>
        <v>4.1557328545494953E-4</v>
      </c>
      <c r="AB166" s="2"/>
      <c r="AC166" s="14">
        <f t="shared" si="43"/>
        <v>-123.38999999999999</v>
      </c>
      <c r="AD166" s="15">
        <f>IFERROR(AC166/AC444, "NA")</f>
        <v>1.8844209593915622E-2</v>
      </c>
    </row>
    <row r="167" spans="1:30" ht="16.5" customHeight="1" x14ac:dyDescent="0.45">
      <c r="A167" s="6" t="s">
        <v>155</v>
      </c>
      <c r="B167" s="7">
        <v>161.59</v>
      </c>
      <c r="C167" s="8">
        <f>IFERROR(B167/B444, "NA")</f>
        <v>1.2330863650362974E-3</v>
      </c>
      <c r="D167" s="9"/>
      <c r="E167" s="7">
        <v>0</v>
      </c>
      <c r="F167" s="8">
        <f>IFERROR(E167/E444, "NA")</f>
        <v>0</v>
      </c>
      <c r="G167" s="9"/>
      <c r="H167" s="10">
        <f t="shared" si="40"/>
        <v>-161.59</v>
      </c>
      <c r="I167" s="8">
        <f>IFERROR(H167/H444, "NA")</f>
        <v>1.4527725308306226E-2</v>
      </c>
      <c r="J167" s="9"/>
      <c r="K167" s="7">
        <v>116.67</v>
      </c>
      <c r="L167" s="8">
        <f>IFERROR(K167/K444, "NA")</f>
        <v>8.4793520836007287E-4</v>
      </c>
      <c r="M167" s="9"/>
      <c r="N167" s="10">
        <f t="shared" si="41"/>
        <v>-44.92</v>
      </c>
      <c r="O167" s="8">
        <f>IFERROR(N167/N444, "NA")</f>
        <v>6.8602147253317919E-3</v>
      </c>
      <c r="P167" s="9"/>
      <c r="Q167" s="7">
        <v>161.59</v>
      </c>
      <c r="R167" s="8">
        <f>IFERROR(Q167/Q444, "NA")</f>
        <v>1.2330863650362974E-3</v>
      </c>
      <c r="S167" s="9"/>
      <c r="T167" s="7">
        <v>0</v>
      </c>
      <c r="U167" s="8">
        <f>IFERROR(T167/T444, "NA")</f>
        <v>0</v>
      </c>
      <c r="V167" s="9"/>
      <c r="W167" s="10">
        <f t="shared" si="42"/>
        <v>-161.59</v>
      </c>
      <c r="X167" s="8">
        <f>IFERROR(W167/W444, "NA")</f>
        <v>1.4527725308306226E-2</v>
      </c>
      <c r="Y167" s="9"/>
      <c r="Z167" s="7">
        <v>116.67</v>
      </c>
      <c r="AA167" s="8">
        <f>IFERROR(Z167/Z444, "NA")</f>
        <v>8.4793520836007287E-4</v>
      </c>
      <c r="AB167" s="9"/>
      <c r="AC167" s="10">
        <f t="shared" si="43"/>
        <v>-44.92</v>
      </c>
      <c r="AD167" s="8">
        <f>IFERROR(AC167/AC444, "NA")</f>
        <v>6.8602147253317919E-3</v>
      </c>
    </row>
    <row r="168" spans="1:30" ht="16.5" customHeight="1" x14ac:dyDescent="0.45">
      <c r="A168" s="6" t="s">
        <v>156</v>
      </c>
      <c r="B168" s="7">
        <v>51.62</v>
      </c>
      <c r="C168" s="8">
        <f>IFERROR(B168/B444, "NA")</f>
        <v>3.9391000781715244E-4</v>
      </c>
      <c r="D168" s="9"/>
      <c r="E168" s="7">
        <v>0</v>
      </c>
      <c r="F168" s="8">
        <f>IFERROR(E168/E444, "NA")</f>
        <v>0</v>
      </c>
      <c r="G168" s="9"/>
      <c r="H168" s="10">
        <f t="shared" si="40"/>
        <v>-51.62</v>
      </c>
      <c r="I168" s="8">
        <f>IFERROR(H168/H444, "NA")</f>
        <v>4.6408885476500236E-3</v>
      </c>
      <c r="J168" s="9"/>
      <c r="K168" s="7">
        <v>47.6</v>
      </c>
      <c r="L168" s="8">
        <f>IFERROR(K168/K444, "NA")</f>
        <v>3.4594768079145851E-4</v>
      </c>
      <c r="M168" s="9"/>
      <c r="N168" s="10">
        <f t="shared" si="41"/>
        <v>-4.019999999999996</v>
      </c>
      <c r="O168" s="8">
        <f>IFERROR(N168/N444, "NA")</f>
        <v>6.1393729287252392E-4</v>
      </c>
      <c r="P168" s="9"/>
      <c r="Q168" s="7">
        <v>51.62</v>
      </c>
      <c r="R168" s="8">
        <f>IFERROR(Q168/Q444, "NA")</f>
        <v>3.9391000781715244E-4</v>
      </c>
      <c r="S168" s="9"/>
      <c r="T168" s="7">
        <v>0</v>
      </c>
      <c r="U168" s="8">
        <f>IFERROR(T168/T444, "NA")</f>
        <v>0</v>
      </c>
      <c r="V168" s="9"/>
      <c r="W168" s="10">
        <f t="shared" si="42"/>
        <v>-51.62</v>
      </c>
      <c r="X168" s="8">
        <f>IFERROR(W168/W444, "NA")</f>
        <v>4.6408885476500236E-3</v>
      </c>
      <c r="Y168" s="9"/>
      <c r="Z168" s="7">
        <v>47.6</v>
      </c>
      <c r="AA168" s="8">
        <f>IFERROR(Z168/Z444, "NA")</f>
        <v>3.4594768079145851E-4</v>
      </c>
      <c r="AB168" s="9"/>
      <c r="AC168" s="10">
        <f t="shared" si="43"/>
        <v>-4.019999999999996</v>
      </c>
      <c r="AD168" s="8">
        <f>IFERROR(AC168/AC444, "NA")</f>
        <v>6.1393729287252392E-4</v>
      </c>
    </row>
    <row r="169" spans="1:30" ht="16.5" customHeight="1" x14ac:dyDescent="0.45">
      <c r="A169" s="6" t="s">
        <v>157</v>
      </c>
      <c r="B169" s="7">
        <v>-1006.21</v>
      </c>
      <c r="C169" s="8">
        <f>IFERROR(B169/B444, "NA")</f>
        <v>-7.6783453887194313E-3</v>
      </c>
      <c r="D169" s="9"/>
      <c r="E169" s="7">
        <v>0</v>
      </c>
      <c r="F169" s="8">
        <f>IFERROR(E169/E444, "NA")</f>
        <v>0</v>
      </c>
      <c r="G169" s="9"/>
      <c r="H169" s="10">
        <f t="shared" si="40"/>
        <v>1006.21</v>
      </c>
      <c r="I169" s="8">
        <f>IFERROR(H169/H444, "NA")</f>
        <v>-9.0463162834772001E-2</v>
      </c>
      <c r="J169" s="9"/>
      <c r="K169" s="7">
        <v>-1992.47</v>
      </c>
      <c r="L169" s="8">
        <f>IFERROR(K169/K444, "NA")</f>
        <v>-1.4480890242574734E-2</v>
      </c>
      <c r="M169" s="9"/>
      <c r="N169" s="10">
        <f t="shared" si="41"/>
        <v>-986.26</v>
      </c>
      <c r="O169" s="8">
        <f>IFERROR(N169/N444, "NA")</f>
        <v>0.15062233693245175</v>
      </c>
      <c r="P169" s="9"/>
      <c r="Q169" s="7">
        <v>-1006.21</v>
      </c>
      <c r="R169" s="8">
        <f>IFERROR(Q169/Q444, "NA")</f>
        <v>-7.6783453887194313E-3</v>
      </c>
      <c r="S169" s="9"/>
      <c r="T169" s="7">
        <v>0</v>
      </c>
      <c r="U169" s="8">
        <f>IFERROR(T169/T444, "NA")</f>
        <v>0</v>
      </c>
      <c r="V169" s="9"/>
      <c r="W169" s="10">
        <f t="shared" si="42"/>
        <v>1006.21</v>
      </c>
      <c r="X169" s="8">
        <f>IFERROR(W169/W444, "NA")</f>
        <v>-9.0463162834772001E-2</v>
      </c>
      <c r="Y169" s="9"/>
      <c r="Z169" s="7">
        <v>-1992.47</v>
      </c>
      <c r="AA169" s="8">
        <f>IFERROR(Z169/Z444, "NA")</f>
        <v>-1.4480890242574734E-2</v>
      </c>
      <c r="AB169" s="9"/>
      <c r="AC169" s="10">
        <f t="shared" si="43"/>
        <v>-986.26</v>
      </c>
      <c r="AD169" s="8">
        <f>IFERROR(AC169/AC444, "NA")</f>
        <v>0.15062233693245175</v>
      </c>
    </row>
    <row r="170" spans="1:30" ht="16.5" customHeight="1" x14ac:dyDescent="0.45">
      <c r="A170" s="19" t="s">
        <v>158</v>
      </c>
      <c r="B170" s="14">
        <f>IFERROR(B151+B153+B154+B155+B156+B157+B160+B161+B162+B163+B164+B165+B167+B168+B169, "NA")</f>
        <v>4686.32</v>
      </c>
      <c r="C170" s="15">
        <f>IFERROR(B170/B444, "NA")</f>
        <v>3.5761107087053039E-2</v>
      </c>
      <c r="D170" s="2"/>
      <c r="E170" s="14">
        <f>IFERROR(E151+E153+E154+E155+E156+E157+E160+E161+E162+E163+E164+E165+E167+E168+E169, "NA")</f>
        <v>5828.89</v>
      </c>
      <c r="F170" s="15">
        <f>IFERROR(E170/E444, "NA")</f>
        <v>4.1000005416126258E-2</v>
      </c>
      <c r="G170" s="2"/>
      <c r="H170" s="14">
        <f t="shared" si="40"/>
        <v>1142.5700000000006</v>
      </c>
      <c r="I170" s="15">
        <f>IFERROR(H170/H444, "NA")</f>
        <v>-0.10272258868439541</v>
      </c>
      <c r="J170" s="2"/>
      <c r="K170" s="14">
        <f>IFERROR(K151+K153+K154+K155+K156+K157+K160+K161+K162+K163+K164+K165+K167+K168+K169, "NA")</f>
        <v>3865.04</v>
      </c>
      <c r="L170" s="15">
        <f>IFERROR(K170/K444, "NA")</f>
        <v>2.8090370255592832E-2</v>
      </c>
      <c r="M170" s="2"/>
      <c r="N170" s="14">
        <f t="shared" si="41"/>
        <v>-821.27999999999975</v>
      </c>
      <c r="O170" s="15">
        <f>IFERROR(N170/N444, "NA")</f>
        <v>0.12542647260953901</v>
      </c>
      <c r="P170" s="2"/>
      <c r="Q170" s="14">
        <f>IFERROR(Q151+Q153+Q154+Q155+Q156+Q157+Q160+Q161+Q162+Q163+Q164+Q165+Q167+Q168+Q169, "NA")</f>
        <v>4686.32</v>
      </c>
      <c r="R170" s="15">
        <f>IFERROR(Q170/Q444, "NA")</f>
        <v>3.5761107087053039E-2</v>
      </c>
      <c r="S170" s="2"/>
      <c r="T170" s="14">
        <f>IFERROR(T151+T153+T154+T155+T156+T157+T160+T161+T162+T163+T164+T165+T167+T168+T169, "NA")</f>
        <v>5828.89</v>
      </c>
      <c r="U170" s="15">
        <f>IFERROR(T170/T444, "NA")</f>
        <v>4.1000005416126258E-2</v>
      </c>
      <c r="V170" s="2"/>
      <c r="W170" s="14">
        <f t="shared" si="42"/>
        <v>1142.5700000000006</v>
      </c>
      <c r="X170" s="15">
        <f>IFERROR(W170/W444, "NA")</f>
        <v>-0.10272258868439541</v>
      </c>
      <c r="Y170" s="2"/>
      <c r="Z170" s="14">
        <f>IFERROR(Z151+Z153+Z154+Z155+Z156+Z157+Z160+Z161+Z162+Z163+Z164+Z165+Z167+Z168+Z169, "NA")</f>
        <v>3865.04</v>
      </c>
      <c r="AA170" s="15">
        <f>IFERROR(Z170/Z444, "NA")</f>
        <v>2.8090370255592832E-2</v>
      </c>
      <c r="AB170" s="2"/>
      <c r="AC170" s="14">
        <f t="shared" si="43"/>
        <v>-821.27999999999975</v>
      </c>
      <c r="AD170" s="15">
        <f>IFERROR(AC170/AC444, "NA")</f>
        <v>0.12542647260953901</v>
      </c>
    </row>
    <row r="171" spans="1:30" ht="16.5" customHeight="1" x14ac:dyDescent="0.45">
      <c r="A171" s="21" t="s">
        <v>159</v>
      </c>
      <c r="B171" s="14">
        <f>IFERROR(B127+B129+B130+B131+B132+B133+B134+B135+B136+B137+B138+B139+B140+B143+B144+B145+B146+B147+B151+B153+B154+B155+B156+B157+B160+B161+B162+B163+B164+B165+B167+B168+B169, "NA")</f>
        <v>35981.67</v>
      </c>
      <c r="C171" s="15">
        <f>IFERROR(B171/B444, "NA")</f>
        <v>0.27457458177013172</v>
      </c>
      <c r="D171" s="2"/>
      <c r="E171" s="14">
        <f>IFERROR(E127+E129+E130+E131+E132+E133+E134+E135+E136+E137+E138+E139+E140+E143+E144+E145+E146+E147+E151+E153+E154+E155+E156+E157+E160+E161+E162+E163+E164+E165+E167+E168+E169, "NA")</f>
        <v>37674.53</v>
      </c>
      <c r="F171" s="15">
        <f>IFERROR(E171/E444, "NA")</f>
        <v>0.2650000144195569</v>
      </c>
      <c r="G171" s="2"/>
      <c r="H171" s="14">
        <f t="shared" si="40"/>
        <v>1692.8600000000006</v>
      </c>
      <c r="I171" s="15">
        <f>IFERROR(H171/H444, "NA")</f>
        <v>-0.15219633062330148</v>
      </c>
      <c r="J171" s="2"/>
      <c r="K171" s="14">
        <f>IFERROR(K127+K129+K130+K131+K132+K133+K134+K135+K136+K137+K138+K139+K140+K143+K144+K145+K146+K147+K151+K153+K154+K155+K156+K157+K160+K161+K162+K163+K164+K165+K167+K168+K169, "NA")</f>
        <v>36506.800000000003</v>
      </c>
      <c r="L171" s="15">
        <f>IFERROR(K171/K444, "NA")</f>
        <v>0.26532442842684073</v>
      </c>
      <c r="M171" s="2"/>
      <c r="N171" s="14">
        <f t="shared" si="41"/>
        <v>525.13000000000466</v>
      </c>
      <c r="O171" s="15">
        <f>IFERROR(N171/N444, "NA")</f>
        <v>-8.0198231494067587E-2</v>
      </c>
      <c r="P171" s="2"/>
      <c r="Q171" s="14">
        <f>IFERROR(Q127+Q129+Q130+Q131+Q132+Q133+Q134+Q135+Q136+Q137+Q138+Q139+Q140+Q143+Q144+Q145+Q146+Q147+Q151+Q153+Q154+Q155+Q156+Q157+Q160+Q161+Q162+Q163+Q164+Q165+Q167+Q168+Q169, "NA")</f>
        <v>35981.67</v>
      </c>
      <c r="R171" s="15">
        <f>IFERROR(Q171/Q444, "NA")</f>
        <v>0.27457458177013172</v>
      </c>
      <c r="S171" s="2"/>
      <c r="T171" s="14">
        <f>IFERROR(T127+T129+T130+T131+T132+T133+T134+T135+T136+T137+T138+T139+T140+T143+T144+T145+T146+T147+T151+T153+T154+T155+T156+T157+T160+T161+T162+T163+T164+T165+T167+T168+T169, "NA")</f>
        <v>37674.53</v>
      </c>
      <c r="U171" s="15">
        <f>IFERROR(T171/T444, "NA")</f>
        <v>0.2650000144195569</v>
      </c>
      <c r="V171" s="2"/>
      <c r="W171" s="14">
        <f t="shared" si="42"/>
        <v>1692.8600000000006</v>
      </c>
      <c r="X171" s="15">
        <f>IFERROR(W171/W444, "NA")</f>
        <v>-0.15219633062330148</v>
      </c>
      <c r="Y171" s="2"/>
      <c r="Z171" s="14">
        <f>IFERROR(Z127+Z129+Z130+Z131+Z132+Z133+Z134+Z135+Z136+Z137+Z138+Z139+Z140+Z143+Z144+Z145+Z146+Z147+Z151+Z153+Z154+Z155+Z156+Z157+Z160+Z161+Z162+Z163+Z164+Z165+Z167+Z168+Z169, "NA")</f>
        <v>36506.800000000003</v>
      </c>
      <c r="AA171" s="15">
        <f>IFERROR(Z171/Z444, "NA")</f>
        <v>0.26532442842684073</v>
      </c>
      <c r="AB171" s="2"/>
      <c r="AC171" s="14">
        <f t="shared" si="43"/>
        <v>525.13000000000466</v>
      </c>
      <c r="AD171" s="15">
        <f>IFERROR(AC171/AC444, "NA")</f>
        <v>-8.0198231494067587E-2</v>
      </c>
    </row>
    <row r="172" spans="1:30" ht="16.5" customHeight="1" x14ac:dyDescent="0.45">
      <c r="A172" s="22" t="s">
        <v>160</v>
      </c>
      <c r="B172" s="23">
        <f>IFERROR(B124-B171, "NA")</f>
        <v>95063.489999999976</v>
      </c>
      <c r="C172" s="24">
        <f>IFERROR(B172/B444, "NA")</f>
        <v>0.72542541822986806</v>
      </c>
      <c r="D172" s="25"/>
      <c r="E172" s="23">
        <f>IFERROR(E124-E171, "NA")</f>
        <v>104493.5</v>
      </c>
      <c r="F172" s="24">
        <f>IFERROR(E172/E444, "NA")</f>
        <v>0.7349999855804431</v>
      </c>
      <c r="G172" s="25"/>
      <c r="H172" s="23">
        <f>IFERROR(B172-E172, "NA")</f>
        <v>-9430.0100000000239</v>
      </c>
      <c r="I172" s="24">
        <f>IFERROR(H172/H444, "NA")</f>
        <v>0.84780366937670115</v>
      </c>
      <c r="J172" s="25"/>
      <c r="K172" s="23">
        <f>IFERROR(K124-K171, "NA")</f>
        <v>101086.26000000005</v>
      </c>
      <c r="L172" s="24">
        <f>IFERROR(K172/K444, "NA")</f>
        <v>0.73467557157315966</v>
      </c>
      <c r="M172" s="25"/>
      <c r="N172" s="23">
        <f>IFERROR(B172-K172, "NA")</f>
        <v>-6022.7700000000768</v>
      </c>
      <c r="O172" s="24">
        <f>IFERROR(N172/N444, "NA")</f>
        <v>0.91980176850594575</v>
      </c>
      <c r="P172" s="25"/>
      <c r="Q172" s="23">
        <f>IFERROR(Q124-Q171, "NA")</f>
        <v>95063.489999999976</v>
      </c>
      <c r="R172" s="24">
        <f>IFERROR(Q172/Q444, "NA")</f>
        <v>0.72542541822986806</v>
      </c>
      <c r="S172" s="25"/>
      <c r="T172" s="23">
        <f>IFERROR(T124-T171, "NA")</f>
        <v>104493.5</v>
      </c>
      <c r="U172" s="24">
        <f>IFERROR(T172/T444, "NA")</f>
        <v>0.7349999855804431</v>
      </c>
      <c r="V172" s="25"/>
      <c r="W172" s="23">
        <f>IFERROR(Q172-T172, "NA")</f>
        <v>-9430.0100000000239</v>
      </c>
      <c r="X172" s="24">
        <f>IFERROR(W172/W444, "NA")</f>
        <v>0.84780366937670115</v>
      </c>
      <c r="Y172" s="25"/>
      <c r="Z172" s="23">
        <f>IFERROR(Z124-Z171, "NA")</f>
        <v>101086.26000000005</v>
      </c>
      <c r="AA172" s="24">
        <f>IFERROR(Z172/Z444, "NA")</f>
        <v>0.73467557157315966</v>
      </c>
      <c r="AB172" s="25"/>
      <c r="AC172" s="23">
        <f>IFERROR(Q172-Z172, "NA")</f>
        <v>-6022.7700000000768</v>
      </c>
      <c r="AD172" s="24">
        <f>IFERROR(AC172/AC444, "NA")</f>
        <v>0.91980176850594575</v>
      </c>
    </row>
    <row r="173" spans="1:30" ht="16.5" customHeight="1" x14ac:dyDescent="0.45">
      <c r="A173" s="1" t="s">
        <v>161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45">
      <c r="A174" s="5" t="s">
        <v>161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45">
      <c r="A175" s="6" t="s">
        <v>161</v>
      </c>
      <c r="B175" s="7">
        <v>0</v>
      </c>
      <c r="C175" s="8">
        <f>IFERROR(B175/B444, "NA")</f>
        <v>0</v>
      </c>
      <c r="D175" s="9"/>
      <c r="E175" s="7">
        <v>0</v>
      </c>
      <c r="F175" s="8">
        <f>IFERROR(E175/E444, "NA")</f>
        <v>0</v>
      </c>
      <c r="G175" s="9"/>
      <c r="H175" s="10">
        <f>IFERROR(-(B175-E175), "NA")</f>
        <v>0</v>
      </c>
      <c r="I175" s="8">
        <f>IFERROR(H175/H444, "NA")</f>
        <v>0</v>
      </c>
      <c r="J175" s="9"/>
      <c r="K175" s="7">
        <v>0</v>
      </c>
      <c r="L175" s="8">
        <f>IFERROR(K175/K444, "NA")</f>
        <v>0</v>
      </c>
      <c r="M175" s="9"/>
      <c r="N175" s="10">
        <f>IFERROR(-(B175-K175), "NA")</f>
        <v>0</v>
      </c>
      <c r="O175" s="8">
        <f>IFERROR(N175/N444, "NA")</f>
        <v>0</v>
      </c>
      <c r="P175" s="9"/>
      <c r="Q175" s="7">
        <v>0</v>
      </c>
      <c r="R175" s="8">
        <f>IFERROR(Q175/Q444, "NA")</f>
        <v>0</v>
      </c>
      <c r="S175" s="9"/>
      <c r="T175" s="7">
        <v>0</v>
      </c>
      <c r="U175" s="8">
        <f>IFERROR(T175/T444, "NA")</f>
        <v>0</v>
      </c>
      <c r="V175" s="9"/>
      <c r="W175" s="10">
        <f>IFERROR(-(Q175-T175), "NA")</f>
        <v>0</v>
      </c>
      <c r="X175" s="8">
        <f>IFERROR(W175/W444, "NA")</f>
        <v>0</v>
      </c>
      <c r="Y175" s="9"/>
      <c r="Z175" s="7">
        <v>0</v>
      </c>
      <c r="AA175" s="8">
        <f>IFERROR(Z175/Z444, "NA")</f>
        <v>0</v>
      </c>
      <c r="AB175" s="9"/>
      <c r="AC175" s="10">
        <f>IFERROR(-(Q175-Z175), "NA")</f>
        <v>0</v>
      </c>
      <c r="AD175" s="8">
        <f>IFERROR(AC175/AC444, "NA")</f>
        <v>0</v>
      </c>
    </row>
    <row r="176" spans="1:30" ht="16.5" customHeight="1" x14ac:dyDescent="0.45">
      <c r="A176" s="11" t="s">
        <v>162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45">
      <c r="A177" s="12" t="s">
        <v>162</v>
      </c>
      <c r="B177" s="7">
        <v>0</v>
      </c>
      <c r="C177" s="8">
        <f>IFERROR(B177/B444, "NA")</f>
        <v>0</v>
      </c>
      <c r="D177" s="9"/>
      <c r="E177" s="7">
        <v>0</v>
      </c>
      <c r="F177" s="8">
        <f>IFERROR(E177/E444, "NA")</f>
        <v>0</v>
      </c>
      <c r="G177" s="9"/>
      <c r="H177" s="10">
        <f t="shared" ref="H177:H184" si="44">IFERROR(-(B177-E177), "NA")</f>
        <v>0</v>
      </c>
      <c r="I177" s="8">
        <f>IFERROR(H177/H444, "NA")</f>
        <v>0</v>
      </c>
      <c r="J177" s="9"/>
      <c r="K177" s="7">
        <v>0</v>
      </c>
      <c r="L177" s="8">
        <f>IFERROR(K177/K444, "NA")</f>
        <v>0</v>
      </c>
      <c r="M177" s="9"/>
      <c r="N177" s="10">
        <f t="shared" ref="N177:N184" si="45">IFERROR(-(B177-K177), "NA")</f>
        <v>0</v>
      </c>
      <c r="O177" s="8">
        <f>IFERROR(N177/N444, "NA")</f>
        <v>0</v>
      </c>
      <c r="P177" s="9"/>
      <c r="Q177" s="7">
        <v>0</v>
      </c>
      <c r="R177" s="8">
        <f>IFERROR(Q177/Q444, "NA")</f>
        <v>0</v>
      </c>
      <c r="S177" s="9"/>
      <c r="T177" s="7">
        <v>0</v>
      </c>
      <c r="U177" s="8">
        <f>IFERROR(T177/T444, "NA")</f>
        <v>0</v>
      </c>
      <c r="V177" s="9"/>
      <c r="W177" s="10">
        <f t="shared" ref="W177:W184" si="46">IFERROR(-(Q177-T177), "NA")</f>
        <v>0</v>
      </c>
      <c r="X177" s="8">
        <f>IFERROR(W177/W444, "NA")</f>
        <v>0</v>
      </c>
      <c r="Y177" s="9"/>
      <c r="Z177" s="7">
        <v>0</v>
      </c>
      <c r="AA177" s="8">
        <f>IFERROR(Z177/Z444, "NA")</f>
        <v>0</v>
      </c>
      <c r="AB177" s="9"/>
      <c r="AC177" s="10">
        <f t="shared" ref="AC177:AC184" si="47">IFERROR(-(Q177-Z177), "NA")</f>
        <v>0</v>
      </c>
      <c r="AD177" s="8">
        <f>IFERROR(AC177/AC444, "NA")</f>
        <v>0</v>
      </c>
    </row>
    <row r="178" spans="1:30" ht="16.5" customHeight="1" x14ac:dyDescent="0.45">
      <c r="A178" s="12" t="s">
        <v>163</v>
      </c>
      <c r="B178" s="7">
        <v>10076.92</v>
      </c>
      <c r="C178" s="8">
        <f>IFERROR(B178/B444, "NA")</f>
        <v>7.6896544672080985E-2</v>
      </c>
      <c r="D178" s="9"/>
      <c r="E178" s="7">
        <v>10076.92</v>
      </c>
      <c r="F178" s="8">
        <f>IFERROR(E178/E444, "NA")</f>
        <v>7.0880351932850166E-2</v>
      </c>
      <c r="G178" s="9"/>
      <c r="H178" s="10">
        <f t="shared" si="44"/>
        <v>0</v>
      </c>
      <c r="I178" s="8">
        <f>IFERROR(H178/H444, "NA")</f>
        <v>0</v>
      </c>
      <c r="J178" s="9"/>
      <c r="K178" s="7">
        <v>10076.92</v>
      </c>
      <c r="L178" s="8">
        <f>IFERROR(K178/K444, "NA")</f>
        <v>7.3237124023551772E-2</v>
      </c>
      <c r="M178" s="9"/>
      <c r="N178" s="10">
        <f t="shared" si="45"/>
        <v>0</v>
      </c>
      <c r="O178" s="8">
        <f>IFERROR(N178/N444, "NA")</f>
        <v>0</v>
      </c>
      <c r="P178" s="9"/>
      <c r="Q178" s="7">
        <v>10076.92</v>
      </c>
      <c r="R178" s="8">
        <f>IFERROR(Q178/Q444, "NA")</f>
        <v>7.6896544672080985E-2</v>
      </c>
      <c r="S178" s="9"/>
      <c r="T178" s="7">
        <v>10076.92</v>
      </c>
      <c r="U178" s="8">
        <f>IFERROR(T178/T444, "NA")</f>
        <v>7.0880351932850166E-2</v>
      </c>
      <c r="V178" s="9"/>
      <c r="W178" s="10">
        <f t="shared" si="46"/>
        <v>0</v>
      </c>
      <c r="X178" s="8">
        <f>IFERROR(W178/W444, "NA")</f>
        <v>0</v>
      </c>
      <c r="Y178" s="9"/>
      <c r="Z178" s="7">
        <v>10076.92</v>
      </c>
      <c r="AA178" s="8">
        <f>IFERROR(Z178/Z444, "NA")</f>
        <v>7.3237124023551772E-2</v>
      </c>
      <c r="AB178" s="9"/>
      <c r="AC178" s="10">
        <f t="shared" si="47"/>
        <v>0</v>
      </c>
      <c r="AD178" s="8">
        <f>IFERROR(AC178/AC444, "NA")</f>
        <v>0</v>
      </c>
    </row>
    <row r="179" spans="1:30" ht="16.5" hidden="1" customHeight="1" x14ac:dyDescent="0.45">
      <c r="A179" s="12" t="s">
        <v>164</v>
      </c>
      <c r="B179" s="7">
        <v>0</v>
      </c>
      <c r="C179" s="8">
        <f>IFERROR(B179/B444, "NA")</f>
        <v>0</v>
      </c>
      <c r="D179" s="9"/>
      <c r="E179" s="7">
        <v>0</v>
      </c>
      <c r="F179" s="8">
        <f>IFERROR(E179/E444, "NA")</f>
        <v>0</v>
      </c>
      <c r="G179" s="9"/>
      <c r="H179" s="10">
        <f t="shared" si="44"/>
        <v>0</v>
      </c>
      <c r="I179" s="8">
        <f>IFERROR(H179/H444, "NA")</f>
        <v>0</v>
      </c>
      <c r="J179" s="9"/>
      <c r="K179" s="7">
        <v>0</v>
      </c>
      <c r="L179" s="8">
        <f>IFERROR(K179/K444, "NA")</f>
        <v>0</v>
      </c>
      <c r="M179" s="9"/>
      <c r="N179" s="10">
        <f t="shared" si="45"/>
        <v>0</v>
      </c>
      <c r="O179" s="8">
        <f>IFERROR(N179/N444, "NA")</f>
        <v>0</v>
      </c>
      <c r="P179" s="9"/>
      <c r="Q179" s="7">
        <v>0</v>
      </c>
      <c r="R179" s="8">
        <f>IFERROR(Q179/Q444, "NA")</f>
        <v>0</v>
      </c>
      <c r="S179" s="9"/>
      <c r="T179" s="7">
        <v>0</v>
      </c>
      <c r="U179" s="8">
        <f>IFERROR(T179/T444, "NA")</f>
        <v>0</v>
      </c>
      <c r="V179" s="9"/>
      <c r="W179" s="10">
        <f t="shared" si="46"/>
        <v>0</v>
      </c>
      <c r="X179" s="8">
        <f>IFERROR(W179/W444, "NA")</f>
        <v>0</v>
      </c>
      <c r="Y179" s="9"/>
      <c r="Z179" s="7">
        <v>0</v>
      </c>
      <c r="AA179" s="8">
        <f>IFERROR(Z179/Z444, "NA")</f>
        <v>0</v>
      </c>
      <c r="AB179" s="9"/>
      <c r="AC179" s="10">
        <f t="shared" si="47"/>
        <v>0</v>
      </c>
      <c r="AD179" s="8">
        <f>IFERROR(AC179/AC444, "NA")</f>
        <v>0</v>
      </c>
    </row>
    <row r="180" spans="1:30" ht="16.5" customHeight="1" x14ac:dyDescent="0.45">
      <c r="A180" s="12" t="s">
        <v>165</v>
      </c>
      <c r="B180" s="7">
        <v>21539.15</v>
      </c>
      <c r="C180" s="8">
        <f>IFERROR(B180/B444, "NA")</f>
        <v>0.164364330586494</v>
      </c>
      <c r="D180" s="9"/>
      <c r="E180" s="7">
        <v>22178.21</v>
      </c>
      <c r="F180" s="8">
        <f>IFERROR(E180/E444, "NA")</f>
        <v>0.15599998114906705</v>
      </c>
      <c r="G180" s="9"/>
      <c r="H180" s="10">
        <f t="shared" si="44"/>
        <v>639.05999999999767</v>
      </c>
      <c r="I180" s="8">
        <f>IFERROR(H180/H444, "NA")</f>
        <v>-5.7454595801263338E-2</v>
      </c>
      <c r="J180" s="9"/>
      <c r="K180" s="7">
        <v>21868</v>
      </c>
      <c r="L180" s="8">
        <f>IFERROR(K180/K444, "NA")</f>
        <v>0.15893243452831124</v>
      </c>
      <c r="M180" s="9"/>
      <c r="N180" s="10">
        <f t="shared" si="45"/>
        <v>328.84999999999854</v>
      </c>
      <c r="O180" s="8">
        <f>IFERROR(N180/N444, "NA")</f>
        <v>-5.0222208647046969E-2</v>
      </c>
      <c r="P180" s="9"/>
      <c r="Q180" s="7">
        <v>21539.15</v>
      </c>
      <c r="R180" s="8">
        <f>IFERROR(Q180/Q444, "NA")</f>
        <v>0.164364330586494</v>
      </c>
      <c r="S180" s="9"/>
      <c r="T180" s="7">
        <v>22178.21</v>
      </c>
      <c r="U180" s="8">
        <f>IFERROR(T180/T444, "NA")</f>
        <v>0.15599998114906705</v>
      </c>
      <c r="V180" s="9"/>
      <c r="W180" s="10">
        <f t="shared" si="46"/>
        <v>639.05999999999767</v>
      </c>
      <c r="X180" s="8">
        <f>IFERROR(W180/W444, "NA")</f>
        <v>-5.7454595801263338E-2</v>
      </c>
      <c r="Y180" s="9"/>
      <c r="Z180" s="7">
        <v>21868</v>
      </c>
      <c r="AA180" s="8">
        <f>IFERROR(Z180/Z444, "NA")</f>
        <v>0.15893243452831124</v>
      </c>
      <c r="AB180" s="9"/>
      <c r="AC180" s="10">
        <f t="shared" si="47"/>
        <v>328.84999999999854</v>
      </c>
      <c r="AD180" s="8">
        <f>IFERROR(AC180/AC444, "NA")</f>
        <v>-5.0222208647046969E-2</v>
      </c>
    </row>
    <row r="181" spans="1:30" ht="16.5" customHeight="1" x14ac:dyDescent="0.45">
      <c r="A181" s="12" t="s">
        <v>166</v>
      </c>
      <c r="B181" s="7">
        <v>4.7300000000000004</v>
      </c>
      <c r="C181" s="8">
        <f>IFERROR(B181/B444, "NA")</f>
        <v>3.6094427295140091E-5</v>
      </c>
      <c r="D181" s="9"/>
      <c r="E181" s="7">
        <v>0</v>
      </c>
      <c r="F181" s="8">
        <f>IFERROR(E181/E444, "NA")</f>
        <v>0</v>
      </c>
      <c r="G181" s="9"/>
      <c r="H181" s="10">
        <f t="shared" si="44"/>
        <v>-4.7300000000000004</v>
      </c>
      <c r="I181" s="8">
        <f>IFERROR(H181/H444, "NA")</f>
        <v>4.2524995796948113E-4</v>
      </c>
      <c r="J181" s="9"/>
      <c r="K181" s="7">
        <v>13.99</v>
      </c>
      <c r="L181" s="8">
        <f>IFERROR(K181/K444, "NA")</f>
        <v>1.0167663979564086E-4</v>
      </c>
      <c r="M181" s="9"/>
      <c r="N181" s="10">
        <f t="shared" si="45"/>
        <v>9.26</v>
      </c>
      <c r="O181" s="8">
        <f>IFERROR(N181/N444, "NA")</f>
        <v>-1.4141938636814868E-3</v>
      </c>
      <c r="P181" s="9"/>
      <c r="Q181" s="7">
        <v>4.7300000000000004</v>
      </c>
      <c r="R181" s="8">
        <f>IFERROR(Q181/Q444, "NA")</f>
        <v>3.6094427295140091E-5</v>
      </c>
      <c r="S181" s="9"/>
      <c r="T181" s="7">
        <v>0</v>
      </c>
      <c r="U181" s="8">
        <f>IFERROR(T181/T444, "NA")</f>
        <v>0</v>
      </c>
      <c r="V181" s="9"/>
      <c r="W181" s="10">
        <f t="shared" si="46"/>
        <v>-4.7300000000000004</v>
      </c>
      <c r="X181" s="8">
        <f>IFERROR(W181/W444, "NA")</f>
        <v>4.2524995796948113E-4</v>
      </c>
      <c r="Y181" s="9"/>
      <c r="Z181" s="7">
        <v>13.99</v>
      </c>
      <c r="AA181" s="8">
        <f>IFERROR(Z181/Z444, "NA")</f>
        <v>1.0167663979564086E-4</v>
      </c>
      <c r="AB181" s="9"/>
      <c r="AC181" s="10">
        <f t="shared" si="47"/>
        <v>9.26</v>
      </c>
      <c r="AD181" s="8">
        <f>IFERROR(AC181/AC444, "NA")</f>
        <v>-1.4141938636814868E-3</v>
      </c>
    </row>
    <row r="182" spans="1:30" ht="16.5" customHeight="1" x14ac:dyDescent="0.45">
      <c r="A182" s="13" t="s">
        <v>167</v>
      </c>
      <c r="B182" s="14">
        <f>IFERROR(B177+B178+B179+B180+B181, "NA")</f>
        <v>31620.799999999999</v>
      </c>
      <c r="C182" s="15">
        <f>IFERROR(B182/B444, "NA")</f>
        <v>0.24129696968587011</v>
      </c>
      <c r="D182" s="2"/>
      <c r="E182" s="14">
        <f>IFERROR(E177+E178+E179+E180+E181, "NA")</f>
        <v>32255.129999999997</v>
      </c>
      <c r="F182" s="15">
        <f>IFERROR(E182/E444, "NA")</f>
        <v>0.22688033308191721</v>
      </c>
      <c r="G182" s="2"/>
      <c r="H182" s="14">
        <f t="shared" si="44"/>
        <v>634.32999999999811</v>
      </c>
      <c r="I182" s="15">
        <f>IFERROR(H182/H444, "NA")</f>
        <v>-5.7029345843293895E-2</v>
      </c>
      <c r="J182" s="2"/>
      <c r="K182" s="14">
        <f>IFERROR(K177+K178+K179+K180+K181, "NA")</f>
        <v>31958.91</v>
      </c>
      <c r="L182" s="15">
        <f>IFERROR(K182/K444, "NA")</f>
        <v>0.23227123519165865</v>
      </c>
      <c r="M182" s="2"/>
      <c r="N182" s="14">
        <f t="shared" si="45"/>
        <v>338.11000000000058</v>
      </c>
      <c r="O182" s="15">
        <f>IFERROR(N182/N444, "NA")</f>
        <v>-5.1636402510728763E-2</v>
      </c>
      <c r="P182" s="2"/>
      <c r="Q182" s="14">
        <f>IFERROR(Q177+Q178+Q179+Q180+Q181, "NA")</f>
        <v>31620.799999999999</v>
      </c>
      <c r="R182" s="15">
        <f>IFERROR(Q182/Q444, "NA")</f>
        <v>0.24129696968587011</v>
      </c>
      <c r="S182" s="2"/>
      <c r="T182" s="14">
        <f>IFERROR(T177+T178+T179+T180+T181, "NA")</f>
        <v>32255.129999999997</v>
      </c>
      <c r="U182" s="15">
        <f>IFERROR(T182/T444, "NA")</f>
        <v>0.22688033308191721</v>
      </c>
      <c r="V182" s="2"/>
      <c r="W182" s="14">
        <f t="shared" si="46"/>
        <v>634.32999999999811</v>
      </c>
      <c r="X182" s="15">
        <f>IFERROR(W182/W444, "NA")</f>
        <v>-5.7029345843293895E-2</v>
      </c>
      <c r="Y182" s="2"/>
      <c r="Z182" s="14">
        <f>IFERROR(Z177+Z178+Z179+Z180+Z181, "NA")</f>
        <v>31958.91</v>
      </c>
      <c r="AA182" s="15">
        <f>IFERROR(Z182/Z444, "NA")</f>
        <v>0.23227123519165865</v>
      </c>
      <c r="AB182" s="2"/>
      <c r="AC182" s="14">
        <f t="shared" si="47"/>
        <v>338.11000000000058</v>
      </c>
      <c r="AD182" s="15">
        <f>IFERROR(AC182/AC444, "NA")</f>
        <v>-5.1636402510728763E-2</v>
      </c>
    </row>
    <row r="183" spans="1:30" ht="16.5" hidden="1" customHeight="1" x14ac:dyDescent="0.45">
      <c r="A183" s="6" t="s">
        <v>168</v>
      </c>
      <c r="B183" s="7">
        <v>0</v>
      </c>
      <c r="C183" s="8">
        <f>IFERROR(B183/B444, "NA")</f>
        <v>0</v>
      </c>
      <c r="D183" s="9"/>
      <c r="E183" s="7">
        <v>0</v>
      </c>
      <c r="F183" s="8">
        <f>IFERROR(E183/E444, "NA")</f>
        <v>0</v>
      </c>
      <c r="G183" s="9"/>
      <c r="H183" s="10">
        <f t="shared" si="44"/>
        <v>0</v>
      </c>
      <c r="I183" s="8">
        <f>IFERROR(H183/H444, "NA")</f>
        <v>0</v>
      </c>
      <c r="J183" s="9"/>
      <c r="K183" s="7">
        <v>0</v>
      </c>
      <c r="L183" s="8">
        <f>IFERROR(K183/K444, "NA")</f>
        <v>0</v>
      </c>
      <c r="M183" s="9"/>
      <c r="N183" s="10">
        <f t="shared" si="45"/>
        <v>0</v>
      </c>
      <c r="O183" s="8">
        <f>IFERROR(N183/N444, "NA")</f>
        <v>0</v>
      </c>
      <c r="P183" s="9"/>
      <c r="Q183" s="7">
        <v>0</v>
      </c>
      <c r="R183" s="8">
        <f>IFERROR(Q183/Q444, "NA")</f>
        <v>0</v>
      </c>
      <c r="S183" s="9"/>
      <c r="T183" s="7">
        <v>0</v>
      </c>
      <c r="U183" s="8">
        <f>IFERROR(T183/T444, "NA")</f>
        <v>0</v>
      </c>
      <c r="V183" s="9"/>
      <c r="W183" s="10">
        <f t="shared" si="46"/>
        <v>0</v>
      </c>
      <c r="X183" s="8">
        <f>IFERROR(W183/W444, "NA")</f>
        <v>0</v>
      </c>
      <c r="Y183" s="9"/>
      <c r="Z183" s="7">
        <v>0</v>
      </c>
      <c r="AA183" s="8">
        <f>IFERROR(Z183/Z444, "NA")</f>
        <v>0</v>
      </c>
      <c r="AB183" s="9"/>
      <c r="AC183" s="10">
        <f t="shared" si="47"/>
        <v>0</v>
      </c>
      <c r="AD183" s="8">
        <f>IFERROR(AC183/AC444, "NA")</f>
        <v>0</v>
      </c>
    </row>
    <row r="184" spans="1:30" ht="16.5" customHeight="1" x14ac:dyDescent="0.45">
      <c r="A184" s="6" t="s">
        <v>169</v>
      </c>
      <c r="B184" s="7">
        <v>863</v>
      </c>
      <c r="C184" s="8">
        <f>IFERROR(B184/B444, "NA")</f>
        <v>6.5855160160054743E-3</v>
      </c>
      <c r="D184" s="9"/>
      <c r="E184" s="7">
        <v>862.5</v>
      </c>
      <c r="F184" s="8">
        <f>IFERROR(E184/E444, "NA")</f>
        <v>6.0667647993715608E-3</v>
      </c>
      <c r="G184" s="9"/>
      <c r="H184" s="10">
        <f t="shared" si="44"/>
        <v>-0.5</v>
      </c>
      <c r="I184" s="8">
        <f>IFERROR(H184/H444, "NA")</f>
        <v>4.4952426846668192E-5</v>
      </c>
      <c r="J184" s="9"/>
      <c r="K184" s="7">
        <v>1150</v>
      </c>
      <c r="L184" s="8">
        <f>IFERROR(K184/K444, "NA")</f>
        <v>8.3579796829869185E-3</v>
      </c>
      <c r="M184" s="9"/>
      <c r="N184" s="10">
        <f t="shared" si="45"/>
        <v>287</v>
      </c>
      <c r="O184" s="8">
        <f>IFERROR(N184/N444, "NA")</f>
        <v>-4.3830846530948896E-2</v>
      </c>
      <c r="P184" s="9"/>
      <c r="Q184" s="7">
        <v>863</v>
      </c>
      <c r="R184" s="8">
        <f>IFERROR(Q184/Q444, "NA")</f>
        <v>6.5855160160054743E-3</v>
      </c>
      <c r="S184" s="9"/>
      <c r="T184" s="7">
        <v>862.5</v>
      </c>
      <c r="U184" s="8">
        <f>IFERROR(T184/T444, "NA")</f>
        <v>6.0667647993715608E-3</v>
      </c>
      <c r="V184" s="9"/>
      <c r="W184" s="10">
        <f t="shared" si="46"/>
        <v>-0.5</v>
      </c>
      <c r="X184" s="8">
        <f>IFERROR(W184/W444, "NA")</f>
        <v>4.4952426846668192E-5</v>
      </c>
      <c r="Y184" s="9"/>
      <c r="Z184" s="7">
        <v>1150</v>
      </c>
      <c r="AA184" s="8">
        <f>IFERROR(Z184/Z444, "NA")</f>
        <v>8.3579796829869185E-3</v>
      </c>
      <c r="AB184" s="9"/>
      <c r="AC184" s="10">
        <f t="shared" si="47"/>
        <v>287</v>
      </c>
      <c r="AD184" s="8">
        <f>IFERROR(AC184/AC444, "NA")</f>
        <v>-4.3830846530948896E-2</v>
      </c>
    </row>
    <row r="185" spans="1:30" ht="16.5" customHeight="1" x14ac:dyDescent="0.45">
      <c r="A185" s="11" t="s">
        <v>170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45">
      <c r="A186" s="12" t="s">
        <v>170</v>
      </c>
      <c r="B186" s="7">
        <v>3828.96</v>
      </c>
      <c r="C186" s="8">
        <f>IFERROR(B186/B444, "NA")</f>
        <v>2.921862966934452E-2</v>
      </c>
      <c r="D186" s="9"/>
      <c r="E186" s="7">
        <v>3488.14</v>
      </c>
      <c r="F186" s="8">
        <f>IFERROR(E186/E444, "NA")</f>
        <v>2.4535333295397001E-2</v>
      </c>
      <c r="G186" s="9"/>
      <c r="H186" s="10">
        <f t="shared" ref="H186:H197" si="48">IFERROR(-(B186-E186), "NA")</f>
        <v>-340.82000000000016</v>
      </c>
      <c r="I186" s="8">
        <f>IFERROR(H186/H444, "NA")</f>
        <v>3.064137223576292E-2</v>
      </c>
      <c r="J186" s="9"/>
      <c r="K186" s="7">
        <v>3375.89</v>
      </c>
      <c r="L186" s="8">
        <f>IFERROR(K186/K444, "NA")</f>
        <v>2.4535321766955397E-2</v>
      </c>
      <c r="M186" s="9"/>
      <c r="N186" s="10">
        <f t="shared" ref="N186:N197" si="49">IFERROR(-(B186-K186), "NA")</f>
        <v>-453.07000000000016</v>
      </c>
      <c r="O186" s="8">
        <f>IFERROR(N186/N444, "NA")</f>
        <v>6.9193176438247461E-2</v>
      </c>
      <c r="P186" s="9"/>
      <c r="Q186" s="7">
        <v>3828.96</v>
      </c>
      <c r="R186" s="8">
        <f>IFERROR(Q186/Q444, "NA")</f>
        <v>2.921862966934452E-2</v>
      </c>
      <c r="S186" s="9"/>
      <c r="T186" s="7">
        <v>3488.14</v>
      </c>
      <c r="U186" s="8">
        <f>IFERROR(T186/T444, "NA")</f>
        <v>2.4535333295397001E-2</v>
      </c>
      <c r="V186" s="9"/>
      <c r="W186" s="10">
        <f t="shared" ref="W186:W197" si="50">IFERROR(-(Q186-T186), "NA")</f>
        <v>-340.82000000000016</v>
      </c>
      <c r="X186" s="8">
        <f>IFERROR(W186/W444, "NA")</f>
        <v>3.064137223576292E-2</v>
      </c>
      <c r="Y186" s="9"/>
      <c r="Z186" s="7">
        <v>3375.89</v>
      </c>
      <c r="AA186" s="8">
        <f>IFERROR(Z186/Z444, "NA")</f>
        <v>2.4535321766955397E-2</v>
      </c>
      <c r="AB186" s="9"/>
      <c r="AC186" s="10">
        <f t="shared" ref="AC186:AC197" si="51">IFERROR(-(Q186-Z186), "NA")</f>
        <v>-453.07000000000016</v>
      </c>
      <c r="AD186" s="8">
        <f>IFERROR(AC186/AC444, "NA")</f>
        <v>6.9193176438247461E-2</v>
      </c>
    </row>
    <row r="187" spans="1:30" ht="16.5" hidden="1" customHeight="1" x14ac:dyDescent="0.45">
      <c r="A187" s="12" t="s">
        <v>171</v>
      </c>
      <c r="B187" s="7">
        <v>0</v>
      </c>
      <c r="C187" s="8">
        <f>IFERROR(B187/B444, "NA")</f>
        <v>0</v>
      </c>
      <c r="D187" s="9"/>
      <c r="E187" s="7">
        <v>0</v>
      </c>
      <c r="F187" s="8">
        <f>IFERROR(E187/E444, "NA")</f>
        <v>0</v>
      </c>
      <c r="G187" s="9"/>
      <c r="H187" s="10">
        <f t="shared" si="48"/>
        <v>0</v>
      </c>
      <c r="I187" s="8">
        <f>IFERROR(H187/H444, "NA")</f>
        <v>0</v>
      </c>
      <c r="J187" s="9"/>
      <c r="K187" s="7">
        <v>0</v>
      </c>
      <c r="L187" s="8">
        <f>IFERROR(K187/K444, "NA")</f>
        <v>0</v>
      </c>
      <c r="M187" s="9"/>
      <c r="N187" s="10">
        <f t="shared" si="49"/>
        <v>0</v>
      </c>
      <c r="O187" s="8">
        <f>IFERROR(N187/N444, "NA")</f>
        <v>0</v>
      </c>
      <c r="P187" s="9"/>
      <c r="Q187" s="7">
        <v>0</v>
      </c>
      <c r="R187" s="8">
        <f>IFERROR(Q187/Q444, "NA")</f>
        <v>0</v>
      </c>
      <c r="S187" s="9"/>
      <c r="T187" s="7">
        <v>0</v>
      </c>
      <c r="U187" s="8">
        <f>IFERROR(T187/T444, "NA")</f>
        <v>0</v>
      </c>
      <c r="V187" s="9"/>
      <c r="W187" s="10">
        <f t="shared" si="50"/>
        <v>0</v>
      </c>
      <c r="X187" s="8">
        <f>IFERROR(W187/W444, "NA")</f>
        <v>0</v>
      </c>
      <c r="Y187" s="9"/>
      <c r="Z187" s="7">
        <v>0</v>
      </c>
      <c r="AA187" s="8">
        <f>IFERROR(Z187/Z444, "NA")</f>
        <v>0</v>
      </c>
      <c r="AB187" s="9"/>
      <c r="AC187" s="10">
        <f t="shared" si="51"/>
        <v>0</v>
      </c>
      <c r="AD187" s="8">
        <f>IFERROR(AC187/AC444, "NA")</f>
        <v>0</v>
      </c>
    </row>
    <row r="188" spans="1:30" ht="16.5" hidden="1" customHeight="1" x14ac:dyDescent="0.45">
      <c r="A188" s="12" t="s">
        <v>172</v>
      </c>
      <c r="B188" s="7">
        <v>0</v>
      </c>
      <c r="C188" s="8">
        <f>IFERROR(B188/B444, "NA")</f>
        <v>0</v>
      </c>
      <c r="D188" s="9"/>
      <c r="E188" s="7">
        <v>0</v>
      </c>
      <c r="F188" s="8">
        <f>IFERROR(E188/E444, "NA")</f>
        <v>0</v>
      </c>
      <c r="G188" s="9"/>
      <c r="H188" s="10">
        <f t="shared" si="48"/>
        <v>0</v>
      </c>
      <c r="I188" s="8">
        <f>IFERROR(H188/H444, "NA")</f>
        <v>0</v>
      </c>
      <c r="J188" s="9"/>
      <c r="K188" s="7">
        <v>0</v>
      </c>
      <c r="L188" s="8">
        <f>IFERROR(K188/K444, "NA")</f>
        <v>0</v>
      </c>
      <c r="M188" s="9"/>
      <c r="N188" s="10">
        <f t="shared" si="49"/>
        <v>0</v>
      </c>
      <c r="O188" s="8">
        <f>IFERROR(N188/N444, "NA")</f>
        <v>0</v>
      </c>
      <c r="P188" s="9"/>
      <c r="Q188" s="7">
        <v>0</v>
      </c>
      <c r="R188" s="8">
        <f>IFERROR(Q188/Q444, "NA")</f>
        <v>0</v>
      </c>
      <c r="S188" s="9"/>
      <c r="T188" s="7">
        <v>0</v>
      </c>
      <c r="U188" s="8">
        <f>IFERROR(T188/T444, "NA")</f>
        <v>0</v>
      </c>
      <c r="V188" s="9"/>
      <c r="W188" s="10">
        <f t="shared" si="50"/>
        <v>0</v>
      </c>
      <c r="X188" s="8">
        <f>IFERROR(W188/W444, "NA")</f>
        <v>0</v>
      </c>
      <c r="Y188" s="9"/>
      <c r="Z188" s="7">
        <v>0</v>
      </c>
      <c r="AA188" s="8">
        <f>IFERROR(Z188/Z444, "NA")</f>
        <v>0</v>
      </c>
      <c r="AB188" s="9"/>
      <c r="AC188" s="10">
        <f t="shared" si="51"/>
        <v>0</v>
      </c>
      <c r="AD188" s="8">
        <f>IFERROR(AC188/AC444, "NA")</f>
        <v>0</v>
      </c>
    </row>
    <row r="189" spans="1:30" ht="16.5" hidden="1" customHeight="1" x14ac:dyDescent="0.45">
      <c r="A189" s="12" t="s">
        <v>173</v>
      </c>
      <c r="B189" s="7">
        <v>0</v>
      </c>
      <c r="C189" s="8">
        <f>IFERROR(B189/B444, "NA")</f>
        <v>0</v>
      </c>
      <c r="D189" s="9"/>
      <c r="E189" s="7">
        <v>0</v>
      </c>
      <c r="F189" s="8">
        <f>IFERROR(E189/E444, "NA")</f>
        <v>0</v>
      </c>
      <c r="G189" s="9"/>
      <c r="H189" s="10">
        <f t="shared" si="48"/>
        <v>0</v>
      </c>
      <c r="I189" s="8">
        <f>IFERROR(H189/H444, "NA")</f>
        <v>0</v>
      </c>
      <c r="J189" s="9"/>
      <c r="K189" s="7">
        <v>0</v>
      </c>
      <c r="L189" s="8">
        <f>IFERROR(K189/K444, "NA")</f>
        <v>0</v>
      </c>
      <c r="M189" s="9"/>
      <c r="N189" s="10">
        <f t="shared" si="49"/>
        <v>0</v>
      </c>
      <c r="O189" s="8">
        <f>IFERROR(N189/N444, "NA")</f>
        <v>0</v>
      </c>
      <c r="P189" s="9"/>
      <c r="Q189" s="7">
        <v>0</v>
      </c>
      <c r="R189" s="8">
        <f>IFERROR(Q189/Q444, "NA")</f>
        <v>0</v>
      </c>
      <c r="S189" s="9"/>
      <c r="T189" s="7">
        <v>0</v>
      </c>
      <c r="U189" s="8">
        <f>IFERROR(T189/T444, "NA")</f>
        <v>0</v>
      </c>
      <c r="V189" s="9"/>
      <c r="W189" s="10">
        <f t="shared" si="50"/>
        <v>0</v>
      </c>
      <c r="X189" s="8">
        <f>IFERROR(W189/W444, "NA")</f>
        <v>0</v>
      </c>
      <c r="Y189" s="9"/>
      <c r="Z189" s="7">
        <v>0</v>
      </c>
      <c r="AA189" s="8">
        <f>IFERROR(Z189/Z444, "NA")</f>
        <v>0</v>
      </c>
      <c r="AB189" s="9"/>
      <c r="AC189" s="10">
        <f t="shared" si="51"/>
        <v>0</v>
      </c>
      <c r="AD189" s="8">
        <f>IFERROR(AC189/AC444, "NA")</f>
        <v>0</v>
      </c>
    </row>
    <row r="190" spans="1:30" ht="16.5" hidden="1" customHeight="1" x14ac:dyDescent="0.45">
      <c r="A190" s="12" t="s">
        <v>174</v>
      </c>
      <c r="B190" s="7">
        <v>0</v>
      </c>
      <c r="C190" s="8">
        <f>IFERROR(B190/B444, "NA")</f>
        <v>0</v>
      </c>
      <c r="D190" s="9"/>
      <c r="E190" s="7">
        <v>0</v>
      </c>
      <c r="F190" s="8">
        <f>IFERROR(E190/E444, "NA")</f>
        <v>0</v>
      </c>
      <c r="G190" s="9"/>
      <c r="H190" s="10">
        <f t="shared" si="48"/>
        <v>0</v>
      </c>
      <c r="I190" s="8">
        <f>IFERROR(H190/H444, "NA")</f>
        <v>0</v>
      </c>
      <c r="J190" s="9"/>
      <c r="K190" s="7">
        <v>0</v>
      </c>
      <c r="L190" s="8">
        <f>IFERROR(K190/K444, "NA")</f>
        <v>0</v>
      </c>
      <c r="M190" s="9"/>
      <c r="N190" s="10">
        <f t="shared" si="49"/>
        <v>0</v>
      </c>
      <c r="O190" s="8">
        <f>IFERROR(N190/N444, "NA")</f>
        <v>0</v>
      </c>
      <c r="P190" s="9"/>
      <c r="Q190" s="7">
        <v>0</v>
      </c>
      <c r="R190" s="8">
        <f>IFERROR(Q190/Q444, "NA")</f>
        <v>0</v>
      </c>
      <c r="S190" s="9"/>
      <c r="T190" s="7">
        <v>0</v>
      </c>
      <c r="U190" s="8">
        <f>IFERROR(T190/T444, "NA")</f>
        <v>0</v>
      </c>
      <c r="V190" s="9"/>
      <c r="W190" s="10">
        <f t="shared" si="50"/>
        <v>0</v>
      </c>
      <c r="X190" s="8">
        <f>IFERROR(W190/W444, "NA")</f>
        <v>0</v>
      </c>
      <c r="Y190" s="9"/>
      <c r="Z190" s="7">
        <v>0</v>
      </c>
      <c r="AA190" s="8">
        <f>IFERROR(Z190/Z444, "NA")</f>
        <v>0</v>
      </c>
      <c r="AB190" s="9"/>
      <c r="AC190" s="10">
        <f t="shared" si="51"/>
        <v>0</v>
      </c>
      <c r="AD190" s="8">
        <f>IFERROR(AC190/AC444, "NA")</f>
        <v>0</v>
      </c>
    </row>
    <row r="191" spans="1:30" ht="16.5" hidden="1" customHeight="1" x14ac:dyDescent="0.45">
      <c r="A191" s="12" t="s">
        <v>175</v>
      </c>
      <c r="B191" s="7">
        <v>0</v>
      </c>
      <c r="C191" s="8">
        <f>IFERROR(B191/B444, "NA")</f>
        <v>0</v>
      </c>
      <c r="D191" s="9"/>
      <c r="E191" s="7">
        <v>0</v>
      </c>
      <c r="F191" s="8">
        <f>IFERROR(E191/E444, "NA")</f>
        <v>0</v>
      </c>
      <c r="G191" s="9"/>
      <c r="H191" s="10">
        <f t="shared" si="48"/>
        <v>0</v>
      </c>
      <c r="I191" s="8">
        <f>IFERROR(H191/H444, "NA")</f>
        <v>0</v>
      </c>
      <c r="J191" s="9"/>
      <c r="K191" s="7">
        <v>0</v>
      </c>
      <c r="L191" s="8">
        <f>IFERROR(K191/K444, "NA")</f>
        <v>0</v>
      </c>
      <c r="M191" s="9"/>
      <c r="N191" s="10">
        <f t="shared" si="49"/>
        <v>0</v>
      </c>
      <c r="O191" s="8">
        <f>IFERROR(N191/N444, "NA")</f>
        <v>0</v>
      </c>
      <c r="P191" s="9"/>
      <c r="Q191" s="7">
        <v>0</v>
      </c>
      <c r="R191" s="8">
        <f>IFERROR(Q191/Q444, "NA")</f>
        <v>0</v>
      </c>
      <c r="S191" s="9"/>
      <c r="T191" s="7">
        <v>0</v>
      </c>
      <c r="U191" s="8">
        <f>IFERROR(T191/T444, "NA")</f>
        <v>0</v>
      </c>
      <c r="V191" s="9"/>
      <c r="W191" s="10">
        <f t="shared" si="50"/>
        <v>0</v>
      </c>
      <c r="X191" s="8">
        <f>IFERROR(W191/W444, "NA")</f>
        <v>0</v>
      </c>
      <c r="Y191" s="9"/>
      <c r="Z191" s="7">
        <v>0</v>
      </c>
      <c r="AA191" s="8">
        <f>IFERROR(Z191/Z444, "NA")</f>
        <v>0</v>
      </c>
      <c r="AB191" s="9"/>
      <c r="AC191" s="10">
        <f t="shared" si="51"/>
        <v>0</v>
      </c>
      <c r="AD191" s="8">
        <f>IFERROR(AC191/AC444, "NA")</f>
        <v>0</v>
      </c>
    </row>
    <row r="192" spans="1:30" ht="16.5" hidden="1" customHeight="1" x14ac:dyDescent="0.45">
      <c r="A192" s="12" t="s">
        <v>176</v>
      </c>
      <c r="B192" s="7">
        <v>0</v>
      </c>
      <c r="C192" s="8">
        <f>IFERROR(B192/B444, "NA")</f>
        <v>0</v>
      </c>
      <c r="D192" s="9"/>
      <c r="E192" s="7">
        <v>0</v>
      </c>
      <c r="F192" s="8">
        <f>IFERROR(E192/E444, "NA")</f>
        <v>0</v>
      </c>
      <c r="G192" s="9"/>
      <c r="H192" s="10">
        <f t="shared" si="48"/>
        <v>0</v>
      </c>
      <c r="I192" s="8">
        <f>IFERROR(H192/H444, "NA")</f>
        <v>0</v>
      </c>
      <c r="J192" s="9"/>
      <c r="K192" s="7">
        <v>0</v>
      </c>
      <c r="L192" s="8">
        <f>IFERROR(K192/K444, "NA")</f>
        <v>0</v>
      </c>
      <c r="M192" s="9"/>
      <c r="N192" s="10">
        <f t="shared" si="49"/>
        <v>0</v>
      </c>
      <c r="O192" s="8">
        <f>IFERROR(N192/N444, "NA")</f>
        <v>0</v>
      </c>
      <c r="P192" s="9"/>
      <c r="Q192" s="7">
        <v>0</v>
      </c>
      <c r="R192" s="8">
        <f>IFERROR(Q192/Q444, "NA")</f>
        <v>0</v>
      </c>
      <c r="S192" s="9"/>
      <c r="T192" s="7">
        <v>0</v>
      </c>
      <c r="U192" s="8">
        <f>IFERROR(T192/T444, "NA")</f>
        <v>0</v>
      </c>
      <c r="V192" s="9"/>
      <c r="W192" s="10">
        <f t="shared" si="50"/>
        <v>0</v>
      </c>
      <c r="X192" s="8">
        <f>IFERROR(W192/W444, "NA")</f>
        <v>0</v>
      </c>
      <c r="Y192" s="9"/>
      <c r="Z192" s="7">
        <v>0</v>
      </c>
      <c r="AA192" s="8">
        <f>IFERROR(Z192/Z444, "NA")</f>
        <v>0</v>
      </c>
      <c r="AB192" s="9"/>
      <c r="AC192" s="10">
        <f t="shared" si="51"/>
        <v>0</v>
      </c>
      <c r="AD192" s="8">
        <f>IFERROR(AC192/AC444, "NA")</f>
        <v>0</v>
      </c>
    </row>
    <row r="193" spans="1:30" ht="16.5" customHeight="1" x14ac:dyDescent="0.45">
      <c r="A193" s="13" t="s">
        <v>177</v>
      </c>
      <c r="B193" s="14">
        <f>IFERROR(B186+B187+B188+B189+B190+B191+B192, "NA")</f>
        <v>3828.96</v>
      </c>
      <c r="C193" s="15">
        <f>IFERROR(B193/B444, "NA")</f>
        <v>2.921862966934452E-2</v>
      </c>
      <c r="D193" s="2"/>
      <c r="E193" s="14">
        <f>IFERROR(E186+E187+E188+E189+E190+E191+E192, "NA")</f>
        <v>3488.14</v>
      </c>
      <c r="F193" s="15">
        <f>IFERROR(E193/E444, "NA")</f>
        <v>2.4535333295397001E-2</v>
      </c>
      <c r="G193" s="2"/>
      <c r="H193" s="14">
        <f t="shared" si="48"/>
        <v>-340.82000000000016</v>
      </c>
      <c r="I193" s="15">
        <f>IFERROR(H193/H444, "NA")</f>
        <v>3.064137223576292E-2</v>
      </c>
      <c r="J193" s="2"/>
      <c r="K193" s="14">
        <f>IFERROR(K186+K187+K188+K189+K190+K191+K192, "NA")</f>
        <v>3375.89</v>
      </c>
      <c r="L193" s="15">
        <f>IFERROR(K193/K444, "NA")</f>
        <v>2.4535321766955397E-2</v>
      </c>
      <c r="M193" s="2"/>
      <c r="N193" s="14">
        <f t="shared" si="49"/>
        <v>-453.07000000000016</v>
      </c>
      <c r="O193" s="15">
        <f>IFERROR(N193/N444, "NA")</f>
        <v>6.9193176438247461E-2</v>
      </c>
      <c r="P193" s="2"/>
      <c r="Q193" s="14">
        <f>IFERROR(Q186+Q187+Q188+Q189+Q190+Q191+Q192, "NA")</f>
        <v>3828.96</v>
      </c>
      <c r="R193" s="15">
        <f>IFERROR(Q193/Q444, "NA")</f>
        <v>2.921862966934452E-2</v>
      </c>
      <c r="S193" s="2"/>
      <c r="T193" s="14">
        <f>IFERROR(T186+T187+T188+T189+T190+T191+T192, "NA")</f>
        <v>3488.14</v>
      </c>
      <c r="U193" s="15">
        <f>IFERROR(T193/T444, "NA")</f>
        <v>2.4535333295397001E-2</v>
      </c>
      <c r="V193" s="2"/>
      <c r="W193" s="14">
        <f t="shared" si="50"/>
        <v>-340.82000000000016</v>
      </c>
      <c r="X193" s="15">
        <f>IFERROR(W193/W444, "NA")</f>
        <v>3.064137223576292E-2</v>
      </c>
      <c r="Y193" s="2"/>
      <c r="Z193" s="14">
        <f>IFERROR(Z186+Z187+Z188+Z189+Z190+Z191+Z192, "NA")</f>
        <v>3375.89</v>
      </c>
      <c r="AA193" s="15">
        <f>IFERROR(Z193/Z444, "NA")</f>
        <v>2.4535321766955397E-2</v>
      </c>
      <c r="AB193" s="2"/>
      <c r="AC193" s="14">
        <f t="shared" si="51"/>
        <v>-453.07000000000016</v>
      </c>
      <c r="AD193" s="15">
        <f>IFERROR(AC193/AC444, "NA")</f>
        <v>6.9193176438247461E-2</v>
      </c>
    </row>
    <row r="194" spans="1:30" ht="16.5" customHeight="1" x14ac:dyDescent="0.45">
      <c r="A194" s="6" t="s">
        <v>178</v>
      </c>
      <c r="B194" s="7">
        <v>250.16</v>
      </c>
      <c r="C194" s="8">
        <f>IFERROR(B194/B444, "NA")</f>
        <v>1.9089602393556541E-3</v>
      </c>
      <c r="D194" s="9"/>
      <c r="E194" s="7">
        <v>264.94</v>
      </c>
      <c r="F194" s="8">
        <f>IFERROR(E194/E444, "NA")</f>
        <v>1.8635694677629001E-3</v>
      </c>
      <c r="G194" s="9"/>
      <c r="H194" s="10">
        <f t="shared" si="48"/>
        <v>14.780000000000001</v>
      </c>
      <c r="I194" s="8">
        <f>IFERROR(H194/H444, "NA")</f>
        <v>-1.3287937375875119E-3</v>
      </c>
      <c r="J194" s="9"/>
      <c r="K194" s="7">
        <v>250.16</v>
      </c>
      <c r="L194" s="8">
        <f>IFERROR(K194/K444, "NA")</f>
        <v>1.8181149543443542E-3</v>
      </c>
      <c r="M194" s="9"/>
      <c r="N194" s="10">
        <f t="shared" si="49"/>
        <v>0</v>
      </c>
      <c r="O194" s="8">
        <f>IFERROR(N194/N444, "NA")</f>
        <v>0</v>
      </c>
      <c r="P194" s="9"/>
      <c r="Q194" s="7">
        <v>250.16</v>
      </c>
      <c r="R194" s="8">
        <f>IFERROR(Q194/Q444, "NA")</f>
        <v>1.9089602393556541E-3</v>
      </c>
      <c r="S194" s="9"/>
      <c r="T194" s="7">
        <v>264.94</v>
      </c>
      <c r="U194" s="8">
        <f>IFERROR(T194/T444, "NA")</f>
        <v>1.8635694677629001E-3</v>
      </c>
      <c r="V194" s="9"/>
      <c r="W194" s="10">
        <f t="shared" si="50"/>
        <v>14.780000000000001</v>
      </c>
      <c r="X194" s="8">
        <f>IFERROR(W194/W444, "NA")</f>
        <v>-1.3287937375875119E-3</v>
      </c>
      <c r="Y194" s="9"/>
      <c r="Z194" s="7">
        <v>250.16</v>
      </c>
      <c r="AA194" s="8">
        <f>IFERROR(Z194/Z444, "NA")</f>
        <v>1.8181149543443542E-3</v>
      </c>
      <c r="AB194" s="9"/>
      <c r="AC194" s="10">
        <f t="shared" si="51"/>
        <v>0</v>
      </c>
      <c r="AD194" s="8">
        <f>IFERROR(AC194/AC444, "NA")</f>
        <v>0</v>
      </c>
    </row>
    <row r="195" spans="1:30" ht="16.5" customHeight="1" x14ac:dyDescent="0.45">
      <c r="A195" s="6" t="s">
        <v>179</v>
      </c>
      <c r="B195" s="7">
        <v>239.37</v>
      </c>
      <c r="C195" s="8">
        <f>IFERROR(B195/B444, "NA")</f>
        <v>1.8266222117627236E-3</v>
      </c>
      <c r="D195" s="9"/>
      <c r="E195" s="7">
        <v>426.5</v>
      </c>
      <c r="F195" s="8">
        <f>IFERROR(E195/E444, "NA")</f>
        <v>2.9999712312254729E-3</v>
      </c>
      <c r="G195" s="9"/>
      <c r="H195" s="10">
        <f t="shared" si="48"/>
        <v>187.13</v>
      </c>
      <c r="I195" s="8">
        <f>IFERROR(H195/H444, "NA")</f>
        <v>-1.6823895271634037E-2</v>
      </c>
      <c r="J195" s="9"/>
      <c r="K195" s="7">
        <v>381.85</v>
      </c>
      <c r="L195" s="8">
        <f>IFERROR(K195/K444, "NA")</f>
        <v>2.7752126451726566E-3</v>
      </c>
      <c r="M195" s="9"/>
      <c r="N195" s="10">
        <f t="shared" si="49"/>
        <v>142.48000000000002</v>
      </c>
      <c r="O195" s="8">
        <f>IFERROR(N195/N444, "NA")</f>
        <v>-2.1759648131462018E-2</v>
      </c>
      <c r="P195" s="9"/>
      <c r="Q195" s="7">
        <v>239.37</v>
      </c>
      <c r="R195" s="8">
        <f>IFERROR(Q195/Q444, "NA")</f>
        <v>1.8266222117627236E-3</v>
      </c>
      <c r="S195" s="9"/>
      <c r="T195" s="7">
        <v>426.5</v>
      </c>
      <c r="U195" s="8">
        <f>IFERROR(T195/T444, "NA")</f>
        <v>2.9999712312254729E-3</v>
      </c>
      <c r="V195" s="9"/>
      <c r="W195" s="10">
        <f t="shared" si="50"/>
        <v>187.13</v>
      </c>
      <c r="X195" s="8">
        <f>IFERROR(W195/W444, "NA")</f>
        <v>-1.6823895271634037E-2</v>
      </c>
      <c r="Y195" s="9"/>
      <c r="Z195" s="7">
        <v>381.85</v>
      </c>
      <c r="AA195" s="8">
        <f>IFERROR(Z195/Z444, "NA")</f>
        <v>2.7752126451726566E-3</v>
      </c>
      <c r="AB195" s="9"/>
      <c r="AC195" s="10">
        <f t="shared" si="51"/>
        <v>142.48000000000002</v>
      </c>
      <c r="AD195" s="8">
        <f>IFERROR(AC195/AC444, "NA")</f>
        <v>-2.1759648131462018E-2</v>
      </c>
    </row>
    <row r="196" spans="1:30" ht="16.5" customHeight="1" x14ac:dyDescent="0.45">
      <c r="A196" s="19" t="s">
        <v>180</v>
      </c>
      <c r="B196" s="14">
        <f>IFERROR(B175+B177+B178+B179+B180+B181+B183+B184+B186+B187+B188+B189+B190+B191+B192+B194+B195, "NA")</f>
        <v>36802.290000000008</v>
      </c>
      <c r="C196" s="15">
        <f>IFERROR(B196/B444, "NA")</f>
        <v>0.28083669782233855</v>
      </c>
      <c r="D196" s="2"/>
      <c r="E196" s="14">
        <f>IFERROR(E175+E177+E178+E179+E180+E181+E183+E184+E186+E187+E188+E189+E190+E191+E192+E194+E195, "NA")</f>
        <v>37297.21</v>
      </c>
      <c r="F196" s="15">
        <f>IFERROR(E196/E444, "NA")</f>
        <v>0.26234597187567416</v>
      </c>
      <c r="G196" s="2"/>
      <c r="H196" s="14">
        <f t="shared" si="48"/>
        <v>494.91999999999098</v>
      </c>
      <c r="I196" s="15">
        <f>IFERROR(H196/H444, "NA")</f>
        <v>-4.4495710189905231E-2</v>
      </c>
      <c r="J196" s="2"/>
      <c r="K196" s="14">
        <f>IFERROR(K175+K177+K178+K179+K180+K181+K183+K184+K186+K187+K188+K189+K190+K191+K192+K194+K195, "NA")</f>
        <v>37116.810000000005</v>
      </c>
      <c r="L196" s="15">
        <f>IFERROR(K196/K444, "NA")</f>
        <v>0.26975786424111803</v>
      </c>
      <c r="M196" s="2"/>
      <c r="N196" s="14">
        <f t="shared" si="49"/>
        <v>314.5199999999968</v>
      </c>
      <c r="O196" s="15">
        <f>IFERROR(N196/N444, "NA")</f>
        <v>-4.8033720734891656E-2</v>
      </c>
      <c r="P196" s="2"/>
      <c r="Q196" s="14">
        <f>IFERROR(Q175+Q177+Q178+Q179+Q180+Q181+Q183+Q184+Q186+Q187+Q188+Q189+Q190+Q191+Q192+Q194+Q195, "NA")</f>
        <v>36802.290000000008</v>
      </c>
      <c r="R196" s="15">
        <f>IFERROR(Q196/Q444, "NA")</f>
        <v>0.28083669782233855</v>
      </c>
      <c r="S196" s="2"/>
      <c r="T196" s="14">
        <f>IFERROR(T175+T177+T178+T179+T180+T181+T183+T184+T186+T187+T188+T189+T190+T191+T192+T194+T195, "NA")</f>
        <v>37297.21</v>
      </c>
      <c r="U196" s="15">
        <f>IFERROR(T196/T444, "NA")</f>
        <v>0.26234597187567416</v>
      </c>
      <c r="V196" s="2"/>
      <c r="W196" s="14">
        <f t="shared" si="50"/>
        <v>494.91999999999098</v>
      </c>
      <c r="X196" s="15">
        <f>IFERROR(W196/W444, "NA")</f>
        <v>-4.4495710189905231E-2</v>
      </c>
      <c r="Y196" s="2"/>
      <c r="Z196" s="14">
        <f>IFERROR(Z175+Z177+Z178+Z179+Z180+Z181+Z183+Z184+Z186+Z187+Z188+Z189+Z190+Z191+Z192+Z194+Z195, "NA")</f>
        <v>37116.810000000005</v>
      </c>
      <c r="AA196" s="15">
        <f>IFERROR(Z196/Z444, "NA")</f>
        <v>0.26975786424111803</v>
      </c>
      <c r="AB196" s="2"/>
      <c r="AC196" s="14">
        <f t="shared" si="51"/>
        <v>314.5199999999968</v>
      </c>
      <c r="AD196" s="15">
        <f>IFERROR(AC196/AC444, "NA")</f>
        <v>-4.8033720734891656E-2</v>
      </c>
    </row>
    <row r="197" spans="1:30" ht="16.5" customHeight="1" x14ac:dyDescent="0.45">
      <c r="A197" s="21" t="s">
        <v>180</v>
      </c>
      <c r="B197" s="14">
        <f>IFERROR(B175+B177+B178+B179+B180+B181+B183+B184+B186+B187+B188+B189+B190+B191+B192+B194+B195, "NA")</f>
        <v>36802.290000000008</v>
      </c>
      <c r="C197" s="15">
        <f>IFERROR(B197/B444, "NA")</f>
        <v>0.28083669782233855</v>
      </c>
      <c r="D197" s="2"/>
      <c r="E197" s="14">
        <f>IFERROR(E175+E177+E178+E179+E180+E181+E183+E184+E186+E187+E188+E189+E190+E191+E192+E194+E195, "NA")</f>
        <v>37297.21</v>
      </c>
      <c r="F197" s="15">
        <f>IFERROR(E197/E444, "NA")</f>
        <v>0.26234597187567416</v>
      </c>
      <c r="G197" s="2"/>
      <c r="H197" s="14">
        <f t="shared" si="48"/>
        <v>494.91999999999098</v>
      </c>
      <c r="I197" s="15">
        <f>IFERROR(H197/H444, "NA")</f>
        <v>-4.4495710189905231E-2</v>
      </c>
      <c r="J197" s="2"/>
      <c r="K197" s="14">
        <f>IFERROR(K175+K177+K178+K179+K180+K181+K183+K184+K186+K187+K188+K189+K190+K191+K192+K194+K195, "NA")</f>
        <v>37116.810000000005</v>
      </c>
      <c r="L197" s="15">
        <f>IFERROR(K197/K444, "NA")</f>
        <v>0.26975786424111803</v>
      </c>
      <c r="M197" s="2"/>
      <c r="N197" s="14">
        <f t="shared" si="49"/>
        <v>314.5199999999968</v>
      </c>
      <c r="O197" s="15">
        <f>IFERROR(N197/N444, "NA")</f>
        <v>-4.8033720734891656E-2</v>
      </c>
      <c r="P197" s="2"/>
      <c r="Q197" s="14">
        <f>IFERROR(Q175+Q177+Q178+Q179+Q180+Q181+Q183+Q184+Q186+Q187+Q188+Q189+Q190+Q191+Q192+Q194+Q195, "NA")</f>
        <v>36802.290000000008</v>
      </c>
      <c r="R197" s="15">
        <f>IFERROR(Q197/Q444, "NA")</f>
        <v>0.28083669782233855</v>
      </c>
      <c r="S197" s="2"/>
      <c r="T197" s="14">
        <f>IFERROR(T175+T177+T178+T179+T180+T181+T183+T184+T186+T187+T188+T189+T190+T191+T192+T194+T195, "NA")</f>
        <v>37297.21</v>
      </c>
      <c r="U197" s="15">
        <f>IFERROR(T197/T444, "NA")</f>
        <v>0.26234597187567416</v>
      </c>
      <c r="V197" s="2"/>
      <c r="W197" s="14">
        <f t="shared" si="50"/>
        <v>494.91999999999098</v>
      </c>
      <c r="X197" s="15">
        <f>IFERROR(W197/W444, "NA")</f>
        <v>-4.4495710189905231E-2</v>
      </c>
      <c r="Y197" s="2"/>
      <c r="Z197" s="14">
        <f>IFERROR(Z175+Z177+Z178+Z179+Z180+Z181+Z183+Z184+Z186+Z187+Z188+Z189+Z190+Z191+Z192+Z194+Z195, "NA")</f>
        <v>37116.810000000005</v>
      </c>
      <c r="AA197" s="15">
        <f>IFERROR(Z197/Z444, "NA")</f>
        <v>0.26975786424111803</v>
      </c>
      <c r="AB197" s="2"/>
      <c r="AC197" s="14">
        <f t="shared" si="51"/>
        <v>314.5199999999968</v>
      </c>
      <c r="AD197" s="15">
        <f>IFERROR(AC197/AC444, "NA")</f>
        <v>-4.8033720734891656E-2</v>
      </c>
    </row>
    <row r="198" spans="1:30" ht="16.5" customHeight="1" x14ac:dyDescent="0.45">
      <c r="A198" s="22" t="s">
        <v>181</v>
      </c>
      <c r="B198" s="23">
        <f>IFERROR(B172-B197, "NA")</f>
        <v>58261.199999999968</v>
      </c>
      <c r="C198" s="24">
        <f>IFERROR(B198/B444, "NA")</f>
        <v>0.4445887204075295</v>
      </c>
      <c r="D198" s="25"/>
      <c r="E198" s="23">
        <f>IFERROR(E172-E197, "NA")</f>
        <v>67196.290000000008</v>
      </c>
      <c r="F198" s="24">
        <f>IFERROR(E198/E444, "NA")</f>
        <v>0.472654013704769</v>
      </c>
      <c r="G198" s="25"/>
      <c r="H198" s="23">
        <f>IFERROR(B198-E198, "NA")</f>
        <v>-8935.0900000000402</v>
      </c>
      <c r="I198" s="24">
        <f>IFERROR(H198/H444, "NA")</f>
        <v>0.80330795918679654</v>
      </c>
      <c r="J198" s="25"/>
      <c r="K198" s="23">
        <f>IFERROR(K172-K197, "NA")</f>
        <v>63969.450000000048</v>
      </c>
      <c r="L198" s="24">
        <f>IFERROR(K198/K444, "NA")</f>
        <v>0.46491770733204169</v>
      </c>
      <c r="M198" s="25"/>
      <c r="N198" s="23">
        <f>IFERROR(B198-K198, "NA")</f>
        <v>-5708.25000000008</v>
      </c>
      <c r="O198" s="24">
        <f>IFERROR(N198/N444, "NA")</f>
        <v>0.8717680477710541</v>
      </c>
      <c r="P198" s="25"/>
      <c r="Q198" s="23">
        <f>IFERROR(Q172-Q197, "NA")</f>
        <v>58261.199999999968</v>
      </c>
      <c r="R198" s="24">
        <f>IFERROR(Q198/Q444, "NA")</f>
        <v>0.4445887204075295</v>
      </c>
      <c r="S198" s="25"/>
      <c r="T198" s="23">
        <f>IFERROR(T172-T197, "NA")</f>
        <v>67196.290000000008</v>
      </c>
      <c r="U198" s="24">
        <f>IFERROR(T198/T444, "NA")</f>
        <v>0.472654013704769</v>
      </c>
      <c r="V198" s="25"/>
      <c r="W198" s="23">
        <f>IFERROR(Q198-T198, "NA")</f>
        <v>-8935.0900000000402</v>
      </c>
      <c r="X198" s="24">
        <f>IFERROR(W198/W444, "NA")</f>
        <v>0.80330795918679654</v>
      </c>
      <c r="Y198" s="25"/>
      <c r="Z198" s="23">
        <f>IFERROR(Z172-Z197, "NA")</f>
        <v>63969.450000000048</v>
      </c>
      <c r="AA198" s="24">
        <f>IFERROR(Z198/Z444, "NA")</f>
        <v>0.46491770733204169</v>
      </c>
      <c r="AB198" s="25"/>
      <c r="AC198" s="23">
        <f>IFERROR(Q198-Z198, "NA")</f>
        <v>-5708.25000000008</v>
      </c>
      <c r="AD198" s="24">
        <f>IFERROR(AC198/AC444, "NA")</f>
        <v>0.8717680477710541</v>
      </c>
    </row>
    <row r="199" spans="1:30" ht="16.5" customHeight="1" x14ac:dyDescent="0.45">
      <c r="A199" s="1" t="s">
        <v>182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45">
      <c r="A200" s="5" t="s">
        <v>183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45">
      <c r="A201" s="6" t="s">
        <v>183</v>
      </c>
      <c r="B201" s="7">
        <v>0</v>
      </c>
      <c r="C201" s="8">
        <f>IFERROR(B201/B444, "NA")</f>
        <v>0</v>
      </c>
      <c r="D201" s="9"/>
      <c r="E201" s="7">
        <v>0</v>
      </c>
      <c r="F201" s="8">
        <f>IFERROR(E201/E444, "NA")</f>
        <v>0</v>
      </c>
      <c r="G201" s="9"/>
      <c r="H201" s="10">
        <f t="shared" ref="H201:H209" si="52">IFERROR(-(B201-E201), "NA")</f>
        <v>0</v>
      </c>
      <c r="I201" s="8">
        <f>IFERROR(H201/H444, "NA")</f>
        <v>0</v>
      </c>
      <c r="J201" s="9"/>
      <c r="K201" s="7">
        <v>0</v>
      </c>
      <c r="L201" s="8">
        <f>IFERROR(K201/K444, "NA")</f>
        <v>0</v>
      </c>
      <c r="M201" s="9"/>
      <c r="N201" s="10">
        <f t="shared" ref="N201:N209" si="53">IFERROR(-(B201-K201), "NA")</f>
        <v>0</v>
      </c>
      <c r="O201" s="8">
        <f>IFERROR(N201/N444, "NA")</f>
        <v>0</v>
      </c>
      <c r="P201" s="9"/>
      <c r="Q201" s="7">
        <v>0</v>
      </c>
      <c r="R201" s="8">
        <f>IFERROR(Q201/Q444, "NA")</f>
        <v>0</v>
      </c>
      <c r="S201" s="9"/>
      <c r="T201" s="7">
        <v>0</v>
      </c>
      <c r="U201" s="8">
        <f>IFERROR(T201/T444, "NA")</f>
        <v>0</v>
      </c>
      <c r="V201" s="9"/>
      <c r="W201" s="10">
        <f t="shared" ref="W201:W209" si="54">IFERROR(-(Q201-T201), "NA")</f>
        <v>0</v>
      </c>
      <c r="X201" s="8">
        <f>IFERROR(W201/W444, "NA")</f>
        <v>0</v>
      </c>
      <c r="Y201" s="9"/>
      <c r="Z201" s="7">
        <v>0</v>
      </c>
      <c r="AA201" s="8">
        <f>IFERROR(Z201/Z444, "NA")</f>
        <v>0</v>
      </c>
      <c r="AB201" s="9"/>
      <c r="AC201" s="10">
        <f t="shared" ref="AC201:AC209" si="55">IFERROR(-(Q201-Z201), "NA")</f>
        <v>0</v>
      </c>
      <c r="AD201" s="8">
        <f>IFERROR(AC201/AC444, "NA")</f>
        <v>0</v>
      </c>
    </row>
    <row r="202" spans="1:30" ht="16.5" customHeight="1" x14ac:dyDescent="0.45">
      <c r="A202" s="6" t="s">
        <v>184</v>
      </c>
      <c r="B202" s="7">
        <v>2010.06</v>
      </c>
      <c r="C202" s="8">
        <f>IFERROR(B202/B444, "NA")</f>
        <v>1.5338681718577015E-2</v>
      </c>
      <c r="D202" s="9"/>
      <c r="E202" s="7">
        <v>1279.51</v>
      </c>
      <c r="F202" s="8">
        <f>IFERROR(E202/E444, "NA")</f>
        <v>8.9999840329784402E-3</v>
      </c>
      <c r="G202" s="9"/>
      <c r="H202" s="10">
        <f t="shared" si="52"/>
        <v>-730.55</v>
      </c>
      <c r="I202" s="8">
        <f>IFERROR(H202/H444, "NA")</f>
        <v>6.5679990865666893E-2</v>
      </c>
      <c r="J202" s="9"/>
      <c r="K202" s="7">
        <v>1089.93</v>
      </c>
      <c r="L202" s="8">
        <f>IFERROR(K202/K444, "NA")</f>
        <v>7.9214024311982014E-3</v>
      </c>
      <c r="M202" s="9"/>
      <c r="N202" s="10">
        <f t="shared" si="53"/>
        <v>-920.12999999999988</v>
      </c>
      <c r="O202" s="8">
        <f>IFERROR(N202/N444, "NA")</f>
        <v>0.1405229157439791</v>
      </c>
      <c r="P202" s="9"/>
      <c r="Q202" s="7">
        <v>2010.06</v>
      </c>
      <c r="R202" s="8">
        <f>IFERROR(Q202/Q444, "NA")</f>
        <v>1.5338681718577015E-2</v>
      </c>
      <c r="S202" s="9"/>
      <c r="T202" s="7">
        <v>1279.51</v>
      </c>
      <c r="U202" s="8">
        <f>IFERROR(T202/T444, "NA")</f>
        <v>8.9999840329784402E-3</v>
      </c>
      <c r="V202" s="9"/>
      <c r="W202" s="10">
        <f t="shared" si="54"/>
        <v>-730.55</v>
      </c>
      <c r="X202" s="8">
        <f>IFERROR(W202/W444, "NA")</f>
        <v>6.5679990865666893E-2</v>
      </c>
      <c r="Y202" s="9"/>
      <c r="Z202" s="7">
        <v>1089.93</v>
      </c>
      <c r="AA202" s="8">
        <f>IFERROR(Z202/Z444, "NA")</f>
        <v>7.9214024311982014E-3</v>
      </c>
      <c r="AB202" s="9"/>
      <c r="AC202" s="10">
        <f t="shared" si="55"/>
        <v>-920.12999999999988</v>
      </c>
      <c r="AD202" s="8">
        <f>IFERROR(AC202/AC444, "NA")</f>
        <v>0.1405229157439791</v>
      </c>
    </row>
    <row r="203" spans="1:30" ht="16.5" customHeight="1" x14ac:dyDescent="0.45">
      <c r="A203" s="6" t="s">
        <v>185</v>
      </c>
      <c r="B203" s="7">
        <v>844.22</v>
      </c>
      <c r="C203" s="8">
        <f>IFERROR(B203/B444, "NA")</f>
        <v>6.4422066408251931E-3</v>
      </c>
      <c r="D203" s="9"/>
      <c r="E203" s="7">
        <v>853.01</v>
      </c>
      <c r="F203" s="8">
        <f>IFERROR(E203/E444, "NA")</f>
        <v>6.0000128017529677E-3</v>
      </c>
      <c r="G203" s="9"/>
      <c r="H203" s="10">
        <f t="shared" si="52"/>
        <v>8.7899999999999636</v>
      </c>
      <c r="I203" s="8">
        <f>IFERROR(H203/H444, "NA")</f>
        <v>-7.9026366396442351E-4</v>
      </c>
      <c r="J203" s="9"/>
      <c r="K203" s="7">
        <v>1136.79</v>
      </c>
      <c r="L203" s="8">
        <f>IFERROR(K203/K444, "NA")</f>
        <v>8.2619719337588687E-3</v>
      </c>
      <c r="M203" s="9"/>
      <c r="N203" s="10">
        <f t="shared" si="53"/>
        <v>292.56999999999994</v>
      </c>
      <c r="O203" s="8">
        <f>IFERROR(N203/N444, "NA")</f>
        <v>-4.4681500939232455E-2</v>
      </c>
      <c r="P203" s="9"/>
      <c r="Q203" s="7">
        <v>844.22</v>
      </c>
      <c r="R203" s="8">
        <f>IFERROR(Q203/Q444, "NA")</f>
        <v>6.4422066408251931E-3</v>
      </c>
      <c r="S203" s="9"/>
      <c r="T203" s="7">
        <v>853.01</v>
      </c>
      <c r="U203" s="8">
        <f>IFERROR(T203/T444, "NA")</f>
        <v>6.0000128017529677E-3</v>
      </c>
      <c r="V203" s="9"/>
      <c r="W203" s="10">
        <f t="shared" si="54"/>
        <v>8.7899999999999636</v>
      </c>
      <c r="X203" s="8">
        <f>IFERROR(W203/W444, "NA")</f>
        <v>-7.9026366396442351E-4</v>
      </c>
      <c r="Y203" s="9"/>
      <c r="Z203" s="7">
        <v>1136.79</v>
      </c>
      <c r="AA203" s="8">
        <f>IFERROR(Z203/Z444, "NA")</f>
        <v>8.2619719337588687E-3</v>
      </c>
      <c r="AB203" s="9"/>
      <c r="AC203" s="10">
        <f t="shared" si="55"/>
        <v>292.56999999999994</v>
      </c>
      <c r="AD203" s="8">
        <f>IFERROR(AC203/AC444, "NA")</f>
        <v>-4.4681500939232455E-2</v>
      </c>
    </row>
    <row r="204" spans="1:30" ht="16.5" customHeight="1" x14ac:dyDescent="0.45">
      <c r="A204" s="6" t="s">
        <v>186</v>
      </c>
      <c r="B204" s="7">
        <v>24.18</v>
      </c>
      <c r="C204" s="8">
        <f>IFERROR(B204/B444, "NA")</f>
        <v>1.8451654376247089E-4</v>
      </c>
      <c r="D204" s="9"/>
      <c r="E204" s="7">
        <v>284.33999999999997</v>
      </c>
      <c r="F204" s="8">
        <f>IFERROR(E204/E444, "NA")</f>
        <v>2.0000277136849962E-3</v>
      </c>
      <c r="G204" s="9"/>
      <c r="H204" s="10">
        <f t="shared" si="52"/>
        <v>260.15999999999997</v>
      </c>
      <c r="I204" s="8">
        <f>IFERROR(H204/H444, "NA")</f>
        <v>-2.338964673685839E-2</v>
      </c>
      <c r="J204" s="9"/>
      <c r="K204" s="7">
        <v>62.03</v>
      </c>
      <c r="L204" s="8">
        <f>IFERROR(K204/K444, "NA")</f>
        <v>4.5082215629189439E-4</v>
      </c>
      <c r="M204" s="9"/>
      <c r="N204" s="10">
        <f t="shared" si="53"/>
        <v>37.85</v>
      </c>
      <c r="O204" s="8">
        <f>IFERROR(N204/N444, "NA")</f>
        <v>-5.7804792376181732E-3</v>
      </c>
      <c r="P204" s="9"/>
      <c r="Q204" s="7">
        <v>24.18</v>
      </c>
      <c r="R204" s="8">
        <f>IFERROR(Q204/Q444, "NA")</f>
        <v>1.8451654376247089E-4</v>
      </c>
      <c r="S204" s="9"/>
      <c r="T204" s="7">
        <v>284.33999999999997</v>
      </c>
      <c r="U204" s="8">
        <f>IFERROR(T204/T444, "NA")</f>
        <v>2.0000277136849962E-3</v>
      </c>
      <c r="V204" s="9"/>
      <c r="W204" s="10">
        <f t="shared" si="54"/>
        <v>260.15999999999997</v>
      </c>
      <c r="X204" s="8">
        <f>IFERROR(W204/W444, "NA")</f>
        <v>-2.338964673685839E-2</v>
      </c>
      <c r="Y204" s="9"/>
      <c r="Z204" s="7">
        <v>62.03</v>
      </c>
      <c r="AA204" s="8">
        <f>IFERROR(Z204/Z444, "NA")</f>
        <v>4.5082215629189439E-4</v>
      </c>
      <c r="AB204" s="9"/>
      <c r="AC204" s="10">
        <f t="shared" si="55"/>
        <v>37.85</v>
      </c>
      <c r="AD204" s="8">
        <f>IFERROR(AC204/AC444, "NA")</f>
        <v>-5.7804792376181732E-3</v>
      </c>
    </row>
    <row r="205" spans="1:30" ht="16.5" customHeight="1" x14ac:dyDescent="0.45">
      <c r="A205" s="6" t="s">
        <v>187</v>
      </c>
      <c r="B205" s="7">
        <v>607.88</v>
      </c>
      <c r="C205" s="8">
        <f>IFERROR(B205/B444, "NA")</f>
        <v>4.6387062292113646E-3</v>
      </c>
      <c r="D205" s="9"/>
      <c r="E205" s="7">
        <v>426.5</v>
      </c>
      <c r="F205" s="8">
        <f>IFERROR(E205/E444, "NA")</f>
        <v>2.9999712312254729E-3</v>
      </c>
      <c r="G205" s="9"/>
      <c r="H205" s="10">
        <f t="shared" si="52"/>
        <v>-181.38</v>
      </c>
      <c r="I205" s="8">
        <f>IFERROR(H205/H444, "NA")</f>
        <v>1.6306942362897352E-2</v>
      </c>
      <c r="J205" s="9"/>
      <c r="K205" s="7">
        <v>698.2</v>
      </c>
      <c r="L205" s="8">
        <f>IFERROR(K205/K444, "NA")</f>
        <v>5.0743838388360579E-3</v>
      </c>
      <c r="M205" s="9"/>
      <c r="N205" s="10">
        <f t="shared" si="53"/>
        <v>90.32000000000005</v>
      </c>
      <c r="O205" s="8">
        <f>IFERROR(N205/N444, "NA")</f>
        <v>-1.3793735396081206E-2</v>
      </c>
      <c r="P205" s="9"/>
      <c r="Q205" s="7">
        <v>607.88</v>
      </c>
      <c r="R205" s="8">
        <f>IFERROR(Q205/Q444, "NA")</f>
        <v>4.6387062292113646E-3</v>
      </c>
      <c r="S205" s="9"/>
      <c r="T205" s="7">
        <v>426.5</v>
      </c>
      <c r="U205" s="8">
        <f>IFERROR(T205/T444, "NA")</f>
        <v>2.9999712312254729E-3</v>
      </c>
      <c r="V205" s="9"/>
      <c r="W205" s="10">
        <f t="shared" si="54"/>
        <v>-181.38</v>
      </c>
      <c r="X205" s="8">
        <f>IFERROR(W205/W444, "NA")</f>
        <v>1.6306942362897352E-2</v>
      </c>
      <c r="Y205" s="9"/>
      <c r="Z205" s="7">
        <v>698.2</v>
      </c>
      <c r="AA205" s="8">
        <f>IFERROR(Z205/Z444, "NA")</f>
        <v>5.0743838388360579E-3</v>
      </c>
      <c r="AB205" s="9"/>
      <c r="AC205" s="10">
        <f t="shared" si="55"/>
        <v>90.32000000000005</v>
      </c>
      <c r="AD205" s="8">
        <f>IFERROR(AC205/AC444, "NA")</f>
        <v>-1.3793735396081206E-2</v>
      </c>
    </row>
    <row r="206" spans="1:30" ht="16.5" customHeight="1" x14ac:dyDescent="0.45">
      <c r="A206" s="6" t="s">
        <v>188</v>
      </c>
      <c r="B206" s="7">
        <v>222.8</v>
      </c>
      <c r="C206" s="8">
        <f>IFERROR(B206/B444, "NA")</f>
        <v>1.7001772518725606E-3</v>
      </c>
      <c r="D206" s="9"/>
      <c r="E206" s="7">
        <v>142.16999999999999</v>
      </c>
      <c r="F206" s="8">
        <f>IFERROR(E206/E444, "NA")</f>
        <v>1.0000138568424981E-3</v>
      </c>
      <c r="G206" s="9"/>
      <c r="H206" s="10">
        <f t="shared" si="52"/>
        <v>-80.630000000000024</v>
      </c>
      <c r="I206" s="8">
        <f>IFERROR(H206/H444, "NA")</f>
        <v>7.2490283532937148E-3</v>
      </c>
      <c r="J206" s="9"/>
      <c r="K206" s="7">
        <v>0</v>
      </c>
      <c r="L206" s="8">
        <f>IFERROR(K206/K444, "NA")</f>
        <v>0</v>
      </c>
      <c r="M206" s="9"/>
      <c r="N206" s="10">
        <f t="shared" si="53"/>
        <v>-222.8</v>
      </c>
      <c r="O206" s="8">
        <f>IFERROR(N206/N444, "NA")</f>
        <v>3.4026176331342903E-2</v>
      </c>
      <c r="P206" s="9"/>
      <c r="Q206" s="7">
        <v>222.8</v>
      </c>
      <c r="R206" s="8">
        <f>IFERROR(Q206/Q444, "NA")</f>
        <v>1.7001772518725606E-3</v>
      </c>
      <c r="S206" s="9"/>
      <c r="T206" s="7">
        <v>142.16999999999999</v>
      </c>
      <c r="U206" s="8">
        <f>IFERROR(T206/T444, "NA")</f>
        <v>1.0000138568424981E-3</v>
      </c>
      <c r="V206" s="9"/>
      <c r="W206" s="10">
        <f t="shared" si="54"/>
        <v>-80.630000000000024</v>
      </c>
      <c r="X206" s="8">
        <f>IFERROR(W206/W444, "NA")</f>
        <v>7.2490283532937148E-3</v>
      </c>
      <c r="Y206" s="9"/>
      <c r="Z206" s="7">
        <v>0</v>
      </c>
      <c r="AA206" s="8">
        <f>IFERROR(Z206/Z444, "NA")</f>
        <v>0</v>
      </c>
      <c r="AB206" s="9"/>
      <c r="AC206" s="10">
        <f t="shared" si="55"/>
        <v>-222.8</v>
      </c>
      <c r="AD206" s="8">
        <f>IFERROR(AC206/AC444, "NA")</f>
        <v>3.4026176331342903E-2</v>
      </c>
    </row>
    <row r="207" spans="1:30" ht="16.5" customHeight="1" x14ac:dyDescent="0.45">
      <c r="A207" s="6" t="s">
        <v>189</v>
      </c>
      <c r="B207" s="7">
        <v>0</v>
      </c>
      <c r="C207" s="8">
        <f>IFERROR(B207/B444, "NA")</f>
        <v>0</v>
      </c>
      <c r="D207" s="9"/>
      <c r="E207" s="7">
        <v>100</v>
      </c>
      <c r="F207" s="8">
        <f>IFERROR(E207/E444, "NA")</f>
        <v>7.0339302021699254E-4</v>
      </c>
      <c r="G207" s="9"/>
      <c r="H207" s="10">
        <f t="shared" si="52"/>
        <v>100</v>
      </c>
      <c r="I207" s="8">
        <f>IFERROR(H207/H444, "NA")</f>
        <v>-8.9904853693336378E-3</v>
      </c>
      <c r="J207" s="9"/>
      <c r="K207" s="7">
        <v>99.6</v>
      </c>
      <c r="L207" s="8">
        <f>IFERROR(K207/K444, "NA")</f>
        <v>7.2387371863086693E-4</v>
      </c>
      <c r="M207" s="9"/>
      <c r="N207" s="10">
        <f t="shared" si="53"/>
        <v>99.6</v>
      </c>
      <c r="O207" s="8">
        <f>IFERROR(N207/N444, "NA")</f>
        <v>-1.5210983674155085E-2</v>
      </c>
      <c r="P207" s="9"/>
      <c r="Q207" s="7">
        <v>0</v>
      </c>
      <c r="R207" s="8">
        <f>IFERROR(Q207/Q444, "NA")</f>
        <v>0</v>
      </c>
      <c r="S207" s="9"/>
      <c r="T207" s="7">
        <v>100</v>
      </c>
      <c r="U207" s="8">
        <f>IFERROR(T207/T444, "NA")</f>
        <v>7.0339302021699254E-4</v>
      </c>
      <c r="V207" s="9"/>
      <c r="W207" s="10">
        <f t="shared" si="54"/>
        <v>100</v>
      </c>
      <c r="X207" s="8">
        <f>IFERROR(W207/W444, "NA")</f>
        <v>-8.9904853693336378E-3</v>
      </c>
      <c r="Y207" s="9"/>
      <c r="Z207" s="7">
        <v>99.6</v>
      </c>
      <c r="AA207" s="8">
        <f>IFERROR(Z207/Z444, "NA")</f>
        <v>7.2387371863086693E-4</v>
      </c>
      <c r="AB207" s="9"/>
      <c r="AC207" s="10">
        <f t="shared" si="55"/>
        <v>99.6</v>
      </c>
      <c r="AD207" s="8">
        <f>IFERROR(AC207/AC444, "NA")</f>
        <v>-1.5210983674155085E-2</v>
      </c>
    </row>
    <row r="208" spans="1:30" ht="16.5" customHeight="1" x14ac:dyDescent="0.45">
      <c r="A208" s="6" t="s">
        <v>190</v>
      </c>
      <c r="B208" s="7">
        <v>40.82</v>
      </c>
      <c r="C208" s="8">
        <f>IFERROR(B208/B444, "NA")</f>
        <v>3.1149567065277345E-4</v>
      </c>
      <c r="D208" s="9"/>
      <c r="E208" s="7">
        <v>100</v>
      </c>
      <c r="F208" s="8">
        <f>IFERROR(E208/E444, "NA")</f>
        <v>7.0339302021699254E-4</v>
      </c>
      <c r="G208" s="9"/>
      <c r="H208" s="10">
        <f t="shared" si="52"/>
        <v>59.18</v>
      </c>
      <c r="I208" s="8">
        <f>IFERROR(H208/H444, "NA")</f>
        <v>-5.3205692415716471E-3</v>
      </c>
      <c r="J208" s="9"/>
      <c r="K208" s="7">
        <v>204.93</v>
      </c>
      <c r="L208" s="8">
        <f>IFERROR(K208/K444, "NA")</f>
        <v>1.4893919795082688E-3</v>
      </c>
      <c r="M208" s="9"/>
      <c r="N208" s="10">
        <f t="shared" si="53"/>
        <v>164.11</v>
      </c>
      <c r="O208" s="8">
        <f>IFERROR(N208/N444, "NA")</f>
        <v>-2.5062997296843286E-2</v>
      </c>
      <c r="P208" s="9"/>
      <c r="Q208" s="7">
        <v>40.82</v>
      </c>
      <c r="R208" s="8">
        <f>IFERROR(Q208/Q444, "NA")</f>
        <v>3.1149567065277345E-4</v>
      </c>
      <c r="S208" s="9"/>
      <c r="T208" s="7">
        <v>100</v>
      </c>
      <c r="U208" s="8">
        <f>IFERROR(T208/T444, "NA")</f>
        <v>7.0339302021699254E-4</v>
      </c>
      <c r="V208" s="9"/>
      <c r="W208" s="10">
        <f t="shared" si="54"/>
        <v>59.18</v>
      </c>
      <c r="X208" s="8">
        <f>IFERROR(W208/W444, "NA")</f>
        <v>-5.3205692415716471E-3</v>
      </c>
      <c r="Y208" s="9"/>
      <c r="Z208" s="7">
        <v>204.93</v>
      </c>
      <c r="AA208" s="8">
        <f>IFERROR(Z208/Z444, "NA")</f>
        <v>1.4893919795082688E-3</v>
      </c>
      <c r="AB208" s="9"/>
      <c r="AC208" s="10">
        <f t="shared" si="55"/>
        <v>164.11</v>
      </c>
      <c r="AD208" s="8">
        <f>IFERROR(AC208/AC444, "NA")</f>
        <v>-2.5062997296843286E-2</v>
      </c>
    </row>
    <row r="209" spans="1:30" ht="16.5" customHeight="1" x14ac:dyDescent="0.45">
      <c r="A209" s="19" t="s">
        <v>191</v>
      </c>
      <c r="B209" s="14">
        <f>IFERROR(B201+B202+B203+B204+B205+B206+B207+B208, "NA")</f>
        <v>3749.96</v>
      </c>
      <c r="C209" s="15">
        <f>IFERROR(B209/B444, "NA")</f>
        <v>2.8615784054901377E-2</v>
      </c>
      <c r="D209" s="2"/>
      <c r="E209" s="14">
        <f>IFERROR(E201+E202+E203+E204+E205+E206+E207+E208, "NA")</f>
        <v>3185.53</v>
      </c>
      <c r="F209" s="15">
        <f>IFERROR(E209/E444, "NA")</f>
        <v>2.2406795676918365E-2</v>
      </c>
      <c r="G209" s="2"/>
      <c r="H209" s="14">
        <f t="shared" si="52"/>
        <v>-564.42999999999984</v>
      </c>
      <c r="I209" s="15">
        <f>IFERROR(H209/H444, "NA")</f>
        <v>5.074499657012984E-2</v>
      </c>
      <c r="J209" s="2"/>
      <c r="K209" s="14">
        <f>IFERROR(K201+K202+K203+K204+K205+K206+K207+K208, "NA")</f>
        <v>3291.4800000000005</v>
      </c>
      <c r="L209" s="15">
        <f>IFERROR(K209/K444, "NA")</f>
        <v>2.3921846058224162E-2</v>
      </c>
      <c r="M209" s="2"/>
      <c r="N209" s="14">
        <f t="shared" si="53"/>
        <v>-458.47999999999956</v>
      </c>
      <c r="O209" s="15">
        <f>IFERROR(N209/N444, "NA")</f>
        <v>7.0019395531391734E-2</v>
      </c>
      <c r="P209" s="2"/>
      <c r="Q209" s="14">
        <f>IFERROR(Q201+Q202+Q203+Q204+Q205+Q206+Q207+Q208, "NA")</f>
        <v>3749.96</v>
      </c>
      <c r="R209" s="15">
        <f>IFERROR(Q209/Q444, "NA")</f>
        <v>2.8615784054901377E-2</v>
      </c>
      <c r="S209" s="2"/>
      <c r="T209" s="14">
        <f>IFERROR(T201+T202+T203+T204+T205+T206+T207+T208, "NA")</f>
        <v>3185.53</v>
      </c>
      <c r="U209" s="15">
        <f>IFERROR(T209/T444, "NA")</f>
        <v>2.2406795676918365E-2</v>
      </c>
      <c r="V209" s="2"/>
      <c r="W209" s="14">
        <f t="shared" si="54"/>
        <v>-564.42999999999984</v>
      </c>
      <c r="X209" s="15">
        <f>IFERROR(W209/W444, "NA")</f>
        <v>5.074499657012984E-2</v>
      </c>
      <c r="Y209" s="2"/>
      <c r="Z209" s="14">
        <f>IFERROR(Z201+Z202+Z203+Z204+Z205+Z206+Z207+Z208, "NA")</f>
        <v>3291.4800000000005</v>
      </c>
      <c r="AA209" s="15">
        <f>IFERROR(Z209/Z444, "NA")</f>
        <v>2.3921846058224162E-2</v>
      </c>
      <c r="AB209" s="2"/>
      <c r="AC209" s="14">
        <f t="shared" si="55"/>
        <v>-458.47999999999956</v>
      </c>
      <c r="AD209" s="15">
        <f>IFERROR(AC209/AC444, "NA")</f>
        <v>7.0019395531391734E-2</v>
      </c>
    </row>
    <row r="210" spans="1:30" ht="16.5" customHeight="1" x14ac:dyDescent="0.45">
      <c r="A210" s="5" t="s">
        <v>192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45">
      <c r="A211" s="6" t="s">
        <v>192</v>
      </c>
      <c r="B211" s="7">
        <v>0</v>
      </c>
      <c r="C211" s="8">
        <f>IFERROR(B211/B444, "NA")</f>
        <v>0</v>
      </c>
      <c r="D211" s="9"/>
      <c r="E211" s="7">
        <v>0</v>
      </c>
      <c r="F211" s="8">
        <f>IFERROR(E211/E444, "NA")</f>
        <v>0</v>
      </c>
      <c r="G211" s="9"/>
      <c r="H211" s="10">
        <f>IFERROR(-(B211-E211), "NA")</f>
        <v>0</v>
      </c>
      <c r="I211" s="8">
        <f>IFERROR(H211/H444, "NA")</f>
        <v>0</v>
      </c>
      <c r="J211" s="9"/>
      <c r="K211" s="7">
        <v>0</v>
      </c>
      <c r="L211" s="8">
        <f>IFERROR(K211/K444, "NA")</f>
        <v>0</v>
      </c>
      <c r="M211" s="9"/>
      <c r="N211" s="10">
        <f>IFERROR(-(B211-K211), "NA")</f>
        <v>0</v>
      </c>
      <c r="O211" s="8">
        <f>IFERROR(N211/N444, "NA")</f>
        <v>0</v>
      </c>
      <c r="P211" s="9"/>
      <c r="Q211" s="7">
        <v>0</v>
      </c>
      <c r="R211" s="8">
        <f>IFERROR(Q211/Q444, "NA")</f>
        <v>0</v>
      </c>
      <c r="S211" s="9"/>
      <c r="T211" s="7">
        <v>0</v>
      </c>
      <c r="U211" s="8">
        <f>IFERROR(T211/T444, "NA")</f>
        <v>0</v>
      </c>
      <c r="V211" s="9"/>
      <c r="W211" s="10">
        <f>IFERROR(-(Q211-T211), "NA")</f>
        <v>0</v>
      </c>
      <c r="X211" s="8">
        <f>IFERROR(W211/W444, "NA")</f>
        <v>0</v>
      </c>
      <c r="Y211" s="9"/>
      <c r="Z211" s="7">
        <v>0</v>
      </c>
      <c r="AA211" s="8">
        <f>IFERROR(Z211/Z444, "NA")</f>
        <v>0</v>
      </c>
      <c r="AB211" s="9"/>
      <c r="AC211" s="10">
        <f>IFERROR(-(Q211-Z211), "NA")</f>
        <v>0</v>
      </c>
      <c r="AD211" s="8">
        <f>IFERROR(AC211/AC444, "NA")</f>
        <v>0</v>
      </c>
    </row>
    <row r="212" spans="1:30" ht="16.5" customHeight="1" x14ac:dyDescent="0.45">
      <c r="A212" s="11" t="s">
        <v>193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45">
      <c r="A213" s="12" t="s">
        <v>193</v>
      </c>
      <c r="B213" s="7">
        <v>0</v>
      </c>
      <c r="C213" s="8">
        <f>IFERROR(B213/B444, "NA")</f>
        <v>0</v>
      </c>
      <c r="D213" s="9"/>
      <c r="E213" s="7">
        <v>5402.39</v>
      </c>
      <c r="F213" s="8">
        <f>IFERROR(E213/E444, "NA")</f>
        <v>3.8000034184900784E-2</v>
      </c>
      <c r="G213" s="9"/>
      <c r="H213" s="10">
        <f t="shared" ref="H213:H227" si="56">IFERROR(-(B213-E213), "NA")</f>
        <v>5402.39</v>
      </c>
      <c r="I213" s="8">
        <f>IFERROR(H213/H444, "NA")</f>
        <v>-0.48570108254434358</v>
      </c>
      <c r="J213" s="9"/>
      <c r="K213" s="7">
        <v>0</v>
      </c>
      <c r="L213" s="8">
        <f>IFERROR(K213/K444, "NA")</f>
        <v>0</v>
      </c>
      <c r="M213" s="9"/>
      <c r="N213" s="10">
        <f t="shared" ref="N213:N227" si="57">IFERROR(-(B213-K213), "NA")</f>
        <v>0</v>
      </c>
      <c r="O213" s="8">
        <f>IFERROR(N213/N444, "NA")</f>
        <v>0</v>
      </c>
      <c r="P213" s="9"/>
      <c r="Q213" s="7">
        <v>0</v>
      </c>
      <c r="R213" s="8">
        <f>IFERROR(Q213/Q444, "NA")</f>
        <v>0</v>
      </c>
      <c r="S213" s="9"/>
      <c r="T213" s="7">
        <v>5402.39</v>
      </c>
      <c r="U213" s="8">
        <f>IFERROR(T213/T444, "NA")</f>
        <v>3.8000034184900784E-2</v>
      </c>
      <c r="V213" s="9"/>
      <c r="W213" s="10">
        <f t="shared" ref="W213:W227" si="58">IFERROR(-(Q213-T213), "NA")</f>
        <v>5402.39</v>
      </c>
      <c r="X213" s="8">
        <f>IFERROR(W213/W444, "NA")</f>
        <v>-0.48570108254434358</v>
      </c>
      <c r="Y213" s="9"/>
      <c r="Z213" s="7">
        <v>0</v>
      </c>
      <c r="AA213" s="8">
        <f>IFERROR(Z213/Z444, "NA")</f>
        <v>0</v>
      </c>
      <c r="AB213" s="9"/>
      <c r="AC213" s="10">
        <f t="shared" ref="AC213:AC227" si="59">IFERROR(-(Q213-Z213), "NA")</f>
        <v>0</v>
      </c>
      <c r="AD213" s="8">
        <f>IFERROR(AC213/AC444, "NA")</f>
        <v>0</v>
      </c>
    </row>
    <row r="214" spans="1:30" ht="16.5" customHeight="1" x14ac:dyDescent="0.45">
      <c r="A214" s="12" t="s">
        <v>194</v>
      </c>
      <c r="B214" s="7">
        <v>2393.13</v>
      </c>
      <c r="C214" s="8">
        <f>IFERROR(B214/B444, "NA")</f>
        <v>1.8261872472054672E-2</v>
      </c>
      <c r="D214" s="9"/>
      <c r="E214" s="7">
        <v>0</v>
      </c>
      <c r="F214" s="8">
        <f>IFERROR(E214/E444, "NA")</f>
        <v>0</v>
      </c>
      <c r="G214" s="9"/>
      <c r="H214" s="10">
        <f t="shared" si="56"/>
        <v>-2393.13</v>
      </c>
      <c r="I214" s="8">
        <f>IFERROR(H214/H444, "NA")</f>
        <v>0.21515400251913411</v>
      </c>
      <c r="J214" s="9"/>
      <c r="K214" s="7">
        <v>4746.74</v>
      </c>
      <c r="L214" s="8">
        <f>IFERROR(K214/K444, "NA")</f>
        <v>3.44983969394968E-2</v>
      </c>
      <c r="M214" s="9"/>
      <c r="N214" s="10">
        <f t="shared" si="57"/>
        <v>2353.6099999999997</v>
      </c>
      <c r="O214" s="8">
        <f>IFERROR(N214/N444, "NA")</f>
        <v>-0.35944501290490105</v>
      </c>
      <c r="P214" s="9"/>
      <c r="Q214" s="7">
        <v>2393.13</v>
      </c>
      <c r="R214" s="8">
        <f>IFERROR(Q214/Q444, "NA")</f>
        <v>1.8261872472054672E-2</v>
      </c>
      <c r="S214" s="9"/>
      <c r="T214" s="7">
        <v>0</v>
      </c>
      <c r="U214" s="8">
        <f>IFERROR(T214/T444, "NA")</f>
        <v>0</v>
      </c>
      <c r="V214" s="9"/>
      <c r="W214" s="10">
        <f t="shared" si="58"/>
        <v>-2393.13</v>
      </c>
      <c r="X214" s="8">
        <f>IFERROR(W214/W444, "NA")</f>
        <v>0.21515400251913411</v>
      </c>
      <c r="Y214" s="9"/>
      <c r="Z214" s="7">
        <v>4746.74</v>
      </c>
      <c r="AA214" s="8">
        <f>IFERROR(Z214/Z444, "NA")</f>
        <v>3.44983969394968E-2</v>
      </c>
      <c r="AB214" s="9"/>
      <c r="AC214" s="10">
        <f t="shared" si="59"/>
        <v>2353.6099999999997</v>
      </c>
      <c r="AD214" s="8">
        <f>IFERROR(AC214/AC444, "NA")</f>
        <v>-0.35944501290490105</v>
      </c>
    </row>
    <row r="215" spans="1:30" ht="16.5" customHeight="1" x14ac:dyDescent="0.45">
      <c r="A215" s="12" t="s">
        <v>195</v>
      </c>
      <c r="B215" s="7">
        <v>719.67</v>
      </c>
      <c r="C215" s="8">
        <f>IFERROR(B215/B444, "NA")</f>
        <v>5.491770928434136E-3</v>
      </c>
      <c r="D215" s="9"/>
      <c r="E215" s="7">
        <v>0</v>
      </c>
      <c r="F215" s="8">
        <f>IFERROR(E215/E444, "NA")</f>
        <v>0</v>
      </c>
      <c r="G215" s="9"/>
      <c r="H215" s="10">
        <f t="shared" si="56"/>
        <v>-719.67</v>
      </c>
      <c r="I215" s="8">
        <f>IFERROR(H215/H444, "NA")</f>
        <v>6.4701826057483383E-2</v>
      </c>
      <c r="J215" s="9"/>
      <c r="K215" s="7">
        <v>0</v>
      </c>
      <c r="L215" s="8">
        <f>IFERROR(K215/K444, "NA")</f>
        <v>0</v>
      </c>
      <c r="M215" s="9"/>
      <c r="N215" s="10">
        <f t="shared" si="57"/>
        <v>-719.67</v>
      </c>
      <c r="O215" s="8">
        <f>IFERROR(N215/N444, "NA")</f>
        <v>0.10990852028894769</v>
      </c>
      <c r="P215" s="9"/>
      <c r="Q215" s="7">
        <v>719.67</v>
      </c>
      <c r="R215" s="8">
        <f>IFERROR(Q215/Q444, "NA")</f>
        <v>5.491770928434136E-3</v>
      </c>
      <c r="S215" s="9"/>
      <c r="T215" s="7">
        <v>0</v>
      </c>
      <c r="U215" s="8">
        <f>IFERROR(T215/T444, "NA")</f>
        <v>0</v>
      </c>
      <c r="V215" s="9"/>
      <c r="W215" s="10">
        <f t="shared" si="58"/>
        <v>-719.67</v>
      </c>
      <c r="X215" s="8">
        <f>IFERROR(W215/W444, "NA")</f>
        <v>6.4701826057483383E-2</v>
      </c>
      <c r="Y215" s="9"/>
      <c r="Z215" s="7">
        <v>0</v>
      </c>
      <c r="AA215" s="8">
        <f>IFERROR(Z215/Z444, "NA")</f>
        <v>0</v>
      </c>
      <c r="AB215" s="9"/>
      <c r="AC215" s="10">
        <f t="shared" si="59"/>
        <v>-719.67</v>
      </c>
      <c r="AD215" s="8">
        <f>IFERROR(AC215/AC444, "NA")</f>
        <v>0.10990852028894769</v>
      </c>
    </row>
    <row r="216" spans="1:30" ht="16.5" customHeight="1" x14ac:dyDescent="0.45">
      <c r="A216" s="12" t="s">
        <v>196</v>
      </c>
      <c r="B216" s="7">
        <v>100</v>
      </c>
      <c r="C216" s="8">
        <f>IFERROR(B216/B444, "NA")</f>
        <v>7.6309571448499123E-4</v>
      </c>
      <c r="D216" s="9"/>
      <c r="E216" s="7">
        <v>0</v>
      </c>
      <c r="F216" s="8">
        <f>IFERROR(E216/E444, "NA")</f>
        <v>0</v>
      </c>
      <c r="G216" s="9"/>
      <c r="H216" s="10">
        <f t="shared" si="56"/>
        <v>-100</v>
      </c>
      <c r="I216" s="8">
        <f>IFERROR(H216/H444, "NA")</f>
        <v>8.9904853693336378E-3</v>
      </c>
      <c r="J216" s="9"/>
      <c r="K216" s="7">
        <v>0</v>
      </c>
      <c r="L216" s="8">
        <f>IFERROR(K216/K444, "NA")</f>
        <v>0</v>
      </c>
      <c r="M216" s="9"/>
      <c r="N216" s="10">
        <f t="shared" si="57"/>
        <v>-100</v>
      </c>
      <c r="O216" s="8">
        <f>IFERROR(N216/N444, "NA")</f>
        <v>1.5272071962003099E-2</v>
      </c>
      <c r="P216" s="9"/>
      <c r="Q216" s="7">
        <v>100</v>
      </c>
      <c r="R216" s="8">
        <f>IFERROR(Q216/Q444, "NA")</f>
        <v>7.6309571448499123E-4</v>
      </c>
      <c r="S216" s="9"/>
      <c r="T216" s="7">
        <v>0</v>
      </c>
      <c r="U216" s="8">
        <f>IFERROR(T216/T444, "NA")</f>
        <v>0</v>
      </c>
      <c r="V216" s="9"/>
      <c r="W216" s="10">
        <f t="shared" si="58"/>
        <v>-100</v>
      </c>
      <c r="X216" s="8">
        <f>IFERROR(W216/W444, "NA")</f>
        <v>8.9904853693336378E-3</v>
      </c>
      <c r="Y216" s="9"/>
      <c r="Z216" s="7">
        <v>0</v>
      </c>
      <c r="AA216" s="8">
        <f>IFERROR(Z216/Z444, "NA")</f>
        <v>0</v>
      </c>
      <c r="AB216" s="9"/>
      <c r="AC216" s="10">
        <f t="shared" si="59"/>
        <v>-100</v>
      </c>
      <c r="AD216" s="8">
        <f>IFERROR(AC216/AC444, "NA")</f>
        <v>1.5272071962003099E-2</v>
      </c>
    </row>
    <row r="217" spans="1:30" ht="16.5" customHeight="1" x14ac:dyDescent="0.45">
      <c r="A217" s="12" t="s">
        <v>197</v>
      </c>
      <c r="B217" s="7">
        <v>2047.77</v>
      </c>
      <c r="C217" s="8">
        <f>IFERROR(B217/B444, "NA")</f>
        <v>1.5626445112509307E-2</v>
      </c>
      <c r="D217" s="9"/>
      <c r="E217" s="7">
        <v>0</v>
      </c>
      <c r="F217" s="8">
        <f>IFERROR(E217/E444, "NA")</f>
        <v>0</v>
      </c>
      <c r="G217" s="9"/>
      <c r="H217" s="10">
        <f t="shared" si="56"/>
        <v>-2047.77</v>
      </c>
      <c r="I217" s="8">
        <f>IFERROR(H217/H444, "NA")</f>
        <v>0.18410446224760343</v>
      </c>
      <c r="J217" s="9"/>
      <c r="K217" s="7">
        <v>3124.83</v>
      </c>
      <c r="L217" s="8">
        <f>IFERROR(K217/K444, "NA")</f>
        <v>2.2710665785033054E-2</v>
      </c>
      <c r="M217" s="9"/>
      <c r="N217" s="10">
        <f t="shared" si="57"/>
        <v>1077.06</v>
      </c>
      <c r="O217" s="8">
        <f>IFERROR(N217/N444, "NA")</f>
        <v>-0.16448937827395058</v>
      </c>
      <c r="P217" s="9"/>
      <c r="Q217" s="7">
        <v>2047.77</v>
      </c>
      <c r="R217" s="8">
        <f>IFERROR(Q217/Q444, "NA")</f>
        <v>1.5626445112509307E-2</v>
      </c>
      <c r="S217" s="9"/>
      <c r="T217" s="7">
        <v>0</v>
      </c>
      <c r="U217" s="8">
        <f>IFERROR(T217/T444, "NA")</f>
        <v>0</v>
      </c>
      <c r="V217" s="9"/>
      <c r="W217" s="10">
        <f t="shared" si="58"/>
        <v>-2047.77</v>
      </c>
      <c r="X217" s="8">
        <f>IFERROR(W217/W444, "NA")</f>
        <v>0.18410446224760343</v>
      </c>
      <c r="Y217" s="9"/>
      <c r="Z217" s="7">
        <v>3124.83</v>
      </c>
      <c r="AA217" s="8">
        <f>IFERROR(Z217/Z444, "NA")</f>
        <v>2.2710665785033054E-2</v>
      </c>
      <c r="AB217" s="9"/>
      <c r="AC217" s="10">
        <f t="shared" si="59"/>
        <v>1077.06</v>
      </c>
      <c r="AD217" s="8">
        <f>IFERROR(AC217/AC444, "NA")</f>
        <v>-0.16448937827395058</v>
      </c>
    </row>
    <row r="218" spans="1:30" ht="16.5" customHeight="1" x14ac:dyDescent="0.45">
      <c r="A218" s="13" t="s">
        <v>198</v>
      </c>
      <c r="B218" s="14">
        <f>IFERROR(B213+B214+B215+B216+B217, "NA")</f>
        <v>5260.57</v>
      </c>
      <c r="C218" s="15">
        <f>IFERROR(B218/B444, "NA")</f>
        <v>4.01431842274831E-2</v>
      </c>
      <c r="D218" s="2"/>
      <c r="E218" s="14">
        <f>IFERROR(E213+E214+E215+E216+E217, "NA")</f>
        <v>5402.39</v>
      </c>
      <c r="F218" s="15">
        <f>IFERROR(E218/E444, "NA")</f>
        <v>3.8000034184900784E-2</v>
      </c>
      <c r="G218" s="2"/>
      <c r="H218" s="14">
        <f t="shared" si="56"/>
        <v>141.82000000000062</v>
      </c>
      <c r="I218" s="15">
        <f>IFERROR(H218/H444, "NA")</f>
        <v>-1.2750306350789021E-2</v>
      </c>
      <c r="J218" s="2"/>
      <c r="K218" s="14">
        <f>IFERROR(K213+K214+K215+K216+K217, "NA")</f>
        <v>7871.57</v>
      </c>
      <c r="L218" s="15">
        <f>IFERROR(K218/K444, "NA")</f>
        <v>5.7209062724529858E-2</v>
      </c>
      <c r="M218" s="2"/>
      <c r="N218" s="14">
        <f t="shared" si="57"/>
        <v>2611</v>
      </c>
      <c r="O218" s="15">
        <f>IFERROR(N218/N444, "NA")</f>
        <v>-0.39875379892790092</v>
      </c>
      <c r="P218" s="2"/>
      <c r="Q218" s="14">
        <f>IFERROR(Q213+Q214+Q215+Q216+Q217, "NA")</f>
        <v>5260.57</v>
      </c>
      <c r="R218" s="15">
        <f>IFERROR(Q218/Q444, "NA")</f>
        <v>4.01431842274831E-2</v>
      </c>
      <c r="S218" s="2"/>
      <c r="T218" s="14">
        <f>IFERROR(T213+T214+T215+T216+T217, "NA")</f>
        <v>5402.39</v>
      </c>
      <c r="U218" s="15">
        <f>IFERROR(T218/T444, "NA")</f>
        <v>3.8000034184900784E-2</v>
      </c>
      <c r="V218" s="2"/>
      <c r="W218" s="14">
        <f t="shared" si="58"/>
        <v>141.82000000000062</v>
      </c>
      <c r="X218" s="15">
        <f>IFERROR(W218/W444, "NA")</f>
        <v>-1.2750306350789021E-2</v>
      </c>
      <c r="Y218" s="2"/>
      <c r="Z218" s="14">
        <f>IFERROR(Z213+Z214+Z215+Z216+Z217, "NA")</f>
        <v>7871.57</v>
      </c>
      <c r="AA218" s="15">
        <f>IFERROR(Z218/Z444, "NA")</f>
        <v>5.7209062724529858E-2</v>
      </c>
      <c r="AB218" s="2"/>
      <c r="AC218" s="14">
        <f t="shared" si="59"/>
        <v>2611</v>
      </c>
      <c r="AD218" s="15">
        <f>IFERROR(AC218/AC444, "NA")</f>
        <v>-0.39875379892790092</v>
      </c>
    </row>
    <row r="219" spans="1:30" ht="16.5" hidden="1" customHeight="1" x14ac:dyDescent="0.45">
      <c r="A219" s="6" t="s">
        <v>199</v>
      </c>
      <c r="B219" s="7">
        <v>0</v>
      </c>
      <c r="C219" s="8">
        <f>IFERROR(B219/B444, "NA")</f>
        <v>0</v>
      </c>
      <c r="D219" s="9"/>
      <c r="E219" s="7">
        <v>0</v>
      </c>
      <c r="F219" s="8">
        <f>IFERROR(E219/E444, "NA")</f>
        <v>0</v>
      </c>
      <c r="G219" s="9"/>
      <c r="H219" s="10">
        <f t="shared" si="56"/>
        <v>0</v>
      </c>
      <c r="I219" s="8">
        <f>IFERROR(H219/H444, "NA")</f>
        <v>0</v>
      </c>
      <c r="J219" s="9"/>
      <c r="K219" s="7">
        <v>0</v>
      </c>
      <c r="L219" s="8">
        <f>IFERROR(K219/K444, "NA")</f>
        <v>0</v>
      </c>
      <c r="M219" s="9"/>
      <c r="N219" s="10">
        <f t="shared" si="57"/>
        <v>0</v>
      </c>
      <c r="O219" s="8">
        <f>IFERROR(N219/N444, "NA")</f>
        <v>0</v>
      </c>
      <c r="P219" s="9"/>
      <c r="Q219" s="7">
        <v>0</v>
      </c>
      <c r="R219" s="8">
        <f>IFERROR(Q219/Q444, "NA")</f>
        <v>0</v>
      </c>
      <c r="S219" s="9"/>
      <c r="T219" s="7">
        <v>0</v>
      </c>
      <c r="U219" s="8">
        <f>IFERROR(T219/T444, "NA")</f>
        <v>0</v>
      </c>
      <c r="V219" s="9"/>
      <c r="W219" s="10">
        <f t="shared" si="58"/>
        <v>0</v>
      </c>
      <c r="X219" s="8">
        <f>IFERROR(W219/W444, "NA")</f>
        <v>0</v>
      </c>
      <c r="Y219" s="9"/>
      <c r="Z219" s="7">
        <v>0</v>
      </c>
      <c r="AA219" s="8">
        <f>IFERROR(Z219/Z444, "NA")</f>
        <v>0</v>
      </c>
      <c r="AB219" s="9"/>
      <c r="AC219" s="10">
        <f t="shared" si="59"/>
        <v>0</v>
      </c>
      <c r="AD219" s="8">
        <f>IFERROR(AC219/AC444, "NA")</f>
        <v>0</v>
      </c>
    </row>
    <row r="220" spans="1:30" ht="16.5" hidden="1" customHeight="1" x14ac:dyDescent="0.45">
      <c r="A220" s="6" t="s">
        <v>200</v>
      </c>
      <c r="B220" s="7">
        <v>0</v>
      </c>
      <c r="C220" s="8">
        <f>IFERROR(B220/B444, "NA")</f>
        <v>0</v>
      </c>
      <c r="D220" s="9"/>
      <c r="E220" s="7">
        <v>0</v>
      </c>
      <c r="F220" s="8">
        <f>IFERROR(E220/E444, "NA")</f>
        <v>0</v>
      </c>
      <c r="G220" s="9"/>
      <c r="H220" s="10">
        <f t="shared" si="56"/>
        <v>0</v>
      </c>
      <c r="I220" s="8">
        <f>IFERROR(H220/H444, "NA")</f>
        <v>0</v>
      </c>
      <c r="J220" s="9"/>
      <c r="K220" s="7">
        <v>0</v>
      </c>
      <c r="L220" s="8">
        <f>IFERROR(K220/K444, "NA")</f>
        <v>0</v>
      </c>
      <c r="M220" s="9"/>
      <c r="N220" s="10">
        <f t="shared" si="57"/>
        <v>0</v>
      </c>
      <c r="O220" s="8">
        <f>IFERROR(N220/N444, "NA")</f>
        <v>0</v>
      </c>
      <c r="P220" s="9"/>
      <c r="Q220" s="7">
        <v>0</v>
      </c>
      <c r="R220" s="8">
        <f>IFERROR(Q220/Q444, "NA")</f>
        <v>0</v>
      </c>
      <c r="S220" s="9"/>
      <c r="T220" s="7">
        <v>0</v>
      </c>
      <c r="U220" s="8">
        <f>IFERROR(T220/T444, "NA")</f>
        <v>0</v>
      </c>
      <c r="V220" s="9"/>
      <c r="W220" s="10">
        <f t="shared" si="58"/>
        <v>0</v>
      </c>
      <c r="X220" s="8">
        <f>IFERROR(W220/W444, "NA")</f>
        <v>0</v>
      </c>
      <c r="Y220" s="9"/>
      <c r="Z220" s="7">
        <v>0</v>
      </c>
      <c r="AA220" s="8">
        <f>IFERROR(Z220/Z444, "NA")</f>
        <v>0</v>
      </c>
      <c r="AB220" s="9"/>
      <c r="AC220" s="10">
        <f t="shared" si="59"/>
        <v>0</v>
      </c>
      <c r="AD220" s="8">
        <f>IFERROR(AC220/AC444, "NA")</f>
        <v>0</v>
      </c>
    </row>
    <row r="221" spans="1:30" ht="16.5" hidden="1" customHeight="1" x14ac:dyDescent="0.45">
      <c r="A221" s="6" t="s">
        <v>201</v>
      </c>
      <c r="B221" s="7">
        <v>0</v>
      </c>
      <c r="C221" s="8">
        <f>IFERROR(B221/B444, "NA")</f>
        <v>0</v>
      </c>
      <c r="D221" s="9"/>
      <c r="E221" s="7">
        <v>0</v>
      </c>
      <c r="F221" s="8">
        <f>IFERROR(E221/E444, "NA")</f>
        <v>0</v>
      </c>
      <c r="G221" s="9"/>
      <c r="H221" s="10">
        <f t="shared" si="56"/>
        <v>0</v>
      </c>
      <c r="I221" s="8">
        <f>IFERROR(H221/H444, "NA")</f>
        <v>0</v>
      </c>
      <c r="J221" s="9"/>
      <c r="K221" s="7">
        <v>0</v>
      </c>
      <c r="L221" s="8">
        <f>IFERROR(K221/K444, "NA")</f>
        <v>0</v>
      </c>
      <c r="M221" s="9"/>
      <c r="N221" s="10">
        <f t="shared" si="57"/>
        <v>0</v>
      </c>
      <c r="O221" s="8">
        <f>IFERROR(N221/N444, "NA")</f>
        <v>0</v>
      </c>
      <c r="P221" s="9"/>
      <c r="Q221" s="7">
        <v>0</v>
      </c>
      <c r="R221" s="8">
        <f>IFERROR(Q221/Q444, "NA")</f>
        <v>0</v>
      </c>
      <c r="S221" s="9"/>
      <c r="T221" s="7">
        <v>0</v>
      </c>
      <c r="U221" s="8">
        <f>IFERROR(T221/T444, "NA")</f>
        <v>0</v>
      </c>
      <c r="V221" s="9"/>
      <c r="W221" s="10">
        <f t="shared" si="58"/>
        <v>0</v>
      </c>
      <c r="X221" s="8">
        <f>IFERROR(W221/W444, "NA")</f>
        <v>0</v>
      </c>
      <c r="Y221" s="9"/>
      <c r="Z221" s="7">
        <v>0</v>
      </c>
      <c r="AA221" s="8">
        <f>IFERROR(Z221/Z444, "NA")</f>
        <v>0</v>
      </c>
      <c r="AB221" s="9"/>
      <c r="AC221" s="10">
        <f t="shared" si="59"/>
        <v>0</v>
      </c>
      <c r="AD221" s="8">
        <f>IFERROR(AC221/AC444, "NA")</f>
        <v>0</v>
      </c>
    </row>
    <row r="222" spans="1:30" ht="16.5" customHeight="1" x14ac:dyDescent="0.45">
      <c r="A222" s="6" t="s">
        <v>202</v>
      </c>
      <c r="B222" s="7">
        <v>91.67</v>
      </c>
      <c r="C222" s="8">
        <f>IFERROR(B222/B444, "NA")</f>
        <v>6.9952984146839155E-4</v>
      </c>
      <c r="D222" s="9"/>
      <c r="E222" s="7">
        <v>100</v>
      </c>
      <c r="F222" s="8">
        <f>IFERROR(E222/E444, "NA")</f>
        <v>7.0339302021699254E-4</v>
      </c>
      <c r="G222" s="9"/>
      <c r="H222" s="10">
        <f t="shared" si="56"/>
        <v>8.3299999999999983</v>
      </c>
      <c r="I222" s="8">
        <f>IFERROR(H222/H444, "NA")</f>
        <v>-7.489074312654919E-4</v>
      </c>
      <c r="J222" s="9"/>
      <c r="K222" s="7">
        <v>107.16</v>
      </c>
      <c r="L222" s="8">
        <f>IFERROR(K222/K444, "NA")</f>
        <v>7.7881835028598102E-4</v>
      </c>
      <c r="M222" s="9"/>
      <c r="N222" s="10">
        <f t="shared" si="57"/>
        <v>15.489999999999995</v>
      </c>
      <c r="O222" s="8">
        <f>IFERROR(N222/N444, "NA")</f>
        <v>-2.3656439469142794E-3</v>
      </c>
      <c r="P222" s="9"/>
      <c r="Q222" s="7">
        <v>91.67</v>
      </c>
      <c r="R222" s="8">
        <f>IFERROR(Q222/Q444, "NA")</f>
        <v>6.9952984146839155E-4</v>
      </c>
      <c r="S222" s="9"/>
      <c r="T222" s="7">
        <v>100</v>
      </c>
      <c r="U222" s="8">
        <f>IFERROR(T222/T444, "NA")</f>
        <v>7.0339302021699254E-4</v>
      </c>
      <c r="V222" s="9"/>
      <c r="W222" s="10">
        <f t="shared" si="58"/>
        <v>8.3299999999999983</v>
      </c>
      <c r="X222" s="8">
        <f>IFERROR(W222/W444, "NA")</f>
        <v>-7.489074312654919E-4</v>
      </c>
      <c r="Y222" s="9"/>
      <c r="Z222" s="7">
        <v>107.16</v>
      </c>
      <c r="AA222" s="8">
        <f>IFERROR(Z222/Z444, "NA")</f>
        <v>7.7881835028598102E-4</v>
      </c>
      <c r="AB222" s="9"/>
      <c r="AC222" s="10">
        <f t="shared" si="59"/>
        <v>15.489999999999995</v>
      </c>
      <c r="AD222" s="8">
        <f>IFERROR(AC222/AC444, "NA")</f>
        <v>-2.3656439469142794E-3</v>
      </c>
    </row>
    <row r="223" spans="1:30" ht="16.5" hidden="1" customHeight="1" x14ac:dyDescent="0.45">
      <c r="A223" s="6" t="s">
        <v>203</v>
      </c>
      <c r="B223" s="7">
        <v>0</v>
      </c>
      <c r="C223" s="8">
        <f>IFERROR(B223/B444, "NA")</f>
        <v>0</v>
      </c>
      <c r="D223" s="9"/>
      <c r="E223" s="7">
        <v>0</v>
      </c>
      <c r="F223" s="8">
        <f>IFERROR(E223/E444, "NA")</f>
        <v>0</v>
      </c>
      <c r="G223" s="9"/>
      <c r="H223" s="10">
        <f t="shared" si="56"/>
        <v>0</v>
      </c>
      <c r="I223" s="8">
        <f>IFERROR(H223/H444, "NA")</f>
        <v>0</v>
      </c>
      <c r="J223" s="9"/>
      <c r="K223" s="7">
        <v>0</v>
      </c>
      <c r="L223" s="8">
        <f>IFERROR(K223/K444, "NA")</f>
        <v>0</v>
      </c>
      <c r="M223" s="9"/>
      <c r="N223" s="10">
        <f t="shared" si="57"/>
        <v>0</v>
      </c>
      <c r="O223" s="8">
        <f>IFERROR(N223/N444, "NA")</f>
        <v>0</v>
      </c>
      <c r="P223" s="9"/>
      <c r="Q223" s="7">
        <v>0</v>
      </c>
      <c r="R223" s="8">
        <f>IFERROR(Q223/Q444, "NA")</f>
        <v>0</v>
      </c>
      <c r="S223" s="9"/>
      <c r="T223" s="7">
        <v>0</v>
      </c>
      <c r="U223" s="8">
        <f>IFERROR(T223/T444, "NA")</f>
        <v>0</v>
      </c>
      <c r="V223" s="9"/>
      <c r="W223" s="10">
        <f t="shared" si="58"/>
        <v>0</v>
      </c>
      <c r="X223" s="8">
        <f>IFERROR(W223/W444, "NA")</f>
        <v>0</v>
      </c>
      <c r="Y223" s="9"/>
      <c r="Z223" s="7">
        <v>0</v>
      </c>
      <c r="AA223" s="8">
        <f>IFERROR(Z223/Z444, "NA")</f>
        <v>0</v>
      </c>
      <c r="AB223" s="9"/>
      <c r="AC223" s="10">
        <f t="shared" si="59"/>
        <v>0</v>
      </c>
      <c r="AD223" s="8">
        <f>IFERROR(AC223/AC444, "NA")</f>
        <v>0</v>
      </c>
    </row>
    <row r="224" spans="1:30" ht="16.5" hidden="1" customHeight="1" x14ac:dyDescent="0.45">
      <c r="A224" s="6" t="s">
        <v>204</v>
      </c>
      <c r="B224" s="7">
        <v>0</v>
      </c>
      <c r="C224" s="8">
        <f>IFERROR(B224/B444, "NA")</f>
        <v>0</v>
      </c>
      <c r="D224" s="9"/>
      <c r="E224" s="7">
        <v>0</v>
      </c>
      <c r="F224" s="8">
        <f>IFERROR(E224/E444, "NA")</f>
        <v>0</v>
      </c>
      <c r="G224" s="9"/>
      <c r="H224" s="10">
        <f t="shared" si="56"/>
        <v>0</v>
      </c>
      <c r="I224" s="8">
        <f>IFERROR(H224/H444, "NA")</f>
        <v>0</v>
      </c>
      <c r="J224" s="9"/>
      <c r="K224" s="7">
        <v>0</v>
      </c>
      <c r="L224" s="8">
        <f>IFERROR(K224/K444, "NA")</f>
        <v>0</v>
      </c>
      <c r="M224" s="9"/>
      <c r="N224" s="10">
        <f t="shared" si="57"/>
        <v>0</v>
      </c>
      <c r="O224" s="8">
        <f>IFERROR(N224/N444, "NA")</f>
        <v>0</v>
      </c>
      <c r="P224" s="9"/>
      <c r="Q224" s="7">
        <v>0</v>
      </c>
      <c r="R224" s="8">
        <f>IFERROR(Q224/Q444, "NA")</f>
        <v>0</v>
      </c>
      <c r="S224" s="9"/>
      <c r="T224" s="7">
        <v>0</v>
      </c>
      <c r="U224" s="8">
        <f>IFERROR(T224/T444, "NA")</f>
        <v>0</v>
      </c>
      <c r="V224" s="9"/>
      <c r="W224" s="10">
        <f t="shared" si="58"/>
        <v>0</v>
      </c>
      <c r="X224" s="8">
        <f>IFERROR(W224/W444, "NA")</f>
        <v>0</v>
      </c>
      <c r="Y224" s="9"/>
      <c r="Z224" s="7">
        <v>0</v>
      </c>
      <c r="AA224" s="8">
        <f>IFERROR(Z224/Z444, "NA")</f>
        <v>0</v>
      </c>
      <c r="AB224" s="9"/>
      <c r="AC224" s="10">
        <f t="shared" si="59"/>
        <v>0</v>
      </c>
      <c r="AD224" s="8">
        <f>IFERROR(AC224/AC444, "NA")</f>
        <v>0</v>
      </c>
    </row>
    <row r="225" spans="1:30" ht="16.5" hidden="1" customHeight="1" x14ac:dyDescent="0.45">
      <c r="A225" s="6" t="s">
        <v>205</v>
      </c>
      <c r="B225" s="7">
        <v>0</v>
      </c>
      <c r="C225" s="8">
        <f>IFERROR(B225/B444, "NA")</f>
        <v>0</v>
      </c>
      <c r="D225" s="9"/>
      <c r="E225" s="7">
        <v>0</v>
      </c>
      <c r="F225" s="8">
        <f>IFERROR(E225/E444, "NA")</f>
        <v>0</v>
      </c>
      <c r="G225" s="9"/>
      <c r="H225" s="10">
        <f t="shared" si="56"/>
        <v>0</v>
      </c>
      <c r="I225" s="8">
        <f>IFERROR(H225/H444, "NA")</f>
        <v>0</v>
      </c>
      <c r="J225" s="9"/>
      <c r="K225" s="7">
        <v>0</v>
      </c>
      <c r="L225" s="8">
        <f>IFERROR(K225/K444, "NA")</f>
        <v>0</v>
      </c>
      <c r="M225" s="9"/>
      <c r="N225" s="10">
        <f t="shared" si="57"/>
        <v>0</v>
      </c>
      <c r="O225" s="8">
        <f>IFERROR(N225/N444, "NA")</f>
        <v>0</v>
      </c>
      <c r="P225" s="9"/>
      <c r="Q225" s="7">
        <v>0</v>
      </c>
      <c r="R225" s="8">
        <f>IFERROR(Q225/Q444, "NA")</f>
        <v>0</v>
      </c>
      <c r="S225" s="9"/>
      <c r="T225" s="7">
        <v>0</v>
      </c>
      <c r="U225" s="8">
        <f>IFERROR(T225/T444, "NA")</f>
        <v>0</v>
      </c>
      <c r="V225" s="9"/>
      <c r="W225" s="10">
        <f t="shared" si="58"/>
        <v>0</v>
      </c>
      <c r="X225" s="8">
        <f>IFERROR(W225/W444, "NA")</f>
        <v>0</v>
      </c>
      <c r="Y225" s="9"/>
      <c r="Z225" s="7">
        <v>0</v>
      </c>
      <c r="AA225" s="8">
        <f>IFERROR(Z225/Z444, "NA")</f>
        <v>0</v>
      </c>
      <c r="AB225" s="9"/>
      <c r="AC225" s="10">
        <f t="shared" si="59"/>
        <v>0</v>
      </c>
      <c r="AD225" s="8">
        <f>IFERROR(AC225/AC444, "NA")</f>
        <v>0</v>
      </c>
    </row>
    <row r="226" spans="1:30" ht="16.5" hidden="1" customHeight="1" x14ac:dyDescent="0.45">
      <c r="A226" s="6" t="s">
        <v>206</v>
      </c>
      <c r="B226" s="7">
        <v>0</v>
      </c>
      <c r="C226" s="8">
        <f>IFERROR(B226/B444, "NA")</f>
        <v>0</v>
      </c>
      <c r="D226" s="9"/>
      <c r="E226" s="7">
        <v>0</v>
      </c>
      <c r="F226" s="8">
        <f>IFERROR(E226/E444, "NA")</f>
        <v>0</v>
      </c>
      <c r="G226" s="9"/>
      <c r="H226" s="10">
        <f t="shared" si="56"/>
        <v>0</v>
      </c>
      <c r="I226" s="8">
        <f>IFERROR(H226/H444, "NA")</f>
        <v>0</v>
      </c>
      <c r="J226" s="9"/>
      <c r="K226" s="7">
        <v>0</v>
      </c>
      <c r="L226" s="8">
        <f>IFERROR(K226/K444, "NA")</f>
        <v>0</v>
      </c>
      <c r="M226" s="9"/>
      <c r="N226" s="10">
        <f t="shared" si="57"/>
        <v>0</v>
      </c>
      <c r="O226" s="8">
        <f>IFERROR(N226/N444, "NA")</f>
        <v>0</v>
      </c>
      <c r="P226" s="9"/>
      <c r="Q226" s="7">
        <v>0</v>
      </c>
      <c r="R226" s="8">
        <f>IFERROR(Q226/Q444, "NA")</f>
        <v>0</v>
      </c>
      <c r="S226" s="9"/>
      <c r="T226" s="7">
        <v>0</v>
      </c>
      <c r="U226" s="8">
        <f>IFERROR(T226/T444, "NA")</f>
        <v>0</v>
      </c>
      <c r="V226" s="9"/>
      <c r="W226" s="10">
        <f t="shared" si="58"/>
        <v>0</v>
      </c>
      <c r="X226" s="8">
        <f>IFERROR(W226/W444, "NA")</f>
        <v>0</v>
      </c>
      <c r="Y226" s="9"/>
      <c r="Z226" s="7">
        <v>0</v>
      </c>
      <c r="AA226" s="8">
        <f>IFERROR(Z226/Z444, "NA")</f>
        <v>0</v>
      </c>
      <c r="AB226" s="9"/>
      <c r="AC226" s="10">
        <f t="shared" si="59"/>
        <v>0</v>
      </c>
      <c r="AD226" s="8">
        <f>IFERROR(AC226/AC444, "NA")</f>
        <v>0</v>
      </c>
    </row>
    <row r="227" spans="1:30" ht="16.5" customHeight="1" x14ac:dyDescent="0.45">
      <c r="A227" s="19" t="s">
        <v>207</v>
      </c>
      <c r="B227" s="14">
        <f>IFERROR(B211+B213+B214+B215+B216+B217+B219+B220+B221+B222+B223+B224+B225+B226, "NA")</f>
        <v>5352.24</v>
      </c>
      <c r="C227" s="15">
        <f>IFERROR(B227/B444, "NA")</f>
        <v>4.0842714068951493E-2</v>
      </c>
      <c r="D227" s="2"/>
      <c r="E227" s="14">
        <f>IFERROR(E211+E213+E214+E215+E216+E217+E219+E220+E221+E222+E223+E224+E225+E226, "NA")</f>
        <v>5502.39</v>
      </c>
      <c r="F227" s="15">
        <f>IFERROR(E227/E444, "NA")</f>
        <v>3.8703427205117776E-2</v>
      </c>
      <c r="G227" s="2"/>
      <c r="H227" s="14">
        <f t="shared" si="56"/>
        <v>150.15000000000055</v>
      </c>
      <c r="I227" s="15">
        <f>IFERROR(H227/H444, "NA")</f>
        <v>-1.3499213782054506E-2</v>
      </c>
      <c r="J227" s="2"/>
      <c r="K227" s="14">
        <f>IFERROR(K211+K213+K214+K215+K216+K217+K219+K220+K221+K222+K223+K224+K225+K226, "NA")</f>
        <v>7978.73</v>
      </c>
      <c r="L227" s="15">
        <f>IFERROR(K227/K444, "NA")</f>
        <v>5.7987881074815832E-2</v>
      </c>
      <c r="M227" s="2"/>
      <c r="N227" s="14">
        <f t="shared" si="57"/>
        <v>2626.49</v>
      </c>
      <c r="O227" s="15">
        <f>IFERROR(N227/N444, "NA")</f>
        <v>-0.40111944287481516</v>
      </c>
      <c r="P227" s="2"/>
      <c r="Q227" s="14">
        <f>IFERROR(Q211+Q213+Q214+Q215+Q216+Q217+Q219+Q220+Q221+Q222+Q223+Q224+Q225+Q226, "NA")</f>
        <v>5352.24</v>
      </c>
      <c r="R227" s="15">
        <f>IFERROR(Q227/Q444, "NA")</f>
        <v>4.0842714068951493E-2</v>
      </c>
      <c r="S227" s="2"/>
      <c r="T227" s="14">
        <f>IFERROR(T211+T213+T214+T215+T216+T217+T219+T220+T221+T222+T223+T224+T225+T226, "NA")</f>
        <v>5502.39</v>
      </c>
      <c r="U227" s="15">
        <f>IFERROR(T227/T444, "NA")</f>
        <v>3.8703427205117776E-2</v>
      </c>
      <c r="V227" s="2"/>
      <c r="W227" s="14">
        <f t="shared" si="58"/>
        <v>150.15000000000055</v>
      </c>
      <c r="X227" s="15">
        <f>IFERROR(W227/W444, "NA")</f>
        <v>-1.3499213782054506E-2</v>
      </c>
      <c r="Y227" s="2"/>
      <c r="Z227" s="14">
        <f>IFERROR(Z211+Z213+Z214+Z215+Z216+Z217+Z219+Z220+Z221+Z222+Z223+Z224+Z225+Z226, "NA")</f>
        <v>7978.73</v>
      </c>
      <c r="AA227" s="15">
        <f>IFERROR(Z227/Z444, "NA")</f>
        <v>5.7987881074815832E-2</v>
      </c>
      <c r="AB227" s="2"/>
      <c r="AC227" s="14">
        <f t="shared" si="59"/>
        <v>2626.49</v>
      </c>
      <c r="AD227" s="15">
        <f>IFERROR(AC227/AC444, "NA")</f>
        <v>-0.40111944287481516</v>
      </c>
    </row>
    <row r="228" spans="1:30" ht="16.5" customHeight="1" x14ac:dyDescent="0.45">
      <c r="A228" s="5" t="s">
        <v>208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45">
      <c r="A229" s="6" t="s">
        <v>208</v>
      </c>
      <c r="B229" s="7">
        <v>0</v>
      </c>
      <c r="C229" s="8">
        <f>IFERROR(B229/B444, "NA")</f>
        <v>0</v>
      </c>
      <c r="D229" s="9"/>
      <c r="E229" s="7">
        <v>3127.7</v>
      </c>
      <c r="F229" s="8">
        <f>IFERROR(E229/E444, "NA")</f>
        <v>2.2000023493326873E-2</v>
      </c>
      <c r="G229" s="9"/>
      <c r="H229" s="10">
        <f t="shared" ref="H229:H236" si="60">IFERROR(-(B229-E229), "NA")</f>
        <v>3127.7</v>
      </c>
      <c r="I229" s="8">
        <f>IFERROR(H229/H444, "NA")</f>
        <v>-0.28119541089664818</v>
      </c>
      <c r="J229" s="9"/>
      <c r="K229" s="7">
        <v>0</v>
      </c>
      <c r="L229" s="8">
        <f>IFERROR(K229/K444, "NA")</f>
        <v>0</v>
      </c>
      <c r="M229" s="9"/>
      <c r="N229" s="10">
        <f t="shared" ref="N229:N236" si="61">IFERROR(-(B229-K229), "NA")</f>
        <v>0</v>
      </c>
      <c r="O229" s="8">
        <f>IFERROR(N229/N444, "NA")</f>
        <v>0</v>
      </c>
      <c r="P229" s="9"/>
      <c r="Q229" s="7">
        <v>0</v>
      </c>
      <c r="R229" s="8">
        <f>IFERROR(Q229/Q444, "NA")</f>
        <v>0</v>
      </c>
      <c r="S229" s="9"/>
      <c r="T229" s="7">
        <v>3127.7</v>
      </c>
      <c r="U229" s="8">
        <f>IFERROR(T229/T444, "NA")</f>
        <v>2.2000023493326873E-2</v>
      </c>
      <c r="V229" s="9"/>
      <c r="W229" s="10">
        <f t="shared" ref="W229:W236" si="62">IFERROR(-(Q229-T229), "NA")</f>
        <v>3127.7</v>
      </c>
      <c r="X229" s="8">
        <f>IFERROR(W229/W444, "NA")</f>
        <v>-0.28119541089664818</v>
      </c>
      <c r="Y229" s="9"/>
      <c r="Z229" s="7">
        <v>0</v>
      </c>
      <c r="AA229" s="8">
        <f>IFERROR(Z229/Z444, "NA")</f>
        <v>0</v>
      </c>
      <c r="AB229" s="9"/>
      <c r="AC229" s="10">
        <f t="shared" ref="AC229:AC236" si="63">IFERROR(-(Q229-Z229), "NA")</f>
        <v>0</v>
      </c>
      <c r="AD229" s="8">
        <f>IFERROR(AC229/AC444, "NA")</f>
        <v>0</v>
      </c>
    </row>
    <row r="230" spans="1:30" ht="16.5" hidden="1" customHeight="1" x14ac:dyDescent="0.45">
      <c r="A230" s="6" t="s">
        <v>209</v>
      </c>
      <c r="B230" s="7">
        <v>0</v>
      </c>
      <c r="C230" s="8">
        <f>IFERROR(B230/B444, "NA")</f>
        <v>0</v>
      </c>
      <c r="D230" s="9"/>
      <c r="E230" s="7">
        <v>0</v>
      </c>
      <c r="F230" s="8">
        <f>IFERROR(E230/E444, "NA")</f>
        <v>0</v>
      </c>
      <c r="G230" s="9"/>
      <c r="H230" s="10">
        <f t="shared" si="60"/>
        <v>0</v>
      </c>
      <c r="I230" s="8">
        <f>IFERROR(H230/H444, "NA")</f>
        <v>0</v>
      </c>
      <c r="J230" s="9"/>
      <c r="K230" s="7">
        <v>0</v>
      </c>
      <c r="L230" s="8">
        <f>IFERROR(K230/K444, "NA")</f>
        <v>0</v>
      </c>
      <c r="M230" s="9"/>
      <c r="N230" s="10">
        <f t="shared" si="61"/>
        <v>0</v>
      </c>
      <c r="O230" s="8">
        <f>IFERROR(N230/N444, "NA")</f>
        <v>0</v>
      </c>
      <c r="P230" s="9"/>
      <c r="Q230" s="7">
        <v>0</v>
      </c>
      <c r="R230" s="8">
        <f>IFERROR(Q230/Q444, "NA")</f>
        <v>0</v>
      </c>
      <c r="S230" s="9"/>
      <c r="T230" s="7">
        <v>0</v>
      </c>
      <c r="U230" s="8">
        <f>IFERROR(T230/T444, "NA")</f>
        <v>0</v>
      </c>
      <c r="V230" s="9"/>
      <c r="W230" s="10">
        <f t="shared" si="62"/>
        <v>0</v>
      </c>
      <c r="X230" s="8">
        <f>IFERROR(W230/W444, "NA")</f>
        <v>0</v>
      </c>
      <c r="Y230" s="9"/>
      <c r="Z230" s="7">
        <v>0</v>
      </c>
      <c r="AA230" s="8">
        <f>IFERROR(Z230/Z444, "NA")</f>
        <v>0</v>
      </c>
      <c r="AB230" s="9"/>
      <c r="AC230" s="10">
        <f t="shared" si="63"/>
        <v>0</v>
      </c>
      <c r="AD230" s="8">
        <f>IFERROR(AC230/AC444, "NA")</f>
        <v>0</v>
      </c>
    </row>
    <row r="231" spans="1:30" ht="16.5" customHeight="1" x14ac:dyDescent="0.45">
      <c r="A231" s="6" t="s">
        <v>210</v>
      </c>
      <c r="B231" s="7">
        <v>0</v>
      </c>
      <c r="C231" s="8">
        <f>IFERROR(B231/B444, "NA")</f>
        <v>0</v>
      </c>
      <c r="D231" s="9"/>
      <c r="E231" s="7">
        <v>0</v>
      </c>
      <c r="F231" s="8">
        <f>IFERROR(E231/E444, "NA")</f>
        <v>0</v>
      </c>
      <c r="G231" s="9"/>
      <c r="H231" s="10">
        <f t="shared" si="60"/>
        <v>0</v>
      </c>
      <c r="I231" s="8">
        <f>IFERROR(H231/H444, "NA")</f>
        <v>0</v>
      </c>
      <c r="J231" s="9"/>
      <c r="K231" s="7">
        <v>333.71</v>
      </c>
      <c r="L231" s="8">
        <f>IFERROR(K231/K444, "NA")</f>
        <v>2.4253403478344039E-3</v>
      </c>
      <c r="M231" s="9"/>
      <c r="N231" s="10">
        <f t="shared" si="61"/>
        <v>333.71</v>
      </c>
      <c r="O231" s="8">
        <f>IFERROR(N231/N444, "NA")</f>
        <v>-5.096443134440054E-2</v>
      </c>
      <c r="P231" s="9"/>
      <c r="Q231" s="7">
        <v>0</v>
      </c>
      <c r="R231" s="8">
        <f>IFERROR(Q231/Q444, "NA")</f>
        <v>0</v>
      </c>
      <c r="S231" s="9"/>
      <c r="T231" s="7">
        <v>0</v>
      </c>
      <c r="U231" s="8">
        <f>IFERROR(T231/T444, "NA")</f>
        <v>0</v>
      </c>
      <c r="V231" s="9"/>
      <c r="W231" s="10">
        <f t="shared" si="62"/>
        <v>0</v>
      </c>
      <c r="X231" s="8">
        <f>IFERROR(W231/W444, "NA")</f>
        <v>0</v>
      </c>
      <c r="Y231" s="9"/>
      <c r="Z231" s="7">
        <v>333.71</v>
      </c>
      <c r="AA231" s="8">
        <f>IFERROR(Z231/Z444, "NA")</f>
        <v>2.4253403478344039E-3</v>
      </c>
      <c r="AB231" s="9"/>
      <c r="AC231" s="10">
        <f t="shared" si="63"/>
        <v>333.71</v>
      </c>
      <c r="AD231" s="8">
        <f>IFERROR(AC231/AC444, "NA")</f>
        <v>-5.096443134440054E-2</v>
      </c>
    </row>
    <row r="232" spans="1:30" ht="16.5" hidden="1" customHeight="1" x14ac:dyDescent="0.45">
      <c r="A232" s="6" t="s">
        <v>211</v>
      </c>
      <c r="B232" s="7">
        <v>0</v>
      </c>
      <c r="C232" s="8">
        <f>IFERROR(B232/B444, "NA")</f>
        <v>0</v>
      </c>
      <c r="D232" s="9"/>
      <c r="E232" s="7">
        <v>0</v>
      </c>
      <c r="F232" s="8">
        <f>IFERROR(E232/E444, "NA")</f>
        <v>0</v>
      </c>
      <c r="G232" s="9"/>
      <c r="H232" s="10">
        <f t="shared" si="60"/>
        <v>0</v>
      </c>
      <c r="I232" s="8">
        <f>IFERROR(H232/H444, "NA")</f>
        <v>0</v>
      </c>
      <c r="J232" s="9"/>
      <c r="K232" s="7">
        <v>0</v>
      </c>
      <c r="L232" s="8">
        <f>IFERROR(K232/K444, "NA")</f>
        <v>0</v>
      </c>
      <c r="M232" s="9"/>
      <c r="N232" s="10">
        <f t="shared" si="61"/>
        <v>0</v>
      </c>
      <c r="O232" s="8">
        <f>IFERROR(N232/N444, "NA")</f>
        <v>0</v>
      </c>
      <c r="P232" s="9"/>
      <c r="Q232" s="7">
        <v>0</v>
      </c>
      <c r="R232" s="8">
        <f>IFERROR(Q232/Q444, "NA")</f>
        <v>0</v>
      </c>
      <c r="S232" s="9"/>
      <c r="T232" s="7">
        <v>0</v>
      </c>
      <c r="U232" s="8">
        <f>IFERROR(T232/T444, "NA")</f>
        <v>0</v>
      </c>
      <c r="V232" s="9"/>
      <c r="W232" s="10">
        <f t="shared" si="62"/>
        <v>0</v>
      </c>
      <c r="X232" s="8">
        <f>IFERROR(W232/W444, "NA")</f>
        <v>0</v>
      </c>
      <c r="Y232" s="9"/>
      <c r="Z232" s="7">
        <v>0</v>
      </c>
      <c r="AA232" s="8">
        <f>IFERROR(Z232/Z444, "NA")</f>
        <v>0</v>
      </c>
      <c r="AB232" s="9"/>
      <c r="AC232" s="10">
        <f t="shared" si="63"/>
        <v>0</v>
      </c>
      <c r="AD232" s="8">
        <f>IFERROR(AC232/AC444, "NA")</f>
        <v>0</v>
      </c>
    </row>
    <row r="233" spans="1:30" ht="16.5" customHeight="1" x14ac:dyDescent="0.45">
      <c r="A233" s="6" t="s">
        <v>212</v>
      </c>
      <c r="B233" s="7">
        <v>217.78</v>
      </c>
      <c r="C233" s="8">
        <f>IFERROR(B233/B444, "NA")</f>
        <v>1.661869847005414E-3</v>
      </c>
      <c r="D233" s="9"/>
      <c r="E233" s="7">
        <v>0</v>
      </c>
      <c r="F233" s="8">
        <f>IFERROR(E233/E444, "NA")</f>
        <v>0</v>
      </c>
      <c r="G233" s="9"/>
      <c r="H233" s="10">
        <f t="shared" si="60"/>
        <v>-217.78</v>
      </c>
      <c r="I233" s="8">
        <f>IFERROR(H233/H444, "NA")</f>
        <v>1.9579479037334795E-2</v>
      </c>
      <c r="J233" s="9"/>
      <c r="K233" s="7">
        <v>0</v>
      </c>
      <c r="L233" s="8">
        <f>IFERROR(K233/K444, "NA")</f>
        <v>0</v>
      </c>
      <c r="M233" s="9"/>
      <c r="N233" s="10">
        <f t="shared" si="61"/>
        <v>-217.78</v>
      </c>
      <c r="O233" s="8">
        <f>IFERROR(N233/N444, "NA")</f>
        <v>3.3259518318850351E-2</v>
      </c>
      <c r="P233" s="9"/>
      <c r="Q233" s="7">
        <v>217.78</v>
      </c>
      <c r="R233" s="8">
        <f>IFERROR(Q233/Q444, "NA")</f>
        <v>1.661869847005414E-3</v>
      </c>
      <c r="S233" s="9"/>
      <c r="T233" s="7">
        <v>0</v>
      </c>
      <c r="U233" s="8">
        <f>IFERROR(T233/T444, "NA")</f>
        <v>0</v>
      </c>
      <c r="V233" s="9"/>
      <c r="W233" s="10">
        <f t="shared" si="62"/>
        <v>-217.78</v>
      </c>
      <c r="X233" s="8">
        <f>IFERROR(W233/W444, "NA")</f>
        <v>1.9579479037334795E-2</v>
      </c>
      <c r="Y233" s="9"/>
      <c r="Z233" s="7">
        <v>0</v>
      </c>
      <c r="AA233" s="8">
        <f>IFERROR(Z233/Z444, "NA")</f>
        <v>0</v>
      </c>
      <c r="AB233" s="9"/>
      <c r="AC233" s="10">
        <f t="shared" si="63"/>
        <v>-217.78</v>
      </c>
      <c r="AD233" s="8">
        <f>IFERROR(AC233/AC444, "NA")</f>
        <v>3.3259518318850351E-2</v>
      </c>
    </row>
    <row r="234" spans="1:30" ht="16.5" customHeight="1" x14ac:dyDescent="0.45">
      <c r="A234" s="6" t="s">
        <v>213</v>
      </c>
      <c r="B234" s="7">
        <v>2655.78</v>
      </c>
      <c r="C234" s="8">
        <f>IFERROR(B234/B444, "NA")</f>
        <v>2.0266143366149503E-2</v>
      </c>
      <c r="D234" s="9"/>
      <c r="E234" s="7">
        <v>0</v>
      </c>
      <c r="F234" s="8">
        <f>IFERROR(E234/E444, "NA")</f>
        <v>0</v>
      </c>
      <c r="G234" s="9"/>
      <c r="H234" s="10">
        <f t="shared" si="60"/>
        <v>-2655.78</v>
      </c>
      <c r="I234" s="8">
        <f>IFERROR(H234/H444, "NA")</f>
        <v>0.23876751234168891</v>
      </c>
      <c r="J234" s="9"/>
      <c r="K234" s="7">
        <v>2506.92</v>
      </c>
      <c r="L234" s="8">
        <f>IFERROR(K234/K444, "NA")</f>
        <v>1.8219814284237884E-2</v>
      </c>
      <c r="M234" s="9"/>
      <c r="N234" s="10">
        <f t="shared" si="61"/>
        <v>-148.86000000000013</v>
      </c>
      <c r="O234" s="8">
        <f>IFERROR(N234/N444, "NA")</f>
        <v>2.2734006322637831E-2</v>
      </c>
      <c r="P234" s="9"/>
      <c r="Q234" s="7">
        <v>2655.78</v>
      </c>
      <c r="R234" s="8">
        <f>IFERROR(Q234/Q444, "NA")</f>
        <v>2.0266143366149503E-2</v>
      </c>
      <c r="S234" s="9"/>
      <c r="T234" s="7">
        <v>0</v>
      </c>
      <c r="U234" s="8">
        <f>IFERROR(T234/T444, "NA")</f>
        <v>0</v>
      </c>
      <c r="V234" s="9"/>
      <c r="W234" s="10">
        <f t="shared" si="62"/>
        <v>-2655.78</v>
      </c>
      <c r="X234" s="8">
        <f>IFERROR(W234/W444, "NA")</f>
        <v>0.23876751234168891</v>
      </c>
      <c r="Y234" s="9"/>
      <c r="Z234" s="7">
        <v>2506.92</v>
      </c>
      <c r="AA234" s="8">
        <f>IFERROR(Z234/Z444, "NA")</f>
        <v>1.8219814284237884E-2</v>
      </c>
      <c r="AB234" s="9"/>
      <c r="AC234" s="10">
        <f t="shared" si="63"/>
        <v>-148.86000000000013</v>
      </c>
      <c r="AD234" s="8">
        <f>IFERROR(AC234/AC444, "NA")</f>
        <v>2.2734006322637831E-2</v>
      </c>
    </row>
    <row r="235" spans="1:30" ht="16.5" customHeight="1" x14ac:dyDescent="0.45">
      <c r="A235" s="6" t="s">
        <v>214</v>
      </c>
      <c r="B235" s="7">
        <v>16.39</v>
      </c>
      <c r="C235" s="8">
        <f>IFERROR(B235/B444, "NA")</f>
        <v>1.2507138760409008E-4</v>
      </c>
      <c r="D235" s="9"/>
      <c r="E235" s="7">
        <v>0</v>
      </c>
      <c r="F235" s="8">
        <f>IFERROR(E235/E444, "NA")</f>
        <v>0</v>
      </c>
      <c r="G235" s="9"/>
      <c r="H235" s="10">
        <f t="shared" si="60"/>
        <v>-16.39</v>
      </c>
      <c r="I235" s="8">
        <f>IFERROR(H235/H444, "NA")</f>
        <v>1.4735405520337832E-3</v>
      </c>
      <c r="J235" s="9"/>
      <c r="K235" s="7">
        <v>0</v>
      </c>
      <c r="L235" s="8">
        <f>IFERROR(K235/K444, "NA")</f>
        <v>0</v>
      </c>
      <c r="M235" s="9"/>
      <c r="N235" s="10">
        <f t="shared" si="61"/>
        <v>-16.39</v>
      </c>
      <c r="O235" s="8">
        <f>IFERROR(N235/N444, "NA")</f>
        <v>2.5030925945723078E-3</v>
      </c>
      <c r="P235" s="9"/>
      <c r="Q235" s="7">
        <v>16.39</v>
      </c>
      <c r="R235" s="8">
        <f>IFERROR(Q235/Q444, "NA")</f>
        <v>1.2507138760409008E-4</v>
      </c>
      <c r="S235" s="9"/>
      <c r="T235" s="7">
        <v>0</v>
      </c>
      <c r="U235" s="8">
        <f>IFERROR(T235/T444, "NA")</f>
        <v>0</v>
      </c>
      <c r="V235" s="9"/>
      <c r="W235" s="10">
        <f t="shared" si="62"/>
        <v>-16.39</v>
      </c>
      <c r="X235" s="8">
        <f>IFERROR(W235/W444, "NA")</f>
        <v>1.4735405520337832E-3</v>
      </c>
      <c r="Y235" s="9"/>
      <c r="Z235" s="7">
        <v>0</v>
      </c>
      <c r="AA235" s="8">
        <f>IFERROR(Z235/Z444, "NA")</f>
        <v>0</v>
      </c>
      <c r="AB235" s="9"/>
      <c r="AC235" s="10">
        <f t="shared" si="63"/>
        <v>-16.39</v>
      </c>
      <c r="AD235" s="8">
        <f>IFERROR(AC235/AC444, "NA")</f>
        <v>2.5030925945723078E-3</v>
      </c>
    </row>
    <row r="236" spans="1:30" ht="16.5" customHeight="1" x14ac:dyDescent="0.45">
      <c r="A236" s="19" t="s">
        <v>215</v>
      </c>
      <c r="B236" s="14">
        <f>IFERROR(B229+B230+B231+B232+B233+B234+B235, "NA")</f>
        <v>2889.9500000000003</v>
      </c>
      <c r="C236" s="15">
        <f>IFERROR(B236/B444, "NA")</f>
        <v>2.2053084600759006E-2</v>
      </c>
      <c r="D236" s="2"/>
      <c r="E236" s="14">
        <f>IFERROR(E229+E230+E231+E232+E233+E234+E235, "NA")</f>
        <v>3127.7</v>
      </c>
      <c r="F236" s="15">
        <f>IFERROR(E236/E444, "NA")</f>
        <v>2.2000023493326873E-2</v>
      </c>
      <c r="G236" s="2"/>
      <c r="H236" s="14">
        <f t="shared" si="60"/>
        <v>237.74999999999955</v>
      </c>
      <c r="I236" s="15">
        <f>IFERROR(H236/H444, "NA")</f>
        <v>-2.1374878965590684E-2</v>
      </c>
      <c r="J236" s="2"/>
      <c r="K236" s="14">
        <f>IFERROR(K229+K230+K231+K232+K233+K234+K235, "NA")</f>
        <v>2840.63</v>
      </c>
      <c r="L236" s="15">
        <f>IFERROR(K236/K444, "NA")</f>
        <v>2.0645154632072286E-2</v>
      </c>
      <c r="M236" s="2"/>
      <c r="N236" s="14">
        <f t="shared" si="61"/>
        <v>-49.320000000000164</v>
      </c>
      <c r="O236" s="15">
        <f>IFERROR(N236/N444, "NA")</f>
        <v>7.5321858916599536E-3</v>
      </c>
      <c r="P236" s="2"/>
      <c r="Q236" s="14">
        <f>IFERROR(Q229+Q230+Q231+Q232+Q233+Q234+Q235, "NA")</f>
        <v>2889.9500000000003</v>
      </c>
      <c r="R236" s="15">
        <f>IFERROR(Q236/Q444, "NA")</f>
        <v>2.2053084600759006E-2</v>
      </c>
      <c r="S236" s="2"/>
      <c r="T236" s="14">
        <f>IFERROR(T229+T230+T231+T232+T233+T234+T235, "NA")</f>
        <v>3127.7</v>
      </c>
      <c r="U236" s="15">
        <f>IFERROR(T236/T444, "NA")</f>
        <v>2.2000023493326873E-2</v>
      </c>
      <c r="V236" s="2"/>
      <c r="W236" s="14">
        <f t="shared" si="62"/>
        <v>237.74999999999955</v>
      </c>
      <c r="X236" s="15">
        <f>IFERROR(W236/W444, "NA")</f>
        <v>-2.1374878965590684E-2</v>
      </c>
      <c r="Y236" s="2"/>
      <c r="Z236" s="14">
        <f>IFERROR(Z229+Z230+Z231+Z232+Z233+Z234+Z235, "NA")</f>
        <v>2840.63</v>
      </c>
      <c r="AA236" s="15">
        <f>IFERROR(Z236/Z444, "NA")</f>
        <v>2.0645154632072286E-2</v>
      </c>
      <c r="AB236" s="2"/>
      <c r="AC236" s="14">
        <f t="shared" si="63"/>
        <v>-49.320000000000164</v>
      </c>
      <c r="AD236" s="15">
        <f>IFERROR(AC236/AC444, "NA")</f>
        <v>7.5321858916599536E-3</v>
      </c>
    </row>
    <row r="237" spans="1:30" ht="16.5" customHeight="1" x14ac:dyDescent="0.45">
      <c r="A237" s="5" t="s">
        <v>216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45">
      <c r="A238" s="6" t="s">
        <v>216</v>
      </c>
      <c r="B238" s="7">
        <v>0</v>
      </c>
      <c r="C238" s="8">
        <f>IFERROR(B238/B444, "NA")</f>
        <v>0</v>
      </c>
      <c r="D238" s="9"/>
      <c r="E238" s="7">
        <v>0</v>
      </c>
      <c r="F238" s="8">
        <f>IFERROR(E238/E444, "NA")</f>
        <v>0</v>
      </c>
      <c r="G238" s="9"/>
      <c r="H238" s="10">
        <f>IFERROR(-(B238-E238), "NA")</f>
        <v>0</v>
      </c>
      <c r="I238" s="8">
        <f>IFERROR(H238/H444, "NA")</f>
        <v>0</v>
      </c>
      <c r="J238" s="9"/>
      <c r="K238" s="7">
        <v>0</v>
      </c>
      <c r="L238" s="8">
        <f>IFERROR(K238/K444, "NA")</f>
        <v>0</v>
      </c>
      <c r="M238" s="9"/>
      <c r="N238" s="10">
        <f>IFERROR(-(B238-K238), "NA")</f>
        <v>0</v>
      </c>
      <c r="O238" s="8">
        <f>IFERROR(N238/N444, "NA")</f>
        <v>0</v>
      </c>
      <c r="P238" s="9"/>
      <c r="Q238" s="7">
        <v>0</v>
      </c>
      <c r="R238" s="8">
        <f>IFERROR(Q238/Q444, "NA")</f>
        <v>0</v>
      </c>
      <c r="S238" s="9"/>
      <c r="T238" s="7">
        <v>0</v>
      </c>
      <c r="U238" s="8">
        <f>IFERROR(T238/T444, "NA")</f>
        <v>0</v>
      </c>
      <c r="V238" s="9"/>
      <c r="W238" s="10">
        <f>IFERROR(-(Q238-T238), "NA")</f>
        <v>0</v>
      </c>
      <c r="X238" s="8">
        <f>IFERROR(W238/W444, "NA")</f>
        <v>0</v>
      </c>
      <c r="Y238" s="9"/>
      <c r="Z238" s="7">
        <v>0</v>
      </c>
      <c r="AA238" s="8">
        <f>IFERROR(Z238/Z444, "NA")</f>
        <v>0</v>
      </c>
      <c r="AB238" s="9"/>
      <c r="AC238" s="10">
        <f>IFERROR(-(Q238-Z238), "NA")</f>
        <v>0</v>
      </c>
      <c r="AD238" s="8">
        <f>IFERROR(AC238/AC444, "NA")</f>
        <v>0</v>
      </c>
    </row>
    <row r="239" spans="1:30" ht="16.5" customHeight="1" x14ac:dyDescent="0.45">
      <c r="A239" s="11" t="s">
        <v>217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45">
      <c r="A240" s="12" t="s">
        <v>217</v>
      </c>
      <c r="B240" s="7">
        <v>0</v>
      </c>
      <c r="C240" s="8">
        <f>IFERROR(B240/B444, "NA")</f>
        <v>0</v>
      </c>
      <c r="D240" s="9"/>
      <c r="E240" s="7">
        <v>12084.28</v>
      </c>
      <c r="F240" s="8">
        <f>IFERROR(E240/E444, "NA")</f>
        <v>8.4999982063477988E-2</v>
      </c>
      <c r="G240" s="9"/>
      <c r="H240" s="10">
        <f t="shared" ref="H240:H263" si="64">IFERROR(-(B240-E240), "NA")</f>
        <v>12084.28</v>
      </c>
      <c r="I240" s="8">
        <f>IFERROR(H240/H444, "NA")</f>
        <v>-1.0864354253893109</v>
      </c>
      <c r="J240" s="9"/>
      <c r="K240" s="7">
        <v>0</v>
      </c>
      <c r="L240" s="8">
        <f>IFERROR(K240/K444, "NA")</f>
        <v>0</v>
      </c>
      <c r="M240" s="9"/>
      <c r="N240" s="10">
        <f t="shared" ref="N240:N263" si="65">IFERROR(-(B240-K240), "NA")</f>
        <v>0</v>
      </c>
      <c r="O240" s="8">
        <f>IFERROR(N240/N444, "NA")</f>
        <v>0</v>
      </c>
      <c r="P240" s="9"/>
      <c r="Q240" s="7">
        <v>0</v>
      </c>
      <c r="R240" s="8">
        <f>IFERROR(Q240/Q444, "NA")</f>
        <v>0</v>
      </c>
      <c r="S240" s="9"/>
      <c r="T240" s="7">
        <v>12084.28</v>
      </c>
      <c r="U240" s="8">
        <f>IFERROR(T240/T444, "NA")</f>
        <v>8.4999982063477988E-2</v>
      </c>
      <c r="V240" s="9"/>
      <c r="W240" s="10">
        <f t="shared" ref="W240:W263" si="66">IFERROR(-(Q240-T240), "NA")</f>
        <v>12084.28</v>
      </c>
      <c r="X240" s="8">
        <f>IFERROR(W240/W444, "NA")</f>
        <v>-1.0864354253893109</v>
      </c>
      <c r="Y240" s="9"/>
      <c r="Z240" s="7">
        <v>0</v>
      </c>
      <c r="AA240" s="8">
        <f>IFERROR(Z240/Z444, "NA")</f>
        <v>0</v>
      </c>
      <c r="AB240" s="9"/>
      <c r="AC240" s="10">
        <f t="shared" ref="AC240:AC263" si="67">IFERROR(-(Q240-Z240), "NA")</f>
        <v>0</v>
      </c>
      <c r="AD240" s="8">
        <f>IFERROR(AC240/AC444, "NA")</f>
        <v>0</v>
      </c>
    </row>
    <row r="241" spans="1:30" ht="16.5" hidden="1" customHeight="1" x14ac:dyDescent="0.45">
      <c r="A241" s="12" t="s">
        <v>218</v>
      </c>
      <c r="B241" s="7">
        <v>0</v>
      </c>
      <c r="C241" s="8">
        <f>IFERROR(B241/B444, "NA")</f>
        <v>0</v>
      </c>
      <c r="D241" s="9"/>
      <c r="E241" s="7">
        <v>0</v>
      </c>
      <c r="F241" s="8">
        <f>IFERROR(E241/E444, "NA")</f>
        <v>0</v>
      </c>
      <c r="G241" s="9"/>
      <c r="H241" s="10">
        <f t="shared" si="64"/>
        <v>0</v>
      </c>
      <c r="I241" s="8">
        <f>IFERROR(H241/H444, "NA")</f>
        <v>0</v>
      </c>
      <c r="J241" s="9"/>
      <c r="K241" s="7">
        <v>0</v>
      </c>
      <c r="L241" s="8">
        <f>IFERROR(K241/K444, "NA")</f>
        <v>0</v>
      </c>
      <c r="M241" s="9"/>
      <c r="N241" s="10">
        <f t="shared" si="65"/>
        <v>0</v>
      </c>
      <c r="O241" s="8">
        <f>IFERROR(N241/N444, "NA")</f>
        <v>0</v>
      </c>
      <c r="P241" s="9"/>
      <c r="Q241" s="7">
        <v>0</v>
      </c>
      <c r="R241" s="8">
        <f>IFERROR(Q241/Q444, "NA")</f>
        <v>0</v>
      </c>
      <c r="S241" s="9"/>
      <c r="T241" s="7">
        <v>0</v>
      </c>
      <c r="U241" s="8">
        <f>IFERROR(T241/T444, "NA")</f>
        <v>0</v>
      </c>
      <c r="V241" s="9"/>
      <c r="W241" s="10">
        <f t="shared" si="66"/>
        <v>0</v>
      </c>
      <c r="X241" s="8">
        <f>IFERROR(W241/W444, "NA")</f>
        <v>0</v>
      </c>
      <c r="Y241" s="9"/>
      <c r="Z241" s="7">
        <v>0</v>
      </c>
      <c r="AA241" s="8">
        <f>IFERROR(Z241/Z444, "NA")</f>
        <v>0</v>
      </c>
      <c r="AB241" s="9"/>
      <c r="AC241" s="10">
        <f t="shared" si="67"/>
        <v>0</v>
      </c>
      <c r="AD241" s="8">
        <f>IFERROR(AC241/AC444, "NA")</f>
        <v>0</v>
      </c>
    </row>
    <row r="242" spans="1:30" ht="16.5" customHeight="1" x14ac:dyDescent="0.45">
      <c r="A242" s="12" t="s">
        <v>219</v>
      </c>
      <c r="B242" s="7">
        <v>2718</v>
      </c>
      <c r="C242" s="8">
        <f>IFERROR(B242/B444, "NA")</f>
        <v>2.0740941519702061E-2</v>
      </c>
      <c r="D242" s="9"/>
      <c r="E242" s="7">
        <v>0</v>
      </c>
      <c r="F242" s="8">
        <f>IFERROR(E242/E444, "NA")</f>
        <v>0</v>
      </c>
      <c r="G242" s="9"/>
      <c r="H242" s="10">
        <f t="shared" si="64"/>
        <v>-2718</v>
      </c>
      <c r="I242" s="8">
        <f>IFERROR(H242/H444, "NA")</f>
        <v>0.24436139233848828</v>
      </c>
      <c r="J242" s="9"/>
      <c r="K242" s="7">
        <v>2296.36</v>
      </c>
      <c r="L242" s="8">
        <f>IFERROR(K242/K444, "NA")</f>
        <v>1.668950454332508E-2</v>
      </c>
      <c r="M242" s="9"/>
      <c r="N242" s="10">
        <f t="shared" si="65"/>
        <v>-421.63999999999987</v>
      </c>
      <c r="O242" s="8">
        <f>IFERROR(N242/N444, "NA")</f>
        <v>6.4393164220589841E-2</v>
      </c>
      <c r="P242" s="9"/>
      <c r="Q242" s="7">
        <v>2718</v>
      </c>
      <c r="R242" s="8">
        <f>IFERROR(Q242/Q444, "NA")</f>
        <v>2.0740941519702061E-2</v>
      </c>
      <c r="S242" s="9"/>
      <c r="T242" s="7">
        <v>0</v>
      </c>
      <c r="U242" s="8">
        <f>IFERROR(T242/T444, "NA")</f>
        <v>0</v>
      </c>
      <c r="V242" s="9"/>
      <c r="W242" s="10">
        <f t="shared" si="66"/>
        <v>-2718</v>
      </c>
      <c r="X242" s="8">
        <f>IFERROR(W242/W444, "NA")</f>
        <v>0.24436139233848828</v>
      </c>
      <c r="Y242" s="9"/>
      <c r="Z242" s="7">
        <v>2296.36</v>
      </c>
      <c r="AA242" s="8">
        <f>IFERROR(Z242/Z444, "NA")</f>
        <v>1.668950454332508E-2</v>
      </c>
      <c r="AB242" s="9"/>
      <c r="AC242" s="10">
        <f t="shared" si="67"/>
        <v>-421.63999999999987</v>
      </c>
      <c r="AD242" s="8">
        <f>IFERROR(AC242/AC444, "NA")</f>
        <v>6.4393164220589841E-2</v>
      </c>
    </row>
    <row r="243" spans="1:30" ht="16.5" customHeight="1" x14ac:dyDescent="0.45">
      <c r="A243" s="12" t="s">
        <v>220</v>
      </c>
      <c r="B243" s="7">
        <v>4321.22</v>
      </c>
      <c r="C243" s="8">
        <f>IFERROR(B243/B444, "NA")</f>
        <v>3.2975044633468342E-2</v>
      </c>
      <c r="D243" s="9"/>
      <c r="E243" s="7">
        <v>0</v>
      </c>
      <c r="F243" s="8">
        <f>IFERROR(E243/E444, "NA")</f>
        <v>0</v>
      </c>
      <c r="G243" s="9"/>
      <c r="H243" s="10">
        <f t="shared" si="64"/>
        <v>-4321.22</v>
      </c>
      <c r="I243" s="8">
        <f>IFERROR(H243/H444, "NA")</f>
        <v>0.38849865187671906</v>
      </c>
      <c r="J243" s="9"/>
      <c r="K243" s="7">
        <v>5749.58</v>
      </c>
      <c r="L243" s="8">
        <f>IFERROR(K243/K444, "NA")</f>
        <v>4.1786845935398192E-2</v>
      </c>
      <c r="M243" s="9"/>
      <c r="N243" s="10">
        <f t="shared" si="65"/>
        <v>1428.3599999999997</v>
      </c>
      <c r="O243" s="8">
        <f>IFERROR(N243/N444, "NA")</f>
        <v>-0.21814016707646741</v>
      </c>
      <c r="P243" s="9"/>
      <c r="Q243" s="7">
        <v>4321.22</v>
      </c>
      <c r="R243" s="8">
        <f>IFERROR(Q243/Q444, "NA")</f>
        <v>3.2975044633468342E-2</v>
      </c>
      <c r="S243" s="9"/>
      <c r="T243" s="7">
        <v>0</v>
      </c>
      <c r="U243" s="8">
        <f>IFERROR(T243/T444, "NA")</f>
        <v>0</v>
      </c>
      <c r="V243" s="9"/>
      <c r="W243" s="10">
        <f t="shared" si="66"/>
        <v>-4321.22</v>
      </c>
      <c r="X243" s="8">
        <f>IFERROR(W243/W444, "NA")</f>
        <v>0.38849865187671906</v>
      </c>
      <c r="Y243" s="9"/>
      <c r="Z243" s="7">
        <v>5749.58</v>
      </c>
      <c r="AA243" s="8">
        <f>IFERROR(Z243/Z444, "NA")</f>
        <v>4.1786845935398192E-2</v>
      </c>
      <c r="AB243" s="9"/>
      <c r="AC243" s="10">
        <f t="shared" si="67"/>
        <v>1428.3599999999997</v>
      </c>
      <c r="AD243" s="8">
        <f>IFERROR(AC243/AC444, "NA")</f>
        <v>-0.21814016707646741</v>
      </c>
    </row>
    <row r="244" spans="1:30" ht="16.5" customHeight="1" x14ac:dyDescent="0.45">
      <c r="A244" s="12" t="s">
        <v>221</v>
      </c>
      <c r="B244" s="7">
        <v>317.63</v>
      </c>
      <c r="C244" s="8">
        <f>IFERROR(B244/B444, "NA")</f>
        <v>2.4238209179186778E-3</v>
      </c>
      <c r="D244" s="9"/>
      <c r="E244" s="7">
        <v>0</v>
      </c>
      <c r="F244" s="8">
        <f>IFERROR(E244/E444, "NA")</f>
        <v>0</v>
      </c>
      <c r="G244" s="9"/>
      <c r="H244" s="10">
        <f t="shared" si="64"/>
        <v>-317.63</v>
      </c>
      <c r="I244" s="8">
        <f>IFERROR(H244/H444, "NA")</f>
        <v>2.8556478678614435E-2</v>
      </c>
      <c r="J244" s="9"/>
      <c r="K244" s="7">
        <v>0</v>
      </c>
      <c r="L244" s="8">
        <f>IFERROR(K244/K444, "NA")</f>
        <v>0</v>
      </c>
      <c r="M244" s="9"/>
      <c r="N244" s="10">
        <f t="shared" si="65"/>
        <v>-317.63</v>
      </c>
      <c r="O244" s="8">
        <f>IFERROR(N244/N444, "NA")</f>
        <v>4.850868217291044E-2</v>
      </c>
      <c r="P244" s="9"/>
      <c r="Q244" s="7">
        <v>317.63</v>
      </c>
      <c r="R244" s="8">
        <f>IFERROR(Q244/Q444, "NA")</f>
        <v>2.4238209179186778E-3</v>
      </c>
      <c r="S244" s="9"/>
      <c r="T244" s="7">
        <v>0</v>
      </c>
      <c r="U244" s="8">
        <f>IFERROR(T244/T444, "NA")</f>
        <v>0</v>
      </c>
      <c r="V244" s="9"/>
      <c r="W244" s="10">
        <f t="shared" si="66"/>
        <v>-317.63</v>
      </c>
      <c r="X244" s="8">
        <f>IFERROR(W244/W444, "NA")</f>
        <v>2.8556478678614435E-2</v>
      </c>
      <c r="Y244" s="9"/>
      <c r="Z244" s="7">
        <v>0</v>
      </c>
      <c r="AA244" s="8">
        <f>IFERROR(Z244/Z444, "NA")</f>
        <v>0</v>
      </c>
      <c r="AB244" s="9"/>
      <c r="AC244" s="10">
        <f t="shared" si="67"/>
        <v>-317.63</v>
      </c>
      <c r="AD244" s="8">
        <f>IFERROR(AC244/AC444, "NA")</f>
        <v>4.850868217291044E-2</v>
      </c>
    </row>
    <row r="245" spans="1:30" ht="16.5" hidden="1" customHeight="1" x14ac:dyDescent="0.45">
      <c r="A245" s="12" t="s">
        <v>222</v>
      </c>
      <c r="B245" s="7">
        <v>0</v>
      </c>
      <c r="C245" s="8">
        <f>IFERROR(B245/B444, "NA")</f>
        <v>0</v>
      </c>
      <c r="D245" s="9"/>
      <c r="E245" s="7">
        <v>0</v>
      </c>
      <c r="F245" s="8">
        <f>IFERROR(E245/E444, "NA")</f>
        <v>0</v>
      </c>
      <c r="G245" s="9"/>
      <c r="H245" s="10">
        <f t="shared" si="64"/>
        <v>0</v>
      </c>
      <c r="I245" s="8">
        <f>IFERROR(H245/H444, "NA")</f>
        <v>0</v>
      </c>
      <c r="J245" s="9"/>
      <c r="K245" s="7">
        <v>0</v>
      </c>
      <c r="L245" s="8">
        <f>IFERROR(K245/K444, "NA")</f>
        <v>0</v>
      </c>
      <c r="M245" s="9"/>
      <c r="N245" s="10">
        <f t="shared" si="65"/>
        <v>0</v>
      </c>
      <c r="O245" s="8">
        <f>IFERROR(N245/N444, "NA")</f>
        <v>0</v>
      </c>
      <c r="P245" s="9"/>
      <c r="Q245" s="7">
        <v>0</v>
      </c>
      <c r="R245" s="8">
        <f>IFERROR(Q245/Q444, "NA")</f>
        <v>0</v>
      </c>
      <c r="S245" s="9"/>
      <c r="T245" s="7">
        <v>0</v>
      </c>
      <c r="U245" s="8">
        <f>IFERROR(T245/T444, "NA")</f>
        <v>0</v>
      </c>
      <c r="V245" s="9"/>
      <c r="W245" s="10">
        <f t="shared" si="66"/>
        <v>0</v>
      </c>
      <c r="X245" s="8">
        <f>IFERROR(W245/W444, "NA")</f>
        <v>0</v>
      </c>
      <c r="Y245" s="9"/>
      <c r="Z245" s="7">
        <v>0</v>
      </c>
      <c r="AA245" s="8">
        <f>IFERROR(Z245/Z444, "NA")</f>
        <v>0</v>
      </c>
      <c r="AB245" s="9"/>
      <c r="AC245" s="10">
        <f t="shared" si="67"/>
        <v>0</v>
      </c>
      <c r="AD245" s="8">
        <f>IFERROR(AC245/AC444, "NA")</f>
        <v>0</v>
      </c>
    </row>
    <row r="246" spans="1:30" ht="16.5" customHeight="1" x14ac:dyDescent="0.45">
      <c r="A246" s="12" t="s">
        <v>223</v>
      </c>
      <c r="B246" s="7">
        <v>225.07</v>
      </c>
      <c r="C246" s="8">
        <f>IFERROR(B246/B444, "NA")</f>
        <v>1.7174995245913698E-3</v>
      </c>
      <c r="D246" s="9"/>
      <c r="E246" s="7">
        <v>0</v>
      </c>
      <c r="F246" s="8">
        <f>IFERROR(E246/E444, "NA")</f>
        <v>0</v>
      </c>
      <c r="G246" s="9"/>
      <c r="H246" s="10">
        <f t="shared" si="64"/>
        <v>-225.07</v>
      </c>
      <c r="I246" s="8">
        <f>IFERROR(H246/H444, "NA")</f>
        <v>2.0234885420759217E-2</v>
      </c>
      <c r="J246" s="9"/>
      <c r="K246" s="7">
        <v>262.47000000000003</v>
      </c>
      <c r="L246" s="8">
        <f>IFERROR(K246/K444, "NA")</f>
        <v>1.9075816759944145E-3</v>
      </c>
      <c r="M246" s="9"/>
      <c r="N246" s="10">
        <f t="shared" si="65"/>
        <v>37.400000000000034</v>
      </c>
      <c r="O246" s="8">
        <f>IFERROR(N246/N444, "NA")</f>
        <v>-5.7117549137891644E-3</v>
      </c>
      <c r="P246" s="9"/>
      <c r="Q246" s="7">
        <v>225.07</v>
      </c>
      <c r="R246" s="8">
        <f>IFERROR(Q246/Q444, "NA")</f>
        <v>1.7174995245913698E-3</v>
      </c>
      <c r="S246" s="9"/>
      <c r="T246" s="7">
        <v>0</v>
      </c>
      <c r="U246" s="8">
        <f>IFERROR(T246/T444, "NA")</f>
        <v>0</v>
      </c>
      <c r="V246" s="9"/>
      <c r="W246" s="10">
        <f t="shared" si="66"/>
        <v>-225.07</v>
      </c>
      <c r="X246" s="8">
        <f>IFERROR(W246/W444, "NA")</f>
        <v>2.0234885420759217E-2</v>
      </c>
      <c r="Y246" s="9"/>
      <c r="Z246" s="7">
        <v>262.47000000000003</v>
      </c>
      <c r="AA246" s="8">
        <f>IFERROR(Z246/Z444, "NA")</f>
        <v>1.9075816759944145E-3</v>
      </c>
      <c r="AB246" s="9"/>
      <c r="AC246" s="10">
        <f t="shared" si="67"/>
        <v>37.400000000000034</v>
      </c>
      <c r="AD246" s="8">
        <f>IFERROR(AC246/AC444, "NA")</f>
        <v>-5.7117549137891644E-3</v>
      </c>
    </row>
    <row r="247" spans="1:30" ht="16.5" hidden="1" customHeight="1" x14ac:dyDescent="0.45">
      <c r="A247" s="12" t="s">
        <v>224</v>
      </c>
      <c r="B247" s="7">
        <v>0</v>
      </c>
      <c r="C247" s="8">
        <f>IFERROR(B247/B444, "NA")</f>
        <v>0</v>
      </c>
      <c r="D247" s="9"/>
      <c r="E247" s="7">
        <v>0</v>
      </c>
      <c r="F247" s="8">
        <f>IFERROR(E247/E444, "NA")</f>
        <v>0</v>
      </c>
      <c r="G247" s="9"/>
      <c r="H247" s="10">
        <f t="shared" si="64"/>
        <v>0</v>
      </c>
      <c r="I247" s="8">
        <f>IFERROR(H247/H444, "NA")</f>
        <v>0</v>
      </c>
      <c r="J247" s="9"/>
      <c r="K247" s="7">
        <v>0</v>
      </c>
      <c r="L247" s="8">
        <f>IFERROR(K247/K444, "NA")</f>
        <v>0</v>
      </c>
      <c r="M247" s="9"/>
      <c r="N247" s="10">
        <f t="shared" si="65"/>
        <v>0</v>
      </c>
      <c r="O247" s="8">
        <f>IFERROR(N247/N444, "NA")</f>
        <v>0</v>
      </c>
      <c r="P247" s="9"/>
      <c r="Q247" s="7">
        <v>0</v>
      </c>
      <c r="R247" s="8">
        <f>IFERROR(Q247/Q444, "NA")</f>
        <v>0</v>
      </c>
      <c r="S247" s="9"/>
      <c r="T247" s="7">
        <v>0</v>
      </c>
      <c r="U247" s="8">
        <f>IFERROR(T247/T444, "NA")</f>
        <v>0</v>
      </c>
      <c r="V247" s="9"/>
      <c r="W247" s="10">
        <f t="shared" si="66"/>
        <v>0</v>
      </c>
      <c r="X247" s="8">
        <f>IFERROR(W247/W444, "NA")</f>
        <v>0</v>
      </c>
      <c r="Y247" s="9"/>
      <c r="Z247" s="7">
        <v>0</v>
      </c>
      <c r="AA247" s="8">
        <f>IFERROR(Z247/Z444, "NA")</f>
        <v>0</v>
      </c>
      <c r="AB247" s="9"/>
      <c r="AC247" s="10">
        <f t="shared" si="67"/>
        <v>0</v>
      </c>
      <c r="AD247" s="8">
        <f>IFERROR(AC247/AC444, "NA")</f>
        <v>0</v>
      </c>
    </row>
    <row r="248" spans="1:30" ht="16.5" customHeight="1" x14ac:dyDescent="0.45">
      <c r="A248" s="12" t="s">
        <v>225</v>
      </c>
      <c r="B248" s="7">
        <v>202.94</v>
      </c>
      <c r="C248" s="8">
        <f>IFERROR(B248/B444, "NA")</f>
        <v>1.5486264429758413E-3</v>
      </c>
      <c r="D248" s="9"/>
      <c r="E248" s="7">
        <v>0</v>
      </c>
      <c r="F248" s="8">
        <f>IFERROR(E248/E444, "NA")</f>
        <v>0</v>
      </c>
      <c r="G248" s="9"/>
      <c r="H248" s="10">
        <f t="shared" si="64"/>
        <v>-202.94</v>
      </c>
      <c r="I248" s="8">
        <f>IFERROR(H248/H444, "NA")</f>
        <v>1.8245291008525684E-2</v>
      </c>
      <c r="J248" s="9"/>
      <c r="K248" s="7">
        <v>191.82</v>
      </c>
      <c r="L248" s="8">
        <f>IFERROR(K248/K444, "NA")</f>
        <v>1.3941110111222179E-3</v>
      </c>
      <c r="M248" s="9"/>
      <c r="N248" s="10">
        <f t="shared" si="65"/>
        <v>-11.120000000000005</v>
      </c>
      <c r="O248" s="8">
        <f>IFERROR(N248/N444, "NA")</f>
        <v>1.6982544021747453E-3</v>
      </c>
      <c r="P248" s="9"/>
      <c r="Q248" s="7">
        <v>202.94</v>
      </c>
      <c r="R248" s="8">
        <f>IFERROR(Q248/Q444, "NA")</f>
        <v>1.5486264429758413E-3</v>
      </c>
      <c r="S248" s="9"/>
      <c r="T248" s="7">
        <v>0</v>
      </c>
      <c r="U248" s="8">
        <f>IFERROR(T248/T444, "NA")</f>
        <v>0</v>
      </c>
      <c r="V248" s="9"/>
      <c r="W248" s="10">
        <f t="shared" si="66"/>
        <v>-202.94</v>
      </c>
      <c r="X248" s="8">
        <f>IFERROR(W248/W444, "NA")</f>
        <v>1.8245291008525684E-2</v>
      </c>
      <c r="Y248" s="9"/>
      <c r="Z248" s="7">
        <v>191.82</v>
      </c>
      <c r="AA248" s="8">
        <f>IFERROR(Z248/Z444, "NA")</f>
        <v>1.3941110111222179E-3</v>
      </c>
      <c r="AB248" s="9"/>
      <c r="AC248" s="10">
        <f t="shared" si="67"/>
        <v>-11.120000000000005</v>
      </c>
      <c r="AD248" s="8">
        <f>IFERROR(AC248/AC444, "NA")</f>
        <v>1.6982544021747453E-3</v>
      </c>
    </row>
    <row r="249" spans="1:30" ht="16.5" customHeight="1" x14ac:dyDescent="0.45">
      <c r="A249" s="12" t="s">
        <v>226</v>
      </c>
      <c r="B249" s="7">
        <v>3118.01</v>
      </c>
      <c r="C249" s="8">
        <f>IFERROR(B249/B444, "NA")</f>
        <v>2.3793400687213476E-2</v>
      </c>
      <c r="D249" s="9"/>
      <c r="E249" s="7">
        <v>0</v>
      </c>
      <c r="F249" s="8">
        <f>IFERROR(E249/E444, "NA")</f>
        <v>0</v>
      </c>
      <c r="G249" s="9"/>
      <c r="H249" s="10">
        <f t="shared" si="64"/>
        <v>-3118.01</v>
      </c>
      <c r="I249" s="8">
        <f>IFERROR(H249/H444, "NA")</f>
        <v>0.28032423286435981</v>
      </c>
      <c r="J249" s="9"/>
      <c r="K249" s="7">
        <v>2681.23</v>
      </c>
      <c r="L249" s="8">
        <f>IFERROR(K249/K444, "NA")</f>
        <v>1.9486665969926101E-2</v>
      </c>
      <c r="M249" s="9"/>
      <c r="N249" s="10">
        <f t="shared" si="65"/>
        <v>-436.7800000000002</v>
      </c>
      <c r="O249" s="8">
        <f>IFERROR(N249/N444, "NA")</f>
        <v>6.6705355915637171E-2</v>
      </c>
      <c r="P249" s="9"/>
      <c r="Q249" s="7">
        <v>3118.01</v>
      </c>
      <c r="R249" s="8">
        <f>IFERROR(Q249/Q444, "NA")</f>
        <v>2.3793400687213476E-2</v>
      </c>
      <c r="S249" s="9"/>
      <c r="T249" s="7">
        <v>0</v>
      </c>
      <c r="U249" s="8">
        <f>IFERROR(T249/T444, "NA")</f>
        <v>0</v>
      </c>
      <c r="V249" s="9"/>
      <c r="W249" s="10">
        <f t="shared" si="66"/>
        <v>-3118.01</v>
      </c>
      <c r="X249" s="8">
        <f>IFERROR(W249/W444, "NA")</f>
        <v>0.28032423286435981</v>
      </c>
      <c r="Y249" s="9"/>
      <c r="Z249" s="7">
        <v>2681.23</v>
      </c>
      <c r="AA249" s="8">
        <f>IFERROR(Z249/Z444, "NA")</f>
        <v>1.9486665969926101E-2</v>
      </c>
      <c r="AB249" s="9"/>
      <c r="AC249" s="10">
        <f t="shared" si="67"/>
        <v>-436.7800000000002</v>
      </c>
      <c r="AD249" s="8">
        <f>IFERROR(AC249/AC444, "NA")</f>
        <v>6.6705355915637171E-2</v>
      </c>
    </row>
    <row r="250" spans="1:30" ht="16.5" hidden="1" customHeight="1" x14ac:dyDescent="0.45">
      <c r="A250" s="12" t="s">
        <v>227</v>
      </c>
      <c r="B250" s="7">
        <v>0</v>
      </c>
      <c r="C250" s="8">
        <f>IFERROR(B250/B444, "NA")</f>
        <v>0</v>
      </c>
      <c r="D250" s="9"/>
      <c r="E250" s="7">
        <v>0</v>
      </c>
      <c r="F250" s="8">
        <f>IFERROR(E250/E444, "NA")</f>
        <v>0</v>
      </c>
      <c r="G250" s="9"/>
      <c r="H250" s="10">
        <f t="shared" si="64"/>
        <v>0</v>
      </c>
      <c r="I250" s="8">
        <f>IFERROR(H250/H444, "NA")</f>
        <v>0</v>
      </c>
      <c r="J250" s="9"/>
      <c r="K250" s="7">
        <v>0</v>
      </c>
      <c r="L250" s="8">
        <f>IFERROR(K250/K444, "NA")</f>
        <v>0</v>
      </c>
      <c r="M250" s="9"/>
      <c r="N250" s="10">
        <f t="shared" si="65"/>
        <v>0</v>
      </c>
      <c r="O250" s="8">
        <f>IFERROR(N250/N444, "NA")</f>
        <v>0</v>
      </c>
      <c r="P250" s="9"/>
      <c r="Q250" s="7">
        <v>0</v>
      </c>
      <c r="R250" s="8">
        <f>IFERROR(Q250/Q444, "NA")</f>
        <v>0</v>
      </c>
      <c r="S250" s="9"/>
      <c r="T250" s="7">
        <v>0</v>
      </c>
      <c r="U250" s="8">
        <f>IFERROR(T250/T444, "NA")</f>
        <v>0</v>
      </c>
      <c r="V250" s="9"/>
      <c r="W250" s="10">
        <f t="shared" si="66"/>
        <v>0</v>
      </c>
      <c r="X250" s="8">
        <f>IFERROR(W250/W444, "NA")</f>
        <v>0</v>
      </c>
      <c r="Y250" s="9"/>
      <c r="Z250" s="7">
        <v>0</v>
      </c>
      <c r="AA250" s="8">
        <f>IFERROR(Z250/Z444, "NA")</f>
        <v>0</v>
      </c>
      <c r="AB250" s="9"/>
      <c r="AC250" s="10">
        <f t="shared" si="67"/>
        <v>0</v>
      </c>
      <c r="AD250" s="8">
        <f>IFERROR(AC250/AC444, "NA")</f>
        <v>0</v>
      </c>
    </row>
    <row r="251" spans="1:30" ht="16.5" hidden="1" customHeight="1" x14ac:dyDescent="0.45">
      <c r="A251" s="12" t="s">
        <v>228</v>
      </c>
      <c r="B251" s="7">
        <v>0</v>
      </c>
      <c r="C251" s="8">
        <f>IFERROR(B251/B444, "NA")</f>
        <v>0</v>
      </c>
      <c r="D251" s="9"/>
      <c r="E251" s="7">
        <v>0</v>
      </c>
      <c r="F251" s="8">
        <f>IFERROR(E251/E444, "NA")</f>
        <v>0</v>
      </c>
      <c r="G251" s="9"/>
      <c r="H251" s="10">
        <f t="shared" si="64"/>
        <v>0</v>
      </c>
      <c r="I251" s="8">
        <f>IFERROR(H251/H444, "NA")</f>
        <v>0</v>
      </c>
      <c r="J251" s="9"/>
      <c r="K251" s="7">
        <v>0</v>
      </c>
      <c r="L251" s="8">
        <f>IFERROR(K251/K444, "NA")</f>
        <v>0</v>
      </c>
      <c r="M251" s="9"/>
      <c r="N251" s="10">
        <f t="shared" si="65"/>
        <v>0</v>
      </c>
      <c r="O251" s="8">
        <f>IFERROR(N251/N444, "NA")</f>
        <v>0</v>
      </c>
      <c r="P251" s="9"/>
      <c r="Q251" s="7">
        <v>0</v>
      </c>
      <c r="R251" s="8">
        <f>IFERROR(Q251/Q444, "NA")</f>
        <v>0</v>
      </c>
      <c r="S251" s="9"/>
      <c r="T251" s="7">
        <v>0</v>
      </c>
      <c r="U251" s="8">
        <f>IFERROR(T251/T444, "NA")</f>
        <v>0</v>
      </c>
      <c r="V251" s="9"/>
      <c r="W251" s="10">
        <f t="shared" si="66"/>
        <v>0</v>
      </c>
      <c r="X251" s="8">
        <f>IFERROR(W251/W444, "NA")</f>
        <v>0</v>
      </c>
      <c r="Y251" s="9"/>
      <c r="Z251" s="7">
        <v>0</v>
      </c>
      <c r="AA251" s="8">
        <f>IFERROR(Z251/Z444, "NA")</f>
        <v>0</v>
      </c>
      <c r="AB251" s="9"/>
      <c r="AC251" s="10">
        <f t="shared" si="67"/>
        <v>0</v>
      </c>
      <c r="AD251" s="8">
        <f>IFERROR(AC251/AC444, "NA")</f>
        <v>0</v>
      </c>
    </row>
    <row r="252" spans="1:30" ht="16.5" hidden="1" customHeight="1" x14ac:dyDescent="0.45">
      <c r="A252" s="12" t="s">
        <v>229</v>
      </c>
      <c r="B252" s="7">
        <v>0</v>
      </c>
      <c r="C252" s="8">
        <f>IFERROR(B252/B444, "NA")</f>
        <v>0</v>
      </c>
      <c r="D252" s="9"/>
      <c r="E252" s="7">
        <v>0</v>
      </c>
      <c r="F252" s="8">
        <f>IFERROR(E252/E444, "NA")</f>
        <v>0</v>
      </c>
      <c r="G252" s="9"/>
      <c r="H252" s="10">
        <f t="shared" si="64"/>
        <v>0</v>
      </c>
      <c r="I252" s="8">
        <f>IFERROR(H252/H444, "NA")</f>
        <v>0</v>
      </c>
      <c r="J252" s="9"/>
      <c r="K252" s="7">
        <v>0</v>
      </c>
      <c r="L252" s="8">
        <f>IFERROR(K252/K444, "NA")</f>
        <v>0</v>
      </c>
      <c r="M252" s="9"/>
      <c r="N252" s="10">
        <f t="shared" si="65"/>
        <v>0</v>
      </c>
      <c r="O252" s="8">
        <f>IFERROR(N252/N444, "NA")</f>
        <v>0</v>
      </c>
      <c r="P252" s="9"/>
      <c r="Q252" s="7">
        <v>0</v>
      </c>
      <c r="R252" s="8">
        <f>IFERROR(Q252/Q444, "NA")</f>
        <v>0</v>
      </c>
      <c r="S252" s="9"/>
      <c r="T252" s="7">
        <v>0</v>
      </c>
      <c r="U252" s="8">
        <f>IFERROR(T252/T444, "NA")</f>
        <v>0</v>
      </c>
      <c r="V252" s="9"/>
      <c r="W252" s="10">
        <f t="shared" si="66"/>
        <v>0</v>
      </c>
      <c r="X252" s="8">
        <f>IFERROR(W252/W444, "NA")</f>
        <v>0</v>
      </c>
      <c r="Y252" s="9"/>
      <c r="Z252" s="7">
        <v>0</v>
      </c>
      <c r="AA252" s="8">
        <f>IFERROR(Z252/Z444, "NA")</f>
        <v>0</v>
      </c>
      <c r="AB252" s="9"/>
      <c r="AC252" s="10">
        <f t="shared" si="67"/>
        <v>0</v>
      </c>
      <c r="AD252" s="8">
        <f>IFERROR(AC252/AC444, "NA")</f>
        <v>0</v>
      </c>
    </row>
    <row r="253" spans="1:30" ht="16.5" hidden="1" customHeight="1" x14ac:dyDescent="0.45">
      <c r="A253" s="12" t="s">
        <v>230</v>
      </c>
      <c r="B253" s="7">
        <v>0</v>
      </c>
      <c r="C253" s="8">
        <f>IFERROR(B253/B444, "NA")</f>
        <v>0</v>
      </c>
      <c r="D253" s="9"/>
      <c r="E253" s="7">
        <v>0</v>
      </c>
      <c r="F253" s="8">
        <f>IFERROR(E253/E444, "NA")</f>
        <v>0</v>
      </c>
      <c r="G253" s="9"/>
      <c r="H253" s="10">
        <f t="shared" si="64"/>
        <v>0</v>
      </c>
      <c r="I253" s="8">
        <f>IFERROR(H253/H444, "NA")</f>
        <v>0</v>
      </c>
      <c r="J253" s="9"/>
      <c r="K253" s="7">
        <v>0</v>
      </c>
      <c r="L253" s="8">
        <f>IFERROR(K253/K444, "NA")</f>
        <v>0</v>
      </c>
      <c r="M253" s="9"/>
      <c r="N253" s="10">
        <f t="shared" si="65"/>
        <v>0</v>
      </c>
      <c r="O253" s="8">
        <f>IFERROR(N253/N444, "NA")</f>
        <v>0</v>
      </c>
      <c r="P253" s="9"/>
      <c r="Q253" s="7">
        <v>0</v>
      </c>
      <c r="R253" s="8">
        <f>IFERROR(Q253/Q444, "NA")</f>
        <v>0</v>
      </c>
      <c r="S253" s="9"/>
      <c r="T253" s="7">
        <v>0</v>
      </c>
      <c r="U253" s="8">
        <f>IFERROR(T253/T444, "NA")</f>
        <v>0</v>
      </c>
      <c r="V253" s="9"/>
      <c r="W253" s="10">
        <f t="shared" si="66"/>
        <v>0</v>
      </c>
      <c r="X253" s="8">
        <f>IFERROR(W253/W444, "NA")</f>
        <v>0</v>
      </c>
      <c r="Y253" s="9"/>
      <c r="Z253" s="7">
        <v>0</v>
      </c>
      <c r="AA253" s="8">
        <f>IFERROR(Z253/Z444, "NA")</f>
        <v>0</v>
      </c>
      <c r="AB253" s="9"/>
      <c r="AC253" s="10">
        <f t="shared" si="67"/>
        <v>0</v>
      </c>
      <c r="AD253" s="8">
        <f>IFERROR(AC253/AC444, "NA")</f>
        <v>0</v>
      </c>
    </row>
    <row r="254" spans="1:30" ht="16.5" customHeight="1" x14ac:dyDescent="0.45">
      <c r="A254" s="12" t="s">
        <v>231</v>
      </c>
      <c r="B254" s="7">
        <v>1883.65</v>
      </c>
      <c r="C254" s="8">
        <f>IFERROR(B254/B444, "NA")</f>
        <v>1.4374052425896539E-2</v>
      </c>
      <c r="D254" s="9"/>
      <c r="E254" s="7">
        <v>0</v>
      </c>
      <c r="F254" s="8">
        <f>IFERROR(E254/E444, "NA")</f>
        <v>0</v>
      </c>
      <c r="G254" s="9"/>
      <c r="H254" s="10">
        <f t="shared" si="64"/>
        <v>-1883.65</v>
      </c>
      <c r="I254" s="8">
        <f>IFERROR(H254/H444, "NA")</f>
        <v>0.16934927765945307</v>
      </c>
      <c r="J254" s="9"/>
      <c r="K254" s="7">
        <v>1442.24</v>
      </c>
      <c r="L254" s="8">
        <f>IFERROR(K254/K444, "NA")</f>
        <v>1.0481924015644394E-2</v>
      </c>
      <c r="M254" s="9"/>
      <c r="N254" s="10">
        <f t="shared" si="65"/>
        <v>-441.41000000000008</v>
      </c>
      <c r="O254" s="8">
        <f>IFERROR(N254/N444, "NA")</f>
        <v>6.7412452847477891E-2</v>
      </c>
      <c r="P254" s="9"/>
      <c r="Q254" s="7">
        <v>1883.65</v>
      </c>
      <c r="R254" s="8">
        <f>IFERROR(Q254/Q444, "NA")</f>
        <v>1.4374052425896539E-2</v>
      </c>
      <c r="S254" s="9"/>
      <c r="T254" s="7">
        <v>0</v>
      </c>
      <c r="U254" s="8">
        <f>IFERROR(T254/T444, "NA")</f>
        <v>0</v>
      </c>
      <c r="V254" s="9"/>
      <c r="W254" s="10">
        <f t="shared" si="66"/>
        <v>-1883.65</v>
      </c>
      <c r="X254" s="8">
        <f>IFERROR(W254/W444, "NA")</f>
        <v>0.16934927765945307</v>
      </c>
      <c r="Y254" s="9"/>
      <c r="Z254" s="7">
        <v>1442.24</v>
      </c>
      <c r="AA254" s="8">
        <f>IFERROR(Z254/Z444, "NA")</f>
        <v>1.0481924015644394E-2</v>
      </c>
      <c r="AB254" s="9"/>
      <c r="AC254" s="10">
        <f t="shared" si="67"/>
        <v>-441.41000000000008</v>
      </c>
      <c r="AD254" s="8">
        <f>IFERROR(AC254/AC444, "NA")</f>
        <v>6.7412452847477891E-2</v>
      </c>
    </row>
    <row r="255" spans="1:30" ht="16.5" hidden="1" customHeight="1" x14ac:dyDescent="0.45">
      <c r="A255" s="12" t="s">
        <v>232</v>
      </c>
      <c r="B255" s="7">
        <v>0</v>
      </c>
      <c r="C255" s="8">
        <f>IFERROR(B255/B444, "NA")</f>
        <v>0</v>
      </c>
      <c r="D255" s="9"/>
      <c r="E255" s="7">
        <v>0</v>
      </c>
      <c r="F255" s="8">
        <f>IFERROR(E255/E444, "NA")</f>
        <v>0</v>
      </c>
      <c r="G255" s="9"/>
      <c r="H255" s="10">
        <f t="shared" si="64"/>
        <v>0</v>
      </c>
      <c r="I255" s="8">
        <f>IFERROR(H255/H444, "NA")</f>
        <v>0</v>
      </c>
      <c r="J255" s="9"/>
      <c r="K255" s="7">
        <v>0</v>
      </c>
      <c r="L255" s="8">
        <f>IFERROR(K255/K444, "NA")</f>
        <v>0</v>
      </c>
      <c r="M255" s="9"/>
      <c r="N255" s="10">
        <f t="shared" si="65"/>
        <v>0</v>
      </c>
      <c r="O255" s="8">
        <f>IFERROR(N255/N444, "NA")</f>
        <v>0</v>
      </c>
      <c r="P255" s="9"/>
      <c r="Q255" s="7">
        <v>0</v>
      </c>
      <c r="R255" s="8">
        <f>IFERROR(Q255/Q444, "NA")</f>
        <v>0</v>
      </c>
      <c r="S255" s="9"/>
      <c r="T255" s="7">
        <v>0</v>
      </c>
      <c r="U255" s="8">
        <f>IFERROR(T255/T444, "NA")</f>
        <v>0</v>
      </c>
      <c r="V255" s="9"/>
      <c r="W255" s="10">
        <f t="shared" si="66"/>
        <v>0</v>
      </c>
      <c r="X255" s="8">
        <f>IFERROR(W255/W444, "NA")</f>
        <v>0</v>
      </c>
      <c r="Y255" s="9"/>
      <c r="Z255" s="7">
        <v>0</v>
      </c>
      <c r="AA255" s="8">
        <f>IFERROR(Z255/Z444, "NA")</f>
        <v>0</v>
      </c>
      <c r="AB255" s="9"/>
      <c r="AC255" s="10">
        <f t="shared" si="67"/>
        <v>0</v>
      </c>
      <c r="AD255" s="8">
        <f>IFERROR(AC255/AC444, "NA")</f>
        <v>0</v>
      </c>
    </row>
    <row r="256" spans="1:30" ht="16.5" hidden="1" customHeight="1" x14ac:dyDescent="0.45">
      <c r="A256" s="12" t="s">
        <v>233</v>
      </c>
      <c r="B256" s="7">
        <v>0</v>
      </c>
      <c r="C256" s="8">
        <f>IFERROR(B256/B444, "NA")</f>
        <v>0</v>
      </c>
      <c r="D256" s="9"/>
      <c r="E256" s="7">
        <v>0</v>
      </c>
      <c r="F256" s="8">
        <f>IFERROR(E256/E444, "NA")</f>
        <v>0</v>
      </c>
      <c r="G256" s="9"/>
      <c r="H256" s="10">
        <f t="shared" si="64"/>
        <v>0</v>
      </c>
      <c r="I256" s="8">
        <f>IFERROR(H256/H444, "NA")</f>
        <v>0</v>
      </c>
      <c r="J256" s="9"/>
      <c r="K256" s="7">
        <v>0</v>
      </c>
      <c r="L256" s="8">
        <f>IFERROR(K256/K444, "NA")</f>
        <v>0</v>
      </c>
      <c r="M256" s="9"/>
      <c r="N256" s="10">
        <f t="shared" si="65"/>
        <v>0</v>
      </c>
      <c r="O256" s="8">
        <f>IFERROR(N256/N444, "NA")</f>
        <v>0</v>
      </c>
      <c r="P256" s="9"/>
      <c r="Q256" s="7">
        <v>0</v>
      </c>
      <c r="R256" s="8">
        <f>IFERROR(Q256/Q444, "NA")</f>
        <v>0</v>
      </c>
      <c r="S256" s="9"/>
      <c r="T256" s="7">
        <v>0</v>
      </c>
      <c r="U256" s="8">
        <f>IFERROR(T256/T444, "NA")</f>
        <v>0</v>
      </c>
      <c r="V256" s="9"/>
      <c r="W256" s="10">
        <f t="shared" si="66"/>
        <v>0</v>
      </c>
      <c r="X256" s="8">
        <f>IFERROR(W256/W444, "NA")</f>
        <v>0</v>
      </c>
      <c r="Y256" s="9"/>
      <c r="Z256" s="7">
        <v>0</v>
      </c>
      <c r="AA256" s="8">
        <f>IFERROR(Z256/Z444, "NA")</f>
        <v>0</v>
      </c>
      <c r="AB256" s="9"/>
      <c r="AC256" s="10">
        <f t="shared" si="67"/>
        <v>0</v>
      </c>
      <c r="AD256" s="8">
        <f>IFERROR(AC256/AC444, "NA")</f>
        <v>0</v>
      </c>
    </row>
    <row r="257" spans="1:30" ht="16.5" hidden="1" customHeight="1" x14ac:dyDescent="0.45">
      <c r="A257" s="12" t="s">
        <v>234</v>
      </c>
      <c r="B257" s="7">
        <v>0</v>
      </c>
      <c r="C257" s="8">
        <f>IFERROR(B257/B444, "NA")</f>
        <v>0</v>
      </c>
      <c r="D257" s="9"/>
      <c r="E257" s="7">
        <v>0</v>
      </c>
      <c r="F257" s="8">
        <f>IFERROR(E257/E444, "NA")</f>
        <v>0</v>
      </c>
      <c r="G257" s="9"/>
      <c r="H257" s="10">
        <f t="shared" si="64"/>
        <v>0</v>
      </c>
      <c r="I257" s="8">
        <f>IFERROR(H257/H444, "NA")</f>
        <v>0</v>
      </c>
      <c r="J257" s="9"/>
      <c r="K257" s="7">
        <v>0</v>
      </c>
      <c r="L257" s="8">
        <f>IFERROR(K257/K444, "NA")</f>
        <v>0</v>
      </c>
      <c r="M257" s="9"/>
      <c r="N257" s="10">
        <f t="shared" si="65"/>
        <v>0</v>
      </c>
      <c r="O257" s="8">
        <f>IFERROR(N257/N444, "NA")</f>
        <v>0</v>
      </c>
      <c r="P257" s="9"/>
      <c r="Q257" s="7">
        <v>0</v>
      </c>
      <c r="R257" s="8">
        <f>IFERROR(Q257/Q444, "NA")</f>
        <v>0</v>
      </c>
      <c r="S257" s="9"/>
      <c r="T257" s="7">
        <v>0</v>
      </c>
      <c r="U257" s="8">
        <f>IFERROR(T257/T444, "NA")</f>
        <v>0</v>
      </c>
      <c r="V257" s="9"/>
      <c r="W257" s="10">
        <f t="shared" si="66"/>
        <v>0</v>
      </c>
      <c r="X257" s="8">
        <f>IFERROR(W257/W444, "NA")</f>
        <v>0</v>
      </c>
      <c r="Y257" s="9"/>
      <c r="Z257" s="7">
        <v>0</v>
      </c>
      <c r="AA257" s="8">
        <f>IFERROR(Z257/Z444, "NA")</f>
        <v>0</v>
      </c>
      <c r="AB257" s="9"/>
      <c r="AC257" s="10">
        <f t="shared" si="67"/>
        <v>0</v>
      </c>
      <c r="AD257" s="8">
        <f>IFERROR(AC257/AC444, "NA")</f>
        <v>0</v>
      </c>
    </row>
    <row r="258" spans="1:30" ht="16.5" hidden="1" customHeight="1" x14ac:dyDescent="0.45">
      <c r="A258" s="12" t="s">
        <v>235</v>
      </c>
      <c r="B258" s="7">
        <v>0</v>
      </c>
      <c r="C258" s="8">
        <f>IFERROR(B258/B444, "NA")</f>
        <v>0</v>
      </c>
      <c r="D258" s="9"/>
      <c r="E258" s="7">
        <v>0</v>
      </c>
      <c r="F258" s="8">
        <f>IFERROR(E258/E444, "NA")</f>
        <v>0</v>
      </c>
      <c r="G258" s="9"/>
      <c r="H258" s="10">
        <f t="shared" si="64"/>
        <v>0</v>
      </c>
      <c r="I258" s="8">
        <f>IFERROR(H258/H444, "NA")</f>
        <v>0</v>
      </c>
      <c r="J258" s="9"/>
      <c r="K258" s="7">
        <v>0</v>
      </c>
      <c r="L258" s="8">
        <f>IFERROR(K258/K444, "NA")</f>
        <v>0</v>
      </c>
      <c r="M258" s="9"/>
      <c r="N258" s="10">
        <f t="shared" si="65"/>
        <v>0</v>
      </c>
      <c r="O258" s="8">
        <f>IFERROR(N258/N444, "NA")</f>
        <v>0</v>
      </c>
      <c r="P258" s="9"/>
      <c r="Q258" s="7">
        <v>0</v>
      </c>
      <c r="R258" s="8">
        <f>IFERROR(Q258/Q444, "NA")</f>
        <v>0</v>
      </c>
      <c r="S258" s="9"/>
      <c r="T258" s="7">
        <v>0</v>
      </c>
      <c r="U258" s="8">
        <f>IFERROR(T258/T444, "NA")</f>
        <v>0</v>
      </c>
      <c r="V258" s="9"/>
      <c r="W258" s="10">
        <f t="shared" si="66"/>
        <v>0</v>
      </c>
      <c r="X258" s="8">
        <f>IFERROR(W258/W444, "NA")</f>
        <v>0</v>
      </c>
      <c r="Y258" s="9"/>
      <c r="Z258" s="7">
        <v>0</v>
      </c>
      <c r="AA258" s="8">
        <f>IFERROR(Z258/Z444, "NA")</f>
        <v>0</v>
      </c>
      <c r="AB258" s="9"/>
      <c r="AC258" s="10">
        <f t="shared" si="67"/>
        <v>0</v>
      </c>
      <c r="AD258" s="8">
        <f>IFERROR(AC258/AC444, "NA")</f>
        <v>0</v>
      </c>
    </row>
    <row r="259" spans="1:30" ht="16.5" hidden="1" customHeight="1" x14ac:dyDescent="0.45">
      <c r="A259" s="12" t="s">
        <v>236</v>
      </c>
      <c r="B259" s="7">
        <v>0</v>
      </c>
      <c r="C259" s="8">
        <f>IFERROR(B259/B444, "NA")</f>
        <v>0</v>
      </c>
      <c r="D259" s="9"/>
      <c r="E259" s="7">
        <v>0</v>
      </c>
      <c r="F259" s="8">
        <f>IFERROR(E259/E444, "NA")</f>
        <v>0</v>
      </c>
      <c r="G259" s="9"/>
      <c r="H259" s="10">
        <f t="shared" si="64"/>
        <v>0</v>
      </c>
      <c r="I259" s="8">
        <f>IFERROR(H259/H444, "NA")</f>
        <v>0</v>
      </c>
      <c r="J259" s="9"/>
      <c r="K259" s="7">
        <v>0</v>
      </c>
      <c r="L259" s="8">
        <f>IFERROR(K259/K444, "NA")</f>
        <v>0</v>
      </c>
      <c r="M259" s="9"/>
      <c r="N259" s="10">
        <f t="shared" si="65"/>
        <v>0</v>
      </c>
      <c r="O259" s="8">
        <f>IFERROR(N259/N444, "NA")</f>
        <v>0</v>
      </c>
      <c r="P259" s="9"/>
      <c r="Q259" s="7">
        <v>0</v>
      </c>
      <c r="R259" s="8">
        <f>IFERROR(Q259/Q444, "NA")</f>
        <v>0</v>
      </c>
      <c r="S259" s="9"/>
      <c r="T259" s="7">
        <v>0</v>
      </c>
      <c r="U259" s="8">
        <f>IFERROR(T259/T444, "NA")</f>
        <v>0</v>
      </c>
      <c r="V259" s="9"/>
      <c r="W259" s="10">
        <f t="shared" si="66"/>
        <v>0</v>
      </c>
      <c r="X259" s="8">
        <f>IFERROR(W259/W444, "NA")</f>
        <v>0</v>
      </c>
      <c r="Y259" s="9"/>
      <c r="Z259" s="7">
        <v>0</v>
      </c>
      <c r="AA259" s="8">
        <f>IFERROR(Z259/Z444, "NA")</f>
        <v>0</v>
      </c>
      <c r="AB259" s="9"/>
      <c r="AC259" s="10">
        <f t="shared" si="67"/>
        <v>0</v>
      </c>
      <c r="AD259" s="8">
        <f>IFERROR(AC259/AC444, "NA")</f>
        <v>0</v>
      </c>
    </row>
    <row r="260" spans="1:30" ht="16.5" hidden="1" customHeight="1" x14ac:dyDescent="0.45">
      <c r="A260" s="12" t="s">
        <v>237</v>
      </c>
      <c r="B260" s="7">
        <v>0</v>
      </c>
      <c r="C260" s="8">
        <f>IFERROR(B260/B444, "NA")</f>
        <v>0</v>
      </c>
      <c r="D260" s="9"/>
      <c r="E260" s="7">
        <v>0</v>
      </c>
      <c r="F260" s="8">
        <f>IFERROR(E260/E444, "NA")</f>
        <v>0</v>
      </c>
      <c r="G260" s="9"/>
      <c r="H260" s="10">
        <f t="shared" si="64"/>
        <v>0</v>
      </c>
      <c r="I260" s="8">
        <f>IFERROR(H260/H444, "NA")</f>
        <v>0</v>
      </c>
      <c r="J260" s="9"/>
      <c r="K260" s="7">
        <v>0</v>
      </c>
      <c r="L260" s="8">
        <f>IFERROR(K260/K444, "NA")</f>
        <v>0</v>
      </c>
      <c r="M260" s="9"/>
      <c r="N260" s="10">
        <f t="shared" si="65"/>
        <v>0</v>
      </c>
      <c r="O260" s="8">
        <f>IFERROR(N260/N444, "NA")</f>
        <v>0</v>
      </c>
      <c r="P260" s="9"/>
      <c r="Q260" s="7">
        <v>0</v>
      </c>
      <c r="R260" s="8">
        <f>IFERROR(Q260/Q444, "NA")</f>
        <v>0</v>
      </c>
      <c r="S260" s="9"/>
      <c r="T260" s="7">
        <v>0</v>
      </c>
      <c r="U260" s="8">
        <f>IFERROR(T260/T444, "NA")</f>
        <v>0</v>
      </c>
      <c r="V260" s="9"/>
      <c r="W260" s="10">
        <f t="shared" si="66"/>
        <v>0</v>
      </c>
      <c r="X260" s="8">
        <f>IFERROR(W260/W444, "NA")</f>
        <v>0</v>
      </c>
      <c r="Y260" s="9"/>
      <c r="Z260" s="7">
        <v>0</v>
      </c>
      <c r="AA260" s="8">
        <f>IFERROR(Z260/Z444, "NA")</f>
        <v>0</v>
      </c>
      <c r="AB260" s="9"/>
      <c r="AC260" s="10">
        <f t="shared" si="67"/>
        <v>0</v>
      </c>
      <c r="AD260" s="8">
        <f>IFERROR(AC260/AC444, "NA")</f>
        <v>0</v>
      </c>
    </row>
    <row r="261" spans="1:30" ht="16.5" hidden="1" customHeight="1" x14ac:dyDescent="0.45">
      <c r="A261" s="12" t="s">
        <v>238</v>
      </c>
      <c r="B261" s="7">
        <v>0</v>
      </c>
      <c r="C261" s="8">
        <f>IFERROR(B261/B444, "NA")</f>
        <v>0</v>
      </c>
      <c r="D261" s="9"/>
      <c r="E261" s="7">
        <v>0</v>
      </c>
      <c r="F261" s="8">
        <f>IFERROR(E261/E444, "NA")</f>
        <v>0</v>
      </c>
      <c r="G261" s="9"/>
      <c r="H261" s="10">
        <f t="shared" si="64"/>
        <v>0</v>
      </c>
      <c r="I261" s="8">
        <f>IFERROR(H261/H444, "NA")</f>
        <v>0</v>
      </c>
      <c r="J261" s="9"/>
      <c r="K261" s="7">
        <v>0</v>
      </c>
      <c r="L261" s="8">
        <f>IFERROR(K261/K444, "NA")</f>
        <v>0</v>
      </c>
      <c r="M261" s="9"/>
      <c r="N261" s="10">
        <f t="shared" si="65"/>
        <v>0</v>
      </c>
      <c r="O261" s="8">
        <f>IFERROR(N261/N444, "NA")</f>
        <v>0</v>
      </c>
      <c r="P261" s="9"/>
      <c r="Q261" s="7">
        <v>0</v>
      </c>
      <c r="R261" s="8">
        <f>IFERROR(Q261/Q444, "NA")</f>
        <v>0</v>
      </c>
      <c r="S261" s="9"/>
      <c r="T261" s="7">
        <v>0</v>
      </c>
      <c r="U261" s="8">
        <f>IFERROR(T261/T444, "NA")</f>
        <v>0</v>
      </c>
      <c r="V261" s="9"/>
      <c r="W261" s="10">
        <f t="shared" si="66"/>
        <v>0</v>
      </c>
      <c r="X261" s="8">
        <f>IFERROR(W261/W444, "NA")</f>
        <v>0</v>
      </c>
      <c r="Y261" s="9"/>
      <c r="Z261" s="7">
        <v>0</v>
      </c>
      <c r="AA261" s="8">
        <f>IFERROR(Z261/Z444, "NA")</f>
        <v>0</v>
      </c>
      <c r="AB261" s="9"/>
      <c r="AC261" s="10">
        <f t="shared" si="67"/>
        <v>0</v>
      </c>
      <c r="AD261" s="8">
        <f>IFERROR(AC261/AC444, "NA")</f>
        <v>0</v>
      </c>
    </row>
    <row r="262" spans="1:30" ht="16.5" customHeight="1" x14ac:dyDescent="0.45">
      <c r="A262" s="13" t="s">
        <v>239</v>
      </c>
      <c r="B262" s="14">
        <f>IFERROR(B240+B241+B242+B243+B244+B245+B246+B247+B248+B249+B250+B251+B252+B253+B254+B255+B256+B257+B258+B259+B260+B261, "NA")</f>
        <v>12786.519999999999</v>
      </c>
      <c r="C262" s="15">
        <f>IFERROR(B262/B444, "NA")</f>
        <v>9.7573386151766292E-2</v>
      </c>
      <c r="D262" s="2"/>
      <c r="E262" s="14">
        <f>IFERROR(E240+E241+E242+E243+E244+E245+E246+E247+E248+E249+E250+E251+E252+E253+E254+E255+E256+E257+E258+E259+E260+E261, "NA")</f>
        <v>12084.28</v>
      </c>
      <c r="F262" s="15">
        <f>IFERROR(E262/E444, "NA")</f>
        <v>8.4999982063477988E-2</v>
      </c>
      <c r="G262" s="2"/>
      <c r="H262" s="14">
        <f t="shared" si="64"/>
        <v>-702.23999999999796</v>
      </c>
      <c r="I262" s="15">
        <f>IFERROR(H262/H444, "NA")</f>
        <v>6.3134784457608353E-2</v>
      </c>
      <c r="J262" s="2"/>
      <c r="K262" s="14">
        <f>IFERROR(K240+K241+K242+K243+K244+K245+K246+K247+K248+K249+K250+K251+K252+K253+K254+K255+K256+K257+K258+K259+K260+K261, "NA")</f>
        <v>12623.699999999999</v>
      </c>
      <c r="L262" s="15">
        <f>IFERROR(K262/K444, "NA")</f>
        <v>9.1746633151410392E-2</v>
      </c>
      <c r="M262" s="2"/>
      <c r="N262" s="14">
        <f t="shared" si="65"/>
        <v>-162.81999999999971</v>
      </c>
      <c r="O262" s="15">
        <f>IFERROR(N262/N444, "NA")</f>
        <v>2.48659875685334E-2</v>
      </c>
      <c r="P262" s="2"/>
      <c r="Q262" s="14">
        <f>IFERROR(Q240+Q241+Q242+Q243+Q244+Q245+Q246+Q247+Q248+Q249+Q250+Q251+Q252+Q253+Q254+Q255+Q256+Q257+Q258+Q259+Q260+Q261, "NA")</f>
        <v>12786.519999999999</v>
      </c>
      <c r="R262" s="15">
        <f>IFERROR(Q262/Q444, "NA")</f>
        <v>9.7573386151766292E-2</v>
      </c>
      <c r="S262" s="2"/>
      <c r="T262" s="14">
        <f>IFERROR(T240+T241+T242+T243+T244+T245+T246+T247+T248+T249+T250+T251+T252+T253+T254+T255+T256+T257+T258+T259+T260+T261, "NA")</f>
        <v>12084.28</v>
      </c>
      <c r="U262" s="15">
        <f>IFERROR(T262/T444, "NA")</f>
        <v>8.4999982063477988E-2</v>
      </c>
      <c r="V262" s="2"/>
      <c r="W262" s="14">
        <f t="shared" si="66"/>
        <v>-702.23999999999796</v>
      </c>
      <c r="X262" s="15">
        <f>IFERROR(W262/W444, "NA")</f>
        <v>6.3134784457608353E-2</v>
      </c>
      <c r="Y262" s="2"/>
      <c r="Z262" s="14">
        <f>IFERROR(Z240+Z241+Z242+Z243+Z244+Z245+Z246+Z247+Z248+Z249+Z250+Z251+Z252+Z253+Z254+Z255+Z256+Z257+Z258+Z259+Z260+Z261, "NA")</f>
        <v>12623.699999999999</v>
      </c>
      <c r="AA262" s="15">
        <f>IFERROR(Z262/Z444, "NA")</f>
        <v>9.1746633151410392E-2</v>
      </c>
      <c r="AB262" s="2"/>
      <c r="AC262" s="14">
        <f t="shared" si="67"/>
        <v>-162.81999999999971</v>
      </c>
      <c r="AD262" s="15">
        <f>IFERROR(AC262/AC444, "NA")</f>
        <v>2.48659875685334E-2</v>
      </c>
    </row>
    <row r="263" spans="1:30" ht="16.5" customHeight="1" x14ac:dyDescent="0.45">
      <c r="A263" s="19" t="s">
        <v>240</v>
      </c>
      <c r="B263" s="14">
        <f>IFERROR(B238+B240+B241+B242+B243+B244+B245+B246+B247+B248+B249+B250+B251+B252+B253+B254+B255+B256+B257+B258+B259+B260+B261, "NA")</f>
        <v>12786.519999999999</v>
      </c>
      <c r="C263" s="15">
        <f>IFERROR(B263/B444, "NA")</f>
        <v>9.7573386151766292E-2</v>
      </c>
      <c r="D263" s="2"/>
      <c r="E263" s="14">
        <f>IFERROR(E238+E240+E241+E242+E243+E244+E245+E246+E247+E248+E249+E250+E251+E252+E253+E254+E255+E256+E257+E258+E259+E260+E261, "NA")</f>
        <v>12084.28</v>
      </c>
      <c r="F263" s="15">
        <f>IFERROR(E263/E444, "NA")</f>
        <v>8.4999982063477988E-2</v>
      </c>
      <c r="G263" s="2"/>
      <c r="H263" s="14">
        <f t="shared" si="64"/>
        <v>-702.23999999999796</v>
      </c>
      <c r="I263" s="15">
        <f>IFERROR(H263/H444, "NA")</f>
        <v>6.3134784457608353E-2</v>
      </c>
      <c r="J263" s="2"/>
      <c r="K263" s="14">
        <f>IFERROR(K238+K240+K241+K242+K243+K244+K245+K246+K247+K248+K249+K250+K251+K252+K253+K254+K255+K256+K257+K258+K259+K260+K261, "NA")</f>
        <v>12623.699999999999</v>
      </c>
      <c r="L263" s="15">
        <f>IFERROR(K263/K444, "NA")</f>
        <v>9.1746633151410392E-2</v>
      </c>
      <c r="M263" s="2"/>
      <c r="N263" s="14">
        <f t="shared" si="65"/>
        <v>-162.81999999999971</v>
      </c>
      <c r="O263" s="15">
        <f>IFERROR(N263/N444, "NA")</f>
        <v>2.48659875685334E-2</v>
      </c>
      <c r="P263" s="2"/>
      <c r="Q263" s="14">
        <f>IFERROR(Q238+Q240+Q241+Q242+Q243+Q244+Q245+Q246+Q247+Q248+Q249+Q250+Q251+Q252+Q253+Q254+Q255+Q256+Q257+Q258+Q259+Q260+Q261, "NA")</f>
        <v>12786.519999999999</v>
      </c>
      <c r="R263" s="15">
        <f>IFERROR(Q263/Q444, "NA")</f>
        <v>9.7573386151766292E-2</v>
      </c>
      <c r="S263" s="2"/>
      <c r="T263" s="14">
        <f>IFERROR(T238+T240+T241+T242+T243+T244+T245+T246+T247+T248+T249+T250+T251+T252+T253+T254+T255+T256+T257+T258+T259+T260+T261, "NA")</f>
        <v>12084.28</v>
      </c>
      <c r="U263" s="15">
        <f>IFERROR(T263/T444, "NA")</f>
        <v>8.4999982063477988E-2</v>
      </c>
      <c r="V263" s="2"/>
      <c r="W263" s="14">
        <f t="shared" si="66"/>
        <v>-702.23999999999796</v>
      </c>
      <c r="X263" s="15">
        <f>IFERROR(W263/W444, "NA")</f>
        <v>6.3134784457608353E-2</v>
      </c>
      <c r="Y263" s="2"/>
      <c r="Z263" s="14">
        <f>IFERROR(Z238+Z240+Z241+Z242+Z243+Z244+Z245+Z246+Z247+Z248+Z249+Z250+Z251+Z252+Z253+Z254+Z255+Z256+Z257+Z258+Z259+Z260+Z261, "NA")</f>
        <v>12623.699999999999</v>
      </c>
      <c r="AA263" s="15">
        <f>IFERROR(Z263/Z444, "NA")</f>
        <v>9.1746633151410392E-2</v>
      </c>
      <c r="AB263" s="2"/>
      <c r="AC263" s="14">
        <f t="shared" si="67"/>
        <v>-162.81999999999971</v>
      </c>
      <c r="AD263" s="15">
        <f>IFERROR(AC263/AC444, "NA")</f>
        <v>2.48659875685334E-2</v>
      </c>
    </row>
    <row r="264" spans="1:30" ht="16.5" customHeight="1" x14ac:dyDescent="0.45">
      <c r="A264" s="5" t="s">
        <v>241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  <c r="Y264" s="4"/>
      <c r="Z264" s="2"/>
      <c r="AA264" s="3"/>
      <c r="AB264" s="4"/>
      <c r="AC264" s="2"/>
      <c r="AD264" s="3"/>
    </row>
    <row r="265" spans="1:30" ht="16.5" customHeight="1" x14ac:dyDescent="0.45">
      <c r="A265" s="6" t="s">
        <v>241</v>
      </c>
      <c r="B265" s="7">
        <v>3281.29</v>
      </c>
      <c r="C265" s="8">
        <f>IFERROR(B265/B444, "NA")</f>
        <v>2.5039383369824569E-2</v>
      </c>
      <c r="D265" s="9"/>
      <c r="E265" s="7">
        <v>3412.03</v>
      </c>
      <c r="F265" s="8">
        <f>IFERROR(E265/E444, "NA")</f>
        <v>2.3999980867709853E-2</v>
      </c>
      <c r="G265" s="9"/>
      <c r="H265" s="10">
        <f>IFERROR(-(B265-E265), "NA")</f>
        <v>130.74000000000024</v>
      </c>
      <c r="I265" s="8">
        <f>IFERROR(H265/H444, "NA")</f>
        <v>-1.1754160571866819E-2</v>
      </c>
      <c r="J265" s="9"/>
      <c r="K265" s="7">
        <v>2904.69</v>
      </c>
      <c r="L265" s="8">
        <f>IFERROR(K265/K444, "NA")</f>
        <v>2.1110730439456757E-2</v>
      </c>
      <c r="M265" s="9"/>
      <c r="N265" s="10">
        <f>IFERROR(-(B265-K265), "NA")</f>
        <v>-376.59999999999991</v>
      </c>
      <c r="O265" s="8">
        <f>IFERROR(N265/N444, "NA")</f>
        <v>5.7514623008903656E-2</v>
      </c>
      <c r="P265" s="9"/>
      <c r="Q265" s="7">
        <v>3281.29</v>
      </c>
      <c r="R265" s="8">
        <f>IFERROR(Q265/Q444, "NA")</f>
        <v>2.5039383369824569E-2</v>
      </c>
      <c r="S265" s="9"/>
      <c r="T265" s="7">
        <v>3412.03</v>
      </c>
      <c r="U265" s="8">
        <f>IFERROR(T265/T444, "NA")</f>
        <v>2.3999980867709853E-2</v>
      </c>
      <c r="V265" s="9"/>
      <c r="W265" s="10">
        <f>IFERROR(-(Q265-T265), "NA")</f>
        <v>130.74000000000024</v>
      </c>
      <c r="X265" s="8">
        <f>IFERROR(W265/W444, "NA")</f>
        <v>-1.1754160571866819E-2</v>
      </c>
      <c r="Y265" s="9"/>
      <c r="Z265" s="7">
        <v>2904.69</v>
      </c>
      <c r="AA265" s="8">
        <f>IFERROR(Z265/Z444, "NA")</f>
        <v>2.1110730439456757E-2</v>
      </c>
      <c r="AB265" s="9"/>
      <c r="AC265" s="10">
        <f>IFERROR(-(Q265-Z265), "NA")</f>
        <v>-376.59999999999991</v>
      </c>
      <c r="AD265" s="8">
        <f>IFERROR(AC265/AC444, "NA")</f>
        <v>5.7514623008903656E-2</v>
      </c>
    </row>
    <row r="266" spans="1:30" ht="16.5" hidden="1" customHeight="1" x14ac:dyDescent="0.45">
      <c r="A266" s="6" t="s">
        <v>242</v>
      </c>
      <c r="B266" s="7">
        <v>0</v>
      </c>
      <c r="C266" s="8">
        <f>IFERROR(B266/B444, "NA")</f>
        <v>0</v>
      </c>
      <c r="D266" s="9"/>
      <c r="E266" s="7">
        <v>0</v>
      </c>
      <c r="F266" s="8">
        <f>IFERROR(E266/E444, "NA")</f>
        <v>0</v>
      </c>
      <c r="G266" s="9"/>
      <c r="H266" s="10">
        <f>IFERROR(-(B266-E266), "NA")</f>
        <v>0</v>
      </c>
      <c r="I266" s="8">
        <f>IFERROR(H266/H444, "NA")</f>
        <v>0</v>
      </c>
      <c r="J266" s="9"/>
      <c r="K266" s="7">
        <v>0</v>
      </c>
      <c r="L266" s="8">
        <f>IFERROR(K266/K444, "NA")</f>
        <v>0</v>
      </c>
      <c r="M266" s="9"/>
      <c r="N266" s="10">
        <f>IFERROR(-(B266-K266), "NA")</f>
        <v>0</v>
      </c>
      <c r="O266" s="8">
        <f>IFERROR(N266/N444, "NA")</f>
        <v>0</v>
      </c>
      <c r="P266" s="9"/>
      <c r="Q266" s="7">
        <v>0</v>
      </c>
      <c r="R266" s="8">
        <f>IFERROR(Q266/Q444, "NA")</f>
        <v>0</v>
      </c>
      <c r="S266" s="9"/>
      <c r="T266" s="7">
        <v>0</v>
      </c>
      <c r="U266" s="8">
        <f>IFERROR(T266/T444, "NA")</f>
        <v>0</v>
      </c>
      <c r="V266" s="9"/>
      <c r="W266" s="10">
        <f>IFERROR(-(Q266-T266), "NA")</f>
        <v>0</v>
      </c>
      <c r="X266" s="8">
        <f>IFERROR(W266/W444, "NA")</f>
        <v>0</v>
      </c>
      <c r="Y266" s="9"/>
      <c r="Z266" s="7">
        <v>0</v>
      </c>
      <c r="AA266" s="8">
        <f>IFERROR(Z266/Z444, "NA")</f>
        <v>0</v>
      </c>
      <c r="AB266" s="9"/>
      <c r="AC266" s="10">
        <f>IFERROR(-(Q266-Z266), "NA")</f>
        <v>0</v>
      </c>
      <c r="AD266" s="8">
        <f>IFERROR(AC266/AC444, "NA")</f>
        <v>0</v>
      </c>
    </row>
    <row r="267" spans="1:30" ht="16.5" customHeight="1" x14ac:dyDescent="0.45">
      <c r="A267" s="19" t="s">
        <v>243</v>
      </c>
      <c r="B267" s="14">
        <f>IFERROR(B265+B266, "NA")</f>
        <v>3281.29</v>
      </c>
      <c r="C267" s="15">
        <f>IFERROR(B267/B444, "NA")</f>
        <v>2.5039383369824569E-2</v>
      </c>
      <c r="D267" s="2"/>
      <c r="E267" s="14">
        <f>IFERROR(E265+E266, "NA")</f>
        <v>3412.03</v>
      </c>
      <c r="F267" s="15">
        <f>IFERROR(E267/E444, "NA")</f>
        <v>2.3999980867709853E-2</v>
      </c>
      <c r="G267" s="2"/>
      <c r="H267" s="14">
        <f>IFERROR(-(B267-E267), "NA")</f>
        <v>130.74000000000024</v>
      </c>
      <c r="I267" s="15">
        <f>IFERROR(H267/H444, "NA")</f>
        <v>-1.1754160571866819E-2</v>
      </c>
      <c r="J267" s="2"/>
      <c r="K267" s="14">
        <f>IFERROR(K265+K266, "NA")</f>
        <v>2904.69</v>
      </c>
      <c r="L267" s="15">
        <f>IFERROR(K267/K444, "NA")</f>
        <v>2.1110730439456757E-2</v>
      </c>
      <c r="M267" s="2"/>
      <c r="N267" s="14">
        <f>IFERROR(-(B267-K267), "NA")</f>
        <v>-376.59999999999991</v>
      </c>
      <c r="O267" s="15">
        <f>IFERROR(N267/N444, "NA")</f>
        <v>5.7514623008903656E-2</v>
      </c>
      <c r="P267" s="2"/>
      <c r="Q267" s="14">
        <f>IFERROR(Q265+Q266, "NA")</f>
        <v>3281.29</v>
      </c>
      <c r="R267" s="15">
        <f>IFERROR(Q267/Q444, "NA")</f>
        <v>2.5039383369824569E-2</v>
      </c>
      <c r="S267" s="2"/>
      <c r="T267" s="14">
        <f>IFERROR(T265+T266, "NA")</f>
        <v>3412.03</v>
      </c>
      <c r="U267" s="15">
        <f>IFERROR(T267/T444, "NA")</f>
        <v>2.3999980867709853E-2</v>
      </c>
      <c r="V267" s="2"/>
      <c r="W267" s="14">
        <f>IFERROR(-(Q267-T267), "NA")</f>
        <v>130.74000000000024</v>
      </c>
      <c r="X267" s="15">
        <f>IFERROR(W267/W444, "NA")</f>
        <v>-1.1754160571866819E-2</v>
      </c>
      <c r="Y267" s="2"/>
      <c r="Z267" s="14">
        <f>IFERROR(Z265+Z266, "NA")</f>
        <v>2904.69</v>
      </c>
      <c r="AA267" s="15">
        <f>IFERROR(Z267/Z444, "NA")</f>
        <v>2.1110730439456757E-2</v>
      </c>
      <c r="AB267" s="2"/>
      <c r="AC267" s="14">
        <f>IFERROR(-(Q267-Z267), "NA")</f>
        <v>-376.59999999999991</v>
      </c>
      <c r="AD267" s="15">
        <f>IFERROR(AC267/AC444, "NA")</f>
        <v>5.7514623008903656E-2</v>
      </c>
    </row>
    <row r="268" spans="1:30" ht="16.5" customHeight="1" x14ac:dyDescent="0.45">
      <c r="A268" s="5" t="s">
        <v>244</v>
      </c>
      <c r="B268" s="2"/>
      <c r="C268" s="3"/>
      <c r="D268" s="4"/>
      <c r="E268" s="2"/>
      <c r="F268" s="3"/>
      <c r="G268" s="4"/>
      <c r="H268" s="2"/>
      <c r="I268" s="3"/>
      <c r="J268" s="4"/>
      <c r="K268" s="2"/>
      <c r="L268" s="3"/>
      <c r="M268" s="4"/>
      <c r="N268" s="2"/>
      <c r="O268" s="3"/>
      <c r="P268" s="4"/>
      <c r="Q268" s="2"/>
      <c r="R268" s="3"/>
      <c r="S268" s="4"/>
      <c r="T268" s="2"/>
      <c r="U268" s="3"/>
      <c r="V268" s="4"/>
      <c r="W268" s="2"/>
      <c r="X268" s="3"/>
      <c r="Y268" s="4"/>
      <c r="Z268" s="2"/>
      <c r="AA268" s="3"/>
      <c r="AB268" s="4"/>
      <c r="AC268" s="2"/>
      <c r="AD268" s="3"/>
    </row>
    <row r="269" spans="1:30" ht="16.5" hidden="1" customHeight="1" x14ac:dyDescent="0.45">
      <c r="A269" s="6" t="s">
        <v>244</v>
      </c>
      <c r="B269" s="7">
        <v>0</v>
      </c>
      <c r="C269" s="8">
        <f>IFERROR(B269/B444, "NA")</f>
        <v>0</v>
      </c>
      <c r="D269" s="9"/>
      <c r="E269" s="7">
        <v>0</v>
      </c>
      <c r="F269" s="8">
        <f>IFERROR(E269/E444, "NA")</f>
        <v>0</v>
      </c>
      <c r="G269" s="9"/>
      <c r="H269" s="10">
        <f>IFERROR(-(B269-E269), "NA")</f>
        <v>0</v>
      </c>
      <c r="I269" s="8">
        <f>IFERROR(H269/H444, "NA")</f>
        <v>0</v>
      </c>
      <c r="J269" s="9"/>
      <c r="K269" s="7">
        <v>0</v>
      </c>
      <c r="L269" s="8">
        <f>IFERROR(K269/K444, "NA")</f>
        <v>0</v>
      </c>
      <c r="M269" s="9"/>
      <c r="N269" s="10">
        <f>IFERROR(-(B269-K269), "NA")</f>
        <v>0</v>
      </c>
      <c r="O269" s="8">
        <f>IFERROR(N269/N444, "NA")</f>
        <v>0</v>
      </c>
      <c r="P269" s="9"/>
      <c r="Q269" s="7">
        <v>0</v>
      </c>
      <c r="R269" s="8">
        <f>IFERROR(Q269/Q444, "NA")</f>
        <v>0</v>
      </c>
      <c r="S269" s="9"/>
      <c r="T269" s="7">
        <v>0</v>
      </c>
      <c r="U269" s="8">
        <f>IFERROR(T269/T444, "NA")</f>
        <v>0</v>
      </c>
      <c r="V269" s="9"/>
      <c r="W269" s="10">
        <f>IFERROR(-(Q269-T269), "NA")</f>
        <v>0</v>
      </c>
      <c r="X269" s="8">
        <f>IFERROR(W269/W444, "NA")</f>
        <v>0</v>
      </c>
      <c r="Y269" s="9"/>
      <c r="Z269" s="7">
        <v>0</v>
      </c>
      <c r="AA269" s="8">
        <f>IFERROR(Z269/Z444, "NA")</f>
        <v>0</v>
      </c>
      <c r="AB269" s="9"/>
      <c r="AC269" s="10">
        <f>IFERROR(-(Q269-Z269), "NA")</f>
        <v>0</v>
      </c>
      <c r="AD269" s="8">
        <f>IFERROR(AC269/AC444, "NA")</f>
        <v>0</v>
      </c>
    </row>
    <row r="270" spans="1:30" ht="16.5" customHeight="1" x14ac:dyDescent="0.45">
      <c r="A270" s="6" t="s">
        <v>245</v>
      </c>
      <c r="B270" s="7">
        <v>241.5</v>
      </c>
      <c r="C270" s="8">
        <f>IFERROR(B270/B444, "NA")</f>
        <v>1.842876150481254E-3</v>
      </c>
      <c r="D270" s="9"/>
      <c r="E270" s="7">
        <v>236.63</v>
      </c>
      <c r="F270" s="8">
        <f>IFERROR(E270/E444, "NA")</f>
        <v>1.6644389037394694E-3</v>
      </c>
      <c r="G270" s="9"/>
      <c r="H270" s="10">
        <f>IFERROR(-(B270-E270), "NA")</f>
        <v>-4.8700000000000045</v>
      </c>
      <c r="I270" s="8">
        <f>IFERROR(H270/H444, "NA")</f>
        <v>4.3783663748654856E-4</v>
      </c>
      <c r="J270" s="9"/>
      <c r="K270" s="7">
        <v>229.7</v>
      </c>
      <c r="L270" s="8">
        <f>IFERROR(K270/K444, "NA")</f>
        <v>1.669415594071387E-3</v>
      </c>
      <c r="M270" s="9"/>
      <c r="N270" s="10">
        <f>IFERROR(-(B270-K270), "NA")</f>
        <v>-11.800000000000011</v>
      </c>
      <c r="O270" s="8">
        <f>IFERROR(N270/N444, "NA")</f>
        <v>1.8021044915163674E-3</v>
      </c>
      <c r="P270" s="9"/>
      <c r="Q270" s="7">
        <v>241.5</v>
      </c>
      <c r="R270" s="8">
        <f>IFERROR(Q270/Q444, "NA")</f>
        <v>1.842876150481254E-3</v>
      </c>
      <c r="S270" s="9"/>
      <c r="T270" s="7">
        <v>236.63</v>
      </c>
      <c r="U270" s="8">
        <f>IFERROR(T270/T444, "NA")</f>
        <v>1.6644389037394694E-3</v>
      </c>
      <c r="V270" s="9"/>
      <c r="W270" s="10">
        <f>IFERROR(-(Q270-T270), "NA")</f>
        <v>-4.8700000000000045</v>
      </c>
      <c r="X270" s="8">
        <f>IFERROR(W270/W444, "NA")</f>
        <v>4.3783663748654856E-4</v>
      </c>
      <c r="Y270" s="9"/>
      <c r="Z270" s="7">
        <v>229.7</v>
      </c>
      <c r="AA270" s="8">
        <f>IFERROR(Z270/Z444, "NA")</f>
        <v>1.669415594071387E-3</v>
      </c>
      <c r="AB270" s="9"/>
      <c r="AC270" s="10">
        <f>IFERROR(-(Q270-Z270), "NA")</f>
        <v>-11.800000000000011</v>
      </c>
      <c r="AD270" s="8">
        <f>IFERROR(AC270/AC444, "NA")</f>
        <v>1.8021044915163674E-3</v>
      </c>
    </row>
    <row r="271" spans="1:30" ht="16.5" customHeight="1" x14ac:dyDescent="0.45">
      <c r="A271" s="6" t="s">
        <v>246</v>
      </c>
      <c r="B271" s="7">
        <v>1068.3</v>
      </c>
      <c r="C271" s="8">
        <f>IFERROR(B271/B444, "NA")</f>
        <v>8.1521515178431606E-3</v>
      </c>
      <c r="D271" s="9"/>
      <c r="E271" s="7">
        <v>1068.3</v>
      </c>
      <c r="F271" s="8">
        <f>IFERROR(E271/E444, "NA")</f>
        <v>7.5143476349781311E-3</v>
      </c>
      <c r="G271" s="9"/>
      <c r="H271" s="10">
        <f>IFERROR(-(B271-E271), "NA")</f>
        <v>0</v>
      </c>
      <c r="I271" s="8">
        <f>IFERROR(H271/H444, "NA")</f>
        <v>0</v>
      </c>
      <c r="J271" s="9"/>
      <c r="K271" s="7">
        <v>852.8</v>
      </c>
      <c r="L271" s="8">
        <f>IFERROR(K271/K444, "NA")</f>
        <v>6.197987020566299E-3</v>
      </c>
      <c r="M271" s="9"/>
      <c r="N271" s="10">
        <f>IFERROR(-(B271-K271), "NA")</f>
        <v>-215.5</v>
      </c>
      <c r="O271" s="8">
        <f>IFERROR(N271/N444, "NA")</f>
        <v>3.2911315078116676E-2</v>
      </c>
      <c r="P271" s="9"/>
      <c r="Q271" s="7">
        <v>1068.3</v>
      </c>
      <c r="R271" s="8">
        <f>IFERROR(Q271/Q444, "NA")</f>
        <v>8.1521515178431606E-3</v>
      </c>
      <c r="S271" s="9"/>
      <c r="T271" s="7">
        <v>1068.3</v>
      </c>
      <c r="U271" s="8">
        <f>IFERROR(T271/T444, "NA")</f>
        <v>7.5143476349781311E-3</v>
      </c>
      <c r="V271" s="9"/>
      <c r="W271" s="10">
        <f>IFERROR(-(Q271-T271), "NA")</f>
        <v>0</v>
      </c>
      <c r="X271" s="8">
        <f>IFERROR(W271/W444, "NA")</f>
        <v>0</v>
      </c>
      <c r="Y271" s="9"/>
      <c r="Z271" s="7">
        <v>852.8</v>
      </c>
      <c r="AA271" s="8">
        <f>IFERROR(Z271/Z444, "NA")</f>
        <v>6.197987020566299E-3</v>
      </c>
      <c r="AB271" s="9"/>
      <c r="AC271" s="10">
        <f>IFERROR(-(Q271-Z271), "NA")</f>
        <v>-215.5</v>
      </c>
      <c r="AD271" s="8">
        <f>IFERROR(AC271/AC444, "NA")</f>
        <v>3.2911315078116676E-2</v>
      </c>
    </row>
    <row r="272" spans="1:30" ht="16.5" hidden="1" customHeight="1" x14ac:dyDescent="0.45">
      <c r="A272" s="6" t="s">
        <v>247</v>
      </c>
      <c r="B272" s="7">
        <v>0</v>
      </c>
      <c r="C272" s="8">
        <f>IFERROR(B272/B444, "NA")</f>
        <v>0</v>
      </c>
      <c r="D272" s="9"/>
      <c r="E272" s="7">
        <v>0</v>
      </c>
      <c r="F272" s="8">
        <f>IFERROR(E272/E444, "NA")</f>
        <v>0</v>
      </c>
      <c r="G272" s="9"/>
      <c r="H272" s="10">
        <f>IFERROR(-(B272-E272), "NA")</f>
        <v>0</v>
      </c>
      <c r="I272" s="8">
        <f>IFERROR(H272/H444, "NA")</f>
        <v>0</v>
      </c>
      <c r="J272" s="9"/>
      <c r="K272" s="7">
        <v>0</v>
      </c>
      <c r="L272" s="8">
        <f>IFERROR(K272/K444, "NA")</f>
        <v>0</v>
      </c>
      <c r="M272" s="9"/>
      <c r="N272" s="10">
        <f>IFERROR(-(B272-K272), "NA")</f>
        <v>0</v>
      </c>
      <c r="O272" s="8">
        <f>IFERROR(N272/N444, "NA")</f>
        <v>0</v>
      </c>
      <c r="P272" s="9"/>
      <c r="Q272" s="7">
        <v>0</v>
      </c>
      <c r="R272" s="8">
        <f>IFERROR(Q272/Q444, "NA")</f>
        <v>0</v>
      </c>
      <c r="S272" s="9"/>
      <c r="T272" s="7">
        <v>0</v>
      </c>
      <c r="U272" s="8">
        <f>IFERROR(T272/T444, "NA")</f>
        <v>0</v>
      </c>
      <c r="V272" s="9"/>
      <c r="W272" s="10">
        <f>IFERROR(-(Q272-T272), "NA")</f>
        <v>0</v>
      </c>
      <c r="X272" s="8">
        <f>IFERROR(W272/W444, "NA")</f>
        <v>0</v>
      </c>
      <c r="Y272" s="9"/>
      <c r="Z272" s="7">
        <v>0</v>
      </c>
      <c r="AA272" s="8">
        <f>IFERROR(Z272/Z444, "NA")</f>
        <v>0</v>
      </c>
      <c r="AB272" s="9"/>
      <c r="AC272" s="10">
        <f>IFERROR(-(Q272-Z272), "NA")</f>
        <v>0</v>
      </c>
      <c r="AD272" s="8">
        <f>IFERROR(AC272/AC444, "NA")</f>
        <v>0</v>
      </c>
    </row>
    <row r="273" spans="1:30" ht="16.5" customHeight="1" x14ac:dyDescent="0.45">
      <c r="A273" s="19" t="s">
        <v>248</v>
      </c>
      <c r="B273" s="14">
        <f>IFERROR(B269+B270+B271+B272, "NA")</f>
        <v>1309.8</v>
      </c>
      <c r="C273" s="15">
        <f>IFERROR(B273/B444, "NA")</f>
        <v>9.995027668324415E-3</v>
      </c>
      <c r="D273" s="2"/>
      <c r="E273" s="14">
        <f>IFERROR(E269+E270+E271+E272, "NA")</f>
        <v>1304.9299999999998</v>
      </c>
      <c r="F273" s="15">
        <f>IFERROR(E273/E444, "NA")</f>
        <v>9.1787865387175996E-3</v>
      </c>
      <c r="G273" s="2"/>
      <c r="H273" s="14">
        <f>IFERROR(-(B273-E273), "NA")</f>
        <v>-4.8700000000001182</v>
      </c>
      <c r="I273" s="15">
        <f>IFERROR(H273/H444, "NA")</f>
        <v>4.3783663748655881E-4</v>
      </c>
      <c r="J273" s="2"/>
      <c r="K273" s="14">
        <f>IFERROR(K269+K270+K271+K272, "NA")</f>
        <v>1082.5</v>
      </c>
      <c r="L273" s="15">
        <f>IFERROR(K273/K444, "NA")</f>
        <v>7.8674026146376853E-3</v>
      </c>
      <c r="M273" s="2"/>
      <c r="N273" s="14">
        <f>IFERROR(-(B273-K273), "NA")</f>
        <v>-227.29999999999995</v>
      </c>
      <c r="O273" s="15">
        <f>IFERROR(N273/N444, "NA")</f>
        <v>3.4713419569633037E-2</v>
      </c>
      <c r="P273" s="2"/>
      <c r="Q273" s="14">
        <f>IFERROR(Q269+Q270+Q271+Q272, "NA")</f>
        <v>1309.8</v>
      </c>
      <c r="R273" s="15">
        <f>IFERROR(Q273/Q444, "NA")</f>
        <v>9.995027668324415E-3</v>
      </c>
      <c r="S273" s="2"/>
      <c r="T273" s="14">
        <f>IFERROR(T269+T270+T271+T272, "NA")</f>
        <v>1304.9299999999998</v>
      </c>
      <c r="U273" s="15">
        <f>IFERROR(T273/T444, "NA")</f>
        <v>9.1787865387175996E-3</v>
      </c>
      <c r="V273" s="2"/>
      <c r="W273" s="14">
        <f>IFERROR(-(Q273-T273), "NA")</f>
        <v>-4.8700000000001182</v>
      </c>
      <c r="X273" s="15">
        <f>IFERROR(W273/W444, "NA")</f>
        <v>4.3783663748655881E-4</v>
      </c>
      <c r="Y273" s="2"/>
      <c r="Z273" s="14">
        <f>IFERROR(Z269+Z270+Z271+Z272, "NA")</f>
        <v>1082.5</v>
      </c>
      <c r="AA273" s="15">
        <f>IFERROR(Z273/Z444, "NA")</f>
        <v>7.8674026146376853E-3</v>
      </c>
      <c r="AB273" s="2"/>
      <c r="AC273" s="14">
        <f>IFERROR(-(Q273-Z273), "NA")</f>
        <v>-227.29999999999995</v>
      </c>
      <c r="AD273" s="15">
        <f>IFERROR(AC273/AC444, "NA")</f>
        <v>3.4713419569633037E-2</v>
      </c>
    </row>
    <row r="274" spans="1:30" ht="16.5" customHeight="1" x14ac:dyDescent="0.45">
      <c r="A274" s="5" t="s">
        <v>249</v>
      </c>
      <c r="B274" s="2"/>
      <c r="C274" s="3"/>
      <c r="D274" s="4"/>
      <c r="E274" s="2"/>
      <c r="F274" s="3"/>
      <c r="G274" s="4"/>
      <c r="H274" s="2"/>
      <c r="I274" s="3"/>
      <c r="J274" s="4"/>
      <c r="K274" s="2"/>
      <c r="L274" s="3"/>
      <c r="M274" s="4"/>
      <c r="N274" s="2"/>
      <c r="O274" s="3"/>
      <c r="P274" s="4"/>
      <c r="Q274" s="2"/>
      <c r="R274" s="3"/>
      <c r="S274" s="4"/>
      <c r="T274" s="2"/>
      <c r="U274" s="3"/>
      <c r="V274" s="4"/>
      <c r="W274" s="2"/>
      <c r="X274" s="3"/>
      <c r="Y274" s="4"/>
      <c r="Z274" s="2"/>
      <c r="AA274" s="3"/>
      <c r="AB274" s="4"/>
      <c r="AC274" s="2"/>
      <c r="AD274" s="3"/>
    </row>
    <row r="275" spans="1:30" ht="16.5" hidden="1" customHeight="1" x14ac:dyDescent="0.45">
      <c r="A275" s="6" t="s">
        <v>249</v>
      </c>
      <c r="B275" s="7">
        <v>0</v>
      </c>
      <c r="C275" s="8">
        <f>IFERROR(B275/B444, "NA")</f>
        <v>0</v>
      </c>
      <c r="D275" s="9"/>
      <c r="E275" s="7">
        <v>0</v>
      </c>
      <c r="F275" s="8">
        <f>IFERROR(E275/E444, "NA")</f>
        <v>0</v>
      </c>
      <c r="G275" s="9"/>
      <c r="H275" s="10">
        <f t="shared" ref="H275:H284" si="68">IFERROR(-(B275-E275), "NA")</f>
        <v>0</v>
      </c>
      <c r="I275" s="8">
        <f>IFERROR(H275/H444, "NA")</f>
        <v>0</v>
      </c>
      <c r="J275" s="9"/>
      <c r="K275" s="7">
        <v>0</v>
      </c>
      <c r="L275" s="8">
        <f>IFERROR(K275/K444, "NA")</f>
        <v>0</v>
      </c>
      <c r="M275" s="9"/>
      <c r="N275" s="10">
        <f t="shared" ref="N275:N284" si="69">IFERROR(-(B275-K275), "NA")</f>
        <v>0</v>
      </c>
      <c r="O275" s="8">
        <f>IFERROR(N275/N444, "NA")</f>
        <v>0</v>
      </c>
      <c r="P275" s="9"/>
      <c r="Q275" s="7">
        <v>0</v>
      </c>
      <c r="R275" s="8">
        <f>IFERROR(Q275/Q444, "NA")</f>
        <v>0</v>
      </c>
      <c r="S275" s="9"/>
      <c r="T275" s="7">
        <v>0</v>
      </c>
      <c r="U275" s="8">
        <f>IFERROR(T275/T444, "NA")</f>
        <v>0</v>
      </c>
      <c r="V275" s="9"/>
      <c r="W275" s="10">
        <f t="shared" ref="W275:W284" si="70">IFERROR(-(Q275-T275), "NA")</f>
        <v>0</v>
      </c>
      <c r="X275" s="8">
        <f>IFERROR(W275/W444, "NA")</f>
        <v>0</v>
      </c>
      <c r="Y275" s="9"/>
      <c r="Z275" s="7">
        <v>0</v>
      </c>
      <c r="AA275" s="8">
        <f>IFERROR(Z275/Z444, "NA")</f>
        <v>0</v>
      </c>
      <c r="AB275" s="9"/>
      <c r="AC275" s="10">
        <f t="shared" ref="AC275:AC284" si="71">IFERROR(-(Q275-Z275), "NA")</f>
        <v>0</v>
      </c>
      <c r="AD275" s="8">
        <f>IFERROR(AC275/AC444, "NA")</f>
        <v>0</v>
      </c>
    </row>
    <row r="276" spans="1:30" ht="16.5" hidden="1" customHeight="1" x14ac:dyDescent="0.45">
      <c r="A276" s="6" t="s">
        <v>250</v>
      </c>
      <c r="B276" s="7">
        <v>0</v>
      </c>
      <c r="C276" s="8">
        <f>IFERROR(B276/B444, "NA")</f>
        <v>0</v>
      </c>
      <c r="D276" s="9"/>
      <c r="E276" s="7">
        <v>0</v>
      </c>
      <c r="F276" s="8">
        <f>IFERROR(E276/E444, "NA")</f>
        <v>0</v>
      </c>
      <c r="G276" s="9"/>
      <c r="H276" s="10">
        <f t="shared" si="68"/>
        <v>0</v>
      </c>
      <c r="I276" s="8">
        <f>IFERROR(H276/H444, "NA")</f>
        <v>0</v>
      </c>
      <c r="J276" s="9"/>
      <c r="K276" s="7">
        <v>0</v>
      </c>
      <c r="L276" s="8">
        <f>IFERROR(K276/K444, "NA")</f>
        <v>0</v>
      </c>
      <c r="M276" s="9"/>
      <c r="N276" s="10">
        <f t="shared" si="69"/>
        <v>0</v>
      </c>
      <c r="O276" s="8">
        <f>IFERROR(N276/N444, "NA")</f>
        <v>0</v>
      </c>
      <c r="P276" s="9"/>
      <c r="Q276" s="7">
        <v>0</v>
      </c>
      <c r="R276" s="8">
        <f>IFERROR(Q276/Q444, "NA")</f>
        <v>0</v>
      </c>
      <c r="S276" s="9"/>
      <c r="T276" s="7">
        <v>0</v>
      </c>
      <c r="U276" s="8">
        <f>IFERROR(T276/T444, "NA")</f>
        <v>0</v>
      </c>
      <c r="V276" s="9"/>
      <c r="W276" s="10">
        <f t="shared" si="70"/>
        <v>0</v>
      </c>
      <c r="X276" s="8">
        <f>IFERROR(W276/W444, "NA")</f>
        <v>0</v>
      </c>
      <c r="Y276" s="9"/>
      <c r="Z276" s="7">
        <v>0</v>
      </c>
      <c r="AA276" s="8">
        <f>IFERROR(Z276/Z444, "NA")</f>
        <v>0</v>
      </c>
      <c r="AB276" s="9"/>
      <c r="AC276" s="10">
        <f t="shared" si="71"/>
        <v>0</v>
      </c>
      <c r="AD276" s="8">
        <f>IFERROR(AC276/AC444, "NA")</f>
        <v>0</v>
      </c>
    </row>
    <row r="277" spans="1:30" ht="16.5" hidden="1" customHeight="1" x14ac:dyDescent="0.45">
      <c r="A277" s="6" t="s">
        <v>251</v>
      </c>
      <c r="B277" s="7">
        <v>0</v>
      </c>
      <c r="C277" s="8">
        <f>IFERROR(B277/B444, "NA")</f>
        <v>0</v>
      </c>
      <c r="D277" s="9"/>
      <c r="E277" s="7">
        <v>0</v>
      </c>
      <c r="F277" s="8">
        <f>IFERROR(E277/E444, "NA")</f>
        <v>0</v>
      </c>
      <c r="G277" s="9"/>
      <c r="H277" s="10">
        <f t="shared" si="68"/>
        <v>0</v>
      </c>
      <c r="I277" s="8">
        <f>IFERROR(H277/H444, "NA")</f>
        <v>0</v>
      </c>
      <c r="J277" s="9"/>
      <c r="K277" s="7">
        <v>0</v>
      </c>
      <c r="L277" s="8">
        <f>IFERROR(K277/K444, "NA")</f>
        <v>0</v>
      </c>
      <c r="M277" s="9"/>
      <c r="N277" s="10">
        <f t="shared" si="69"/>
        <v>0</v>
      </c>
      <c r="O277" s="8">
        <f>IFERROR(N277/N444, "NA")</f>
        <v>0</v>
      </c>
      <c r="P277" s="9"/>
      <c r="Q277" s="7">
        <v>0</v>
      </c>
      <c r="R277" s="8">
        <f>IFERROR(Q277/Q444, "NA")</f>
        <v>0</v>
      </c>
      <c r="S277" s="9"/>
      <c r="T277" s="7">
        <v>0</v>
      </c>
      <c r="U277" s="8">
        <f>IFERROR(T277/T444, "NA")</f>
        <v>0</v>
      </c>
      <c r="V277" s="9"/>
      <c r="W277" s="10">
        <f t="shared" si="70"/>
        <v>0</v>
      </c>
      <c r="X277" s="8">
        <f>IFERROR(W277/W444, "NA")</f>
        <v>0</v>
      </c>
      <c r="Y277" s="9"/>
      <c r="Z277" s="7">
        <v>0</v>
      </c>
      <c r="AA277" s="8">
        <f>IFERROR(Z277/Z444, "NA")</f>
        <v>0</v>
      </c>
      <c r="AB277" s="9"/>
      <c r="AC277" s="10">
        <f t="shared" si="71"/>
        <v>0</v>
      </c>
      <c r="AD277" s="8">
        <f>IFERROR(AC277/AC444, "NA")</f>
        <v>0</v>
      </c>
    </row>
    <row r="278" spans="1:30" ht="16.5" hidden="1" customHeight="1" x14ac:dyDescent="0.45">
      <c r="A278" s="6" t="s">
        <v>252</v>
      </c>
      <c r="B278" s="7">
        <v>0</v>
      </c>
      <c r="C278" s="8">
        <f>IFERROR(B278/B444, "NA")</f>
        <v>0</v>
      </c>
      <c r="D278" s="9"/>
      <c r="E278" s="7">
        <v>0</v>
      </c>
      <c r="F278" s="8">
        <f>IFERROR(E278/E444, "NA")</f>
        <v>0</v>
      </c>
      <c r="G278" s="9"/>
      <c r="H278" s="10">
        <f t="shared" si="68"/>
        <v>0</v>
      </c>
      <c r="I278" s="8">
        <f>IFERROR(H278/H444, "NA")</f>
        <v>0</v>
      </c>
      <c r="J278" s="9"/>
      <c r="K278" s="7">
        <v>0</v>
      </c>
      <c r="L278" s="8">
        <f>IFERROR(K278/K444, "NA")</f>
        <v>0</v>
      </c>
      <c r="M278" s="9"/>
      <c r="N278" s="10">
        <f t="shared" si="69"/>
        <v>0</v>
      </c>
      <c r="O278" s="8">
        <f>IFERROR(N278/N444, "NA")</f>
        <v>0</v>
      </c>
      <c r="P278" s="9"/>
      <c r="Q278" s="7">
        <v>0</v>
      </c>
      <c r="R278" s="8">
        <f>IFERROR(Q278/Q444, "NA")</f>
        <v>0</v>
      </c>
      <c r="S278" s="9"/>
      <c r="T278" s="7">
        <v>0</v>
      </c>
      <c r="U278" s="8">
        <f>IFERROR(T278/T444, "NA")</f>
        <v>0</v>
      </c>
      <c r="V278" s="9"/>
      <c r="W278" s="10">
        <f t="shared" si="70"/>
        <v>0</v>
      </c>
      <c r="X278" s="8">
        <f>IFERROR(W278/W444, "NA")</f>
        <v>0</v>
      </c>
      <c r="Y278" s="9"/>
      <c r="Z278" s="7">
        <v>0</v>
      </c>
      <c r="AA278" s="8">
        <f>IFERROR(Z278/Z444, "NA")</f>
        <v>0</v>
      </c>
      <c r="AB278" s="9"/>
      <c r="AC278" s="10">
        <f t="shared" si="71"/>
        <v>0</v>
      </c>
      <c r="AD278" s="8">
        <f>IFERROR(AC278/AC444, "NA")</f>
        <v>0</v>
      </c>
    </row>
    <row r="279" spans="1:30" ht="16.5" hidden="1" customHeight="1" x14ac:dyDescent="0.45">
      <c r="A279" s="6" t="s">
        <v>253</v>
      </c>
      <c r="B279" s="7">
        <v>0</v>
      </c>
      <c r="C279" s="8">
        <f>IFERROR(B279/B444, "NA")</f>
        <v>0</v>
      </c>
      <c r="D279" s="9"/>
      <c r="E279" s="7">
        <v>0</v>
      </c>
      <c r="F279" s="8">
        <f>IFERROR(E279/E444, "NA")</f>
        <v>0</v>
      </c>
      <c r="G279" s="9"/>
      <c r="H279" s="10">
        <f t="shared" si="68"/>
        <v>0</v>
      </c>
      <c r="I279" s="8">
        <f>IFERROR(H279/H444, "NA")</f>
        <v>0</v>
      </c>
      <c r="J279" s="9"/>
      <c r="K279" s="7">
        <v>0</v>
      </c>
      <c r="L279" s="8">
        <f>IFERROR(K279/K444, "NA")</f>
        <v>0</v>
      </c>
      <c r="M279" s="9"/>
      <c r="N279" s="10">
        <f t="shared" si="69"/>
        <v>0</v>
      </c>
      <c r="O279" s="8">
        <f>IFERROR(N279/N444, "NA")</f>
        <v>0</v>
      </c>
      <c r="P279" s="9"/>
      <c r="Q279" s="7">
        <v>0</v>
      </c>
      <c r="R279" s="8">
        <f>IFERROR(Q279/Q444, "NA")</f>
        <v>0</v>
      </c>
      <c r="S279" s="9"/>
      <c r="T279" s="7">
        <v>0</v>
      </c>
      <c r="U279" s="8">
        <f>IFERROR(T279/T444, "NA")</f>
        <v>0</v>
      </c>
      <c r="V279" s="9"/>
      <c r="W279" s="10">
        <f t="shared" si="70"/>
        <v>0</v>
      </c>
      <c r="X279" s="8">
        <f>IFERROR(W279/W444, "NA")</f>
        <v>0</v>
      </c>
      <c r="Y279" s="9"/>
      <c r="Z279" s="7">
        <v>0</v>
      </c>
      <c r="AA279" s="8">
        <f>IFERROR(Z279/Z444, "NA")</f>
        <v>0</v>
      </c>
      <c r="AB279" s="9"/>
      <c r="AC279" s="10">
        <f t="shared" si="71"/>
        <v>0</v>
      </c>
      <c r="AD279" s="8">
        <f>IFERROR(AC279/AC444, "NA")</f>
        <v>0</v>
      </c>
    </row>
    <row r="280" spans="1:30" ht="16.5" hidden="1" customHeight="1" x14ac:dyDescent="0.45">
      <c r="A280" s="6" t="s">
        <v>254</v>
      </c>
      <c r="B280" s="7">
        <v>0</v>
      </c>
      <c r="C280" s="8">
        <f>IFERROR(B280/B444, "NA")</f>
        <v>0</v>
      </c>
      <c r="D280" s="9"/>
      <c r="E280" s="7">
        <v>0</v>
      </c>
      <c r="F280" s="8">
        <f>IFERROR(E280/E444, "NA")</f>
        <v>0</v>
      </c>
      <c r="G280" s="9"/>
      <c r="H280" s="10">
        <f t="shared" si="68"/>
        <v>0</v>
      </c>
      <c r="I280" s="8">
        <f>IFERROR(H280/H444, "NA")</f>
        <v>0</v>
      </c>
      <c r="J280" s="9"/>
      <c r="K280" s="7">
        <v>0</v>
      </c>
      <c r="L280" s="8">
        <f>IFERROR(K280/K444, "NA")</f>
        <v>0</v>
      </c>
      <c r="M280" s="9"/>
      <c r="N280" s="10">
        <f t="shared" si="69"/>
        <v>0</v>
      </c>
      <c r="O280" s="8">
        <f>IFERROR(N280/N444, "NA")</f>
        <v>0</v>
      </c>
      <c r="P280" s="9"/>
      <c r="Q280" s="7">
        <v>0</v>
      </c>
      <c r="R280" s="8">
        <f>IFERROR(Q280/Q444, "NA")</f>
        <v>0</v>
      </c>
      <c r="S280" s="9"/>
      <c r="T280" s="7">
        <v>0</v>
      </c>
      <c r="U280" s="8">
        <f>IFERROR(T280/T444, "NA")</f>
        <v>0</v>
      </c>
      <c r="V280" s="9"/>
      <c r="W280" s="10">
        <f t="shared" si="70"/>
        <v>0</v>
      </c>
      <c r="X280" s="8">
        <f>IFERROR(W280/W444, "NA")</f>
        <v>0</v>
      </c>
      <c r="Y280" s="9"/>
      <c r="Z280" s="7">
        <v>0</v>
      </c>
      <c r="AA280" s="8">
        <f>IFERROR(Z280/Z444, "NA")</f>
        <v>0</v>
      </c>
      <c r="AB280" s="9"/>
      <c r="AC280" s="10">
        <f t="shared" si="71"/>
        <v>0</v>
      </c>
      <c r="AD280" s="8">
        <f>IFERROR(AC280/AC444, "NA")</f>
        <v>0</v>
      </c>
    </row>
    <row r="281" spans="1:30" ht="16.5" hidden="1" customHeight="1" x14ac:dyDescent="0.45">
      <c r="A281" s="6" t="s">
        <v>255</v>
      </c>
      <c r="B281" s="7">
        <v>0</v>
      </c>
      <c r="C281" s="8">
        <f>IFERROR(B281/B444, "NA")</f>
        <v>0</v>
      </c>
      <c r="D281" s="9"/>
      <c r="E281" s="7">
        <v>0</v>
      </c>
      <c r="F281" s="8">
        <f>IFERROR(E281/E444, "NA")</f>
        <v>0</v>
      </c>
      <c r="G281" s="9"/>
      <c r="H281" s="10">
        <f t="shared" si="68"/>
        <v>0</v>
      </c>
      <c r="I281" s="8">
        <f>IFERROR(H281/H444, "NA")</f>
        <v>0</v>
      </c>
      <c r="J281" s="9"/>
      <c r="K281" s="7">
        <v>0</v>
      </c>
      <c r="L281" s="8">
        <f>IFERROR(K281/K444, "NA")</f>
        <v>0</v>
      </c>
      <c r="M281" s="9"/>
      <c r="N281" s="10">
        <f t="shared" si="69"/>
        <v>0</v>
      </c>
      <c r="O281" s="8">
        <f>IFERROR(N281/N444, "NA")</f>
        <v>0</v>
      </c>
      <c r="P281" s="9"/>
      <c r="Q281" s="7">
        <v>0</v>
      </c>
      <c r="R281" s="8">
        <f>IFERROR(Q281/Q444, "NA")</f>
        <v>0</v>
      </c>
      <c r="S281" s="9"/>
      <c r="T281" s="7">
        <v>0</v>
      </c>
      <c r="U281" s="8">
        <f>IFERROR(T281/T444, "NA")</f>
        <v>0</v>
      </c>
      <c r="V281" s="9"/>
      <c r="W281" s="10">
        <f t="shared" si="70"/>
        <v>0</v>
      </c>
      <c r="X281" s="8">
        <f>IFERROR(W281/W444, "NA")</f>
        <v>0</v>
      </c>
      <c r="Y281" s="9"/>
      <c r="Z281" s="7">
        <v>0</v>
      </c>
      <c r="AA281" s="8">
        <f>IFERROR(Z281/Z444, "NA")</f>
        <v>0</v>
      </c>
      <c r="AB281" s="9"/>
      <c r="AC281" s="10">
        <f t="shared" si="71"/>
        <v>0</v>
      </c>
      <c r="AD281" s="8">
        <f>IFERROR(AC281/AC444, "NA")</f>
        <v>0</v>
      </c>
    </row>
    <row r="282" spans="1:30" ht="16.5" hidden="1" customHeight="1" x14ac:dyDescent="0.45">
      <c r="A282" s="6" t="s">
        <v>256</v>
      </c>
      <c r="B282" s="7">
        <v>0</v>
      </c>
      <c r="C282" s="8">
        <f>IFERROR(B282/B444, "NA")</f>
        <v>0</v>
      </c>
      <c r="D282" s="9"/>
      <c r="E282" s="7">
        <v>0</v>
      </c>
      <c r="F282" s="8">
        <f>IFERROR(E282/E444, "NA")</f>
        <v>0</v>
      </c>
      <c r="G282" s="9"/>
      <c r="H282" s="10">
        <f t="shared" si="68"/>
        <v>0</v>
      </c>
      <c r="I282" s="8">
        <f>IFERROR(H282/H444, "NA")</f>
        <v>0</v>
      </c>
      <c r="J282" s="9"/>
      <c r="K282" s="7">
        <v>0</v>
      </c>
      <c r="L282" s="8">
        <f>IFERROR(K282/K444, "NA")</f>
        <v>0</v>
      </c>
      <c r="M282" s="9"/>
      <c r="N282" s="10">
        <f t="shared" si="69"/>
        <v>0</v>
      </c>
      <c r="O282" s="8">
        <f>IFERROR(N282/N444, "NA")</f>
        <v>0</v>
      </c>
      <c r="P282" s="9"/>
      <c r="Q282" s="7">
        <v>0</v>
      </c>
      <c r="R282" s="8">
        <f>IFERROR(Q282/Q444, "NA")</f>
        <v>0</v>
      </c>
      <c r="S282" s="9"/>
      <c r="T282" s="7">
        <v>0</v>
      </c>
      <c r="U282" s="8">
        <f>IFERROR(T282/T444, "NA")</f>
        <v>0</v>
      </c>
      <c r="V282" s="9"/>
      <c r="W282" s="10">
        <f t="shared" si="70"/>
        <v>0</v>
      </c>
      <c r="X282" s="8">
        <f>IFERROR(W282/W444, "NA")</f>
        <v>0</v>
      </c>
      <c r="Y282" s="9"/>
      <c r="Z282" s="7">
        <v>0</v>
      </c>
      <c r="AA282" s="8">
        <f>IFERROR(Z282/Z444, "NA")</f>
        <v>0</v>
      </c>
      <c r="AB282" s="9"/>
      <c r="AC282" s="10">
        <f t="shared" si="71"/>
        <v>0</v>
      </c>
      <c r="AD282" s="8">
        <f>IFERROR(AC282/AC444, "NA")</f>
        <v>0</v>
      </c>
    </row>
    <row r="283" spans="1:30" ht="16.5" hidden="1" customHeight="1" x14ac:dyDescent="0.45">
      <c r="A283" s="6" t="s">
        <v>257</v>
      </c>
      <c r="B283" s="7">
        <v>0</v>
      </c>
      <c r="C283" s="8">
        <f>IFERROR(B283/B444, "NA")</f>
        <v>0</v>
      </c>
      <c r="D283" s="9"/>
      <c r="E283" s="7">
        <v>0</v>
      </c>
      <c r="F283" s="8">
        <f>IFERROR(E283/E444, "NA")</f>
        <v>0</v>
      </c>
      <c r="G283" s="9"/>
      <c r="H283" s="10">
        <f t="shared" si="68"/>
        <v>0</v>
      </c>
      <c r="I283" s="8">
        <f>IFERROR(H283/H444, "NA")</f>
        <v>0</v>
      </c>
      <c r="J283" s="9"/>
      <c r="K283" s="7">
        <v>0</v>
      </c>
      <c r="L283" s="8">
        <f>IFERROR(K283/K444, "NA")</f>
        <v>0</v>
      </c>
      <c r="M283" s="9"/>
      <c r="N283" s="10">
        <f t="shared" si="69"/>
        <v>0</v>
      </c>
      <c r="O283" s="8">
        <f>IFERROR(N283/N444, "NA")</f>
        <v>0</v>
      </c>
      <c r="P283" s="9"/>
      <c r="Q283" s="7">
        <v>0</v>
      </c>
      <c r="R283" s="8">
        <f>IFERROR(Q283/Q444, "NA")</f>
        <v>0</v>
      </c>
      <c r="S283" s="9"/>
      <c r="T283" s="7">
        <v>0</v>
      </c>
      <c r="U283" s="8">
        <f>IFERROR(T283/T444, "NA")</f>
        <v>0</v>
      </c>
      <c r="V283" s="9"/>
      <c r="W283" s="10">
        <f t="shared" si="70"/>
        <v>0</v>
      </c>
      <c r="X283" s="8">
        <f>IFERROR(W283/W444, "NA")</f>
        <v>0</v>
      </c>
      <c r="Y283" s="9"/>
      <c r="Z283" s="7">
        <v>0</v>
      </c>
      <c r="AA283" s="8">
        <f>IFERROR(Z283/Z444, "NA")</f>
        <v>0</v>
      </c>
      <c r="AB283" s="9"/>
      <c r="AC283" s="10">
        <f t="shared" si="71"/>
        <v>0</v>
      </c>
      <c r="AD283" s="8">
        <f>IFERROR(AC283/AC444, "NA")</f>
        <v>0</v>
      </c>
    </row>
    <row r="284" spans="1:30" ht="16.5" customHeight="1" x14ac:dyDescent="0.45">
      <c r="A284" s="19" t="s">
        <v>258</v>
      </c>
      <c r="B284" s="14">
        <f>IFERROR(B275+B276+B277+B278+B279+B280+B281+B282+B283, "NA")</f>
        <v>0</v>
      </c>
      <c r="C284" s="15">
        <f>IFERROR(B284/B444, "NA")</f>
        <v>0</v>
      </c>
      <c r="D284" s="2"/>
      <c r="E284" s="14">
        <f>IFERROR(E275+E276+E277+E278+E279+E280+E281+E282+E283, "NA")</f>
        <v>0</v>
      </c>
      <c r="F284" s="15">
        <f>IFERROR(E284/E444, "NA")</f>
        <v>0</v>
      </c>
      <c r="G284" s="2"/>
      <c r="H284" s="14">
        <f t="shared" si="68"/>
        <v>0</v>
      </c>
      <c r="I284" s="15">
        <f>IFERROR(H284/H444, "NA")</f>
        <v>0</v>
      </c>
      <c r="J284" s="2"/>
      <c r="K284" s="14">
        <f>IFERROR(K275+K276+K277+K278+K279+K280+K281+K282+K283, "NA")</f>
        <v>0</v>
      </c>
      <c r="L284" s="15">
        <f>IFERROR(K284/K444, "NA")</f>
        <v>0</v>
      </c>
      <c r="M284" s="2"/>
      <c r="N284" s="14">
        <f t="shared" si="69"/>
        <v>0</v>
      </c>
      <c r="O284" s="15">
        <f>IFERROR(N284/N444, "NA")</f>
        <v>0</v>
      </c>
      <c r="P284" s="2"/>
      <c r="Q284" s="14">
        <f>IFERROR(Q275+Q276+Q277+Q278+Q279+Q280+Q281+Q282+Q283, "NA")</f>
        <v>0</v>
      </c>
      <c r="R284" s="15">
        <f>IFERROR(Q284/Q444, "NA")</f>
        <v>0</v>
      </c>
      <c r="S284" s="2"/>
      <c r="T284" s="14">
        <f>IFERROR(T275+T276+T277+T278+T279+T280+T281+T282+T283, "NA")</f>
        <v>0</v>
      </c>
      <c r="U284" s="15">
        <f>IFERROR(T284/T444, "NA")</f>
        <v>0</v>
      </c>
      <c r="V284" s="2"/>
      <c r="W284" s="14">
        <f t="shared" si="70"/>
        <v>0</v>
      </c>
      <c r="X284" s="15">
        <f>IFERROR(W284/W444, "NA")</f>
        <v>0</v>
      </c>
      <c r="Y284" s="2"/>
      <c r="Z284" s="14">
        <f>IFERROR(Z275+Z276+Z277+Z278+Z279+Z280+Z281+Z282+Z283, "NA")</f>
        <v>0</v>
      </c>
      <c r="AA284" s="15">
        <f>IFERROR(Z284/Z444, "NA")</f>
        <v>0</v>
      </c>
      <c r="AB284" s="2"/>
      <c r="AC284" s="14">
        <f t="shared" si="71"/>
        <v>0</v>
      </c>
      <c r="AD284" s="15">
        <f>IFERROR(AC284/AC444, "NA")</f>
        <v>0</v>
      </c>
    </row>
    <row r="285" spans="1:30" ht="16.5" customHeight="1" x14ac:dyDescent="0.45">
      <c r="A285" s="5" t="s">
        <v>259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  <c r="Y285" s="4"/>
      <c r="Z285" s="2"/>
      <c r="AA285" s="3"/>
      <c r="AB285" s="4"/>
      <c r="AC285" s="2"/>
      <c r="AD285" s="3"/>
    </row>
    <row r="286" spans="1:30" ht="16.5" hidden="1" customHeight="1" x14ac:dyDescent="0.45">
      <c r="A286" s="6" t="s">
        <v>259</v>
      </c>
      <c r="B286" s="7">
        <v>0</v>
      </c>
      <c r="C286" s="8">
        <f>IFERROR(B286/B444, "NA")</f>
        <v>0</v>
      </c>
      <c r="D286" s="9"/>
      <c r="E286" s="7">
        <v>0</v>
      </c>
      <c r="F286" s="8">
        <f>IFERROR(E286/E444, "NA")</f>
        <v>0</v>
      </c>
      <c r="G286" s="9"/>
      <c r="H286" s="10">
        <f t="shared" ref="H286:H295" si="72">IFERROR(-(B286-E286), "NA")</f>
        <v>0</v>
      </c>
      <c r="I286" s="8">
        <f>IFERROR(H286/H444, "NA")</f>
        <v>0</v>
      </c>
      <c r="J286" s="9"/>
      <c r="K286" s="7">
        <v>0</v>
      </c>
      <c r="L286" s="8">
        <f>IFERROR(K286/K444, "NA")</f>
        <v>0</v>
      </c>
      <c r="M286" s="9"/>
      <c r="N286" s="10">
        <f t="shared" ref="N286:N295" si="73">IFERROR(-(B286-K286), "NA")</f>
        <v>0</v>
      </c>
      <c r="O286" s="8">
        <f>IFERROR(N286/N444, "NA")</f>
        <v>0</v>
      </c>
      <c r="P286" s="9"/>
      <c r="Q286" s="7">
        <v>0</v>
      </c>
      <c r="R286" s="8">
        <f>IFERROR(Q286/Q444, "NA")</f>
        <v>0</v>
      </c>
      <c r="S286" s="9"/>
      <c r="T286" s="7">
        <v>0</v>
      </c>
      <c r="U286" s="8">
        <f>IFERROR(T286/T444, "NA")</f>
        <v>0</v>
      </c>
      <c r="V286" s="9"/>
      <c r="W286" s="10">
        <f t="shared" ref="W286:W295" si="74">IFERROR(-(Q286-T286), "NA")</f>
        <v>0</v>
      </c>
      <c r="X286" s="8">
        <f>IFERROR(W286/W444, "NA")</f>
        <v>0</v>
      </c>
      <c r="Y286" s="9"/>
      <c r="Z286" s="7">
        <v>0</v>
      </c>
      <c r="AA286" s="8">
        <f>IFERROR(Z286/Z444, "NA")</f>
        <v>0</v>
      </c>
      <c r="AB286" s="9"/>
      <c r="AC286" s="10">
        <f t="shared" ref="AC286:AC295" si="75">IFERROR(-(Q286-Z286), "NA")</f>
        <v>0</v>
      </c>
      <c r="AD286" s="8">
        <f>IFERROR(AC286/AC444, "NA")</f>
        <v>0</v>
      </c>
    </row>
    <row r="287" spans="1:30" ht="16.5" hidden="1" customHeight="1" x14ac:dyDescent="0.45">
      <c r="A287" s="6" t="s">
        <v>260</v>
      </c>
      <c r="B287" s="7">
        <v>0</v>
      </c>
      <c r="C287" s="8">
        <f>IFERROR(B287/B444, "NA")</f>
        <v>0</v>
      </c>
      <c r="D287" s="9"/>
      <c r="E287" s="7">
        <v>0</v>
      </c>
      <c r="F287" s="8">
        <f>IFERROR(E287/E444, "NA")</f>
        <v>0</v>
      </c>
      <c r="G287" s="9"/>
      <c r="H287" s="10">
        <f t="shared" si="72"/>
        <v>0</v>
      </c>
      <c r="I287" s="8">
        <f>IFERROR(H287/H444, "NA")</f>
        <v>0</v>
      </c>
      <c r="J287" s="9"/>
      <c r="K287" s="7">
        <v>0</v>
      </c>
      <c r="L287" s="8">
        <f>IFERROR(K287/K444, "NA")</f>
        <v>0</v>
      </c>
      <c r="M287" s="9"/>
      <c r="N287" s="10">
        <f t="shared" si="73"/>
        <v>0</v>
      </c>
      <c r="O287" s="8">
        <f>IFERROR(N287/N444, "NA")</f>
        <v>0</v>
      </c>
      <c r="P287" s="9"/>
      <c r="Q287" s="7">
        <v>0</v>
      </c>
      <c r="R287" s="8">
        <f>IFERROR(Q287/Q444, "NA")</f>
        <v>0</v>
      </c>
      <c r="S287" s="9"/>
      <c r="T287" s="7">
        <v>0</v>
      </c>
      <c r="U287" s="8">
        <f>IFERROR(T287/T444, "NA")</f>
        <v>0</v>
      </c>
      <c r="V287" s="9"/>
      <c r="W287" s="10">
        <f t="shared" si="74"/>
        <v>0</v>
      </c>
      <c r="X287" s="8">
        <f>IFERROR(W287/W444, "NA")</f>
        <v>0</v>
      </c>
      <c r="Y287" s="9"/>
      <c r="Z287" s="7">
        <v>0</v>
      </c>
      <c r="AA287" s="8">
        <f>IFERROR(Z287/Z444, "NA")</f>
        <v>0</v>
      </c>
      <c r="AB287" s="9"/>
      <c r="AC287" s="10">
        <f t="shared" si="75"/>
        <v>0</v>
      </c>
      <c r="AD287" s="8">
        <f>IFERROR(AC287/AC444, "NA")</f>
        <v>0</v>
      </c>
    </row>
    <row r="288" spans="1:30" ht="16.5" customHeight="1" x14ac:dyDescent="0.45">
      <c r="A288" s="6" t="s">
        <v>261</v>
      </c>
      <c r="B288" s="7">
        <v>145.75</v>
      </c>
      <c r="C288" s="8">
        <f>IFERROR(B288/B444, "NA")</f>
        <v>1.1122120038618748E-3</v>
      </c>
      <c r="D288" s="9"/>
      <c r="E288" s="7">
        <v>146</v>
      </c>
      <c r="F288" s="8">
        <f>IFERROR(E288/E444, "NA")</f>
        <v>1.026953809516809E-3</v>
      </c>
      <c r="G288" s="9"/>
      <c r="H288" s="10">
        <f t="shared" si="72"/>
        <v>0.25</v>
      </c>
      <c r="I288" s="8">
        <f>IFERROR(H288/H444, "NA")</f>
        <v>-2.2476213423334096E-5</v>
      </c>
      <c r="J288" s="9"/>
      <c r="K288" s="7">
        <v>144.65</v>
      </c>
      <c r="L288" s="8">
        <f>IFERROR(K288/K444, "NA")</f>
        <v>1.0512884879513545E-3</v>
      </c>
      <c r="M288" s="9"/>
      <c r="N288" s="10">
        <f t="shared" si="73"/>
        <v>-1.0999999999999943</v>
      </c>
      <c r="O288" s="8">
        <f>IFERROR(N288/N444, "NA")</f>
        <v>1.6799279158203321E-4</v>
      </c>
      <c r="P288" s="9"/>
      <c r="Q288" s="7">
        <v>145.75</v>
      </c>
      <c r="R288" s="8">
        <f>IFERROR(Q288/Q444, "NA")</f>
        <v>1.1122120038618748E-3</v>
      </c>
      <c r="S288" s="9"/>
      <c r="T288" s="7">
        <v>146</v>
      </c>
      <c r="U288" s="8">
        <f>IFERROR(T288/T444, "NA")</f>
        <v>1.026953809516809E-3</v>
      </c>
      <c r="V288" s="9"/>
      <c r="W288" s="10">
        <f t="shared" si="74"/>
        <v>0.25</v>
      </c>
      <c r="X288" s="8">
        <f>IFERROR(W288/W444, "NA")</f>
        <v>-2.2476213423334096E-5</v>
      </c>
      <c r="Y288" s="9"/>
      <c r="Z288" s="7">
        <v>144.65</v>
      </c>
      <c r="AA288" s="8">
        <f>IFERROR(Z288/Z444, "NA")</f>
        <v>1.0512884879513545E-3</v>
      </c>
      <c r="AB288" s="9"/>
      <c r="AC288" s="10">
        <f t="shared" si="75"/>
        <v>-1.0999999999999943</v>
      </c>
      <c r="AD288" s="8">
        <f>IFERROR(AC288/AC444, "NA")</f>
        <v>1.6799279158203321E-4</v>
      </c>
    </row>
    <row r="289" spans="1:30" ht="16.5" customHeight="1" x14ac:dyDescent="0.45">
      <c r="A289" s="6" t="s">
        <v>262</v>
      </c>
      <c r="B289" s="7">
        <v>247.3</v>
      </c>
      <c r="C289" s="8">
        <f>IFERROR(B289/B444, "NA")</f>
        <v>1.8871357019213835E-3</v>
      </c>
      <c r="D289" s="9"/>
      <c r="E289" s="7">
        <v>247</v>
      </c>
      <c r="F289" s="8">
        <f>IFERROR(E289/E444, "NA")</f>
        <v>1.7373807599359715E-3</v>
      </c>
      <c r="G289" s="9"/>
      <c r="H289" s="10">
        <f t="shared" si="72"/>
        <v>-0.30000000000001137</v>
      </c>
      <c r="I289" s="8">
        <f>IFERROR(H289/H444, "NA")</f>
        <v>2.6971456108001936E-5</v>
      </c>
      <c r="J289" s="9"/>
      <c r="K289" s="7">
        <v>218.07</v>
      </c>
      <c r="L289" s="8">
        <f>IFERROR(K289/K444, "NA")</f>
        <v>1.5848909821469194E-3</v>
      </c>
      <c r="M289" s="9"/>
      <c r="N289" s="10">
        <f t="shared" si="73"/>
        <v>-29.230000000000018</v>
      </c>
      <c r="O289" s="8">
        <f>IFERROR(N289/N444, "NA")</f>
        <v>4.4640266344935084E-3</v>
      </c>
      <c r="P289" s="9"/>
      <c r="Q289" s="7">
        <v>247.3</v>
      </c>
      <c r="R289" s="8">
        <f>IFERROR(Q289/Q444, "NA")</f>
        <v>1.8871357019213835E-3</v>
      </c>
      <c r="S289" s="9"/>
      <c r="T289" s="7">
        <v>247</v>
      </c>
      <c r="U289" s="8">
        <f>IFERROR(T289/T444, "NA")</f>
        <v>1.7373807599359715E-3</v>
      </c>
      <c r="V289" s="9"/>
      <c r="W289" s="10">
        <f t="shared" si="74"/>
        <v>-0.30000000000001137</v>
      </c>
      <c r="X289" s="8">
        <f>IFERROR(W289/W444, "NA")</f>
        <v>2.6971456108001936E-5</v>
      </c>
      <c r="Y289" s="9"/>
      <c r="Z289" s="7">
        <v>218.07</v>
      </c>
      <c r="AA289" s="8">
        <f>IFERROR(Z289/Z444, "NA")</f>
        <v>1.5848909821469194E-3</v>
      </c>
      <c r="AB289" s="9"/>
      <c r="AC289" s="10">
        <f t="shared" si="75"/>
        <v>-29.230000000000018</v>
      </c>
      <c r="AD289" s="8">
        <f>IFERROR(AC289/AC444, "NA")</f>
        <v>4.4640266344935084E-3</v>
      </c>
    </row>
    <row r="290" spans="1:30" ht="16.5" customHeight="1" x14ac:dyDescent="0.45">
      <c r="A290" s="6" t="s">
        <v>263</v>
      </c>
      <c r="B290" s="7">
        <v>958.41</v>
      </c>
      <c r="C290" s="8">
        <f>IFERROR(B290/B444, "NA")</f>
        <v>7.3135856371956045E-3</v>
      </c>
      <c r="D290" s="9"/>
      <c r="E290" s="7">
        <v>853.01</v>
      </c>
      <c r="F290" s="8">
        <f>IFERROR(E290/E444, "NA")</f>
        <v>6.0000128017529677E-3</v>
      </c>
      <c r="G290" s="9"/>
      <c r="H290" s="10">
        <f t="shared" si="72"/>
        <v>-105.39999999999998</v>
      </c>
      <c r="I290" s="8">
        <f>IFERROR(H290/H444, "NA")</f>
        <v>9.4759715792776516E-3</v>
      </c>
      <c r="J290" s="9"/>
      <c r="K290" s="7">
        <v>1265.3800000000001</v>
      </c>
      <c r="L290" s="8">
        <f>IFERROR(K290/K444, "NA")</f>
        <v>9.1965394184852067E-3</v>
      </c>
      <c r="M290" s="9"/>
      <c r="N290" s="10">
        <f t="shared" si="73"/>
        <v>306.97000000000014</v>
      </c>
      <c r="O290" s="8">
        <f>IFERROR(N290/N444, "NA")</f>
        <v>-4.688067930176093E-2</v>
      </c>
      <c r="P290" s="9"/>
      <c r="Q290" s="7">
        <v>958.41</v>
      </c>
      <c r="R290" s="8">
        <f>IFERROR(Q290/Q444, "NA")</f>
        <v>7.3135856371956045E-3</v>
      </c>
      <c r="S290" s="9"/>
      <c r="T290" s="7">
        <v>853.01</v>
      </c>
      <c r="U290" s="8">
        <f>IFERROR(T290/T444, "NA")</f>
        <v>6.0000128017529677E-3</v>
      </c>
      <c r="V290" s="9"/>
      <c r="W290" s="10">
        <f t="shared" si="74"/>
        <v>-105.39999999999998</v>
      </c>
      <c r="X290" s="8">
        <f>IFERROR(W290/W444, "NA")</f>
        <v>9.4759715792776516E-3</v>
      </c>
      <c r="Y290" s="9"/>
      <c r="Z290" s="7">
        <v>1265.3800000000001</v>
      </c>
      <c r="AA290" s="8">
        <f>IFERROR(Z290/Z444, "NA")</f>
        <v>9.1965394184852067E-3</v>
      </c>
      <c r="AB290" s="9"/>
      <c r="AC290" s="10">
        <f t="shared" si="75"/>
        <v>306.97000000000014</v>
      </c>
      <c r="AD290" s="8">
        <f>IFERROR(AC290/AC444, "NA")</f>
        <v>-4.688067930176093E-2</v>
      </c>
    </row>
    <row r="291" spans="1:30" ht="16.5" customHeight="1" x14ac:dyDescent="0.45">
      <c r="A291" s="6" t="s">
        <v>264</v>
      </c>
      <c r="B291" s="7">
        <v>2494.6799999999998</v>
      </c>
      <c r="C291" s="8">
        <f>IFERROR(B291/B444, "NA")</f>
        <v>1.9036796170114178E-2</v>
      </c>
      <c r="D291" s="9"/>
      <c r="E291" s="7">
        <v>710.84</v>
      </c>
      <c r="F291" s="8">
        <f>IFERROR(E291/E444, "NA")</f>
        <v>4.9999989449104696E-3</v>
      </c>
      <c r="G291" s="9"/>
      <c r="H291" s="10">
        <f t="shared" si="72"/>
        <v>-1783.8399999999997</v>
      </c>
      <c r="I291" s="8">
        <f>IFERROR(H291/H444, "NA")</f>
        <v>0.16037587421232113</v>
      </c>
      <c r="J291" s="9"/>
      <c r="K291" s="7">
        <v>2918.94</v>
      </c>
      <c r="L291" s="8">
        <f>IFERROR(K291/K444, "NA")</f>
        <v>2.1214296709441596E-2</v>
      </c>
      <c r="M291" s="9"/>
      <c r="N291" s="10">
        <f t="shared" si="73"/>
        <v>424.26000000000022</v>
      </c>
      <c r="O291" s="8">
        <f>IFERROR(N291/N444, "NA")</f>
        <v>-6.4793292505994374E-2</v>
      </c>
      <c r="P291" s="9"/>
      <c r="Q291" s="7">
        <v>2494.6799999999998</v>
      </c>
      <c r="R291" s="8">
        <f>IFERROR(Q291/Q444, "NA")</f>
        <v>1.9036796170114178E-2</v>
      </c>
      <c r="S291" s="9"/>
      <c r="T291" s="7">
        <v>710.84</v>
      </c>
      <c r="U291" s="8">
        <f>IFERROR(T291/T444, "NA")</f>
        <v>4.9999989449104696E-3</v>
      </c>
      <c r="V291" s="9"/>
      <c r="W291" s="10">
        <f t="shared" si="74"/>
        <v>-1783.8399999999997</v>
      </c>
      <c r="X291" s="8">
        <f>IFERROR(W291/W444, "NA")</f>
        <v>0.16037587421232113</v>
      </c>
      <c r="Y291" s="9"/>
      <c r="Z291" s="7">
        <v>2918.94</v>
      </c>
      <c r="AA291" s="8">
        <f>IFERROR(Z291/Z444, "NA")</f>
        <v>2.1214296709441596E-2</v>
      </c>
      <c r="AB291" s="9"/>
      <c r="AC291" s="10">
        <f t="shared" si="75"/>
        <v>424.26000000000022</v>
      </c>
      <c r="AD291" s="8">
        <f>IFERROR(AC291/AC444, "NA")</f>
        <v>-6.4793292505994374E-2</v>
      </c>
    </row>
    <row r="292" spans="1:30" ht="16.5" customHeight="1" x14ac:dyDescent="0.45">
      <c r="A292" s="6" t="s">
        <v>265</v>
      </c>
      <c r="B292" s="7">
        <v>394.79</v>
      </c>
      <c r="C292" s="8">
        <f>IFERROR(B292/B444, "NA")</f>
        <v>3.012625571215297E-3</v>
      </c>
      <c r="D292" s="9"/>
      <c r="E292" s="7">
        <v>142.16999999999999</v>
      </c>
      <c r="F292" s="8">
        <f>IFERROR(E292/E444, "NA")</f>
        <v>1.0000138568424981E-3</v>
      </c>
      <c r="G292" s="9"/>
      <c r="H292" s="10">
        <f t="shared" si="72"/>
        <v>-252.62000000000003</v>
      </c>
      <c r="I292" s="8">
        <f>IFERROR(H292/H444, "NA")</f>
        <v>2.2711764140010641E-2</v>
      </c>
      <c r="J292" s="9"/>
      <c r="K292" s="7">
        <v>0</v>
      </c>
      <c r="L292" s="8">
        <f>IFERROR(K292/K444, "NA")</f>
        <v>0</v>
      </c>
      <c r="M292" s="9"/>
      <c r="N292" s="10">
        <f t="shared" si="73"/>
        <v>-394.79</v>
      </c>
      <c r="O292" s="8">
        <f>IFERROR(N292/N444, "NA")</f>
        <v>6.0292612898792036E-2</v>
      </c>
      <c r="P292" s="9"/>
      <c r="Q292" s="7">
        <v>394.79</v>
      </c>
      <c r="R292" s="8">
        <f>IFERROR(Q292/Q444, "NA")</f>
        <v>3.012625571215297E-3</v>
      </c>
      <c r="S292" s="9"/>
      <c r="T292" s="7">
        <v>142.16999999999999</v>
      </c>
      <c r="U292" s="8">
        <f>IFERROR(T292/T444, "NA")</f>
        <v>1.0000138568424981E-3</v>
      </c>
      <c r="V292" s="9"/>
      <c r="W292" s="10">
        <f t="shared" si="74"/>
        <v>-252.62000000000003</v>
      </c>
      <c r="X292" s="8">
        <f>IFERROR(W292/W444, "NA")</f>
        <v>2.2711764140010641E-2</v>
      </c>
      <c r="Y292" s="9"/>
      <c r="Z292" s="7">
        <v>0</v>
      </c>
      <c r="AA292" s="8">
        <f>IFERROR(Z292/Z444, "NA")</f>
        <v>0</v>
      </c>
      <c r="AB292" s="9"/>
      <c r="AC292" s="10">
        <f t="shared" si="75"/>
        <v>-394.79</v>
      </c>
      <c r="AD292" s="8">
        <f>IFERROR(AC292/AC444, "NA")</f>
        <v>6.0292612898792036E-2</v>
      </c>
    </row>
    <row r="293" spans="1:30" ht="16.5" customHeight="1" x14ac:dyDescent="0.45">
      <c r="A293" s="6" t="s">
        <v>266</v>
      </c>
      <c r="B293" s="7">
        <v>0</v>
      </c>
      <c r="C293" s="8">
        <f>IFERROR(B293/B444, "NA")</f>
        <v>0</v>
      </c>
      <c r="D293" s="9"/>
      <c r="E293" s="7">
        <v>213.25</v>
      </c>
      <c r="F293" s="8">
        <f>IFERROR(E293/E444, "NA")</f>
        <v>1.4999856156127365E-3</v>
      </c>
      <c r="G293" s="9"/>
      <c r="H293" s="10">
        <f t="shared" si="72"/>
        <v>213.25</v>
      </c>
      <c r="I293" s="8">
        <f>IFERROR(H293/H444, "NA")</f>
        <v>-1.9172210050103982E-2</v>
      </c>
      <c r="J293" s="9"/>
      <c r="K293" s="7">
        <v>0</v>
      </c>
      <c r="L293" s="8">
        <f>IFERROR(K293/K444, "NA")</f>
        <v>0</v>
      </c>
      <c r="M293" s="9"/>
      <c r="N293" s="10">
        <f t="shared" si="73"/>
        <v>0</v>
      </c>
      <c r="O293" s="8">
        <f>IFERROR(N293/N444, "NA")</f>
        <v>0</v>
      </c>
      <c r="P293" s="9"/>
      <c r="Q293" s="7">
        <v>0</v>
      </c>
      <c r="R293" s="8">
        <f>IFERROR(Q293/Q444, "NA")</f>
        <v>0</v>
      </c>
      <c r="S293" s="9"/>
      <c r="T293" s="7">
        <v>213.25</v>
      </c>
      <c r="U293" s="8">
        <f>IFERROR(T293/T444, "NA")</f>
        <v>1.4999856156127365E-3</v>
      </c>
      <c r="V293" s="9"/>
      <c r="W293" s="10">
        <f t="shared" si="74"/>
        <v>213.25</v>
      </c>
      <c r="X293" s="8">
        <f>IFERROR(W293/W444, "NA")</f>
        <v>-1.9172210050103982E-2</v>
      </c>
      <c r="Y293" s="9"/>
      <c r="Z293" s="7">
        <v>0</v>
      </c>
      <c r="AA293" s="8">
        <f>IFERROR(Z293/Z444, "NA")</f>
        <v>0</v>
      </c>
      <c r="AB293" s="9"/>
      <c r="AC293" s="10">
        <f t="shared" si="75"/>
        <v>0</v>
      </c>
      <c r="AD293" s="8">
        <f>IFERROR(AC293/AC444, "NA")</f>
        <v>0</v>
      </c>
    </row>
    <row r="294" spans="1:30" ht="16.5" customHeight="1" x14ac:dyDescent="0.45">
      <c r="A294" s="6" t="s">
        <v>267</v>
      </c>
      <c r="B294" s="7">
        <v>299.99</v>
      </c>
      <c r="C294" s="8">
        <f>IFERROR(B294/B444, "NA")</f>
        <v>2.2892108338835255E-3</v>
      </c>
      <c r="D294" s="9"/>
      <c r="E294" s="7">
        <v>311</v>
      </c>
      <c r="F294" s="8">
        <f>IFERROR(E294/E444, "NA")</f>
        <v>2.1875522928748469E-3</v>
      </c>
      <c r="G294" s="9"/>
      <c r="H294" s="10">
        <f t="shared" si="72"/>
        <v>11.009999999999991</v>
      </c>
      <c r="I294" s="8">
        <f>IFERROR(H294/H444, "NA")</f>
        <v>-9.8985243916363281E-4</v>
      </c>
      <c r="J294" s="9"/>
      <c r="K294" s="7">
        <v>324.99</v>
      </c>
      <c r="L294" s="8">
        <f>IFERROR(K294/K444, "NA")</f>
        <v>2.361965058412103E-3</v>
      </c>
      <c r="M294" s="9"/>
      <c r="N294" s="10">
        <f t="shared" si="73"/>
        <v>25</v>
      </c>
      <c r="O294" s="8">
        <f>IFERROR(N294/N444, "NA")</f>
        <v>-3.8180179905007747E-3</v>
      </c>
      <c r="P294" s="9"/>
      <c r="Q294" s="7">
        <v>299.99</v>
      </c>
      <c r="R294" s="8">
        <f>IFERROR(Q294/Q444, "NA")</f>
        <v>2.2892108338835255E-3</v>
      </c>
      <c r="S294" s="9"/>
      <c r="T294" s="7">
        <v>311</v>
      </c>
      <c r="U294" s="8">
        <f>IFERROR(T294/T444, "NA")</f>
        <v>2.1875522928748469E-3</v>
      </c>
      <c r="V294" s="9"/>
      <c r="W294" s="10">
        <f t="shared" si="74"/>
        <v>11.009999999999991</v>
      </c>
      <c r="X294" s="8">
        <f>IFERROR(W294/W444, "NA")</f>
        <v>-9.8985243916363281E-4</v>
      </c>
      <c r="Y294" s="9"/>
      <c r="Z294" s="7">
        <v>324.99</v>
      </c>
      <c r="AA294" s="8">
        <f>IFERROR(Z294/Z444, "NA")</f>
        <v>2.361965058412103E-3</v>
      </c>
      <c r="AB294" s="9"/>
      <c r="AC294" s="10">
        <f t="shared" si="75"/>
        <v>25</v>
      </c>
      <c r="AD294" s="8">
        <f>IFERROR(AC294/AC444, "NA")</f>
        <v>-3.8180179905007747E-3</v>
      </c>
    </row>
    <row r="295" spans="1:30" ht="16.5" customHeight="1" x14ac:dyDescent="0.45">
      <c r="A295" s="19" t="s">
        <v>268</v>
      </c>
      <c r="B295" s="14">
        <f>IFERROR(B286+B287+B288+B289+B290+B291+B292+B293+B294, "NA")</f>
        <v>4540.92</v>
      </c>
      <c r="C295" s="15">
        <f>IFERROR(B295/B444, "NA")</f>
        <v>3.4651565918191865E-2</v>
      </c>
      <c r="D295" s="2"/>
      <c r="E295" s="14">
        <f>IFERROR(E286+E287+E288+E289+E290+E291+E292+E293+E294, "NA")</f>
        <v>2623.27</v>
      </c>
      <c r="F295" s="15">
        <f>IFERROR(E295/E444, "NA")</f>
        <v>1.8451898081446299E-2</v>
      </c>
      <c r="G295" s="2"/>
      <c r="H295" s="14">
        <f t="shared" si="72"/>
        <v>-1917.65</v>
      </c>
      <c r="I295" s="15">
        <f>IFERROR(H295/H444, "NA")</f>
        <v>0.17240604268502652</v>
      </c>
      <c r="J295" s="2"/>
      <c r="K295" s="14">
        <f>IFERROR(K286+K287+K288+K289+K290+K291+K292+K293+K294, "NA")</f>
        <v>4872.03</v>
      </c>
      <c r="L295" s="15">
        <f>IFERROR(K295/K444, "NA")</f>
        <v>3.5408980656437175E-2</v>
      </c>
      <c r="M295" s="2"/>
      <c r="N295" s="14">
        <f t="shared" si="73"/>
        <v>331.10999999999967</v>
      </c>
      <c r="O295" s="15">
        <f>IFERROR(N295/N444, "NA")</f>
        <v>-5.0567357473388412E-2</v>
      </c>
      <c r="P295" s="2"/>
      <c r="Q295" s="14">
        <f>IFERROR(Q286+Q287+Q288+Q289+Q290+Q291+Q292+Q293+Q294, "NA")</f>
        <v>4540.92</v>
      </c>
      <c r="R295" s="15">
        <f>IFERROR(Q295/Q444, "NA")</f>
        <v>3.4651565918191865E-2</v>
      </c>
      <c r="S295" s="2"/>
      <c r="T295" s="14">
        <f>IFERROR(T286+T287+T288+T289+T290+T291+T292+T293+T294, "NA")</f>
        <v>2623.27</v>
      </c>
      <c r="U295" s="15">
        <f>IFERROR(T295/T444, "NA")</f>
        <v>1.8451898081446299E-2</v>
      </c>
      <c r="V295" s="2"/>
      <c r="W295" s="14">
        <f t="shared" si="74"/>
        <v>-1917.65</v>
      </c>
      <c r="X295" s="15">
        <f>IFERROR(W295/W444, "NA")</f>
        <v>0.17240604268502652</v>
      </c>
      <c r="Y295" s="2"/>
      <c r="Z295" s="14">
        <f>IFERROR(Z286+Z287+Z288+Z289+Z290+Z291+Z292+Z293+Z294, "NA")</f>
        <v>4872.03</v>
      </c>
      <c r="AA295" s="15">
        <f>IFERROR(Z295/Z444, "NA")</f>
        <v>3.5408980656437175E-2</v>
      </c>
      <c r="AB295" s="2"/>
      <c r="AC295" s="14">
        <f t="shared" si="75"/>
        <v>331.10999999999967</v>
      </c>
      <c r="AD295" s="15">
        <f>IFERROR(AC295/AC444, "NA")</f>
        <v>-5.0567357473388412E-2</v>
      </c>
    </row>
    <row r="296" spans="1:30" ht="16.5" customHeight="1" x14ac:dyDescent="0.45">
      <c r="A296" s="5" t="s">
        <v>269</v>
      </c>
      <c r="B296" s="2"/>
      <c r="C296" s="3"/>
      <c r="D296" s="4"/>
      <c r="E296" s="2"/>
      <c r="F296" s="3"/>
      <c r="G296" s="4"/>
      <c r="H296" s="2"/>
      <c r="I296" s="3"/>
      <c r="J296" s="4"/>
      <c r="K296" s="2"/>
      <c r="L296" s="3"/>
      <c r="M296" s="4"/>
      <c r="N296" s="2"/>
      <c r="O296" s="3"/>
      <c r="P296" s="4"/>
      <c r="Q296" s="2"/>
      <c r="R296" s="3"/>
      <c r="S296" s="4"/>
      <c r="T296" s="2"/>
      <c r="U296" s="3"/>
      <c r="V296" s="4"/>
      <c r="W296" s="2"/>
      <c r="X296" s="3"/>
      <c r="Y296" s="4"/>
      <c r="Z296" s="2"/>
      <c r="AA296" s="3"/>
      <c r="AB296" s="4"/>
      <c r="AC296" s="2"/>
      <c r="AD296" s="3"/>
    </row>
    <row r="297" spans="1:30" ht="16.5" hidden="1" customHeight="1" x14ac:dyDescent="0.45">
      <c r="A297" s="6" t="s">
        <v>269</v>
      </c>
      <c r="B297" s="7">
        <v>0</v>
      </c>
      <c r="C297" s="8">
        <f>IFERROR(B297/B444, "NA")</f>
        <v>0</v>
      </c>
      <c r="D297" s="9"/>
      <c r="E297" s="7">
        <v>0</v>
      </c>
      <c r="F297" s="8">
        <f>IFERROR(E297/E444, "NA")</f>
        <v>0</v>
      </c>
      <c r="G297" s="9"/>
      <c r="H297" s="10">
        <f t="shared" ref="H297:H325" si="76">IFERROR(-(B297-E297), "NA")</f>
        <v>0</v>
      </c>
      <c r="I297" s="8">
        <f>IFERROR(H297/H444, "NA")</f>
        <v>0</v>
      </c>
      <c r="J297" s="9"/>
      <c r="K297" s="7">
        <v>0</v>
      </c>
      <c r="L297" s="8">
        <f>IFERROR(K297/K444, "NA")</f>
        <v>0</v>
      </c>
      <c r="M297" s="9"/>
      <c r="N297" s="10">
        <f t="shared" ref="N297:N325" si="77">IFERROR(-(B297-K297), "NA")</f>
        <v>0</v>
      </c>
      <c r="O297" s="8">
        <f>IFERROR(N297/N444, "NA")</f>
        <v>0</v>
      </c>
      <c r="P297" s="9"/>
      <c r="Q297" s="7">
        <v>0</v>
      </c>
      <c r="R297" s="8">
        <f>IFERROR(Q297/Q444, "NA")</f>
        <v>0</v>
      </c>
      <c r="S297" s="9"/>
      <c r="T297" s="7">
        <v>0</v>
      </c>
      <c r="U297" s="8">
        <f>IFERROR(T297/T444, "NA")</f>
        <v>0</v>
      </c>
      <c r="V297" s="9"/>
      <c r="W297" s="10">
        <f t="shared" ref="W297:W325" si="78">IFERROR(-(Q297-T297), "NA")</f>
        <v>0</v>
      </c>
      <c r="X297" s="8">
        <f>IFERROR(W297/W444, "NA")</f>
        <v>0</v>
      </c>
      <c r="Y297" s="9"/>
      <c r="Z297" s="7">
        <v>0</v>
      </c>
      <c r="AA297" s="8">
        <f>IFERROR(Z297/Z444, "NA")</f>
        <v>0</v>
      </c>
      <c r="AB297" s="9"/>
      <c r="AC297" s="10">
        <f t="shared" ref="AC297:AC325" si="79">IFERROR(-(Q297-Z297), "NA")</f>
        <v>0</v>
      </c>
      <c r="AD297" s="8">
        <f>IFERROR(AC297/AC444, "NA")</f>
        <v>0</v>
      </c>
    </row>
    <row r="298" spans="1:30" ht="16.5" hidden="1" customHeight="1" x14ac:dyDescent="0.45">
      <c r="A298" s="6" t="s">
        <v>270</v>
      </c>
      <c r="B298" s="7">
        <v>0</v>
      </c>
      <c r="C298" s="8">
        <f>IFERROR(B298/B444, "NA")</f>
        <v>0</v>
      </c>
      <c r="D298" s="9"/>
      <c r="E298" s="7">
        <v>0</v>
      </c>
      <c r="F298" s="8">
        <f>IFERROR(E298/E444, "NA")</f>
        <v>0</v>
      </c>
      <c r="G298" s="9"/>
      <c r="H298" s="10">
        <f t="shared" si="76"/>
        <v>0</v>
      </c>
      <c r="I298" s="8">
        <f>IFERROR(H298/H444, "NA")</f>
        <v>0</v>
      </c>
      <c r="J298" s="9"/>
      <c r="K298" s="7">
        <v>0</v>
      </c>
      <c r="L298" s="8">
        <f>IFERROR(K298/K444, "NA")</f>
        <v>0</v>
      </c>
      <c r="M298" s="9"/>
      <c r="N298" s="10">
        <f t="shared" si="77"/>
        <v>0</v>
      </c>
      <c r="O298" s="8">
        <f>IFERROR(N298/N444, "NA")</f>
        <v>0</v>
      </c>
      <c r="P298" s="9"/>
      <c r="Q298" s="7">
        <v>0</v>
      </c>
      <c r="R298" s="8">
        <f>IFERROR(Q298/Q444, "NA")</f>
        <v>0</v>
      </c>
      <c r="S298" s="9"/>
      <c r="T298" s="7">
        <v>0</v>
      </c>
      <c r="U298" s="8">
        <f>IFERROR(T298/T444, "NA")</f>
        <v>0</v>
      </c>
      <c r="V298" s="9"/>
      <c r="W298" s="10">
        <f t="shared" si="78"/>
        <v>0</v>
      </c>
      <c r="X298" s="8">
        <f>IFERROR(W298/W444, "NA")</f>
        <v>0</v>
      </c>
      <c r="Y298" s="9"/>
      <c r="Z298" s="7">
        <v>0</v>
      </c>
      <c r="AA298" s="8">
        <f>IFERROR(Z298/Z444, "NA")</f>
        <v>0</v>
      </c>
      <c r="AB298" s="9"/>
      <c r="AC298" s="10">
        <f t="shared" si="79"/>
        <v>0</v>
      </c>
      <c r="AD298" s="8">
        <f>IFERROR(AC298/AC444, "NA")</f>
        <v>0</v>
      </c>
    </row>
    <row r="299" spans="1:30" ht="16.5" customHeight="1" x14ac:dyDescent="0.45">
      <c r="A299" s="6" t="s">
        <v>271</v>
      </c>
      <c r="B299" s="7">
        <v>525.57000000000005</v>
      </c>
      <c r="C299" s="8">
        <f>IFERROR(B299/B444, "NA")</f>
        <v>4.0106021466187686E-3</v>
      </c>
      <c r="D299" s="9"/>
      <c r="E299" s="7">
        <v>517</v>
      </c>
      <c r="F299" s="8">
        <f>IFERROR(E299/E444, "NA")</f>
        <v>3.6365419145218516E-3</v>
      </c>
      <c r="G299" s="9"/>
      <c r="H299" s="10">
        <f t="shared" si="76"/>
        <v>-8.57000000000005</v>
      </c>
      <c r="I299" s="8">
        <f>IFERROR(H299/H444, "NA")</f>
        <v>7.7048459615189726E-4</v>
      </c>
      <c r="J299" s="9"/>
      <c r="K299" s="7">
        <v>907.11</v>
      </c>
      <c r="L299" s="8">
        <f>IFERROR(K299/K444, "NA")</f>
        <v>6.592701695855881E-3</v>
      </c>
      <c r="M299" s="9"/>
      <c r="N299" s="10">
        <f t="shared" si="77"/>
        <v>381.53999999999996</v>
      </c>
      <c r="O299" s="8">
        <f>IFERROR(N299/N444, "NA")</f>
        <v>-5.8269063363826618E-2</v>
      </c>
      <c r="P299" s="9"/>
      <c r="Q299" s="7">
        <v>525.57000000000005</v>
      </c>
      <c r="R299" s="8">
        <f>IFERROR(Q299/Q444, "NA")</f>
        <v>4.0106021466187686E-3</v>
      </c>
      <c r="S299" s="9"/>
      <c r="T299" s="7">
        <v>517</v>
      </c>
      <c r="U299" s="8">
        <f>IFERROR(T299/T444, "NA")</f>
        <v>3.6365419145218516E-3</v>
      </c>
      <c r="V299" s="9"/>
      <c r="W299" s="10">
        <f t="shared" si="78"/>
        <v>-8.57000000000005</v>
      </c>
      <c r="X299" s="8">
        <f>IFERROR(W299/W444, "NA")</f>
        <v>7.7048459615189726E-4</v>
      </c>
      <c r="Y299" s="9"/>
      <c r="Z299" s="7">
        <v>907.11</v>
      </c>
      <c r="AA299" s="8">
        <f>IFERROR(Z299/Z444, "NA")</f>
        <v>6.592701695855881E-3</v>
      </c>
      <c r="AB299" s="9"/>
      <c r="AC299" s="10">
        <f t="shared" si="79"/>
        <v>381.53999999999996</v>
      </c>
      <c r="AD299" s="8">
        <f>IFERROR(AC299/AC444, "NA")</f>
        <v>-5.8269063363826618E-2</v>
      </c>
    </row>
    <row r="300" spans="1:30" ht="16.5" hidden="1" customHeight="1" x14ac:dyDescent="0.45">
      <c r="A300" s="6" t="s">
        <v>272</v>
      </c>
      <c r="B300" s="7">
        <v>0</v>
      </c>
      <c r="C300" s="8">
        <f>IFERROR(B300/B444, "NA")</f>
        <v>0</v>
      </c>
      <c r="D300" s="9"/>
      <c r="E300" s="7">
        <v>0</v>
      </c>
      <c r="F300" s="8">
        <f>IFERROR(E300/E444, "NA")</f>
        <v>0</v>
      </c>
      <c r="G300" s="9"/>
      <c r="H300" s="10">
        <f t="shared" si="76"/>
        <v>0</v>
      </c>
      <c r="I300" s="8">
        <f>IFERROR(H300/H444, "NA")</f>
        <v>0</v>
      </c>
      <c r="J300" s="9"/>
      <c r="K300" s="7">
        <v>0</v>
      </c>
      <c r="L300" s="8">
        <f>IFERROR(K300/K444, "NA")</f>
        <v>0</v>
      </c>
      <c r="M300" s="9"/>
      <c r="N300" s="10">
        <f t="shared" si="77"/>
        <v>0</v>
      </c>
      <c r="O300" s="8">
        <f>IFERROR(N300/N444, "NA")</f>
        <v>0</v>
      </c>
      <c r="P300" s="9"/>
      <c r="Q300" s="7">
        <v>0</v>
      </c>
      <c r="R300" s="8">
        <f>IFERROR(Q300/Q444, "NA")</f>
        <v>0</v>
      </c>
      <c r="S300" s="9"/>
      <c r="T300" s="7">
        <v>0</v>
      </c>
      <c r="U300" s="8">
        <f>IFERROR(T300/T444, "NA")</f>
        <v>0</v>
      </c>
      <c r="V300" s="9"/>
      <c r="W300" s="10">
        <f t="shared" si="78"/>
        <v>0</v>
      </c>
      <c r="X300" s="8">
        <f>IFERROR(W300/W444, "NA")</f>
        <v>0</v>
      </c>
      <c r="Y300" s="9"/>
      <c r="Z300" s="7">
        <v>0</v>
      </c>
      <c r="AA300" s="8">
        <f>IFERROR(Z300/Z444, "NA")</f>
        <v>0</v>
      </c>
      <c r="AB300" s="9"/>
      <c r="AC300" s="10">
        <f t="shared" si="79"/>
        <v>0</v>
      </c>
      <c r="AD300" s="8">
        <f>IFERROR(AC300/AC444, "NA")</f>
        <v>0</v>
      </c>
    </row>
    <row r="301" spans="1:30" ht="16.5" hidden="1" customHeight="1" x14ac:dyDescent="0.45">
      <c r="A301" s="6" t="s">
        <v>273</v>
      </c>
      <c r="B301" s="7">
        <v>0</v>
      </c>
      <c r="C301" s="8">
        <f>IFERROR(B301/B444, "NA")</f>
        <v>0</v>
      </c>
      <c r="D301" s="9"/>
      <c r="E301" s="7">
        <v>0</v>
      </c>
      <c r="F301" s="8">
        <f>IFERROR(E301/E444, "NA")</f>
        <v>0</v>
      </c>
      <c r="G301" s="9"/>
      <c r="H301" s="10">
        <f t="shared" si="76"/>
        <v>0</v>
      </c>
      <c r="I301" s="8">
        <f>IFERROR(H301/H444, "NA")</f>
        <v>0</v>
      </c>
      <c r="J301" s="9"/>
      <c r="K301" s="7">
        <v>0</v>
      </c>
      <c r="L301" s="8">
        <f>IFERROR(K301/K444, "NA")</f>
        <v>0</v>
      </c>
      <c r="M301" s="9"/>
      <c r="N301" s="10">
        <f t="shared" si="77"/>
        <v>0</v>
      </c>
      <c r="O301" s="8">
        <f>IFERROR(N301/N444, "NA")</f>
        <v>0</v>
      </c>
      <c r="P301" s="9"/>
      <c r="Q301" s="7">
        <v>0</v>
      </c>
      <c r="R301" s="8">
        <f>IFERROR(Q301/Q444, "NA")</f>
        <v>0</v>
      </c>
      <c r="S301" s="9"/>
      <c r="T301" s="7">
        <v>0</v>
      </c>
      <c r="U301" s="8">
        <f>IFERROR(T301/T444, "NA")</f>
        <v>0</v>
      </c>
      <c r="V301" s="9"/>
      <c r="W301" s="10">
        <f t="shared" si="78"/>
        <v>0</v>
      </c>
      <c r="X301" s="8">
        <f>IFERROR(W301/W444, "NA")</f>
        <v>0</v>
      </c>
      <c r="Y301" s="9"/>
      <c r="Z301" s="7">
        <v>0</v>
      </c>
      <c r="AA301" s="8">
        <f>IFERROR(Z301/Z444, "NA")</f>
        <v>0</v>
      </c>
      <c r="AB301" s="9"/>
      <c r="AC301" s="10">
        <f t="shared" si="79"/>
        <v>0</v>
      </c>
      <c r="AD301" s="8">
        <f>IFERROR(AC301/AC444, "NA")</f>
        <v>0</v>
      </c>
    </row>
    <row r="302" spans="1:30" ht="16.5" hidden="1" customHeight="1" x14ac:dyDescent="0.45">
      <c r="A302" s="6" t="s">
        <v>274</v>
      </c>
      <c r="B302" s="7">
        <v>0</v>
      </c>
      <c r="C302" s="8">
        <f>IFERROR(B302/B444, "NA")</f>
        <v>0</v>
      </c>
      <c r="D302" s="9"/>
      <c r="E302" s="7">
        <v>0</v>
      </c>
      <c r="F302" s="8">
        <f>IFERROR(E302/E444, "NA")</f>
        <v>0</v>
      </c>
      <c r="G302" s="9"/>
      <c r="H302" s="10">
        <f t="shared" si="76"/>
        <v>0</v>
      </c>
      <c r="I302" s="8">
        <f>IFERROR(H302/H444, "NA")</f>
        <v>0</v>
      </c>
      <c r="J302" s="9"/>
      <c r="K302" s="7">
        <v>0</v>
      </c>
      <c r="L302" s="8">
        <f>IFERROR(K302/K444, "NA")</f>
        <v>0</v>
      </c>
      <c r="M302" s="9"/>
      <c r="N302" s="10">
        <f t="shared" si="77"/>
        <v>0</v>
      </c>
      <c r="O302" s="8">
        <f>IFERROR(N302/N444, "NA")</f>
        <v>0</v>
      </c>
      <c r="P302" s="9"/>
      <c r="Q302" s="7">
        <v>0</v>
      </c>
      <c r="R302" s="8">
        <f>IFERROR(Q302/Q444, "NA")</f>
        <v>0</v>
      </c>
      <c r="S302" s="9"/>
      <c r="T302" s="7">
        <v>0</v>
      </c>
      <c r="U302" s="8">
        <f>IFERROR(T302/T444, "NA")</f>
        <v>0</v>
      </c>
      <c r="V302" s="9"/>
      <c r="W302" s="10">
        <f t="shared" si="78"/>
        <v>0</v>
      </c>
      <c r="X302" s="8">
        <f>IFERROR(W302/W444, "NA")</f>
        <v>0</v>
      </c>
      <c r="Y302" s="9"/>
      <c r="Z302" s="7">
        <v>0</v>
      </c>
      <c r="AA302" s="8">
        <f>IFERROR(Z302/Z444, "NA")</f>
        <v>0</v>
      </c>
      <c r="AB302" s="9"/>
      <c r="AC302" s="10">
        <f t="shared" si="79"/>
        <v>0</v>
      </c>
      <c r="AD302" s="8">
        <f>IFERROR(AC302/AC444, "NA")</f>
        <v>0</v>
      </c>
    </row>
    <row r="303" spans="1:30" ht="16.5" hidden="1" customHeight="1" x14ac:dyDescent="0.45">
      <c r="A303" s="6" t="s">
        <v>275</v>
      </c>
      <c r="B303" s="7">
        <v>0</v>
      </c>
      <c r="C303" s="8">
        <f>IFERROR(B303/B444, "NA")</f>
        <v>0</v>
      </c>
      <c r="D303" s="9"/>
      <c r="E303" s="7">
        <v>0</v>
      </c>
      <c r="F303" s="8">
        <f>IFERROR(E303/E444, "NA")</f>
        <v>0</v>
      </c>
      <c r="G303" s="9"/>
      <c r="H303" s="10">
        <f t="shared" si="76"/>
        <v>0</v>
      </c>
      <c r="I303" s="8">
        <f>IFERROR(H303/H444, "NA")</f>
        <v>0</v>
      </c>
      <c r="J303" s="9"/>
      <c r="K303" s="7">
        <v>0</v>
      </c>
      <c r="L303" s="8">
        <f>IFERROR(K303/K444, "NA")</f>
        <v>0</v>
      </c>
      <c r="M303" s="9"/>
      <c r="N303" s="10">
        <f t="shared" si="77"/>
        <v>0</v>
      </c>
      <c r="O303" s="8">
        <f>IFERROR(N303/N444, "NA")</f>
        <v>0</v>
      </c>
      <c r="P303" s="9"/>
      <c r="Q303" s="7">
        <v>0</v>
      </c>
      <c r="R303" s="8">
        <f>IFERROR(Q303/Q444, "NA")</f>
        <v>0</v>
      </c>
      <c r="S303" s="9"/>
      <c r="T303" s="7">
        <v>0</v>
      </c>
      <c r="U303" s="8">
        <f>IFERROR(T303/T444, "NA")</f>
        <v>0</v>
      </c>
      <c r="V303" s="9"/>
      <c r="W303" s="10">
        <f t="shared" si="78"/>
        <v>0</v>
      </c>
      <c r="X303" s="8">
        <f>IFERROR(W303/W444, "NA")</f>
        <v>0</v>
      </c>
      <c r="Y303" s="9"/>
      <c r="Z303" s="7">
        <v>0</v>
      </c>
      <c r="AA303" s="8">
        <f>IFERROR(Z303/Z444, "NA")</f>
        <v>0</v>
      </c>
      <c r="AB303" s="9"/>
      <c r="AC303" s="10">
        <f t="shared" si="79"/>
        <v>0</v>
      </c>
      <c r="AD303" s="8">
        <f>IFERROR(AC303/AC444, "NA")</f>
        <v>0</v>
      </c>
    </row>
    <row r="304" spans="1:30" ht="16.5" hidden="1" customHeight="1" x14ac:dyDescent="0.45">
      <c r="A304" s="6" t="s">
        <v>276</v>
      </c>
      <c r="B304" s="7">
        <v>0</v>
      </c>
      <c r="C304" s="8">
        <f>IFERROR(B304/B444, "NA")</f>
        <v>0</v>
      </c>
      <c r="D304" s="9"/>
      <c r="E304" s="7">
        <v>0</v>
      </c>
      <c r="F304" s="8">
        <f>IFERROR(E304/E444, "NA")</f>
        <v>0</v>
      </c>
      <c r="G304" s="9"/>
      <c r="H304" s="10">
        <f t="shared" si="76"/>
        <v>0</v>
      </c>
      <c r="I304" s="8">
        <f>IFERROR(H304/H444, "NA")</f>
        <v>0</v>
      </c>
      <c r="J304" s="9"/>
      <c r="K304" s="7">
        <v>0</v>
      </c>
      <c r="L304" s="8">
        <f>IFERROR(K304/K444, "NA")</f>
        <v>0</v>
      </c>
      <c r="M304" s="9"/>
      <c r="N304" s="10">
        <f t="shared" si="77"/>
        <v>0</v>
      </c>
      <c r="O304" s="8">
        <f>IFERROR(N304/N444, "NA")</f>
        <v>0</v>
      </c>
      <c r="P304" s="9"/>
      <c r="Q304" s="7">
        <v>0</v>
      </c>
      <c r="R304" s="8">
        <f>IFERROR(Q304/Q444, "NA")</f>
        <v>0</v>
      </c>
      <c r="S304" s="9"/>
      <c r="T304" s="7">
        <v>0</v>
      </c>
      <c r="U304" s="8">
        <f>IFERROR(T304/T444, "NA")</f>
        <v>0</v>
      </c>
      <c r="V304" s="9"/>
      <c r="W304" s="10">
        <f t="shared" si="78"/>
        <v>0</v>
      </c>
      <c r="X304" s="8">
        <f>IFERROR(W304/W444, "NA")</f>
        <v>0</v>
      </c>
      <c r="Y304" s="9"/>
      <c r="Z304" s="7">
        <v>0</v>
      </c>
      <c r="AA304" s="8">
        <f>IFERROR(Z304/Z444, "NA")</f>
        <v>0</v>
      </c>
      <c r="AB304" s="9"/>
      <c r="AC304" s="10">
        <f t="shared" si="79"/>
        <v>0</v>
      </c>
      <c r="AD304" s="8">
        <f>IFERROR(AC304/AC444, "NA")</f>
        <v>0</v>
      </c>
    </row>
    <row r="305" spans="1:30" ht="16.5" hidden="1" customHeight="1" x14ac:dyDescent="0.45">
      <c r="A305" s="6" t="s">
        <v>277</v>
      </c>
      <c r="B305" s="7">
        <v>0</v>
      </c>
      <c r="C305" s="8">
        <f>IFERROR(B305/B444, "NA")</f>
        <v>0</v>
      </c>
      <c r="D305" s="9"/>
      <c r="E305" s="7">
        <v>0</v>
      </c>
      <c r="F305" s="8">
        <f>IFERROR(E305/E444, "NA")</f>
        <v>0</v>
      </c>
      <c r="G305" s="9"/>
      <c r="H305" s="10">
        <f t="shared" si="76"/>
        <v>0</v>
      </c>
      <c r="I305" s="8">
        <f>IFERROR(H305/H444, "NA")</f>
        <v>0</v>
      </c>
      <c r="J305" s="9"/>
      <c r="K305" s="7">
        <v>0</v>
      </c>
      <c r="L305" s="8">
        <f>IFERROR(K305/K444, "NA")</f>
        <v>0</v>
      </c>
      <c r="M305" s="9"/>
      <c r="N305" s="10">
        <f t="shared" si="77"/>
        <v>0</v>
      </c>
      <c r="O305" s="8">
        <f>IFERROR(N305/N444, "NA")</f>
        <v>0</v>
      </c>
      <c r="P305" s="9"/>
      <c r="Q305" s="7">
        <v>0</v>
      </c>
      <c r="R305" s="8">
        <f>IFERROR(Q305/Q444, "NA")</f>
        <v>0</v>
      </c>
      <c r="S305" s="9"/>
      <c r="T305" s="7">
        <v>0</v>
      </c>
      <c r="U305" s="8">
        <f>IFERROR(T305/T444, "NA")</f>
        <v>0</v>
      </c>
      <c r="V305" s="9"/>
      <c r="W305" s="10">
        <f t="shared" si="78"/>
        <v>0</v>
      </c>
      <c r="X305" s="8">
        <f>IFERROR(W305/W444, "NA")</f>
        <v>0</v>
      </c>
      <c r="Y305" s="9"/>
      <c r="Z305" s="7">
        <v>0</v>
      </c>
      <c r="AA305" s="8">
        <f>IFERROR(Z305/Z444, "NA")</f>
        <v>0</v>
      </c>
      <c r="AB305" s="9"/>
      <c r="AC305" s="10">
        <f t="shared" si="79"/>
        <v>0</v>
      </c>
      <c r="AD305" s="8">
        <f>IFERROR(AC305/AC444, "NA")</f>
        <v>0</v>
      </c>
    </row>
    <row r="306" spans="1:30" ht="16.5" hidden="1" customHeight="1" x14ac:dyDescent="0.45">
      <c r="A306" s="6" t="s">
        <v>278</v>
      </c>
      <c r="B306" s="7">
        <v>0</v>
      </c>
      <c r="C306" s="8">
        <f>IFERROR(B306/B444, "NA")</f>
        <v>0</v>
      </c>
      <c r="D306" s="9"/>
      <c r="E306" s="7">
        <v>0</v>
      </c>
      <c r="F306" s="8">
        <f>IFERROR(E306/E444, "NA")</f>
        <v>0</v>
      </c>
      <c r="G306" s="9"/>
      <c r="H306" s="10">
        <f t="shared" si="76"/>
        <v>0</v>
      </c>
      <c r="I306" s="8">
        <f>IFERROR(H306/H444, "NA")</f>
        <v>0</v>
      </c>
      <c r="J306" s="9"/>
      <c r="K306" s="7">
        <v>0</v>
      </c>
      <c r="L306" s="8">
        <f>IFERROR(K306/K444, "NA")</f>
        <v>0</v>
      </c>
      <c r="M306" s="9"/>
      <c r="N306" s="10">
        <f t="shared" si="77"/>
        <v>0</v>
      </c>
      <c r="O306" s="8">
        <f>IFERROR(N306/N444, "NA")</f>
        <v>0</v>
      </c>
      <c r="P306" s="9"/>
      <c r="Q306" s="7">
        <v>0</v>
      </c>
      <c r="R306" s="8">
        <f>IFERROR(Q306/Q444, "NA")</f>
        <v>0</v>
      </c>
      <c r="S306" s="9"/>
      <c r="T306" s="7">
        <v>0</v>
      </c>
      <c r="U306" s="8">
        <f>IFERROR(T306/T444, "NA")</f>
        <v>0</v>
      </c>
      <c r="V306" s="9"/>
      <c r="W306" s="10">
        <f t="shared" si="78"/>
        <v>0</v>
      </c>
      <c r="X306" s="8">
        <f>IFERROR(W306/W444, "NA")</f>
        <v>0</v>
      </c>
      <c r="Y306" s="9"/>
      <c r="Z306" s="7">
        <v>0</v>
      </c>
      <c r="AA306" s="8">
        <f>IFERROR(Z306/Z444, "NA")</f>
        <v>0</v>
      </c>
      <c r="AB306" s="9"/>
      <c r="AC306" s="10">
        <f t="shared" si="79"/>
        <v>0</v>
      </c>
      <c r="AD306" s="8">
        <f>IFERROR(AC306/AC444, "NA")</f>
        <v>0</v>
      </c>
    </row>
    <row r="307" spans="1:30" ht="16.5" hidden="1" customHeight="1" x14ac:dyDescent="0.45">
      <c r="A307" s="6" t="s">
        <v>279</v>
      </c>
      <c r="B307" s="7">
        <v>0</v>
      </c>
      <c r="C307" s="8">
        <f>IFERROR(B307/B444, "NA")</f>
        <v>0</v>
      </c>
      <c r="D307" s="9"/>
      <c r="E307" s="7">
        <v>0</v>
      </c>
      <c r="F307" s="8">
        <f>IFERROR(E307/E444, "NA")</f>
        <v>0</v>
      </c>
      <c r="G307" s="9"/>
      <c r="H307" s="10">
        <f t="shared" si="76"/>
        <v>0</v>
      </c>
      <c r="I307" s="8">
        <f>IFERROR(H307/H444, "NA")</f>
        <v>0</v>
      </c>
      <c r="J307" s="9"/>
      <c r="K307" s="7">
        <v>0</v>
      </c>
      <c r="L307" s="8">
        <f>IFERROR(K307/K444, "NA")</f>
        <v>0</v>
      </c>
      <c r="M307" s="9"/>
      <c r="N307" s="10">
        <f t="shared" si="77"/>
        <v>0</v>
      </c>
      <c r="O307" s="8">
        <f>IFERROR(N307/N444, "NA")</f>
        <v>0</v>
      </c>
      <c r="P307" s="9"/>
      <c r="Q307" s="7">
        <v>0</v>
      </c>
      <c r="R307" s="8">
        <f>IFERROR(Q307/Q444, "NA")</f>
        <v>0</v>
      </c>
      <c r="S307" s="9"/>
      <c r="T307" s="7">
        <v>0</v>
      </c>
      <c r="U307" s="8">
        <f>IFERROR(T307/T444, "NA")</f>
        <v>0</v>
      </c>
      <c r="V307" s="9"/>
      <c r="W307" s="10">
        <f t="shared" si="78"/>
        <v>0</v>
      </c>
      <c r="X307" s="8">
        <f>IFERROR(W307/W444, "NA")</f>
        <v>0</v>
      </c>
      <c r="Y307" s="9"/>
      <c r="Z307" s="7">
        <v>0</v>
      </c>
      <c r="AA307" s="8">
        <f>IFERROR(Z307/Z444, "NA")</f>
        <v>0</v>
      </c>
      <c r="AB307" s="9"/>
      <c r="AC307" s="10">
        <f t="shared" si="79"/>
        <v>0</v>
      </c>
      <c r="AD307" s="8">
        <f>IFERROR(AC307/AC444, "NA")</f>
        <v>0</v>
      </c>
    </row>
    <row r="308" spans="1:30" ht="16.5" hidden="1" customHeight="1" x14ac:dyDescent="0.45">
      <c r="A308" s="6" t="s">
        <v>280</v>
      </c>
      <c r="B308" s="7">
        <v>0</v>
      </c>
      <c r="C308" s="8">
        <f>IFERROR(B308/B444, "NA")</f>
        <v>0</v>
      </c>
      <c r="D308" s="9"/>
      <c r="E308" s="7">
        <v>0</v>
      </c>
      <c r="F308" s="8">
        <f>IFERROR(E308/E444, "NA")</f>
        <v>0</v>
      </c>
      <c r="G308" s="9"/>
      <c r="H308" s="10">
        <f t="shared" si="76"/>
        <v>0</v>
      </c>
      <c r="I308" s="8">
        <f>IFERROR(H308/H444, "NA")</f>
        <v>0</v>
      </c>
      <c r="J308" s="9"/>
      <c r="K308" s="7">
        <v>0</v>
      </c>
      <c r="L308" s="8">
        <f>IFERROR(K308/K444, "NA")</f>
        <v>0</v>
      </c>
      <c r="M308" s="9"/>
      <c r="N308" s="10">
        <f t="shared" si="77"/>
        <v>0</v>
      </c>
      <c r="O308" s="8">
        <f>IFERROR(N308/N444, "NA")</f>
        <v>0</v>
      </c>
      <c r="P308" s="9"/>
      <c r="Q308" s="7">
        <v>0</v>
      </c>
      <c r="R308" s="8">
        <f>IFERROR(Q308/Q444, "NA")</f>
        <v>0</v>
      </c>
      <c r="S308" s="9"/>
      <c r="T308" s="7">
        <v>0</v>
      </c>
      <c r="U308" s="8">
        <f>IFERROR(T308/T444, "NA")</f>
        <v>0</v>
      </c>
      <c r="V308" s="9"/>
      <c r="W308" s="10">
        <f t="shared" si="78"/>
        <v>0</v>
      </c>
      <c r="X308" s="8">
        <f>IFERROR(W308/W444, "NA")</f>
        <v>0</v>
      </c>
      <c r="Y308" s="9"/>
      <c r="Z308" s="7">
        <v>0</v>
      </c>
      <c r="AA308" s="8">
        <f>IFERROR(Z308/Z444, "NA")</f>
        <v>0</v>
      </c>
      <c r="AB308" s="9"/>
      <c r="AC308" s="10">
        <f t="shared" si="79"/>
        <v>0</v>
      </c>
      <c r="AD308" s="8">
        <f>IFERROR(AC308/AC444, "NA")</f>
        <v>0</v>
      </c>
    </row>
    <row r="309" spans="1:30" ht="16.5" hidden="1" customHeight="1" x14ac:dyDescent="0.45">
      <c r="A309" s="6" t="s">
        <v>281</v>
      </c>
      <c r="B309" s="7">
        <v>0</v>
      </c>
      <c r="C309" s="8">
        <f>IFERROR(B309/B444, "NA")</f>
        <v>0</v>
      </c>
      <c r="D309" s="9"/>
      <c r="E309" s="7">
        <v>0</v>
      </c>
      <c r="F309" s="8">
        <f>IFERROR(E309/E444, "NA")</f>
        <v>0</v>
      </c>
      <c r="G309" s="9"/>
      <c r="H309" s="10">
        <f t="shared" si="76"/>
        <v>0</v>
      </c>
      <c r="I309" s="8">
        <f>IFERROR(H309/H444, "NA")</f>
        <v>0</v>
      </c>
      <c r="J309" s="9"/>
      <c r="K309" s="7">
        <v>0</v>
      </c>
      <c r="L309" s="8">
        <f>IFERROR(K309/K444, "NA")</f>
        <v>0</v>
      </c>
      <c r="M309" s="9"/>
      <c r="N309" s="10">
        <f t="shared" si="77"/>
        <v>0</v>
      </c>
      <c r="O309" s="8">
        <f>IFERROR(N309/N444, "NA")</f>
        <v>0</v>
      </c>
      <c r="P309" s="9"/>
      <c r="Q309" s="7">
        <v>0</v>
      </c>
      <c r="R309" s="8">
        <f>IFERROR(Q309/Q444, "NA")</f>
        <v>0</v>
      </c>
      <c r="S309" s="9"/>
      <c r="T309" s="7">
        <v>0</v>
      </c>
      <c r="U309" s="8">
        <f>IFERROR(T309/T444, "NA")</f>
        <v>0</v>
      </c>
      <c r="V309" s="9"/>
      <c r="W309" s="10">
        <f t="shared" si="78"/>
        <v>0</v>
      </c>
      <c r="X309" s="8">
        <f>IFERROR(W309/W444, "NA")</f>
        <v>0</v>
      </c>
      <c r="Y309" s="9"/>
      <c r="Z309" s="7">
        <v>0</v>
      </c>
      <c r="AA309" s="8">
        <f>IFERROR(Z309/Z444, "NA")</f>
        <v>0</v>
      </c>
      <c r="AB309" s="9"/>
      <c r="AC309" s="10">
        <f t="shared" si="79"/>
        <v>0</v>
      </c>
      <c r="AD309" s="8">
        <f>IFERROR(AC309/AC444, "NA")</f>
        <v>0</v>
      </c>
    </row>
    <row r="310" spans="1:30" ht="16.5" customHeight="1" x14ac:dyDescent="0.45">
      <c r="A310" s="6" t="s">
        <v>282</v>
      </c>
      <c r="B310" s="7">
        <v>0</v>
      </c>
      <c r="C310" s="8">
        <f>IFERROR(B310/B444, "NA")</f>
        <v>0</v>
      </c>
      <c r="D310" s="9"/>
      <c r="E310" s="7">
        <v>55</v>
      </c>
      <c r="F310" s="8">
        <f>IFERROR(E310/E444, "NA")</f>
        <v>3.8686616111934587E-4</v>
      </c>
      <c r="G310" s="9"/>
      <c r="H310" s="10">
        <f t="shared" si="76"/>
        <v>55</v>
      </c>
      <c r="I310" s="8">
        <f>IFERROR(H310/H444, "NA")</f>
        <v>-4.9447669531335007E-3</v>
      </c>
      <c r="J310" s="9"/>
      <c r="K310" s="7">
        <v>0</v>
      </c>
      <c r="L310" s="8">
        <f>IFERROR(K310/K444, "NA")</f>
        <v>0</v>
      </c>
      <c r="M310" s="9"/>
      <c r="N310" s="10">
        <f t="shared" si="77"/>
        <v>0</v>
      </c>
      <c r="O310" s="8">
        <f>IFERROR(N310/N444, "NA")</f>
        <v>0</v>
      </c>
      <c r="P310" s="9"/>
      <c r="Q310" s="7">
        <v>0</v>
      </c>
      <c r="R310" s="8">
        <f>IFERROR(Q310/Q444, "NA")</f>
        <v>0</v>
      </c>
      <c r="S310" s="9"/>
      <c r="T310" s="7">
        <v>55</v>
      </c>
      <c r="U310" s="8">
        <f>IFERROR(T310/T444, "NA")</f>
        <v>3.8686616111934587E-4</v>
      </c>
      <c r="V310" s="9"/>
      <c r="W310" s="10">
        <f t="shared" si="78"/>
        <v>55</v>
      </c>
      <c r="X310" s="8">
        <f>IFERROR(W310/W444, "NA")</f>
        <v>-4.9447669531335007E-3</v>
      </c>
      <c r="Y310" s="9"/>
      <c r="Z310" s="7">
        <v>0</v>
      </c>
      <c r="AA310" s="8">
        <f>IFERROR(Z310/Z444, "NA")</f>
        <v>0</v>
      </c>
      <c r="AB310" s="9"/>
      <c r="AC310" s="10">
        <f t="shared" si="79"/>
        <v>0</v>
      </c>
      <c r="AD310" s="8">
        <f>IFERROR(AC310/AC444, "NA")</f>
        <v>0</v>
      </c>
    </row>
    <row r="311" spans="1:30" ht="16.5" hidden="1" customHeight="1" x14ac:dyDescent="0.45">
      <c r="A311" s="6" t="s">
        <v>283</v>
      </c>
      <c r="B311" s="7">
        <v>0</v>
      </c>
      <c r="C311" s="8">
        <f>IFERROR(B311/B444, "NA")</f>
        <v>0</v>
      </c>
      <c r="D311" s="9"/>
      <c r="E311" s="7">
        <v>0</v>
      </c>
      <c r="F311" s="8">
        <f>IFERROR(E311/E444, "NA")</f>
        <v>0</v>
      </c>
      <c r="G311" s="9"/>
      <c r="H311" s="10">
        <f t="shared" si="76"/>
        <v>0</v>
      </c>
      <c r="I311" s="8">
        <f>IFERROR(H311/H444, "NA")</f>
        <v>0</v>
      </c>
      <c r="J311" s="9"/>
      <c r="K311" s="7">
        <v>0</v>
      </c>
      <c r="L311" s="8">
        <f>IFERROR(K311/K444, "NA")</f>
        <v>0</v>
      </c>
      <c r="M311" s="9"/>
      <c r="N311" s="10">
        <f t="shared" si="77"/>
        <v>0</v>
      </c>
      <c r="O311" s="8">
        <f>IFERROR(N311/N444, "NA")</f>
        <v>0</v>
      </c>
      <c r="P311" s="9"/>
      <c r="Q311" s="7">
        <v>0</v>
      </c>
      <c r="R311" s="8">
        <f>IFERROR(Q311/Q444, "NA")</f>
        <v>0</v>
      </c>
      <c r="S311" s="9"/>
      <c r="T311" s="7">
        <v>0</v>
      </c>
      <c r="U311" s="8">
        <f>IFERROR(T311/T444, "NA")</f>
        <v>0</v>
      </c>
      <c r="V311" s="9"/>
      <c r="W311" s="10">
        <f t="shared" si="78"/>
        <v>0</v>
      </c>
      <c r="X311" s="8">
        <f>IFERROR(W311/W444, "NA")</f>
        <v>0</v>
      </c>
      <c r="Y311" s="9"/>
      <c r="Z311" s="7">
        <v>0</v>
      </c>
      <c r="AA311" s="8">
        <f>IFERROR(Z311/Z444, "NA")</f>
        <v>0</v>
      </c>
      <c r="AB311" s="9"/>
      <c r="AC311" s="10">
        <f t="shared" si="79"/>
        <v>0</v>
      </c>
      <c r="AD311" s="8">
        <f>IFERROR(AC311/AC444, "NA")</f>
        <v>0</v>
      </c>
    </row>
    <row r="312" spans="1:30" ht="16.5" customHeight="1" x14ac:dyDescent="0.45">
      <c r="A312" s="6" t="s">
        <v>284</v>
      </c>
      <c r="B312" s="7">
        <v>284.83999999999997</v>
      </c>
      <c r="C312" s="8">
        <f>IFERROR(B312/B444, "NA")</f>
        <v>2.1736018331390489E-3</v>
      </c>
      <c r="D312" s="9"/>
      <c r="E312" s="7">
        <v>35</v>
      </c>
      <c r="F312" s="8">
        <f>IFERROR(E312/E444, "NA")</f>
        <v>2.4618755707594736E-4</v>
      </c>
      <c r="G312" s="9"/>
      <c r="H312" s="10">
        <f t="shared" si="76"/>
        <v>-249.83999999999997</v>
      </c>
      <c r="I312" s="8">
        <f>IFERROR(H312/H444, "NA")</f>
        <v>2.2461828646743159E-2</v>
      </c>
      <c r="J312" s="9"/>
      <c r="K312" s="7">
        <v>171.31</v>
      </c>
      <c r="L312" s="8">
        <f>IFERROR(K312/K444, "NA")</f>
        <v>1.2450482604282513E-3</v>
      </c>
      <c r="M312" s="9"/>
      <c r="N312" s="10">
        <f t="shared" si="77"/>
        <v>-113.52999999999997</v>
      </c>
      <c r="O312" s="8">
        <f>IFERROR(N312/N444, "NA")</f>
        <v>1.7338383298462115E-2</v>
      </c>
      <c r="P312" s="9"/>
      <c r="Q312" s="7">
        <v>284.83999999999997</v>
      </c>
      <c r="R312" s="8">
        <f>IFERROR(Q312/Q444, "NA")</f>
        <v>2.1736018331390489E-3</v>
      </c>
      <c r="S312" s="9"/>
      <c r="T312" s="7">
        <v>35</v>
      </c>
      <c r="U312" s="8">
        <f>IFERROR(T312/T444, "NA")</f>
        <v>2.4618755707594736E-4</v>
      </c>
      <c r="V312" s="9"/>
      <c r="W312" s="10">
        <f t="shared" si="78"/>
        <v>-249.83999999999997</v>
      </c>
      <c r="X312" s="8">
        <f>IFERROR(W312/W444, "NA")</f>
        <v>2.2461828646743159E-2</v>
      </c>
      <c r="Y312" s="9"/>
      <c r="Z312" s="7">
        <v>171.31</v>
      </c>
      <c r="AA312" s="8">
        <f>IFERROR(Z312/Z444, "NA")</f>
        <v>1.2450482604282513E-3</v>
      </c>
      <c r="AB312" s="9"/>
      <c r="AC312" s="10">
        <f t="shared" si="79"/>
        <v>-113.52999999999997</v>
      </c>
      <c r="AD312" s="8">
        <f>IFERROR(AC312/AC444, "NA")</f>
        <v>1.7338383298462115E-2</v>
      </c>
    </row>
    <row r="313" spans="1:30" ht="16.5" customHeight="1" x14ac:dyDescent="0.45">
      <c r="A313" s="6" t="s">
        <v>285</v>
      </c>
      <c r="B313" s="7">
        <v>228</v>
      </c>
      <c r="C313" s="8">
        <f>IFERROR(B313/B444, "NA")</f>
        <v>1.7398582290257801E-3</v>
      </c>
      <c r="D313" s="9"/>
      <c r="E313" s="7">
        <v>250</v>
      </c>
      <c r="F313" s="8">
        <f>IFERROR(E313/E444, "NA")</f>
        <v>1.7584825505424814E-3</v>
      </c>
      <c r="G313" s="9"/>
      <c r="H313" s="10">
        <f t="shared" si="76"/>
        <v>22</v>
      </c>
      <c r="I313" s="8">
        <f>IFERROR(H313/H444, "NA")</f>
        <v>-1.9779067812534003E-3</v>
      </c>
      <c r="J313" s="9"/>
      <c r="K313" s="7">
        <v>248</v>
      </c>
      <c r="L313" s="8">
        <f>IFERROR(K313/K444, "NA")</f>
        <v>1.8024164881571788E-3</v>
      </c>
      <c r="M313" s="9"/>
      <c r="N313" s="10">
        <f t="shared" si="77"/>
        <v>20</v>
      </c>
      <c r="O313" s="8">
        <f>IFERROR(N313/N444, "NA")</f>
        <v>-3.0544143924006199E-3</v>
      </c>
      <c r="P313" s="9"/>
      <c r="Q313" s="7">
        <v>228</v>
      </c>
      <c r="R313" s="8">
        <f>IFERROR(Q313/Q444, "NA")</f>
        <v>1.7398582290257801E-3</v>
      </c>
      <c r="S313" s="9"/>
      <c r="T313" s="7">
        <v>250</v>
      </c>
      <c r="U313" s="8">
        <f>IFERROR(T313/T444, "NA")</f>
        <v>1.7584825505424814E-3</v>
      </c>
      <c r="V313" s="9"/>
      <c r="W313" s="10">
        <f t="shared" si="78"/>
        <v>22</v>
      </c>
      <c r="X313" s="8">
        <f>IFERROR(W313/W444, "NA")</f>
        <v>-1.9779067812534003E-3</v>
      </c>
      <c r="Y313" s="9"/>
      <c r="Z313" s="7">
        <v>248</v>
      </c>
      <c r="AA313" s="8">
        <f>IFERROR(Z313/Z444, "NA")</f>
        <v>1.8024164881571788E-3</v>
      </c>
      <c r="AB313" s="9"/>
      <c r="AC313" s="10">
        <f t="shared" si="79"/>
        <v>20</v>
      </c>
      <c r="AD313" s="8">
        <f>IFERROR(AC313/AC444, "NA")</f>
        <v>-3.0544143924006199E-3</v>
      </c>
    </row>
    <row r="314" spans="1:30" ht="16.5" hidden="1" customHeight="1" x14ac:dyDescent="0.45">
      <c r="A314" s="6" t="s">
        <v>286</v>
      </c>
      <c r="B314" s="7">
        <v>0</v>
      </c>
      <c r="C314" s="8">
        <f>IFERROR(B314/B444, "NA")</f>
        <v>0</v>
      </c>
      <c r="D314" s="9"/>
      <c r="E314" s="7">
        <v>0</v>
      </c>
      <c r="F314" s="8">
        <f>IFERROR(E314/E444, "NA")</f>
        <v>0</v>
      </c>
      <c r="G314" s="9"/>
      <c r="H314" s="10">
        <f t="shared" si="76"/>
        <v>0</v>
      </c>
      <c r="I314" s="8">
        <f>IFERROR(H314/H444, "NA")</f>
        <v>0</v>
      </c>
      <c r="J314" s="9"/>
      <c r="K314" s="7">
        <v>0</v>
      </c>
      <c r="L314" s="8">
        <f>IFERROR(K314/K444, "NA")</f>
        <v>0</v>
      </c>
      <c r="M314" s="9"/>
      <c r="N314" s="10">
        <f t="shared" si="77"/>
        <v>0</v>
      </c>
      <c r="O314" s="8">
        <f>IFERROR(N314/N444, "NA")</f>
        <v>0</v>
      </c>
      <c r="P314" s="9"/>
      <c r="Q314" s="7">
        <v>0</v>
      </c>
      <c r="R314" s="8">
        <f>IFERROR(Q314/Q444, "NA")</f>
        <v>0</v>
      </c>
      <c r="S314" s="9"/>
      <c r="T314" s="7">
        <v>0</v>
      </c>
      <c r="U314" s="8">
        <f>IFERROR(T314/T444, "NA")</f>
        <v>0</v>
      </c>
      <c r="V314" s="9"/>
      <c r="W314" s="10">
        <f t="shared" si="78"/>
        <v>0</v>
      </c>
      <c r="X314" s="8">
        <f>IFERROR(W314/W444, "NA")</f>
        <v>0</v>
      </c>
      <c r="Y314" s="9"/>
      <c r="Z314" s="7">
        <v>0</v>
      </c>
      <c r="AA314" s="8">
        <f>IFERROR(Z314/Z444, "NA")</f>
        <v>0</v>
      </c>
      <c r="AB314" s="9"/>
      <c r="AC314" s="10">
        <f t="shared" si="79"/>
        <v>0</v>
      </c>
      <c r="AD314" s="8">
        <f>IFERROR(AC314/AC444, "NA")</f>
        <v>0</v>
      </c>
    </row>
    <row r="315" spans="1:30" ht="16.5" hidden="1" customHeight="1" x14ac:dyDescent="0.45">
      <c r="A315" s="6" t="s">
        <v>287</v>
      </c>
      <c r="B315" s="7">
        <v>0</v>
      </c>
      <c r="C315" s="8">
        <f>IFERROR(B315/B444, "NA")</f>
        <v>0</v>
      </c>
      <c r="D315" s="9"/>
      <c r="E315" s="7">
        <v>0</v>
      </c>
      <c r="F315" s="8">
        <f>IFERROR(E315/E444, "NA")</f>
        <v>0</v>
      </c>
      <c r="G315" s="9"/>
      <c r="H315" s="10">
        <f t="shared" si="76"/>
        <v>0</v>
      </c>
      <c r="I315" s="8">
        <f>IFERROR(H315/H444, "NA")</f>
        <v>0</v>
      </c>
      <c r="J315" s="9"/>
      <c r="K315" s="7">
        <v>0</v>
      </c>
      <c r="L315" s="8">
        <f>IFERROR(K315/K444, "NA")</f>
        <v>0</v>
      </c>
      <c r="M315" s="9"/>
      <c r="N315" s="10">
        <f t="shared" si="77"/>
        <v>0</v>
      </c>
      <c r="O315" s="8">
        <f>IFERROR(N315/N444, "NA")</f>
        <v>0</v>
      </c>
      <c r="P315" s="9"/>
      <c r="Q315" s="7">
        <v>0</v>
      </c>
      <c r="R315" s="8">
        <f>IFERROR(Q315/Q444, "NA")</f>
        <v>0</v>
      </c>
      <c r="S315" s="9"/>
      <c r="T315" s="7">
        <v>0</v>
      </c>
      <c r="U315" s="8">
        <f>IFERROR(T315/T444, "NA")</f>
        <v>0</v>
      </c>
      <c r="V315" s="9"/>
      <c r="W315" s="10">
        <f t="shared" si="78"/>
        <v>0</v>
      </c>
      <c r="X315" s="8">
        <f>IFERROR(W315/W444, "NA")</f>
        <v>0</v>
      </c>
      <c r="Y315" s="9"/>
      <c r="Z315" s="7">
        <v>0</v>
      </c>
      <c r="AA315" s="8">
        <f>IFERROR(Z315/Z444, "NA")</f>
        <v>0</v>
      </c>
      <c r="AB315" s="9"/>
      <c r="AC315" s="10">
        <f t="shared" si="79"/>
        <v>0</v>
      </c>
      <c r="AD315" s="8">
        <f>IFERROR(AC315/AC444, "NA")</f>
        <v>0</v>
      </c>
    </row>
    <row r="316" spans="1:30" ht="16.5" hidden="1" customHeight="1" x14ac:dyDescent="0.45">
      <c r="A316" s="6" t="s">
        <v>288</v>
      </c>
      <c r="B316" s="7">
        <v>0</v>
      </c>
      <c r="C316" s="8">
        <f>IFERROR(B316/B444, "NA")</f>
        <v>0</v>
      </c>
      <c r="D316" s="9"/>
      <c r="E316" s="7">
        <v>0</v>
      </c>
      <c r="F316" s="8">
        <f>IFERROR(E316/E444, "NA")</f>
        <v>0</v>
      </c>
      <c r="G316" s="9"/>
      <c r="H316" s="10">
        <f t="shared" si="76"/>
        <v>0</v>
      </c>
      <c r="I316" s="8">
        <f>IFERROR(H316/H444, "NA")</f>
        <v>0</v>
      </c>
      <c r="J316" s="9"/>
      <c r="K316" s="7">
        <v>0</v>
      </c>
      <c r="L316" s="8">
        <f>IFERROR(K316/K444, "NA")</f>
        <v>0</v>
      </c>
      <c r="M316" s="9"/>
      <c r="N316" s="10">
        <f t="shared" si="77"/>
        <v>0</v>
      </c>
      <c r="O316" s="8">
        <f>IFERROR(N316/N444, "NA")</f>
        <v>0</v>
      </c>
      <c r="P316" s="9"/>
      <c r="Q316" s="7">
        <v>0</v>
      </c>
      <c r="R316" s="8">
        <f>IFERROR(Q316/Q444, "NA")</f>
        <v>0</v>
      </c>
      <c r="S316" s="9"/>
      <c r="T316" s="7">
        <v>0</v>
      </c>
      <c r="U316" s="8">
        <f>IFERROR(T316/T444, "NA")</f>
        <v>0</v>
      </c>
      <c r="V316" s="9"/>
      <c r="W316" s="10">
        <f t="shared" si="78"/>
        <v>0</v>
      </c>
      <c r="X316" s="8">
        <f>IFERROR(W316/W444, "NA")</f>
        <v>0</v>
      </c>
      <c r="Y316" s="9"/>
      <c r="Z316" s="7">
        <v>0</v>
      </c>
      <c r="AA316" s="8">
        <f>IFERROR(Z316/Z444, "NA")</f>
        <v>0</v>
      </c>
      <c r="AB316" s="9"/>
      <c r="AC316" s="10">
        <f t="shared" si="79"/>
        <v>0</v>
      </c>
      <c r="AD316" s="8">
        <f>IFERROR(AC316/AC444, "NA")</f>
        <v>0</v>
      </c>
    </row>
    <row r="317" spans="1:30" ht="16.5" hidden="1" customHeight="1" x14ac:dyDescent="0.45">
      <c r="A317" s="6" t="s">
        <v>289</v>
      </c>
      <c r="B317" s="7">
        <v>0</v>
      </c>
      <c r="C317" s="8">
        <f>IFERROR(B317/B444, "NA")</f>
        <v>0</v>
      </c>
      <c r="D317" s="9"/>
      <c r="E317" s="7">
        <v>0</v>
      </c>
      <c r="F317" s="8">
        <f>IFERROR(E317/E444, "NA")</f>
        <v>0</v>
      </c>
      <c r="G317" s="9"/>
      <c r="H317" s="10">
        <f t="shared" si="76"/>
        <v>0</v>
      </c>
      <c r="I317" s="8">
        <f>IFERROR(H317/H444, "NA")</f>
        <v>0</v>
      </c>
      <c r="J317" s="9"/>
      <c r="K317" s="7">
        <v>0</v>
      </c>
      <c r="L317" s="8">
        <f>IFERROR(K317/K444, "NA")</f>
        <v>0</v>
      </c>
      <c r="M317" s="9"/>
      <c r="N317" s="10">
        <f t="shared" si="77"/>
        <v>0</v>
      </c>
      <c r="O317" s="8">
        <f>IFERROR(N317/N444, "NA")</f>
        <v>0</v>
      </c>
      <c r="P317" s="9"/>
      <c r="Q317" s="7">
        <v>0</v>
      </c>
      <c r="R317" s="8">
        <f>IFERROR(Q317/Q444, "NA")</f>
        <v>0</v>
      </c>
      <c r="S317" s="9"/>
      <c r="T317" s="7">
        <v>0</v>
      </c>
      <c r="U317" s="8">
        <f>IFERROR(T317/T444, "NA")</f>
        <v>0</v>
      </c>
      <c r="V317" s="9"/>
      <c r="W317" s="10">
        <f t="shared" si="78"/>
        <v>0</v>
      </c>
      <c r="X317" s="8">
        <f>IFERROR(W317/W444, "NA")</f>
        <v>0</v>
      </c>
      <c r="Y317" s="9"/>
      <c r="Z317" s="7">
        <v>0</v>
      </c>
      <c r="AA317" s="8">
        <f>IFERROR(Z317/Z444, "NA")</f>
        <v>0</v>
      </c>
      <c r="AB317" s="9"/>
      <c r="AC317" s="10">
        <f t="shared" si="79"/>
        <v>0</v>
      </c>
      <c r="AD317" s="8">
        <f>IFERROR(AC317/AC444, "NA")</f>
        <v>0</v>
      </c>
    </row>
    <row r="318" spans="1:30" ht="16.5" hidden="1" customHeight="1" x14ac:dyDescent="0.45">
      <c r="A318" s="6" t="s">
        <v>290</v>
      </c>
      <c r="B318" s="7">
        <v>0</v>
      </c>
      <c r="C318" s="8">
        <f>IFERROR(B318/B444, "NA")</f>
        <v>0</v>
      </c>
      <c r="D318" s="9"/>
      <c r="E318" s="7">
        <v>0</v>
      </c>
      <c r="F318" s="8">
        <f>IFERROR(E318/E444, "NA")</f>
        <v>0</v>
      </c>
      <c r="G318" s="9"/>
      <c r="H318" s="10">
        <f t="shared" si="76"/>
        <v>0</v>
      </c>
      <c r="I318" s="8">
        <f>IFERROR(H318/H444, "NA")</f>
        <v>0</v>
      </c>
      <c r="J318" s="9"/>
      <c r="K318" s="7">
        <v>0</v>
      </c>
      <c r="L318" s="8">
        <f>IFERROR(K318/K444, "NA")</f>
        <v>0</v>
      </c>
      <c r="M318" s="9"/>
      <c r="N318" s="10">
        <f t="shared" si="77"/>
        <v>0</v>
      </c>
      <c r="O318" s="8">
        <f>IFERROR(N318/N444, "NA")</f>
        <v>0</v>
      </c>
      <c r="P318" s="9"/>
      <c r="Q318" s="7">
        <v>0</v>
      </c>
      <c r="R318" s="8">
        <f>IFERROR(Q318/Q444, "NA")</f>
        <v>0</v>
      </c>
      <c r="S318" s="9"/>
      <c r="T318" s="7">
        <v>0</v>
      </c>
      <c r="U318" s="8">
        <f>IFERROR(T318/T444, "NA")</f>
        <v>0</v>
      </c>
      <c r="V318" s="9"/>
      <c r="W318" s="10">
        <f t="shared" si="78"/>
        <v>0</v>
      </c>
      <c r="X318" s="8">
        <f>IFERROR(W318/W444, "NA")</f>
        <v>0</v>
      </c>
      <c r="Y318" s="9"/>
      <c r="Z318" s="7">
        <v>0</v>
      </c>
      <c r="AA318" s="8">
        <f>IFERROR(Z318/Z444, "NA")</f>
        <v>0</v>
      </c>
      <c r="AB318" s="9"/>
      <c r="AC318" s="10">
        <f t="shared" si="79"/>
        <v>0</v>
      </c>
      <c r="AD318" s="8">
        <f>IFERROR(AC318/AC444, "NA")</f>
        <v>0</v>
      </c>
    </row>
    <row r="319" spans="1:30" ht="16.5" customHeight="1" x14ac:dyDescent="0.45">
      <c r="A319" s="6" t="s">
        <v>291</v>
      </c>
      <c r="B319" s="7">
        <v>323.94</v>
      </c>
      <c r="C319" s="8">
        <f>IFERROR(B319/B444, "NA")</f>
        <v>2.4719722575026809E-3</v>
      </c>
      <c r="D319" s="9"/>
      <c r="E319" s="7">
        <v>314</v>
      </c>
      <c r="F319" s="8">
        <f>IFERROR(E319/E444, "NA")</f>
        <v>2.2086540834813564E-3</v>
      </c>
      <c r="G319" s="9"/>
      <c r="H319" s="10">
        <f t="shared" si="76"/>
        <v>-9.9399999999999977</v>
      </c>
      <c r="I319" s="8">
        <f>IFERROR(H319/H444, "NA")</f>
        <v>8.9365424571176346E-4</v>
      </c>
      <c r="J319" s="9"/>
      <c r="K319" s="7">
        <v>315.81</v>
      </c>
      <c r="L319" s="8">
        <f>IFERROR(K319/K444, "NA")</f>
        <v>2.2952465771166075E-3</v>
      </c>
      <c r="M319" s="9"/>
      <c r="N319" s="10">
        <f t="shared" si="77"/>
        <v>-8.1299999999999955</v>
      </c>
      <c r="O319" s="8">
        <f>IFERROR(N319/N444, "NA")</f>
        <v>1.2416194505108513E-3</v>
      </c>
      <c r="P319" s="9"/>
      <c r="Q319" s="7">
        <v>323.94</v>
      </c>
      <c r="R319" s="8">
        <f>IFERROR(Q319/Q444, "NA")</f>
        <v>2.4719722575026809E-3</v>
      </c>
      <c r="S319" s="9"/>
      <c r="T319" s="7">
        <v>314</v>
      </c>
      <c r="U319" s="8">
        <f>IFERROR(T319/T444, "NA")</f>
        <v>2.2086540834813564E-3</v>
      </c>
      <c r="V319" s="9"/>
      <c r="W319" s="10">
        <f t="shared" si="78"/>
        <v>-9.9399999999999977</v>
      </c>
      <c r="X319" s="8">
        <f>IFERROR(W319/W444, "NA")</f>
        <v>8.9365424571176346E-4</v>
      </c>
      <c r="Y319" s="9"/>
      <c r="Z319" s="7">
        <v>315.81</v>
      </c>
      <c r="AA319" s="8">
        <f>IFERROR(Z319/Z444, "NA")</f>
        <v>2.2952465771166075E-3</v>
      </c>
      <c r="AB319" s="9"/>
      <c r="AC319" s="10">
        <f t="shared" si="79"/>
        <v>-8.1299999999999955</v>
      </c>
      <c r="AD319" s="8">
        <f>IFERROR(AC319/AC444, "NA")</f>
        <v>1.2416194505108513E-3</v>
      </c>
    </row>
    <row r="320" spans="1:30" ht="16.5" customHeight="1" x14ac:dyDescent="0.45">
      <c r="A320" s="6" t="s">
        <v>292</v>
      </c>
      <c r="B320" s="7">
        <v>1088.6600000000001</v>
      </c>
      <c r="C320" s="8">
        <f>IFERROR(B320/B444, "NA")</f>
        <v>8.3075178053123068E-3</v>
      </c>
      <c r="D320" s="9"/>
      <c r="E320" s="7">
        <v>1101</v>
      </c>
      <c r="F320" s="8">
        <f>IFERROR(E320/E444, "NA")</f>
        <v>7.7443571525890875E-3</v>
      </c>
      <c r="G320" s="9"/>
      <c r="H320" s="10">
        <f t="shared" si="76"/>
        <v>12.339999999999918</v>
      </c>
      <c r="I320" s="8">
        <f>IFERROR(H320/H444, "NA")</f>
        <v>-1.1094258945757635E-3</v>
      </c>
      <c r="J320" s="9"/>
      <c r="K320" s="7">
        <v>968.34</v>
      </c>
      <c r="L320" s="8">
        <f>IFERROR(K320/K444, "NA")</f>
        <v>7.0377096054117846E-3</v>
      </c>
      <c r="M320" s="9"/>
      <c r="N320" s="10">
        <f t="shared" si="77"/>
        <v>-120.32000000000005</v>
      </c>
      <c r="O320" s="8">
        <f>IFERROR(N320/N444, "NA")</f>
        <v>1.8375356984682137E-2</v>
      </c>
      <c r="P320" s="9"/>
      <c r="Q320" s="7">
        <v>1088.6600000000001</v>
      </c>
      <c r="R320" s="8">
        <f>IFERROR(Q320/Q444, "NA")</f>
        <v>8.3075178053123068E-3</v>
      </c>
      <c r="S320" s="9"/>
      <c r="T320" s="7">
        <v>1101</v>
      </c>
      <c r="U320" s="8">
        <f>IFERROR(T320/T444, "NA")</f>
        <v>7.7443571525890875E-3</v>
      </c>
      <c r="V320" s="9"/>
      <c r="W320" s="10">
        <f t="shared" si="78"/>
        <v>12.339999999999918</v>
      </c>
      <c r="X320" s="8">
        <f>IFERROR(W320/W444, "NA")</f>
        <v>-1.1094258945757635E-3</v>
      </c>
      <c r="Y320" s="9"/>
      <c r="Z320" s="7">
        <v>968.34</v>
      </c>
      <c r="AA320" s="8">
        <f>IFERROR(Z320/Z444, "NA")</f>
        <v>7.0377096054117846E-3</v>
      </c>
      <c r="AB320" s="9"/>
      <c r="AC320" s="10">
        <f t="shared" si="79"/>
        <v>-120.32000000000005</v>
      </c>
      <c r="AD320" s="8">
        <f>IFERROR(AC320/AC444, "NA")</f>
        <v>1.8375356984682137E-2</v>
      </c>
    </row>
    <row r="321" spans="1:30" ht="16.5" customHeight="1" x14ac:dyDescent="0.45">
      <c r="A321" s="6" t="s">
        <v>293</v>
      </c>
      <c r="B321" s="7">
        <v>1006.21</v>
      </c>
      <c r="C321" s="8">
        <f>IFERROR(B321/B444, "NA")</f>
        <v>7.6783453887194313E-3</v>
      </c>
      <c r="D321" s="9"/>
      <c r="E321" s="7">
        <v>1279.51</v>
      </c>
      <c r="F321" s="8">
        <f>IFERROR(E321/E444, "NA")</f>
        <v>8.9999840329784402E-3</v>
      </c>
      <c r="G321" s="9"/>
      <c r="H321" s="10">
        <f t="shared" si="76"/>
        <v>273.29999999999995</v>
      </c>
      <c r="I321" s="8">
        <f>IFERROR(H321/H444, "NA")</f>
        <v>-2.4570996514388828E-2</v>
      </c>
      <c r="J321" s="9"/>
      <c r="K321" s="7">
        <v>1992.47</v>
      </c>
      <c r="L321" s="8">
        <f>IFERROR(K321/K444, "NA")</f>
        <v>1.4480890242574734E-2</v>
      </c>
      <c r="M321" s="9"/>
      <c r="N321" s="10">
        <f t="shared" si="77"/>
        <v>986.26</v>
      </c>
      <c r="O321" s="8">
        <f>IFERROR(N321/N444, "NA")</f>
        <v>-0.15062233693245175</v>
      </c>
      <c r="P321" s="9"/>
      <c r="Q321" s="7">
        <v>1006.21</v>
      </c>
      <c r="R321" s="8">
        <f>IFERROR(Q321/Q444, "NA")</f>
        <v>7.6783453887194313E-3</v>
      </c>
      <c r="S321" s="9"/>
      <c r="T321" s="7">
        <v>1279.51</v>
      </c>
      <c r="U321" s="8">
        <f>IFERROR(T321/T444, "NA")</f>
        <v>8.9999840329784402E-3</v>
      </c>
      <c r="V321" s="9"/>
      <c r="W321" s="10">
        <f t="shared" si="78"/>
        <v>273.29999999999995</v>
      </c>
      <c r="X321" s="8">
        <f>IFERROR(W321/W444, "NA")</f>
        <v>-2.4570996514388828E-2</v>
      </c>
      <c r="Y321" s="9"/>
      <c r="Z321" s="7">
        <v>1992.47</v>
      </c>
      <c r="AA321" s="8">
        <f>IFERROR(Z321/Z444, "NA")</f>
        <v>1.4480890242574734E-2</v>
      </c>
      <c r="AB321" s="9"/>
      <c r="AC321" s="10">
        <f t="shared" si="79"/>
        <v>986.26</v>
      </c>
      <c r="AD321" s="8">
        <f>IFERROR(AC321/AC444, "NA")</f>
        <v>-0.15062233693245175</v>
      </c>
    </row>
    <row r="322" spans="1:30" ht="16.5" customHeight="1" x14ac:dyDescent="0.45">
      <c r="A322" s="6" t="s">
        <v>294</v>
      </c>
      <c r="B322" s="7">
        <v>237.45</v>
      </c>
      <c r="C322" s="8">
        <f>IFERROR(B322/B444, "NA")</f>
        <v>1.8119707740446116E-3</v>
      </c>
      <c r="D322" s="9"/>
      <c r="E322" s="7">
        <v>191</v>
      </c>
      <c r="F322" s="8">
        <f>IFERROR(E322/E444, "NA")</f>
        <v>1.3434806686144557E-3</v>
      </c>
      <c r="G322" s="9"/>
      <c r="H322" s="10">
        <f t="shared" si="76"/>
        <v>-46.449999999999989</v>
      </c>
      <c r="I322" s="8">
        <f>IFERROR(H322/H444, "NA")</f>
        <v>4.1760804540554742E-3</v>
      </c>
      <c r="J322" s="9"/>
      <c r="K322" s="7">
        <v>159.94999999999999</v>
      </c>
      <c r="L322" s="8">
        <f>IFERROR(K322/K444, "NA")</f>
        <v>1.1624859567771805E-3</v>
      </c>
      <c r="M322" s="9"/>
      <c r="N322" s="10">
        <f t="shared" si="77"/>
        <v>-77.5</v>
      </c>
      <c r="O322" s="8">
        <f>IFERROR(N322/N444, "NA")</f>
        <v>1.1835855770552401E-2</v>
      </c>
      <c r="P322" s="9"/>
      <c r="Q322" s="7">
        <v>237.45</v>
      </c>
      <c r="R322" s="8">
        <f>IFERROR(Q322/Q444, "NA")</f>
        <v>1.8119707740446116E-3</v>
      </c>
      <c r="S322" s="9"/>
      <c r="T322" s="7">
        <v>191</v>
      </c>
      <c r="U322" s="8">
        <f>IFERROR(T322/T444, "NA")</f>
        <v>1.3434806686144557E-3</v>
      </c>
      <c r="V322" s="9"/>
      <c r="W322" s="10">
        <f t="shared" si="78"/>
        <v>-46.449999999999989</v>
      </c>
      <c r="X322" s="8">
        <f>IFERROR(W322/W444, "NA")</f>
        <v>4.1760804540554742E-3</v>
      </c>
      <c r="Y322" s="9"/>
      <c r="Z322" s="7">
        <v>159.94999999999999</v>
      </c>
      <c r="AA322" s="8">
        <f>IFERROR(Z322/Z444, "NA")</f>
        <v>1.1624859567771805E-3</v>
      </c>
      <c r="AB322" s="9"/>
      <c r="AC322" s="10">
        <f t="shared" si="79"/>
        <v>-77.5</v>
      </c>
      <c r="AD322" s="8">
        <f>IFERROR(AC322/AC444, "NA")</f>
        <v>1.1835855770552401E-2</v>
      </c>
    </row>
    <row r="323" spans="1:30" ht="16.5" hidden="1" customHeight="1" x14ac:dyDescent="0.45">
      <c r="A323" s="6" t="s">
        <v>295</v>
      </c>
      <c r="B323" s="7">
        <v>0</v>
      </c>
      <c r="C323" s="8">
        <f>IFERROR(B323/B444, "NA")</f>
        <v>0</v>
      </c>
      <c r="D323" s="9"/>
      <c r="E323" s="7">
        <v>0</v>
      </c>
      <c r="F323" s="8">
        <f>IFERROR(E323/E444, "NA")</f>
        <v>0</v>
      </c>
      <c r="G323" s="9"/>
      <c r="H323" s="10">
        <f t="shared" si="76"/>
        <v>0</v>
      </c>
      <c r="I323" s="8">
        <f>IFERROR(H323/H444, "NA")</f>
        <v>0</v>
      </c>
      <c r="J323" s="9"/>
      <c r="K323" s="7">
        <v>0</v>
      </c>
      <c r="L323" s="8">
        <f>IFERROR(K323/K444, "NA")</f>
        <v>0</v>
      </c>
      <c r="M323" s="9"/>
      <c r="N323" s="10">
        <f t="shared" si="77"/>
        <v>0</v>
      </c>
      <c r="O323" s="8">
        <f>IFERROR(N323/N444, "NA")</f>
        <v>0</v>
      </c>
      <c r="P323" s="9"/>
      <c r="Q323" s="7">
        <v>0</v>
      </c>
      <c r="R323" s="8">
        <f>IFERROR(Q323/Q444, "NA")</f>
        <v>0</v>
      </c>
      <c r="S323" s="9"/>
      <c r="T323" s="7">
        <v>0</v>
      </c>
      <c r="U323" s="8">
        <f>IFERROR(T323/T444, "NA")</f>
        <v>0</v>
      </c>
      <c r="V323" s="9"/>
      <c r="W323" s="10">
        <f t="shared" si="78"/>
        <v>0</v>
      </c>
      <c r="X323" s="8">
        <f>IFERROR(W323/W444, "NA")</f>
        <v>0</v>
      </c>
      <c r="Y323" s="9"/>
      <c r="Z323" s="7">
        <v>0</v>
      </c>
      <c r="AA323" s="8">
        <f>IFERROR(Z323/Z444, "NA")</f>
        <v>0</v>
      </c>
      <c r="AB323" s="9"/>
      <c r="AC323" s="10">
        <f t="shared" si="79"/>
        <v>0</v>
      </c>
      <c r="AD323" s="8">
        <f>IFERROR(AC323/AC444, "NA")</f>
        <v>0</v>
      </c>
    </row>
    <row r="324" spans="1:30" ht="16.5" customHeight="1" x14ac:dyDescent="0.45">
      <c r="A324" s="19" t="s">
        <v>296</v>
      </c>
      <c r="B324" s="14">
        <f>IFERROR(B297+B298+B299+B300+B301+B302+B303+B304+B305+B306+B307+B308+B309+B310+B311+B312+B313+B314+B315+B316+B317+B318+B319+B320+B321+B322+B323, "NA")</f>
        <v>3694.67</v>
      </c>
      <c r="C324" s="15">
        <f>IFERROR(B324/B444, "NA")</f>
        <v>2.8193868434362626E-2</v>
      </c>
      <c r="D324" s="2"/>
      <c r="E324" s="14">
        <f>IFERROR(E297+E298+E299+E300+E301+E302+E303+E304+E305+E306+E307+E308+E309+E310+E311+E312+E313+E314+E315+E316+E317+E318+E319+E320+E321+E322+E323, "NA")</f>
        <v>3742.51</v>
      </c>
      <c r="F324" s="15">
        <f>IFERROR(E324/E444, "NA")</f>
        <v>2.632455412092297E-2</v>
      </c>
      <c r="G324" s="2"/>
      <c r="H324" s="14">
        <f t="shared" si="76"/>
        <v>47.840000000000146</v>
      </c>
      <c r="I324" s="15">
        <f>IFERROR(H324/H444, "NA")</f>
        <v>-4.3010482006892257E-3</v>
      </c>
      <c r="J324" s="2"/>
      <c r="K324" s="14">
        <f>IFERROR(K297+K298+K299+K300+K301+K302+K303+K304+K305+K306+K307+K308+K309+K310+K311+K312+K313+K314+K315+K316+K317+K318+K319+K320+K321+K322+K323, "NA")</f>
        <v>4762.99</v>
      </c>
      <c r="L324" s="15">
        <f>IFERROR(K324/K444, "NA")</f>
        <v>3.4616498826321618E-2</v>
      </c>
      <c r="M324" s="2"/>
      <c r="N324" s="14">
        <f t="shared" si="77"/>
        <v>1068.3199999999997</v>
      </c>
      <c r="O324" s="15">
        <f>IFERROR(N324/N444, "NA")</f>
        <v>-0.16315459918447145</v>
      </c>
      <c r="P324" s="2"/>
      <c r="Q324" s="14">
        <f>IFERROR(Q297+Q298+Q299+Q300+Q301+Q302+Q303+Q304+Q305+Q306+Q307+Q308+Q309+Q310+Q311+Q312+Q313+Q314+Q315+Q316+Q317+Q318+Q319+Q320+Q321+Q322+Q323, "NA")</f>
        <v>3694.67</v>
      </c>
      <c r="R324" s="15">
        <f>IFERROR(Q324/Q444, "NA")</f>
        <v>2.8193868434362626E-2</v>
      </c>
      <c r="S324" s="2"/>
      <c r="T324" s="14">
        <f>IFERROR(T297+T298+T299+T300+T301+T302+T303+T304+T305+T306+T307+T308+T309+T310+T311+T312+T313+T314+T315+T316+T317+T318+T319+T320+T321+T322+T323, "NA")</f>
        <v>3742.51</v>
      </c>
      <c r="U324" s="15">
        <f>IFERROR(T324/T444, "NA")</f>
        <v>2.632455412092297E-2</v>
      </c>
      <c r="V324" s="2"/>
      <c r="W324" s="14">
        <f t="shared" si="78"/>
        <v>47.840000000000146</v>
      </c>
      <c r="X324" s="15">
        <f>IFERROR(W324/W444, "NA")</f>
        <v>-4.3010482006892257E-3</v>
      </c>
      <c r="Y324" s="2"/>
      <c r="Z324" s="14">
        <f>IFERROR(Z297+Z298+Z299+Z300+Z301+Z302+Z303+Z304+Z305+Z306+Z307+Z308+Z309+Z310+Z311+Z312+Z313+Z314+Z315+Z316+Z317+Z318+Z319+Z320+Z321+Z322+Z323, "NA")</f>
        <v>4762.99</v>
      </c>
      <c r="AA324" s="15">
        <f>IFERROR(Z324/Z444, "NA")</f>
        <v>3.4616498826321618E-2</v>
      </c>
      <c r="AB324" s="2"/>
      <c r="AC324" s="14">
        <f t="shared" si="79"/>
        <v>1068.3199999999997</v>
      </c>
      <c r="AD324" s="15">
        <f>IFERROR(AC324/AC444, "NA")</f>
        <v>-0.16315459918447145</v>
      </c>
    </row>
    <row r="325" spans="1:30" ht="16.5" customHeight="1" x14ac:dyDescent="0.45">
      <c r="A325" s="21" t="s">
        <v>297</v>
      </c>
      <c r="B325" s="14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265+B266+B269+B270+B271+B272+B275+B276+B277+B278+B279+B280+B281+B282+B283+B286+B287+B288+B289+B290+B291+B292+B293+B294+B297+B298+B299+B300+B301+B302+B303+B304+B305+B306+B307+B308+B309+B310+B311+B312+B313+B314+B315+B316+B317+B318+B319+B320+B321+B322+B323, "NA")</f>
        <v>37605.35</v>
      </c>
      <c r="C325" s="15">
        <f>IFERROR(B325/B444, "NA")</f>
        <v>0.28696481426708165</v>
      </c>
      <c r="D325" s="2"/>
      <c r="E325" s="14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265+E266+E269+E270+E271+E272+E275+E276+E277+E278+E279+E280+E281+E282+E283+E286+E287+E288+E289+E290+E291+E292+E293+E294+E297+E298+E299+E300+E301+E302+E303+E304+E305+E306+E307+E308+E309+E310+E311+E312+E313+E314+E315+E316+E317+E318+E319+E320+E321+E322+E323, "NA")</f>
        <v>34982.639999999999</v>
      </c>
      <c r="F325" s="15">
        <f>IFERROR(E325/E444, "NA")</f>
        <v>0.24606544804763772</v>
      </c>
      <c r="G325" s="2"/>
      <c r="H325" s="14">
        <f t="shared" si="76"/>
        <v>-2622.7099999999991</v>
      </c>
      <c r="I325" s="15">
        <f>IFERROR(H325/H444, "NA")</f>
        <v>0.23579435883005018</v>
      </c>
      <c r="J325" s="2"/>
      <c r="K325" s="14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265+K266+K269+K270+K271+K272+K275+K276+K277+K278+K279+K280+K281+K282+K283+K286+K287+K288+K289+K290+K291+K292+K293+K294+K297+K298+K299+K300+K301+K302+K303+K304+K305+K306+K307+K308+K309+K310+K311+K312+K313+K314+K315+K316+K317+K318+K319+K320+K321+K322+K323, "NA")</f>
        <v>40356.749999999993</v>
      </c>
      <c r="L325" s="15">
        <f>IFERROR(K325/K444, "NA")</f>
        <v>0.29330512745337589</v>
      </c>
      <c r="M325" s="2"/>
      <c r="N325" s="14">
        <f t="shared" si="77"/>
        <v>2751.3999999999942</v>
      </c>
      <c r="O325" s="15">
        <f>IFERROR(N325/N444, "NA")</f>
        <v>-0.42019578796255236</v>
      </c>
      <c r="P325" s="2"/>
      <c r="Q325" s="14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265+Q266+Q269+Q270+Q271+Q272+Q275+Q276+Q277+Q278+Q279+Q280+Q281+Q282+Q283+Q286+Q287+Q288+Q289+Q290+Q291+Q292+Q293+Q294+Q297+Q298+Q299+Q300+Q301+Q302+Q303+Q304+Q305+Q306+Q307+Q308+Q309+Q310+Q311+Q312+Q313+Q314+Q315+Q316+Q317+Q318+Q319+Q320+Q321+Q322+Q323, "NA")</f>
        <v>37605.35</v>
      </c>
      <c r="R325" s="15">
        <f>IFERROR(Q325/Q444, "NA")</f>
        <v>0.28696481426708165</v>
      </c>
      <c r="S325" s="2"/>
      <c r="T325" s="14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265+T266+T269+T270+T271+T272+T275+T276+T277+T278+T279+T280+T281+T282+T283+T286+T287+T288+T289+T290+T291+T292+T293+T294+T297+T298+T299+T300+T301+T302+T303+T304+T305+T306+T307+T308+T309+T310+T311+T312+T313+T314+T315+T316+T317+T318+T319+T320+T321+T322+T323, "NA")</f>
        <v>34982.639999999999</v>
      </c>
      <c r="U325" s="15">
        <f>IFERROR(T325/T444, "NA")</f>
        <v>0.24606544804763772</v>
      </c>
      <c r="V325" s="2"/>
      <c r="W325" s="14">
        <f t="shared" si="78"/>
        <v>-2622.7099999999991</v>
      </c>
      <c r="X325" s="15">
        <f>IFERROR(W325/W444, "NA")</f>
        <v>0.23579435883005018</v>
      </c>
      <c r="Y325" s="2"/>
      <c r="Z325" s="14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265+Z266+Z269+Z270+Z271+Z272+Z275+Z276+Z277+Z278+Z279+Z280+Z281+Z282+Z283+Z286+Z287+Z288+Z289+Z290+Z291+Z292+Z293+Z294+Z297+Z298+Z299+Z300+Z301+Z302+Z303+Z304+Z305+Z306+Z307+Z308+Z309+Z310+Z311+Z312+Z313+Z314+Z315+Z316+Z317+Z318+Z319+Z320+Z321+Z322+Z323, "NA")</f>
        <v>40356.749999999993</v>
      </c>
      <c r="AA325" s="15">
        <f>IFERROR(Z325/Z444, "NA")</f>
        <v>0.29330512745337589</v>
      </c>
      <c r="AB325" s="2"/>
      <c r="AC325" s="14">
        <f t="shared" si="79"/>
        <v>2751.3999999999942</v>
      </c>
      <c r="AD325" s="15">
        <f>IFERROR(AC325/AC444, "NA")</f>
        <v>-0.42019578796255236</v>
      </c>
    </row>
    <row r="326" spans="1:30" ht="16.5" customHeight="1" x14ac:dyDescent="0.45">
      <c r="A326" s="1" t="s">
        <v>298</v>
      </c>
      <c r="B326" s="2"/>
      <c r="C326" s="3"/>
      <c r="D326" s="4"/>
      <c r="E326" s="2"/>
      <c r="F326" s="3"/>
      <c r="G326" s="4"/>
      <c r="H326" s="2"/>
      <c r="I326" s="3"/>
      <c r="J326" s="4"/>
      <c r="K326" s="2"/>
      <c r="L326" s="3"/>
      <c r="M326" s="4"/>
      <c r="N326" s="2"/>
      <c r="O326" s="3"/>
      <c r="P326" s="4"/>
      <c r="Q326" s="2"/>
      <c r="R326" s="3"/>
      <c r="S326" s="4"/>
      <c r="T326" s="2"/>
      <c r="U326" s="3"/>
      <c r="V326" s="4"/>
      <c r="W326" s="2"/>
      <c r="X326" s="3"/>
      <c r="Y326" s="4"/>
      <c r="Z326" s="2"/>
      <c r="AA326" s="3"/>
      <c r="AB326" s="4"/>
      <c r="AC326" s="2"/>
      <c r="AD326" s="3"/>
    </row>
    <row r="327" spans="1:30" ht="16.5" customHeight="1" x14ac:dyDescent="0.45">
      <c r="A327" s="5" t="s">
        <v>299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hidden="1" customHeight="1" x14ac:dyDescent="0.45">
      <c r="A328" s="6" t="s">
        <v>299</v>
      </c>
      <c r="B328" s="7">
        <v>0</v>
      </c>
      <c r="C328" s="8">
        <f>IFERROR(B328/B444, "NA")</f>
        <v>0</v>
      </c>
      <c r="D328" s="9"/>
      <c r="E328" s="7">
        <v>0</v>
      </c>
      <c r="F328" s="8">
        <f>IFERROR(E328/E444, "NA")</f>
        <v>0</v>
      </c>
      <c r="G328" s="9"/>
      <c r="H328" s="10">
        <f t="shared" ref="H328:H335" si="80">IFERROR(-(B328-E328), "NA")</f>
        <v>0</v>
      </c>
      <c r="I328" s="8">
        <f>IFERROR(H328/H444, "NA")</f>
        <v>0</v>
      </c>
      <c r="J328" s="9"/>
      <c r="K328" s="7">
        <v>0</v>
      </c>
      <c r="L328" s="8">
        <f>IFERROR(K328/K444, "NA")</f>
        <v>0</v>
      </c>
      <c r="M328" s="9"/>
      <c r="N328" s="10">
        <f t="shared" ref="N328:N335" si="81">IFERROR(-(B328-K328), "NA")</f>
        <v>0</v>
      </c>
      <c r="O328" s="8">
        <f>IFERROR(N328/N444, "NA")</f>
        <v>0</v>
      </c>
      <c r="P328" s="9"/>
      <c r="Q328" s="7">
        <v>0</v>
      </c>
      <c r="R328" s="8">
        <f>IFERROR(Q328/Q444, "NA")</f>
        <v>0</v>
      </c>
      <c r="S328" s="9"/>
      <c r="T328" s="7">
        <v>0</v>
      </c>
      <c r="U328" s="8">
        <f>IFERROR(T328/T444, "NA")</f>
        <v>0</v>
      </c>
      <c r="V328" s="9"/>
      <c r="W328" s="10">
        <f t="shared" ref="W328:W335" si="82">IFERROR(-(Q328-T328), "NA")</f>
        <v>0</v>
      </c>
      <c r="X328" s="8">
        <f>IFERROR(W328/W444, "NA")</f>
        <v>0</v>
      </c>
      <c r="Y328" s="9"/>
      <c r="Z328" s="7">
        <v>0</v>
      </c>
      <c r="AA328" s="8">
        <f>IFERROR(Z328/Z444, "NA")</f>
        <v>0</v>
      </c>
      <c r="AB328" s="9"/>
      <c r="AC328" s="10">
        <f t="shared" ref="AC328:AC335" si="83">IFERROR(-(Q328-Z328), "NA")</f>
        <v>0</v>
      </c>
      <c r="AD328" s="8">
        <f>IFERROR(AC328/AC444, "NA")</f>
        <v>0</v>
      </c>
    </row>
    <row r="329" spans="1:30" ht="16.5" customHeight="1" x14ac:dyDescent="0.45">
      <c r="A329" s="6" t="s">
        <v>300</v>
      </c>
      <c r="B329" s="7">
        <v>10440.49</v>
      </c>
      <c r="C329" s="8">
        <f>IFERROR(B329/B444, "NA")</f>
        <v>7.9670931761234062E-2</v>
      </c>
      <c r="D329" s="9"/>
      <c r="E329" s="7">
        <v>10440.49</v>
      </c>
      <c r="F329" s="8">
        <f>IFERROR(E329/E444, "NA")</f>
        <v>7.3437677936453089E-2</v>
      </c>
      <c r="G329" s="9"/>
      <c r="H329" s="10">
        <f t="shared" si="80"/>
        <v>0</v>
      </c>
      <c r="I329" s="8">
        <f>IFERROR(H329/H444, "NA")</f>
        <v>0</v>
      </c>
      <c r="J329" s="9"/>
      <c r="K329" s="7">
        <v>10136.4</v>
      </c>
      <c r="L329" s="8">
        <f>IFERROR(K329/K444, "NA")</f>
        <v>7.3669413268372688E-2</v>
      </c>
      <c r="M329" s="9"/>
      <c r="N329" s="10">
        <f t="shared" si="81"/>
        <v>-304.09000000000015</v>
      </c>
      <c r="O329" s="8">
        <f>IFERROR(N329/N444, "NA")</f>
        <v>4.6440843629255248E-2</v>
      </c>
      <c r="P329" s="9"/>
      <c r="Q329" s="7">
        <v>10440.49</v>
      </c>
      <c r="R329" s="8">
        <f>IFERROR(Q329/Q444, "NA")</f>
        <v>7.9670931761234062E-2</v>
      </c>
      <c r="S329" s="9"/>
      <c r="T329" s="7">
        <v>10440.49</v>
      </c>
      <c r="U329" s="8">
        <f>IFERROR(T329/T444, "NA")</f>
        <v>7.3437677936453089E-2</v>
      </c>
      <c r="V329" s="9"/>
      <c r="W329" s="10">
        <f t="shared" si="82"/>
        <v>0</v>
      </c>
      <c r="X329" s="8">
        <f>IFERROR(W329/W444, "NA")</f>
        <v>0</v>
      </c>
      <c r="Y329" s="9"/>
      <c r="Z329" s="7">
        <v>10136.4</v>
      </c>
      <c r="AA329" s="8">
        <f>IFERROR(Z329/Z444, "NA")</f>
        <v>7.3669413268372688E-2</v>
      </c>
      <c r="AB329" s="9"/>
      <c r="AC329" s="10">
        <f t="shared" si="83"/>
        <v>-304.09000000000015</v>
      </c>
      <c r="AD329" s="8">
        <f>IFERROR(AC329/AC444, "NA")</f>
        <v>4.6440843629255248E-2</v>
      </c>
    </row>
    <row r="330" spans="1:30" ht="16.5" customHeight="1" x14ac:dyDescent="0.45">
      <c r="A330" s="6" t="s">
        <v>301</v>
      </c>
      <c r="B330" s="7">
        <v>728.65</v>
      </c>
      <c r="C330" s="8">
        <f>IFERROR(B330/B444, "NA")</f>
        <v>5.5602969235948882E-3</v>
      </c>
      <c r="D330" s="9"/>
      <c r="E330" s="7">
        <v>728.65</v>
      </c>
      <c r="F330" s="8">
        <f>IFERROR(E330/E444, "NA")</f>
        <v>5.1252732418111159E-3</v>
      </c>
      <c r="G330" s="9"/>
      <c r="H330" s="10">
        <f t="shared" si="80"/>
        <v>0</v>
      </c>
      <c r="I330" s="8">
        <f>IFERROR(H330/H444, "NA")</f>
        <v>0</v>
      </c>
      <c r="J330" s="9"/>
      <c r="K330" s="7">
        <v>728.65</v>
      </c>
      <c r="L330" s="8">
        <f>IFERROR(K330/K444, "NA")</f>
        <v>5.2956886052247113E-3</v>
      </c>
      <c r="M330" s="9"/>
      <c r="N330" s="10">
        <f t="shared" si="81"/>
        <v>0</v>
      </c>
      <c r="O330" s="8">
        <f>IFERROR(N330/N444, "NA")</f>
        <v>0</v>
      </c>
      <c r="P330" s="9"/>
      <c r="Q330" s="7">
        <v>728.65</v>
      </c>
      <c r="R330" s="8">
        <f>IFERROR(Q330/Q444, "NA")</f>
        <v>5.5602969235948882E-3</v>
      </c>
      <c r="S330" s="9"/>
      <c r="T330" s="7">
        <v>728.65</v>
      </c>
      <c r="U330" s="8">
        <f>IFERROR(T330/T444, "NA")</f>
        <v>5.1252732418111159E-3</v>
      </c>
      <c r="V330" s="9"/>
      <c r="W330" s="10">
        <f t="shared" si="82"/>
        <v>0</v>
      </c>
      <c r="X330" s="8">
        <f>IFERROR(W330/W444, "NA")</f>
        <v>0</v>
      </c>
      <c r="Y330" s="9"/>
      <c r="Z330" s="7">
        <v>728.65</v>
      </c>
      <c r="AA330" s="8">
        <f>IFERROR(Z330/Z444, "NA")</f>
        <v>5.2956886052247113E-3</v>
      </c>
      <c r="AB330" s="9"/>
      <c r="AC330" s="10">
        <f t="shared" si="83"/>
        <v>0</v>
      </c>
      <c r="AD330" s="8">
        <f>IFERROR(AC330/AC444, "NA")</f>
        <v>0</v>
      </c>
    </row>
    <row r="331" spans="1:30" ht="16.5" hidden="1" customHeight="1" x14ac:dyDescent="0.45">
      <c r="A331" s="6" t="s">
        <v>302</v>
      </c>
      <c r="B331" s="7">
        <v>0</v>
      </c>
      <c r="C331" s="8">
        <f>IFERROR(B331/B444, "NA")</f>
        <v>0</v>
      </c>
      <c r="D331" s="9"/>
      <c r="E331" s="7">
        <v>0</v>
      </c>
      <c r="F331" s="8">
        <f>IFERROR(E331/E444, "NA")</f>
        <v>0</v>
      </c>
      <c r="G331" s="9"/>
      <c r="H331" s="10">
        <f t="shared" si="80"/>
        <v>0</v>
      </c>
      <c r="I331" s="8">
        <f>IFERROR(H331/H444, "NA")</f>
        <v>0</v>
      </c>
      <c r="J331" s="9"/>
      <c r="K331" s="7">
        <v>0</v>
      </c>
      <c r="L331" s="8">
        <f>IFERROR(K331/K444, "NA")</f>
        <v>0</v>
      </c>
      <c r="M331" s="9"/>
      <c r="N331" s="10">
        <f t="shared" si="81"/>
        <v>0</v>
      </c>
      <c r="O331" s="8">
        <f>IFERROR(N331/N444, "NA")</f>
        <v>0</v>
      </c>
      <c r="P331" s="9"/>
      <c r="Q331" s="7">
        <v>0</v>
      </c>
      <c r="R331" s="8">
        <f>IFERROR(Q331/Q444, "NA")</f>
        <v>0</v>
      </c>
      <c r="S331" s="9"/>
      <c r="T331" s="7">
        <v>0</v>
      </c>
      <c r="U331" s="8">
        <f>IFERROR(T331/T444, "NA")</f>
        <v>0</v>
      </c>
      <c r="V331" s="9"/>
      <c r="W331" s="10">
        <f t="shared" si="82"/>
        <v>0</v>
      </c>
      <c r="X331" s="8">
        <f>IFERROR(W331/W444, "NA")</f>
        <v>0</v>
      </c>
      <c r="Y331" s="9"/>
      <c r="Z331" s="7">
        <v>0</v>
      </c>
      <c r="AA331" s="8">
        <f>IFERROR(Z331/Z444, "NA")</f>
        <v>0</v>
      </c>
      <c r="AB331" s="9"/>
      <c r="AC331" s="10">
        <f t="shared" si="83"/>
        <v>0</v>
      </c>
      <c r="AD331" s="8">
        <f>IFERROR(AC331/AC444, "NA")</f>
        <v>0</v>
      </c>
    </row>
    <row r="332" spans="1:30" ht="16.5" customHeight="1" x14ac:dyDescent="0.45">
      <c r="A332" s="6" t="s">
        <v>303</v>
      </c>
      <c r="B332" s="7">
        <v>15.16</v>
      </c>
      <c r="C332" s="8">
        <f>IFERROR(B332/B444, "NA")</f>
        <v>1.1568531031592468E-4</v>
      </c>
      <c r="D332" s="9"/>
      <c r="E332" s="7">
        <v>133</v>
      </c>
      <c r="F332" s="8">
        <f>IFERROR(E332/E444, "NA")</f>
        <v>9.3551271688860002E-4</v>
      </c>
      <c r="G332" s="9"/>
      <c r="H332" s="10">
        <f t="shared" si="80"/>
        <v>117.84</v>
      </c>
      <c r="I332" s="8">
        <f>IFERROR(H332/H444, "NA")</f>
        <v>-1.0594387959222759E-2</v>
      </c>
      <c r="J332" s="9"/>
      <c r="K332" s="7">
        <v>15.16</v>
      </c>
      <c r="L332" s="8">
        <f>IFERROR(K332/K444, "NA")</f>
        <v>1.1017997564702755E-4</v>
      </c>
      <c r="M332" s="9"/>
      <c r="N332" s="10">
        <f t="shared" si="81"/>
        <v>0</v>
      </c>
      <c r="O332" s="8">
        <f>IFERROR(N332/N444, "NA")</f>
        <v>0</v>
      </c>
      <c r="P332" s="9"/>
      <c r="Q332" s="7">
        <v>15.16</v>
      </c>
      <c r="R332" s="8">
        <f>IFERROR(Q332/Q444, "NA")</f>
        <v>1.1568531031592468E-4</v>
      </c>
      <c r="S332" s="9"/>
      <c r="T332" s="7">
        <v>133</v>
      </c>
      <c r="U332" s="8">
        <f>IFERROR(T332/T444, "NA")</f>
        <v>9.3551271688860002E-4</v>
      </c>
      <c r="V332" s="9"/>
      <c r="W332" s="10">
        <f t="shared" si="82"/>
        <v>117.84</v>
      </c>
      <c r="X332" s="8">
        <f>IFERROR(W332/W444, "NA")</f>
        <v>-1.0594387959222759E-2</v>
      </c>
      <c r="Y332" s="9"/>
      <c r="Z332" s="7">
        <v>15.16</v>
      </c>
      <c r="AA332" s="8">
        <f>IFERROR(Z332/Z444, "NA")</f>
        <v>1.1017997564702755E-4</v>
      </c>
      <c r="AB332" s="9"/>
      <c r="AC332" s="10">
        <f t="shared" si="83"/>
        <v>0</v>
      </c>
      <c r="AD332" s="8">
        <f>IFERROR(AC332/AC444, "NA")</f>
        <v>0</v>
      </c>
    </row>
    <row r="333" spans="1:30" ht="16.5" customHeight="1" x14ac:dyDescent="0.45">
      <c r="A333" s="6" t="s">
        <v>304</v>
      </c>
      <c r="B333" s="7">
        <v>964.14</v>
      </c>
      <c r="C333" s="8">
        <f>IFERROR(B333/B444, "NA")</f>
        <v>7.3573110216355944E-3</v>
      </c>
      <c r="D333" s="9"/>
      <c r="E333" s="7">
        <v>964</v>
      </c>
      <c r="F333" s="8">
        <f>IFERROR(E333/E444, "NA")</f>
        <v>6.780708714891808E-3</v>
      </c>
      <c r="G333" s="9"/>
      <c r="H333" s="10">
        <f t="shared" si="80"/>
        <v>-0.13999999999998636</v>
      </c>
      <c r="I333" s="8">
        <f>IFERROR(H333/H444, "NA")</f>
        <v>1.2586679517065867E-5</v>
      </c>
      <c r="J333" s="9"/>
      <c r="K333" s="7">
        <v>964.14</v>
      </c>
      <c r="L333" s="8">
        <f>IFERROR(K333/K444, "NA")</f>
        <v>7.0071848100478323E-3</v>
      </c>
      <c r="M333" s="9"/>
      <c r="N333" s="10">
        <f t="shared" si="81"/>
        <v>0</v>
      </c>
      <c r="O333" s="8">
        <f>IFERROR(N333/N444, "NA")</f>
        <v>0</v>
      </c>
      <c r="P333" s="9"/>
      <c r="Q333" s="7">
        <v>964.14</v>
      </c>
      <c r="R333" s="8">
        <f>IFERROR(Q333/Q444, "NA")</f>
        <v>7.3573110216355944E-3</v>
      </c>
      <c r="S333" s="9"/>
      <c r="T333" s="7">
        <v>964</v>
      </c>
      <c r="U333" s="8">
        <f>IFERROR(T333/T444, "NA")</f>
        <v>6.780708714891808E-3</v>
      </c>
      <c r="V333" s="9"/>
      <c r="W333" s="10">
        <f t="shared" si="82"/>
        <v>-0.13999999999998636</v>
      </c>
      <c r="X333" s="8">
        <f>IFERROR(W333/W444, "NA")</f>
        <v>1.2586679517065867E-5</v>
      </c>
      <c r="Y333" s="9"/>
      <c r="Z333" s="7">
        <v>964.14</v>
      </c>
      <c r="AA333" s="8">
        <f>IFERROR(Z333/Z444, "NA")</f>
        <v>7.0071848100478323E-3</v>
      </c>
      <c r="AB333" s="9"/>
      <c r="AC333" s="10">
        <f t="shared" si="83"/>
        <v>0</v>
      </c>
      <c r="AD333" s="8">
        <f>IFERROR(AC333/AC444, "NA")</f>
        <v>0</v>
      </c>
    </row>
    <row r="334" spans="1:30" ht="16.5" customHeight="1" x14ac:dyDescent="0.45">
      <c r="A334" s="6" t="s">
        <v>305</v>
      </c>
      <c r="B334" s="7">
        <v>-803.92</v>
      </c>
      <c r="C334" s="8">
        <f>IFERROR(B334/B444, "NA")</f>
        <v>-6.1346790678877411E-3</v>
      </c>
      <c r="D334" s="9"/>
      <c r="E334" s="7">
        <v>-803.92</v>
      </c>
      <c r="F334" s="8">
        <f>IFERROR(E334/E444, "NA")</f>
        <v>-5.6547171681284461E-3</v>
      </c>
      <c r="G334" s="9"/>
      <c r="H334" s="10">
        <f t="shared" si="80"/>
        <v>0</v>
      </c>
      <c r="I334" s="8">
        <f>IFERROR(H334/H444, "NA")</f>
        <v>0</v>
      </c>
      <c r="J334" s="9"/>
      <c r="K334" s="7">
        <v>-780.5</v>
      </c>
      <c r="L334" s="8">
        <f>IFERROR(K334/K444, "NA")</f>
        <v>-5.6725244718011216E-3</v>
      </c>
      <c r="M334" s="9"/>
      <c r="N334" s="10">
        <f t="shared" si="81"/>
        <v>23.419999999999959</v>
      </c>
      <c r="O334" s="8">
        <f>IFERROR(N334/N444, "NA")</f>
        <v>-3.5767192535011193E-3</v>
      </c>
      <c r="P334" s="9"/>
      <c r="Q334" s="7">
        <v>-803.92</v>
      </c>
      <c r="R334" s="8">
        <f>IFERROR(Q334/Q444, "NA")</f>
        <v>-6.1346790678877411E-3</v>
      </c>
      <c r="S334" s="9"/>
      <c r="T334" s="7">
        <v>-803.92</v>
      </c>
      <c r="U334" s="8">
        <f>IFERROR(T334/T444, "NA")</f>
        <v>-5.6547171681284461E-3</v>
      </c>
      <c r="V334" s="9"/>
      <c r="W334" s="10">
        <f t="shared" si="82"/>
        <v>0</v>
      </c>
      <c r="X334" s="8">
        <f>IFERROR(W334/W444, "NA")</f>
        <v>0</v>
      </c>
      <c r="Y334" s="9"/>
      <c r="Z334" s="7">
        <v>-780.5</v>
      </c>
      <c r="AA334" s="8">
        <f>IFERROR(Z334/Z444, "NA")</f>
        <v>-5.6725244718011216E-3</v>
      </c>
      <c r="AB334" s="9"/>
      <c r="AC334" s="10">
        <f t="shared" si="83"/>
        <v>23.419999999999959</v>
      </c>
      <c r="AD334" s="8">
        <f>IFERROR(AC334/AC444, "NA")</f>
        <v>-3.5767192535011193E-3</v>
      </c>
    </row>
    <row r="335" spans="1:30" ht="16.5" customHeight="1" x14ac:dyDescent="0.45">
      <c r="A335" s="6" t="s">
        <v>306</v>
      </c>
      <c r="B335" s="7">
        <v>0</v>
      </c>
      <c r="C335" s="8">
        <f>IFERROR(B335/B444, "NA")</f>
        <v>0</v>
      </c>
      <c r="D335" s="9"/>
      <c r="E335" s="7">
        <v>213.25</v>
      </c>
      <c r="F335" s="8">
        <f>IFERROR(E335/E444, "NA")</f>
        <v>1.4999856156127365E-3</v>
      </c>
      <c r="G335" s="9"/>
      <c r="H335" s="10">
        <f t="shared" si="80"/>
        <v>213.25</v>
      </c>
      <c r="I335" s="8">
        <f>IFERROR(H335/H444, "NA")</f>
        <v>-1.9172210050103982E-2</v>
      </c>
      <c r="J335" s="9"/>
      <c r="K335" s="7">
        <v>1654.81</v>
      </c>
      <c r="L335" s="8">
        <f>IFERROR(K335/K444, "NA")</f>
        <v>1.2026842051481376E-2</v>
      </c>
      <c r="M335" s="9"/>
      <c r="N335" s="10">
        <f t="shared" si="81"/>
        <v>1654.81</v>
      </c>
      <c r="O335" s="8">
        <f>IFERROR(N335/N444, "NA")</f>
        <v>-0.25272377403442348</v>
      </c>
      <c r="P335" s="9"/>
      <c r="Q335" s="7">
        <v>0</v>
      </c>
      <c r="R335" s="8">
        <f>IFERROR(Q335/Q444, "NA")</f>
        <v>0</v>
      </c>
      <c r="S335" s="9"/>
      <c r="T335" s="7">
        <v>213.25</v>
      </c>
      <c r="U335" s="8">
        <f>IFERROR(T335/T444, "NA")</f>
        <v>1.4999856156127365E-3</v>
      </c>
      <c r="V335" s="9"/>
      <c r="W335" s="10">
        <f t="shared" si="82"/>
        <v>213.25</v>
      </c>
      <c r="X335" s="8">
        <f>IFERROR(W335/W444, "NA")</f>
        <v>-1.9172210050103982E-2</v>
      </c>
      <c r="Y335" s="9"/>
      <c r="Z335" s="7">
        <v>1654.81</v>
      </c>
      <c r="AA335" s="8">
        <f>IFERROR(Z335/Z444, "NA")</f>
        <v>1.2026842051481376E-2</v>
      </c>
      <c r="AB335" s="9"/>
      <c r="AC335" s="10">
        <f t="shared" si="83"/>
        <v>1654.81</v>
      </c>
      <c r="AD335" s="8">
        <f>IFERROR(AC335/AC444, "NA")</f>
        <v>-0.25272377403442348</v>
      </c>
    </row>
    <row r="336" spans="1:30" ht="16.5" customHeight="1" x14ac:dyDescent="0.45">
      <c r="A336" s="11" t="s">
        <v>307</v>
      </c>
      <c r="B336" s="2"/>
      <c r="C336" s="3"/>
      <c r="D336" s="4"/>
      <c r="E336" s="2"/>
      <c r="F336" s="3"/>
      <c r="G336" s="4"/>
      <c r="H336" s="2"/>
      <c r="I336" s="3"/>
      <c r="J336" s="4"/>
      <c r="K336" s="2"/>
      <c r="L336" s="3"/>
      <c r="M336" s="4"/>
      <c r="N336" s="2"/>
      <c r="O336" s="3"/>
      <c r="P336" s="4"/>
      <c r="Q336" s="2"/>
      <c r="R336" s="3"/>
      <c r="S336" s="4"/>
      <c r="T336" s="2"/>
      <c r="U336" s="3"/>
      <c r="V336" s="4"/>
      <c r="W336" s="2"/>
      <c r="X336" s="3"/>
      <c r="Y336" s="4"/>
      <c r="Z336" s="2"/>
      <c r="AA336" s="3"/>
      <c r="AB336" s="4"/>
      <c r="AC336" s="2"/>
      <c r="AD336" s="3"/>
    </row>
    <row r="337" spans="1:30" ht="16.5" hidden="1" customHeight="1" x14ac:dyDescent="0.45">
      <c r="A337" s="12" t="s">
        <v>307</v>
      </c>
      <c r="B337" s="7">
        <v>0</v>
      </c>
      <c r="C337" s="8">
        <f>IFERROR(B337/B444, "NA")</f>
        <v>0</v>
      </c>
      <c r="D337" s="9"/>
      <c r="E337" s="7">
        <v>0</v>
      </c>
      <c r="F337" s="8">
        <f>IFERROR(E337/E444, "NA")</f>
        <v>0</v>
      </c>
      <c r="G337" s="9"/>
      <c r="H337" s="10">
        <f t="shared" ref="H337:H344" si="84">IFERROR(-(B337-E337), "NA")</f>
        <v>0</v>
      </c>
      <c r="I337" s="8">
        <f>IFERROR(H337/H444, "NA")</f>
        <v>0</v>
      </c>
      <c r="J337" s="9"/>
      <c r="K337" s="7">
        <v>0</v>
      </c>
      <c r="L337" s="8">
        <f>IFERROR(K337/K444, "NA")</f>
        <v>0</v>
      </c>
      <c r="M337" s="9"/>
      <c r="N337" s="10">
        <f t="shared" ref="N337:N344" si="85">IFERROR(-(B337-K337), "NA")</f>
        <v>0</v>
      </c>
      <c r="O337" s="8">
        <f>IFERROR(N337/N444, "NA")</f>
        <v>0</v>
      </c>
      <c r="P337" s="9"/>
      <c r="Q337" s="7">
        <v>0</v>
      </c>
      <c r="R337" s="8">
        <f>IFERROR(Q337/Q444, "NA")</f>
        <v>0</v>
      </c>
      <c r="S337" s="9"/>
      <c r="T337" s="7">
        <v>0</v>
      </c>
      <c r="U337" s="8">
        <f>IFERROR(T337/T444, "NA")</f>
        <v>0</v>
      </c>
      <c r="V337" s="9"/>
      <c r="W337" s="10">
        <f t="shared" ref="W337:W344" si="86">IFERROR(-(Q337-T337), "NA")</f>
        <v>0</v>
      </c>
      <c r="X337" s="8">
        <f>IFERROR(W337/W444, "NA")</f>
        <v>0</v>
      </c>
      <c r="Y337" s="9"/>
      <c r="Z337" s="7">
        <v>0</v>
      </c>
      <c r="AA337" s="8">
        <f>IFERROR(Z337/Z444, "NA")</f>
        <v>0</v>
      </c>
      <c r="AB337" s="9"/>
      <c r="AC337" s="10">
        <f t="shared" ref="AC337:AC344" si="87">IFERROR(-(Q337-Z337), "NA")</f>
        <v>0</v>
      </c>
      <c r="AD337" s="8">
        <f>IFERROR(AC337/AC444, "NA")</f>
        <v>0</v>
      </c>
    </row>
    <row r="338" spans="1:30" ht="16.5" customHeight="1" x14ac:dyDescent="0.45">
      <c r="A338" s="12" t="s">
        <v>308</v>
      </c>
      <c r="B338" s="7">
        <v>3925.72</v>
      </c>
      <c r="C338" s="8">
        <f>IFERROR(B338/B444, "NA")</f>
        <v>2.9957001082680196E-2</v>
      </c>
      <c r="D338" s="9"/>
      <c r="E338" s="7">
        <v>2843.36</v>
      </c>
      <c r="F338" s="8">
        <f>IFERROR(E338/E444, "NA")</f>
        <v>1.9999995779641878E-2</v>
      </c>
      <c r="G338" s="9"/>
      <c r="H338" s="10">
        <f t="shared" si="84"/>
        <v>-1082.3599999999997</v>
      </c>
      <c r="I338" s="8">
        <f>IFERROR(H338/H444, "NA")</f>
        <v>9.7309417443519536E-2</v>
      </c>
      <c r="J338" s="9"/>
      <c r="K338" s="7">
        <v>4773.37</v>
      </c>
      <c r="L338" s="8">
        <f>IFERROR(K338/K444, "NA")</f>
        <v>3.46919386777211E-2</v>
      </c>
      <c r="M338" s="9"/>
      <c r="N338" s="10">
        <f t="shared" si="85"/>
        <v>847.65000000000009</v>
      </c>
      <c r="O338" s="8">
        <f>IFERROR(N338/N444, "NA")</f>
        <v>-0.12945371798591929</v>
      </c>
      <c r="P338" s="9"/>
      <c r="Q338" s="7">
        <v>3925.72</v>
      </c>
      <c r="R338" s="8">
        <f>IFERROR(Q338/Q444, "NA")</f>
        <v>2.9957001082680196E-2</v>
      </c>
      <c r="S338" s="9"/>
      <c r="T338" s="7">
        <v>2843.36</v>
      </c>
      <c r="U338" s="8">
        <f>IFERROR(T338/T444, "NA")</f>
        <v>1.9999995779641878E-2</v>
      </c>
      <c r="V338" s="9"/>
      <c r="W338" s="10">
        <f t="shared" si="86"/>
        <v>-1082.3599999999997</v>
      </c>
      <c r="X338" s="8">
        <f>IFERROR(W338/W444, "NA")</f>
        <v>9.7309417443519536E-2</v>
      </c>
      <c r="Y338" s="9"/>
      <c r="Z338" s="7">
        <v>4773.37</v>
      </c>
      <c r="AA338" s="8">
        <f>IFERROR(Z338/Z444, "NA")</f>
        <v>3.46919386777211E-2</v>
      </c>
      <c r="AB338" s="9"/>
      <c r="AC338" s="10">
        <f t="shared" si="87"/>
        <v>847.65000000000009</v>
      </c>
      <c r="AD338" s="8">
        <f>IFERROR(AC338/AC444, "NA")</f>
        <v>-0.12945371798591929</v>
      </c>
    </row>
    <row r="339" spans="1:30" ht="16.5" customHeight="1" x14ac:dyDescent="0.45">
      <c r="A339" s="12" t="s">
        <v>309</v>
      </c>
      <c r="B339" s="7">
        <v>331.07</v>
      </c>
      <c r="C339" s="8">
        <f>IFERROR(B339/B444, "NA")</f>
        <v>2.5263809819454607E-3</v>
      </c>
      <c r="D339" s="9"/>
      <c r="E339" s="7">
        <v>284.33999999999997</v>
      </c>
      <c r="F339" s="8">
        <f>IFERROR(E339/E444, "NA")</f>
        <v>2.0000277136849962E-3</v>
      </c>
      <c r="G339" s="9"/>
      <c r="H339" s="10">
        <f t="shared" si="84"/>
        <v>-46.730000000000018</v>
      </c>
      <c r="I339" s="8">
        <f>IFERROR(H339/H444, "NA")</f>
        <v>4.2012538130896107E-3</v>
      </c>
      <c r="J339" s="9"/>
      <c r="K339" s="7">
        <v>301.04000000000002</v>
      </c>
      <c r="L339" s="8">
        <f>IFERROR(K339/K444, "NA")</f>
        <v>2.1879010467533758E-3</v>
      </c>
      <c r="M339" s="9"/>
      <c r="N339" s="10">
        <f t="shared" si="85"/>
        <v>-30.029999999999973</v>
      </c>
      <c r="O339" s="8">
        <f>IFERROR(N339/N444, "NA")</f>
        <v>4.586203210189526E-3</v>
      </c>
      <c r="P339" s="9"/>
      <c r="Q339" s="7">
        <v>331.07</v>
      </c>
      <c r="R339" s="8">
        <f>IFERROR(Q339/Q444, "NA")</f>
        <v>2.5263809819454607E-3</v>
      </c>
      <c r="S339" s="9"/>
      <c r="T339" s="7">
        <v>284.33999999999997</v>
      </c>
      <c r="U339" s="8">
        <f>IFERROR(T339/T444, "NA")</f>
        <v>2.0000277136849962E-3</v>
      </c>
      <c r="V339" s="9"/>
      <c r="W339" s="10">
        <f t="shared" si="86"/>
        <v>-46.730000000000018</v>
      </c>
      <c r="X339" s="8">
        <f>IFERROR(W339/W444, "NA")</f>
        <v>4.2012538130896107E-3</v>
      </c>
      <c r="Y339" s="9"/>
      <c r="Z339" s="7">
        <v>301.04000000000002</v>
      </c>
      <c r="AA339" s="8">
        <f>IFERROR(Z339/Z444, "NA")</f>
        <v>2.1879010467533758E-3</v>
      </c>
      <c r="AB339" s="9"/>
      <c r="AC339" s="10">
        <f t="shared" si="87"/>
        <v>-30.029999999999973</v>
      </c>
      <c r="AD339" s="8">
        <f>IFERROR(AC339/AC444, "NA")</f>
        <v>4.586203210189526E-3</v>
      </c>
    </row>
    <row r="340" spans="1:30" ht="16.5" customHeight="1" x14ac:dyDescent="0.45">
      <c r="A340" s="12" t="s">
        <v>310</v>
      </c>
      <c r="B340" s="7">
        <v>1242.1400000000001</v>
      </c>
      <c r="C340" s="8">
        <f>IFERROR(B340/B444, "NA")</f>
        <v>9.478717107903871E-3</v>
      </c>
      <c r="D340" s="9"/>
      <c r="E340" s="7">
        <v>568.66999999999996</v>
      </c>
      <c r="F340" s="8">
        <f>IFERROR(E340/E444, "NA")</f>
        <v>3.9999850880679715E-3</v>
      </c>
      <c r="G340" s="9"/>
      <c r="H340" s="10">
        <f t="shared" si="84"/>
        <v>-673.47000000000014</v>
      </c>
      <c r="I340" s="8">
        <f>IFERROR(H340/H444, "NA")</f>
        <v>6.0548221816851266E-2</v>
      </c>
      <c r="J340" s="9"/>
      <c r="K340" s="7">
        <v>561.39</v>
      </c>
      <c r="L340" s="8">
        <f>IFERROR(K340/K444, "NA")</f>
        <v>4.0800749688974141E-3</v>
      </c>
      <c r="M340" s="9"/>
      <c r="N340" s="10">
        <f t="shared" si="85"/>
        <v>-680.75000000000011</v>
      </c>
      <c r="O340" s="8">
        <f>IFERROR(N340/N444, "NA")</f>
        <v>0.1039646298813361</v>
      </c>
      <c r="P340" s="9"/>
      <c r="Q340" s="7">
        <v>1242.1400000000001</v>
      </c>
      <c r="R340" s="8">
        <f>IFERROR(Q340/Q444, "NA")</f>
        <v>9.478717107903871E-3</v>
      </c>
      <c r="S340" s="9"/>
      <c r="T340" s="7">
        <v>568.66999999999996</v>
      </c>
      <c r="U340" s="8">
        <f>IFERROR(T340/T444, "NA")</f>
        <v>3.9999850880679715E-3</v>
      </c>
      <c r="V340" s="9"/>
      <c r="W340" s="10">
        <f t="shared" si="86"/>
        <v>-673.47000000000014</v>
      </c>
      <c r="X340" s="8">
        <f>IFERROR(W340/W444, "NA")</f>
        <v>6.0548221816851266E-2</v>
      </c>
      <c r="Y340" s="9"/>
      <c r="Z340" s="7">
        <v>561.39</v>
      </c>
      <c r="AA340" s="8">
        <f>IFERROR(Z340/Z444, "NA")</f>
        <v>4.0800749688974141E-3</v>
      </c>
      <c r="AB340" s="9"/>
      <c r="AC340" s="10">
        <f t="shared" si="87"/>
        <v>-680.75000000000011</v>
      </c>
      <c r="AD340" s="8">
        <f>IFERROR(AC340/AC444, "NA")</f>
        <v>0.1039646298813361</v>
      </c>
    </row>
    <row r="341" spans="1:30" ht="16.5" customHeight="1" x14ac:dyDescent="0.45">
      <c r="A341" s="12" t="s">
        <v>311</v>
      </c>
      <c r="B341" s="7">
        <v>380.17</v>
      </c>
      <c r="C341" s="8">
        <f>IFERROR(B341/B444, "NA")</f>
        <v>2.9010609777575915E-3</v>
      </c>
      <c r="D341" s="9"/>
      <c r="E341" s="7">
        <v>284.33999999999997</v>
      </c>
      <c r="F341" s="8">
        <f>IFERROR(E341/E444, "NA")</f>
        <v>2.0000277136849962E-3</v>
      </c>
      <c r="G341" s="9"/>
      <c r="H341" s="10">
        <f t="shared" si="84"/>
        <v>-95.830000000000041</v>
      </c>
      <c r="I341" s="8">
        <f>IFERROR(H341/H444, "NA")</f>
        <v>8.6155821294324284E-3</v>
      </c>
      <c r="J341" s="9"/>
      <c r="K341" s="7">
        <v>380.17</v>
      </c>
      <c r="L341" s="8">
        <f>IFERROR(K341/K444, "NA")</f>
        <v>2.7630027270270753E-3</v>
      </c>
      <c r="M341" s="9"/>
      <c r="N341" s="10">
        <f t="shared" si="85"/>
        <v>0</v>
      </c>
      <c r="O341" s="8">
        <f>IFERROR(N341/N444, "NA")</f>
        <v>0</v>
      </c>
      <c r="P341" s="9"/>
      <c r="Q341" s="7">
        <v>380.17</v>
      </c>
      <c r="R341" s="8">
        <f>IFERROR(Q341/Q444, "NA")</f>
        <v>2.9010609777575915E-3</v>
      </c>
      <c r="S341" s="9"/>
      <c r="T341" s="7">
        <v>284.33999999999997</v>
      </c>
      <c r="U341" s="8">
        <f>IFERROR(T341/T444, "NA")</f>
        <v>2.0000277136849962E-3</v>
      </c>
      <c r="V341" s="9"/>
      <c r="W341" s="10">
        <f t="shared" si="86"/>
        <v>-95.830000000000041</v>
      </c>
      <c r="X341" s="8">
        <f>IFERROR(W341/W444, "NA")</f>
        <v>8.6155821294324284E-3</v>
      </c>
      <c r="Y341" s="9"/>
      <c r="Z341" s="7">
        <v>380.17</v>
      </c>
      <c r="AA341" s="8">
        <f>IFERROR(Z341/Z444, "NA")</f>
        <v>2.7630027270270753E-3</v>
      </c>
      <c r="AB341" s="9"/>
      <c r="AC341" s="10">
        <f t="shared" si="87"/>
        <v>0</v>
      </c>
      <c r="AD341" s="8">
        <f>IFERROR(AC341/AC444, "NA")</f>
        <v>0</v>
      </c>
    </row>
    <row r="342" spans="1:30" ht="16.5" customHeight="1" x14ac:dyDescent="0.45">
      <c r="A342" s="13" t="s">
        <v>312</v>
      </c>
      <c r="B342" s="14">
        <f>IFERROR(B337+B338+B339+B340+B341, "NA")</f>
        <v>5879.1</v>
      </c>
      <c r="C342" s="15">
        <f>IFERROR(B342/B444, "NA")</f>
        <v>4.4863160150287122E-2</v>
      </c>
      <c r="D342" s="2"/>
      <c r="E342" s="14">
        <f>IFERROR(E337+E338+E339+E340+E341, "NA")</f>
        <v>3980.7100000000005</v>
      </c>
      <c r="F342" s="15">
        <f>IFERROR(E342/E444, "NA")</f>
        <v>2.8000036295079848E-2</v>
      </c>
      <c r="G342" s="2"/>
      <c r="H342" s="14">
        <f t="shared" si="84"/>
        <v>-1898.3899999999999</v>
      </c>
      <c r="I342" s="15">
        <f>IFERROR(H342/H444, "NA")</f>
        <v>0.17067447520289283</v>
      </c>
      <c r="J342" s="2"/>
      <c r="K342" s="14">
        <f>IFERROR(K337+K338+K339+K340+K341, "NA")</f>
        <v>6015.97</v>
      </c>
      <c r="L342" s="15">
        <f>IFERROR(K342/K444, "NA")</f>
        <v>4.3722917420398966E-2</v>
      </c>
      <c r="M342" s="2"/>
      <c r="N342" s="14">
        <f t="shared" si="85"/>
        <v>136.86999999999989</v>
      </c>
      <c r="O342" s="15">
        <f>IFERROR(N342/N444, "NA")</f>
        <v>-2.0902884894393625E-2</v>
      </c>
      <c r="P342" s="2"/>
      <c r="Q342" s="14">
        <f>IFERROR(Q337+Q338+Q339+Q340+Q341, "NA")</f>
        <v>5879.1</v>
      </c>
      <c r="R342" s="15">
        <f>IFERROR(Q342/Q444, "NA")</f>
        <v>4.4863160150287122E-2</v>
      </c>
      <c r="S342" s="2"/>
      <c r="T342" s="14">
        <f>IFERROR(T337+T338+T339+T340+T341, "NA")</f>
        <v>3980.7100000000005</v>
      </c>
      <c r="U342" s="15">
        <f>IFERROR(T342/T444, "NA")</f>
        <v>2.8000036295079848E-2</v>
      </c>
      <c r="V342" s="2"/>
      <c r="W342" s="14">
        <f t="shared" si="86"/>
        <v>-1898.3899999999999</v>
      </c>
      <c r="X342" s="15">
        <f>IFERROR(W342/W444, "NA")</f>
        <v>0.17067447520289283</v>
      </c>
      <c r="Y342" s="2"/>
      <c r="Z342" s="14">
        <f>IFERROR(Z337+Z338+Z339+Z340+Z341, "NA")</f>
        <v>6015.97</v>
      </c>
      <c r="AA342" s="15">
        <f>IFERROR(Z342/Z444, "NA")</f>
        <v>4.3722917420398966E-2</v>
      </c>
      <c r="AB342" s="2"/>
      <c r="AC342" s="14">
        <f t="shared" si="87"/>
        <v>136.86999999999989</v>
      </c>
      <c r="AD342" s="15">
        <f>IFERROR(AC342/AC444, "NA")</f>
        <v>-2.0902884894393625E-2</v>
      </c>
    </row>
    <row r="343" spans="1:30" ht="16.5" customHeight="1" x14ac:dyDescent="0.45">
      <c r="A343" s="19" t="s">
        <v>313</v>
      </c>
      <c r="B343" s="14">
        <f>IFERROR(B328+B329+B330+B331+B332+B333+B334+B335+B337+B338+B339+B340+B341, "NA")</f>
        <v>17223.619999999995</v>
      </c>
      <c r="C343" s="15">
        <f>IFERROR(B343/B444, "NA")</f>
        <v>0.13143270609917981</v>
      </c>
      <c r="D343" s="2"/>
      <c r="E343" s="14">
        <f>IFERROR(E328+E329+E330+E331+E332+E333+E334+E335+E337+E338+E339+E340+E341, "NA")</f>
        <v>15656.18</v>
      </c>
      <c r="F343" s="15">
        <f>IFERROR(E343/E444, "NA")</f>
        <v>0.11012447735260875</v>
      </c>
      <c r="G343" s="2"/>
      <c r="H343" s="14">
        <f t="shared" si="84"/>
        <v>-1567.4399999999951</v>
      </c>
      <c r="I343" s="15">
        <f>IFERROR(H343/H444, "NA")</f>
        <v>0.14092046387308274</v>
      </c>
      <c r="J343" s="2"/>
      <c r="K343" s="14">
        <f>IFERROR(K328+K329+K330+K331+K332+K333+K334+K335+K337+K338+K339+K340+K341, "NA")</f>
        <v>18734.629999999997</v>
      </c>
      <c r="L343" s="15">
        <f>IFERROR(K343/K444, "NA")</f>
        <v>0.13615970165937147</v>
      </c>
      <c r="M343" s="2"/>
      <c r="N343" s="14">
        <f t="shared" si="85"/>
        <v>1511.010000000002</v>
      </c>
      <c r="O343" s="15">
        <f>IFERROR(N343/N444, "NA")</f>
        <v>-0.23076253455306334</v>
      </c>
      <c r="P343" s="2"/>
      <c r="Q343" s="14">
        <f>IFERROR(Q328+Q329+Q330+Q331+Q332+Q333+Q334+Q335+Q337+Q338+Q339+Q340+Q341, "NA")</f>
        <v>17223.619999999995</v>
      </c>
      <c r="R343" s="15">
        <f>IFERROR(Q343/Q444, "NA")</f>
        <v>0.13143270609917981</v>
      </c>
      <c r="S343" s="2"/>
      <c r="T343" s="14">
        <f>IFERROR(T328+T329+T330+T331+T332+T333+T334+T335+T337+T338+T339+T340+T341, "NA")</f>
        <v>15656.18</v>
      </c>
      <c r="U343" s="15">
        <f>IFERROR(T343/T444, "NA")</f>
        <v>0.11012447735260875</v>
      </c>
      <c r="V343" s="2"/>
      <c r="W343" s="14">
        <f t="shared" si="86"/>
        <v>-1567.4399999999951</v>
      </c>
      <c r="X343" s="15">
        <f>IFERROR(W343/W444, "NA")</f>
        <v>0.14092046387308274</v>
      </c>
      <c r="Y343" s="2"/>
      <c r="Z343" s="14">
        <f>IFERROR(Z328+Z329+Z330+Z331+Z332+Z333+Z334+Z335+Z337+Z338+Z339+Z340+Z341, "NA")</f>
        <v>18734.629999999997</v>
      </c>
      <c r="AA343" s="15">
        <f>IFERROR(Z343/Z444, "NA")</f>
        <v>0.13615970165937147</v>
      </c>
      <c r="AB343" s="2"/>
      <c r="AC343" s="14">
        <f t="shared" si="87"/>
        <v>1511.010000000002</v>
      </c>
      <c r="AD343" s="15">
        <f>IFERROR(AC343/AC444, "NA")</f>
        <v>-0.23076253455306334</v>
      </c>
    </row>
    <row r="344" spans="1:30" ht="16.5" customHeight="1" x14ac:dyDescent="0.45">
      <c r="A344" s="21" t="s">
        <v>314</v>
      </c>
      <c r="B344" s="14">
        <f>IFERROR(B328+B329+B330+B331+B332+B333+B334+B335+B337+B338+B339+B340+B341, "NA")</f>
        <v>17223.619999999995</v>
      </c>
      <c r="C344" s="15">
        <f>IFERROR(B344/B444, "NA")</f>
        <v>0.13143270609917981</v>
      </c>
      <c r="D344" s="2"/>
      <c r="E344" s="14">
        <f>IFERROR(E328+E329+E330+E331+E332+E333+E334+E335+E337+E338+E339+E340+E341, "NA")</f>
        <v>15656.18</v>
      </c>
      <c r="F344" s="15">
        <f>IFERROR(E344/E444, "NA")</f>
        <v>0.11012447735260875</v>
      </c>
      <c r="G344" s="2"/>
      <c r="H344" s="14">
        <f t="shared" si="84"/>
        <v>-1567.4399999999951</v>
      </c>
      <c r="I344" s="15">
        <f>IFERROR(H344/H444, "NA")</f>
        <v>0.14092046387308274</v>
      </c>
      <c r="J344" s="2"/>
      <c r="K344" s="14">
        <f>IFERROR(K328+K329+K330+K331+K332+K333+K334+K335+K337+K338+K339+K340+K341, "NA")</f>
        <v>18734.629999999997</v>
      </c>
      <c r="L344" s="15">
        <f>IFERROR(K344/K444, "NA")</f>
        <v>0.13615970165937147</v>
      </c>
      <c r="M344" s="2"/>
      <c r="N344" s="14">
        <f t="shared" si="85"/>
        <v>1511.010000000002</v>
      </c>
      <c r="O344" s="15">
        <f>IFERROR(N344/N444, "NA")</f>
        <v>-0.23076253455306334</v>
      </c>
      <c r="P344" s="2"/>
      <c r="Q344" s="14">
        <f>IFERROR(Q328+Q329+Q330+Q331+Q332+Q333+Q334+Q335+Q337+Q338+Q339+Q340+Q341, "NA")</f>
        <v>17223.619999999995</v>
      </c>
      <c r="R344" s="15">
        <f>IFERROR(Q344/Q444, "NA")</f>
        <v>0.13143270609917981</v>
      </c>
      <c r="S344" s="2"/>
      <c r="T344" s="14">
        <f>IFERROR(T328+T329+T330+T331+T332+T333+T334+T335+T337+T338+T339+T340+T341, "NA")</f>
        <v>15656.18</v>
      </c>
      <c r="U344" s="15">
        <f>IFERROR(T344/T444, "NA")</f>
        <v>0.11012447735260875</v>
      </c>
      <c r="V344" s="2"/>
      <c r="W344" s="14">
        <f t="shared" si="86"/>
        <v>-1567.4399999999951</v>
      </c>
      <c r="X344" s="15">
        <f>IFERROR(W344/W444, "NA")</f>
        <v>0.14092046387308274</v>
      </c>
      <c r="Y344" s="2"/>
      <c r="Z344" s="14">
        <f>IFERROR(Z328+Z329+Z330+Z331+Z332+Z333+Z334+Z335+Z337+Z338+Z339+Z340+Z341, "NA")</f>
        <v>18734.629999999997</v>
      </c>
      <c r="AA344" s="15">
        <f>IFERROR(Z344/Z444, "NA")</f>
        <v>0.13615970165937147</v>
      </c>
      <c r="AB344" s="2"/>
      <c r="AC344" s="14">
        <f t="shared" si="87"/>
        <v>1511.010000000002</v>
      </c>
      <c r="AD344" s="15">
        <f>IFERROR(AC344/AC444, "NA")</f>
        <v>-0.23076253455306334</v>
      </c>
    </row>
    <row r="345" spans="1:30" ht="16.5" customHeight="1" x14ac:dyDescent="0.45">
      <c r="A345" s="22" t="s">
        <v>315</v>
      </c>
      <c r="B345" s="23">
        <f>IFERROR(B198-B325-B344, "NA")</f>
        <v>3432.2299999999741</v>
      </c>
      <c r="C345" s="24">
        <f>IFERROR(B345/B444, "NA")</f>
        <v>2.6191200041268018E-2</v>
      </c>
      <c r="D345" s="25"/>
      <c r="E345" s="23">
        <f>IFERROR(E198-E325-E344, "NA")</f>
        <v>16557.470000000008</v>
      </c>
      <c r="F345" s="24">
        <f>IFERROR(E345/E444, "NA")</f>
        <v>0.11646408830452254</v>
      </c>
      <c r="G345" s="25"/>
      <c r="H345" s="23">
        <f>IFERROR(B345-E345, "NA")</f>
        <v>-13125.240000000034</v>
      </c>
      <c r="I345" s="24">
        <f>IFERROR(H345/H444, "NA")</f>
        <v>1.1800227818899294</v>
      </c>
      <c r="J345" s="25"/>
      <c r="K345" s="23">
        <f>IFERROR(K198-K325-K344, "NA")</f>
        <v>4878.0700000000579</v>
      </c>
      <c r="L345" s="24">
        <f>IFERROR(K345/K444, "NA")</f>
        <v>3.5452878219294333E-2</v>
      </c>
      <c r="M345" s="25"/>
      <c r="N345" s="23">
        <f>IFERROR(B345-K345, "NA")</f>
        <v>-1445.8400000000838</v>
      </c>
      <c r="O345" s="24">
        <f>IFERROR(N345/N444, "NA")</f>
        <v>0.2208097252554384</v>
      </c>
      <c r="P345" s="25"/>
      <c r="Q345" s="23">
        <f>IFERROR(Q198-Q325-Q344, "NA")</f>
        <v>3432.2299999999741</v>
      </c>
      <c r="R345" s="24">
        <f>IFERROR(Q345/Q444, "NA")</f>
        <v>2.6191200041268018E-2</v>
      </c>
      <c r="S345" s="25"/>
      <c r="T345" s="23">
        <f>IFERROR(T198-T325-T344, "NA")</f>
        <v>16557.470000000008</v>
      </c>
      <c r="U345" s="24">
        <f>IFERROR(T345/T444, "NA")</f>
        <v>0.11646408830452254</v>
      </c>
      <c r="V345" s="25"/>
      <c r="W345" s="23">
        <f>IFERROR(Q345-T345, "NA")</f>
        <v>-13125.240000000034</v>
      </c>
      <c r="X345" s="24">
        <f>IFERROR(W345/W444, "NA")</f>
        <v>1.1800227818899294</v>
      </c>
      <c r="Y345" s="25"/>
      <c r="Z345" s="23">
        <f>IFERROR(Z198-Z325-Z344, "NA")</f>
        <v>4878.0700000000579</v>
      </c>
      <c r="AA345" s="24">
        <f>IFERROR(Z345/Z444, "NA")</f>
        <v>3.5452878219294333E-2</v>
      </c>
      <c r="AB345" s="25"/>
      <c r="AC345" s="23">
        <f>IFERROR(Q345-Z345, "NA")</f>
        <v>-1445.8400000000838</v>
      </c>
      <c r="AD345" s="24">
        <f>IFERROR(AC345/AC444, "NA")</f>
        <v>0.2208097252554384</v>
      </c>
    </row>
    <row r="346" spans="1:30" ht="16.5" customHeight="1" x14ac:dyDescent="0.45">
      <c r="A346" s="1" t="s">
        <v>316</v>
      </c>
      <c r="B346" s="2"/>
      <c r="C346" s="3"/>
      <c r="D346" s="4"/>
      <c r="E346" s="2"/>
      <c r="F346" s="3"/>
      <c r="G346" s="4"/>
      <c r="H346" s="2"/>
      <c r="I346" s="3"/>
      <c r="J346" s="4"/>
      <c r="K346" s="2"/>
      <c r="L346" s="3"/>
      <c r="M346" s="4"/>
      <c r="N346" s="2"/>
      <c r="O346" s="3"/>
      <c r="P346" s="4"/>
      <c r="Q346" s="2"/>
      <c r="R346" s="3"/>
      <c r="S346" s="4"/>
      <c r="T346" s="2"/>
      <c r="U346" s="3"/>
      <c r="V346" s="4"/>
      <c r="W346" s="2"/>
      <c r="X346" s="3"/>
      <c r="Y346" s="4"/>
      <c r="Z346" s="2"/>
      <c r="AA346" s="3"/>
      <c r="AB346" s="4"/>
      <c r="AC346" s="2"/>
      <c r="AD346" s="3"/>
    </row>
    <row r="347" spans="1:30" ht="16.5" hidden="1" customHeight="1" x14ac:dyDescent="0.45">
      <c r="A347" s="20" t="s">
        <v>317</v>
      </c>
      <c r="B347" s="7">
        <v>0</v>
      </c>
      <c r="C347" s="8">
        <f>IFERROR(B347/B444, "NA")</f>
        <v>0</v>
      </c>
      <c r="D347" s="9"/>
      <c r="E347" s="7">
        <v>0</v>
      </c>
      <c r="F347" s="8">
        <f>IFERROR(E347/E444, "NA")</f>
        <v>0</v>
      </c>
      <c r="G347" s="9"/>
      <c r="H347" s="10">
        <f>IFERROR(-(B347-E347), "NA")</f>
        <v>0</v>
      </c>
      <c r="I347" s="8">
        <f>IFERROR(H347/H444, "NA")</f>
        <v>0</v>
      </c>
      <c r="J347" s="9"/>
      <c r="K347" s="7">
        <v>0</v>
      </c>
      <c r="L347" s="8">
        <f>IFERROR(K347/K444, "NA")</f>
        <v>0</v>
      </c>
      <c r="M347" s="9"/>
      <c r="N347" s="10">
        <f>IFERROR(-(B347-K347), "NA")</f>
        <v>0</v>
      </c>
      <c r="O347" s="8">
        <f>IFERROR(N347/N444, "NA")</f>
        <v>0</v>
      </c>
      <c r="P347" s="9"/>
      <c r="Q347" s="7">
        <v>0</v>
      </c>
      <c r="R347" s="8">
        <f>IFERROR(Q347/Q444, "NA")</f>
        <v>0</v>
      </c>
      <c r="S347" s="9"/>
      <c r="T347" s="7">
        <v>0</v>
      </c>
      <c r="U347" s="8">
        <f>IFERROR(T347/T444, "NA")</f>
        <v>0</v>
      </c>
      <c r="V347" s="9"/>
      <c r="W347" s="10">
        <f>IFERROR(-(Q347-T347), "NA")</f>
        <v>0</v>
      </c>
      <c r="X347" s="8">
        <f>IFERROR(W347/W444, "NA")</f>
        <v>0</v>
      </c>
      <c r="Y347" s="9"/>
      <c r="Z347" s="7">
        <v>0</v>
      </c>
      <c r="AA347" s="8">
        <f>IFERROR(Z347/Z444, "NA")</f>
        <v>0</v>
      </c>
      <c r="AB347" s="9"/>
      <c r="AC347" s="10">
        <f>IFERROR(-(Q347-Z347), "NA")</f>
        <v>0</v>
      </c>
      <c r="AD347" s="8">
        <f>IFERROR(AC347/AC444, "NA")</f>
        <v>0</v>
      </c>
    </row>
    <row r="348" spans="1:30" ht="16.5" customHeight="1" x14ac:dyDescent="0.45">
      <c r="A348" s="5" t="s">
        <v>318</v>
      </c>
      <c r="B348" s="2"/>
      <c r="C348" s="3"/>
      <c r="D348" s="4"/>
      <c r="E348" s="2"/>
      <c r="F348" s="3"/>
      <c r="G348" s="4"/>
      <c r="H348" s="2"/>
      <c r="I348" s="3"/>
      <c r="J348" s="4"/>
      <c r="K348" s="2"/>
      <c r="L348" s="3"/>
      <c r="M348" s="4"/>
      <c r="N348" s="2"/>
      <c r="O348" s="3"/>
      <c r="P348" s="4"/>
      <c r="Q348" s="2"/>
      <c r="R348" s="3"/>
      <c r="S348" s="4"/>
      <c r="T348" s="2"/>
      <c r="U348" s="3"/>
      <c r="V348" s="4"/>
      <c r="W348" s="2"/>
      <c r="X348" s="3"/>
      <c r="Y348" s="4"/>
      <c r="Z348" s="2"/>
      <c r="AA348" s="3"/>
      <c r="AB348" s="4"/>
      <c r="AC348" s="2"/>
      <c r="AD348" s="3"/>
    </row>
    <row r="349" spans="1:30" ht="16.5" hidden="1" customHeight="1" x14ac:dyDescent="0.45">
      <c r="A349" s="6" t="s">
        <v>318</v>
      </c>
      <c r="B349" s="7">
        <v>0</v>
      </c>
      <c r="C349" s="8">
        <f>IFERROR(B349/B444, "NA")</f>
        <v>0</v>
      </c>
      <c r="D349" s="9"/>
      <c r="E349" s="7">
        <v>0</v>
      </c>
      <c r="F349" s="8">
        <f>IFERROR(E349/E444, "NA")</f>
        <v>0</v>
      </c>
      <c r="G349" s="9"/>
      <c r="H349" s="10">
        <f t="shared" ref="H349:H358" si="88">IFERROR(-(B349-E349), "NA")</f>
        <v>0</v>
      </c>
      <c r="I349" s="8">
        <f>IFERROR(H349/H444, "NA")</f>
        <v>0</v>
      </c>
      <c r="J349" s="9"/>
      <c r="K349" s="7">
        <v>0</v>
      </c>
      <c r="L349" s="8">
        <f>IFERROR(K349/K444, "NA")</f>
        <v>0</v>
      </c>
      <c r="M349" s="9"/>
      <c r="N349" s="10">
        <f t="shared" ref="N349:N358" si="89">IFERROR(-(B349-K349), "NA")</f>
        <v>0</v>
      </c>
      <c r="O349" s="8">
        <f>IFERROR(N349/N444, "NA")</f>
        <v>0</v>
      </c>
      <c r="P349" s="9"/>
      <c r="Q349" s="7">
        <v>0</v>
      </c>
      <c r="R349" s="8">
        <f>IFERROR(Q349/Q444, "NA")</f>
        <v>0</v>
      </c>
      <c r="S349" s="9"/>
      <c r="T349" s="7">
        <v>0</v>
      </c>
      <c r="U349" s="8">
        <f>IFERROR(T349/T444, "NA")</f>
        <v>0</v>
      </c>
      <c r="V349" s="9"/>
      <c r="W349" s="10">
        <f t="shared" ref="W349:W358" si="90">IFERROR(-(Q349-T349), "NA")</f>
        <v>0</v>
      </c>
      <c r="X349" s="8">
        <f>IFERROR(W349/W444, "NA")</f>
        <v>0</v>
      </c>
      <c r="Y349" s="9"/>
      <c r="Z349" s="7">
        <v>0</v>
      </c>
      <c r="AA349" s="8">
        <f>IFERROR(Z349/Z444, "NA")</f>
        <v>0</v>
      </c>
      <c r="AB349" s="9"/>
      <c r="AC349" s="10">
        <f t="shared" ref="AC349:AC358" si="91">IFERROR(-(Q349-Z349), "NA")</f>
        <v>0</v>
      </c>
      <c r="AD349" s="8">
        <f>IFERROR(AC349/AC444, "NA")</f>
        <v>0</v>
      </c>
    </row>
    <row r="350" spans="1:30" ht="16.5" hidden="1" customHeight="1" x14ac:dyDescent="0.45">
      <c r="A350" s="6" t="s">
        <v>319</v>
      </c>
      <c r="B350" s="7">
        <v>0</v>
      </c>
      <c r="C350" s="8">
        <f>IFERROR(B350/B444, "NA")</f>
        <v>0</v>
      </c>
      <c r="D350" s="9"/>
      <c r="E350" s="7">
        <v>0</v>
      </c>
      <c r="F350" s="8">
        <f>IFERROR(E350/E444, "NA")</f>
        <v>0</v>
      </c>
      <c r="G350" s="9"/>
      <c r="H350" s="10">
        <f t="shared" si="88"/>
        <v>0</v>
      </c>
      <c r="I350" s="8">
        <f>IFERROR(H350/H444, "NA")</f>
        <v>0</v>
      </c>
      <c r="J350" s="9"/>
      <c r="K350" s="7">
        <v>0</v>
      </c>
      <c r="L350" s="8">
        <f>IFERROR(K350/K444, "NA")</f>
        <v>0</v>
      </c>
      <c r="M350" s="9"/>
      <c r="N350" s="10">
        <f t="shared" si="89"/>
        <v>0</v>
      </c>
      <c r="O350" s="8">
        <f>IFERROR(N350/N444, "NA")</f>
        <v>0</v>
      </c>
      <c r="P350" s="9"/>
      <c r="Q350" s="7">
        <v>0</v>
      </c>
      <c r="R350" s="8">
        <f>IFERROR(Q350/Q444, "NA")</f>
        <v>0</v>
      </c>
      <c r="S350" s="9"/>
      <c r="T350" s="7">
        <v>0</v>
      </c>
      <c r="U350" s="8">
        <f>IFERROR(T350/T444, "NA")</f>
        <v>0</v>
      </c>
      <c r="V350" s="9"/>
      <c r="W350" s="10">
        <f t="shared" si="90"/>
        <v>0</v>
      </c>
      <c r="X350" s="8">
        <f>IFERROR(W350/W444, "NA")</f>
        <v>0</v>
      </c>
      <c r="Y350" s="9"/>
      <c r="Z350" s="7">
        <v>0</v>
      </c>
      <c r="AA350" s="8">
        <f>IFERROR(Z350/Z444, "NA")</f>
        <v>0</v>
      </c>
      <c r="AB350" s="9"/>
      <c r="AC350" s="10">
        <f t="shared" si="91"/>
        <v>0</v>
      </c>
      <c r="AD350" s="8">
        <f>IFERROR(AC350/AC444, "NA")</f>
        <v>0</v>
      </c>
    </row>
    <row r="351" spans="1:30" ht="16.5" hidden="1" customHeight="1" x14ac:dyDescent="0.45">
      <c r="A351" s="6" t="s">
        <v>320</v>
      </c>
      <c r="B351" s="7">
        <v>0</v>
      </c>
      <c r="C351" s="8">
        <f>IFERROR(B351/B444, "NA")</f>
        <v>0</v>
      </c>
      <c r="D351" s="9"/>
      <c r="E351" s="7">
        <v>0</v>
      </c>
      <c r="F351" s="8">
        <f>IFERROR(E351/E444, "NA")</f>
        <v>0</v>
      </c>
      <c r="G351" s="9"/>
      <c r="H351" s="10">
        <f t="shared" si="88"/>
        <v>0</v>
      </c>
      <c r="I351" s="8">
        <f>IFERROR(H351/H444, "NA")</f>
        <v>0</v>
      </c>
      <c r="J351" s="9"/>
      <c r="K351" s="7">
        <v>0</v>
      </c>
      <c r="L351" s="8">
        <f>IFERROR(K351/K444, "NA")</f>
        <v>0</v>
      </c>
      <c r="M351" s="9"/>
      <c r="N351" s="10">
        <f t="shared" si="89"/>
        <v>0</v>
      </c>
      <c r="O351" s="8">
        <f>IFERROR(N351/N444, "NA")</f>
        <v>0</v>
      </c>
      <c r="P351" s="9"/>
      <c r="Q351" s="7">
        <v>0</v>
      </c>
      <c r="R351" s="8">
        <f>IFERROR(Q351/Q444, "NA")</f>
        <v>0</v>
      </c>
      <c r="S351" s="9"/>
      <c r="T351" s="7">
        <v>0</v>
      </c>
      <c r="U351" s="8">
        <f>IFERROR(T351/T444, "NA")</f>
        <v>0</v>
      </c>
      <c r="V351" s="9"/>
      <c r="W351" s="10">
        <f t="shared" si="90"/>
        <v>0</v>
      </c>
      <c r="X351" s="8">
        <f>IFERROR(W351/W444, "NA")</f>
        <v>0</v>
      </c>
      <c r="Y351" s="9"/>
      <c r="Z351" s="7">
        <v>0</v>
      </c>
      <c r="AA351" s="8">
        <f>IFERROR(Z351/Z444, "NA")</f>
        <v>0</v>
      </c>
      <c r="AB351" s="9"/>
      <c r="AC351" s="10">
        <f t="shared" si="91"/>
        <v>0</v>
      </c>
      <c r="AD351" s="8">
        <f>IFERROR(AC351/AC444, "NA")</f>
        <v>0</v>
      </c>
    </row>
    <row r="352" spans="1:30" ht="16.5" hidden="1" customHeight="1" x14ac:dyDescent="0.45">
      <c r="A352" s="6" t="s">
        <v>321</v>
      </c>
      <c r="B352" s="7">
        <v>0</v>
      </c>
      <c r="C352" s="8">
        <f>IFERROR(B352/B444, "NA")</f>
        <v>0</v>
      </c>
      <c r="D352" s="9"/>
      <c r="E352" s="7">
        <v>0</v>
      </c>
      <c r="F352" s="8">
        <f>IFERROR(E352/E444, "NA")</f>
        <v>0</v>
      </c>
      <c r="G352" s="9"/>
      <c r="H352" s="10">
        <f t="shared" si="88"/>
        <v>0</v>
      </c>
      <c r="I352" s="8">
        <f>IFERROR(H352/H444, "NA")</f>
        <v>0</v>
      </c>
      <c r="J352" s="9"/>
      <c r="K352" s="7">
        <v>0</v>
      </c>
      <c r="L352" s="8">
        <f>IFERROR(K352/K444, "NA")</f>
        <v>0</v>
      </c>
      <c r="M352" s="9"/>
      <c r="N352" s="10">
        <f t="shared" si="89"/>
        <v>0</v>
      </c>
      <c r="O352" s="8">
        <f>IFERROR(N352/N444, "NA")</f>
        <v>0</v>
      </c>
      <c r="P352" s="9"/>
      <c r="Q352" s="7">
        <v>0</v>
      </c>
      <c r="R352" s="8">
        <f>IFERROR(Q352/Q444, "NA")</f>
        <v>0</v>
      </c>
      <c r="S352" s="9"/>
      <c r="T352" s="7">
        <v>0</v>
      </c>
      <c r="U352" s="8">
        <f>IFERROR(T352/T444, "NA")</f>
        <v>0</v>
      </c>
      <c r="V352" s="9"/>
      <c r="W352" s="10">
        <f t="shared" si="90"/>
        <v>0</v>
      </c>
      <c r="X352" s="8">
        <f>IFERROR(W352/W444, "NA")</f>
        <v>0</v>
      </c>
      <c r="Y352" s="9"/>
      <c r="Z352" s="7">
        <v>0</v>
      </c>
      <c r="AA352" s="8">
        <f>IFERROR(Z352/Z444, "NA")</f>
        <v>0</v>
      </c>
      <c r="AB352" s="9"/>
      <c r="AC352" s="10">
        <f t="shared" si="91"/>
        <v>0</v>
      </c>
      <c r="AD352" s="8">
        <f>IFERROR(AC352/AC444, "NA")</f>
        <v>0</v>
      </c>
    </row>
    <row r="353" spans="1:30" ht="16.5" hidden="1" customHeight="1" x14ac:dyDescent="0.45">
      <c r="A353" s="6" t="s">
        <v>322</v>
      </c>
      <c r="B353" s="7">
        <v>0</v>
      </c>
      <c r="C353" s="8">
        <f>IFERROR(B353/B444, "NA")</f>
        <v>0</v>
      </c>
      <c r="D353" s="9"/>
      <c r="E353" s="7">
        <v>0</v>
      </c>
      <c r="F353" s="8">
        <f>IFERROR(E353/E444, "NA")</f>
        <v>0</v>
      </c>
      <c r="G353" s="9"/>
      <c r="H353" s="10">
        <f t="shared" si="88"/>
        <v>0</v>
      </c>
      <c r="I353" s="8">
        <f>IFERROR(H353/H444, "NA")</f>
        <v>0</v>
      </c>
      <c r="J353" s="9"/>
      <c r="K353" s="7">
        <v>0</v>
      </c>
      <c r="L353" s="8">
        <f>IFERROR(K353/K444, "NA")</f>
        <v>0</v>
      </c>
      <c r="M353" s="9"/>
      <c r="N353" s="10">
        <f t="shared" si="89"/>
        <v>0</v>
      </c>
      <c r="O353" s="8">
        <f>IFERROR(N353/N444, "NA")</f>
        <v>0</v>
      </c>
      <c r="P353" s="9"/>
      <c r="Q353" s="7">
        <v>0</v>
      </c>
      <c r="R353" s="8">
        <f>IFERROR(Q353/Q444, "NA")</f>
        <v>0</v>
      </c>
      <c r="S353" s="9"/>
      <c r="T353" s="7">
        <v>0</v>
      </c>
      <c r="U353" s="8">
        <f>IFERROR(T353/T444, "NA")</f>
        <v>0</v>
      </c>
      <c r="V353" s="9"/>
      <c r="W353" s="10">
        <f t="shared" si="90"/>
        <v>0</v>
      </c>
      <c r="X353" s="8">
        <f>IFERROR(W353/W444, "NA")</f>
        <v>0</v>
      </c>
      <c r="Y353" s="9"/>
      <c r="Z353" s="7">
        <v>0</v>
      </c>
      <c r="AA353" s="8">
        <f>IFERROR(Z353/Z444, "NA")</f>
        <v>0</v>
      </c>
      <c r="AB353" s="9"/>
      <c r="AC353" s="10">
        <f t="shared" si="91"/>
        <v>0</v>
      </c>
      <c r="AD353" s="8">
        <f>IFERROR(AC353/AC444, "NA")</f>
        <v>0</v>
      </c>
    </row>
    <row r="354" spans="1:30" ht="16.5" hidden="1" customHeight="1" x14ac:dyDescent="0.45">
      <c r="A354" s="6" t="s">
        <v>323</v>
      </c>
      <c r="B354" s="7">
        <v>0</v>
      </c>
      <c r="C354" s="8">
        <f>IFERROR(B354/B444, "NA")</f>
        <v>0</v>
      </c>
      <c r="D354" s="9"/>
      <c r="E354" s="7">
        <v>0</v>
      </c>
      <c r="F354" s="8">
        <f>IFERROR(E354/E444, "NA")</f>
        <v>0</v>
      </c>
      <c r="G354" s="9"/>
      <c r="H354" s="10">
        <f t="shared" si="88"/>
        <v>0</v>
      </c>
      <c r="I354" s="8">
        <f>IFERROR(H354/H444, "NA")</f>
        <v>0</v>
      </c>
      <c r="J354" s="9"/>
      <c r="K354" s="7">
        <v>0</v>
      </c>
      <c r="L354" s="8">
        <f>IFERROR(K354/K444, "NA")</f>
        <v>0</v>
      </c>
      <c r="M354" s="9"/>
      <c r="N354" s="10">
        <f t="shared" si="89"/>
        <v>0</v>
      </c>
      <c r="O354" s="8">
        <f>IFERROR(N354/N444, "NA")</f>
        <v>0</v>
      </c>
      <c r="P354" s="9"/>
      <c r="Q354" s="7">
        <v>0</v>
      </c>
      <c r="R354" s="8">
        <f>IFERROR(Q354/Q444, "NA")</f>
        <v>0</v>
      </c>
      <c r="S354" s="9"/>
      <c r="T354" s="7">
        <v>0</v>
      </c>
      <c r="U354" s="8">
        <f>IFERROR(T354/T444, "NA")</f>
        <v>0</v>
      </c>
      <c r="V354" s="9"/>
      <c r="W354" s="10">
        <f t="shared" si="90"/>
        <v>0</v>
      </c>
      <c r="X354" s="8">
        <f>IFERROR(W354/W444, "NA")</f>
        <v>0</v>
      </c>
      <c r="Y354" s="9"/>
      <c r="Z354" s="7">
        <v>0</v>
      </c>
      <c r="AA354" s="8">
        <f>IFERROR(Z354/Z444, "NA")</f>
        <v>0</v>
      </c>
      <c r="AB354" s="9"/>
      <c r="AC354" s="10">
        <f t="shared" si="91"/>
        <v>0</v>
      </c>
      <c r="AD354" s="8">
        <f>IFERROR(AC354/AC444, "NA")</f>
        <v>0</v>
      </c>
    </row>
    <row r="355" spans="1:30" ht="16.5" hidden="1" customHeight="1" x14ac:dyDescent="0.45">
      <c r="A355" s="6" t="s">
        <v>324</v>
      </c>
      <c r="B355" s="7">
        <v>0</v>
      </c>
      <c r="C355" s="8">
        <f>IFERROR(B355/B444, "NA")</f>
        <v>0</v>
      </c>
      <c r="D355" s="9"/>
      <c r="E355" s="7">
        <v>0</v>
      </c>
      <c r="F355" s="8">
        <f>IFERROR(E355/E444, "NA")</f>
        <v>0</v>
      </c>
      <c r="G355" s="9"/>
      <c r="H355" s="10">
        <f t="shared" si="88"/>
        <v>0</v>
      </c>
      <c r="I355" s="8">
        <f>IFERROR(H355/H444, "NA")</f>
        <v>0</v>
      </c>
      <c r="J355" s="9"/>
      <c r="K355" s="7">
        <v>0</v>
      </c>
      <c r="L355" s="8">
        <f>IFERROR(K355/K444, "NA")</f>
        <v>0</v>
      </c>
      <c r="M355" s="9"/>
      <c r="N355" s="10">
        <f t="shared" si="89"/>
        <v>0</v>
      </c>
      <c r="O355" s="8">
        <f>IFERROR(N355/N444, "NA")</f>
        <v>0</v>
      </c>
      <c r="P355" s="9"/>
      <c r="Q355" s="7">
        <v>0</v>
      </c>
      <c r="R355" s="8">
        <f>IFERROR(Q355/Q444, "NA")</f>
        <v>0</v>
      </c>
      <c r="S355" s="9"/>
      <c r="T355" s="7">
        <v>0</v>
      </c>
      <c r="U355" s="8">
        <f>IFERROR(T355/T444, "NA")</f>
        <v>0</v>
      </c>
      <c r="V355" s="9"/>
      <c r="W355" s="10">
        <f t="shared" si="90"/>
        <v>0</v>
      </c>
      <c r="X355" s="8">
        <f>IFERROR(W355/W444, "NA")</f>
        <v>0</v>
      </c>
      <c r="Y355" s="9"/>
      <c r="Z355" s="7">
        <v>0</v>
      </c>
      <c r="AA355" s="8">
        <f>IFERROR(Z355/Z444, "NA")</f>
        <v>0</v>
      </c>
      <c r="AB355" s="9"/>
      <c r="AC355" s="10">
        <f t="shared" si="91"/>
        <v>0</v>
      </c>
      <c r="AD355" s="8">
        <f>IFERROR(AC355/AC444, "NA")</f>
        <v>0</v>
      </c>
    </row>
    <row r="356" spans="1:30" ht="16.5" hidden="1" customHeight="1" x14ac:dyDescent="0.45">
      <c r="A356" s="6" t="s">
        <v>325</v>
      </c>
      <c r="B356" s="7">
        <v>0</v>
      </c>
      <c r="C356" s="8">
        <f>IFERROR(B356/B444, "NA")</f>
        <v>0</v>
      </c>
      <c r="D356" s="9"/>
      <c r="E356" s="7">
        <v>0</v>
      </c>
      <c r="F356" s="8">
        <f>IFERROR(E356/E444, "NA")</f>
        <v>0</v>
      </c>
      <c r="G356" s="9"/>
      <c r="H356" s="10">
        <f t="shared" si="88"/>
        <v>0</v>
      </c>
      <c r="I356" s="8">
        <f>IFERROR(H356/H444, "NA")</f>
        <v>0</v>
      </c>
      <c r="J356" s="9"/>
      <c r="K356" s="7">
        <v>0</v>
      </c>
      <c r="L356" s="8">
        <f>IFERROR(K356/K444, "NA")</f>
        <v>0</v>
      </c>
      <c r="M356" s="9"/>
      <c r="N356" s="10">
        <f t="shared" si="89"/>
        <v>0</v>
      </c>
      <c r="O356" s="8">
        <f>IFERROR(N356/N444, "NA")</f>
        <v>0</v>
      </c>
      <c r="P356" s="9"/>
      <c r="Q356" s="7">
        <v>0</v>
      </c>
      <c r="R356" s="8">
        <f>IFERROR(Q356/Q444, "NA")</f>
        <v>0</v>
      </c>
      <c r="S356" s="9"/>
      <c r="T356" s="7">
        <v>0</v>
      </c>
      <c r="U356" s="8">
        <f>IFERROR(T356/T444, "NA")</f>
        <v>0</v>
      </c>
      <c r="V356" s="9"/>
      <c r="W356" s="10">
        <f t="shared" si="90"/>
        <v>0</v>
      </c>
      <c r="X356" s="8">
        <f>IFERROR(W356/W444, "NA")</f>
        <v>0</v>
      </c>
      <c r="Y356" s="9"/>
      <c r="Z356" s="7">
        <v>0</v>
      </c>
      <c r="AA356" s="8">
        <f>IFERROR(Z356/Z444, "NA")</f>
        <v>0</v>
      </c>
      <c r="AB356" s="9"/>
      <c r="AC356" s="10">
        <f t="shared" si="91"/>
        <v>0</v>
      </c>
      <c r="AD356" s="8">
        <f>IFERROR(AC356/AC444, "NA")</f>
        <v>0</v>
      </c>
    </row>
    <row r="357" spans="1:30" ht="16.5" hidden="1" customHeight="1" x14ac:dyDescent="0.45">
      <c r="A357" s="6" t="s">
        <v>326</v>
      </c>
      <c r="B357" s="7">
        <v>0</v>
      </c>
      <c r="C357" s="8">
        <f>IFERROR(B357/B444, "NA")</f>
        <v>0</v>
      </c>
      <c r="D357" s="9"/>
      <c r="E357" s="7">
        <v>0</v>
      </c>
      <c r="F357" s="8">
        <f>IFERROR(E357/E444, "NA")</f>
        <v>0</v>
      </c>
      <c r="G357" s="9"/>
      <c r="H357" s="10">
        <f t="shared" si="88"/>
        <v>0</v>
      </c>
      <c r="I357" s="8">
        <f>IFERROR(H357/H444, "NA")</f>
        <v>0</v>
      </c>
      <c r="J357" s="9"/>
      <c r="K357" s="7">
        <v>0</v>
      </c>
      <c r="L357" s="8">
        <f>IFERROR(K357/K444, "NA")</f>
        <v>0</v>
      </c>
      <c r="M357" s="9"/>
      <c r="N357" s="10">
        <f t="shared" si="89"/>
        <v>0</v>
      </c>
      <c r="O357" s="8">
        <f>IFERROR(N357/N444, "NA")</f>
        <v>0</v>
      </c>
      <c r="P357" s="9"/>
      <c r="Q357" s="7">
        <v>0</v>
      </c>
      <c r="R357" s="8">
        <f>IFERROR(Q357/Q444, "NA")</f>
        <v>0</v>
      </c>
      <c r="S357" s="9"/>
      <c r="T357" s="7">
        <v>0</v>
      </c>
      <c r="U357" s="8">
        <f>IFERROR(T357/T444, "NA")</f>
        <v>0</v>
      </c>
      <c r="V357" s="9"/>
      <c r="W357" s="10">
        <f t="shared" si="90"/>
        <v>0</v>
      </c>
      <c r="X357" s="8">
        <f>IFERROR(W357/W444, "NA")</f>
        <v>0</v>
      </c>
      <c r="Y357" s="9"/>
      <c r="Z357" s="7">
        <v>0</v>
      </c>
      <c r="AA357" s="8">
        <f>IFERROR(Z357/Z444, "NA")</f>
        <v>0</v>
      </c>
      <c r="AB357" s="9"/>
      <c r="AC357" s="10">
        <f t="shared" si="91"/>
        <v>0</v>
      </c>
      <c r="AD357" s="8">
        <f>IFERROR(AC357/AC444, "NA")</f>
        <v>0</v>
      </c>
    </row>
    <row r="358" spans="1:30" ht="16.5" customHeight="1" x14ac:dyDescent="0.45">
      <c r="A358" s="19" t="s">
        <v>327</v>
      </c>
      <c r="B358" s="14">
        <f>IFERROR(B349+B350+B351+B352+B353+B354+B355+B356+B357, "NA")</f>
        <v>0</v>
      </c>
      <c r="C358" s="15">
        <f>IFERROR(B358/B444, "NA")</f>
        <v>0</v>
      </c>
      <c r="D358" s="2"/>
      <c r="E358" s="14">
        <f>IFERROR(E349+E350+E351+E352+E353+E354+E355+E356+E357, "NA")</f>
        <v>0</v>
      </c>
      <c r="F358" s="15">
        <f>IFERROR(E358/E444, "NA")</f>
        <v>0</v>
      </c>
      <c r="G358" s="2"/>
      <c r="H358" s="14">
        <f t="shared" si="88"/>
        <v>0</v>
      </c>
      <c r="I358" s="15">
        <f>IFERROR(H358/H444, "NA")</f>
        <v>0</v>
      </c>
      <c r="J358" s="2"/>
      <c r="K358" s="14">
        <f>IFERROR(K349+K350+K351+K352+K353+K354+K355+K356+K357, "NA")</f>
        <v>0</v>
      </c>
      <c r="L358" s="15">
        <f>IFERROR(K358/K444, "NA")</f>
        <v>0</v>
      </c>
      <c r="M358" s="2"/>
      <c r="N358" s="14">
        <f t="shared" si="89"/>
        <v>0</v>
      </c>
      <c r="O358" s="15">
        <f>IFERROR(N358/N444, "NA")</f>
        <v>0</v>
      </c>
      <c r="P358" s="2"/>
      <c r="Q358" s="14">
        <f>IFERROR(Q349+Q350+Q351+Q352+Q353+Q354+Q355+Q356+Q357, "NA")</f>
        <v>0</v>
      </c>
      <c r="R358" s="15">
        <f>IFERROR(Q358/Q444, "NA")</f>
        <v>0</v>
      </c>
      <c r="S358" s="2"/>
      <c r="T358" s="14">
        <f>IFERROR(T349+T350+T351+T352+T353+T354+T355+T356+T357, "NA")</f>
        <v>0</v>
      </c>
      <c r="U358" s="15">
        <f>IFERROR(T358/T444, "NA")</f>
        <v>0</v>
      </c>
      <c r="V358" s="2"/>
      <c r="W358" s="14">
        <f t="shared" si="90"/>
        <v>0</v>
      </c>
      <c r="X358" s="15">
        <f>IFERROR(W358/W444, "NA")</f>
        <v>0</v>
      </c>
      <c r="Y358" s="2"/>
      <c r="Z358" s="14">
        <f>IFERROR(Z349+Z350+Z351+Z352+Z353+Z354+Z355+Z356+Z357, "NA")</f>
        <v>0</v>
      </c>
      <c r="AA358" s="15">
        <f>IFERROR(Z358/Z444, "NA")</f>
        <v>0</v>
      </c>
      <c r="AB358" s="2"/>
      <c r="AC358" s="14">
        <f t="shared" si="91"/>
        <v>0</v>
      </c>
      <c r="AD358" s="15">
        <f>IFERROR(AC358/AC444, "NA")</f>
        <v>0</v>
      </c>
    </row>
    <row r="359" spans="1:30" ht="16.5" customHeight="1" x14ac:dyDescent="0.45">
      <c r="A359" s="5" t="s">
        <v>328</v>
      </c>
      <c r="B359" s="2"/>
      <c r="C359" s="3"/>
      <c r="D359" s="4"/>
      <c r="E359" s="2"/>
      <c r="F359" s="3"/>
      <c r="G359" s="4"/>
      <c r="H359" s="2"/>
      <c r="I359" s="3"/>
      <c r="J359" s="4"/>
      <c r="K359" s="2"/>
      <c r="L359" s="3"/>
      <c r="M359" s="4"/>
      <c r="N359" s="2"/>
      <c r="O359" s="3"/>
      <c r="P359" s="4"/>
      <c r="Q359" s="2"/>
      <c r="R359" s="3"/>
      <c r="S359" s="4"/>
      <c r="T359" s="2"/>
      <c r="U359" s="3"/>
      <c r="V359" s="4"/>
      <c r="W359" s="2"/>
      <c r="X359" s="3"/>
      <c r="Y359" s="4"/>
      <c r="Z359" s="2"/>
      <c r="AA359" s="3"/>
      <c r="AB359" s="4"/>
      <c r="AC359" s="2"/>
      <c r="AD359" s="3"/>
    </row>
    <row r="360" spans="1:30" ht="16.5" hidden="1" customHeight="1" x14ac:dyDescent="0.45">
      <c r="A360" s="6" t="s">
        <v>328</v>
      </c>
      <c r="B360" s="7">
        <v>0</v>
      </c>
      <c r="C360" s="8">
        <f>IFERROR(B360/B444, "NA")</f>
        <v>0</v>
      </c>
      <c r="D360" s="9"/>
      <c r="E360" s="7">
        <v>0</v>
      </c>
      <c r="F360" s="8">
        <f>IFERROR(E360/E444, "NA")</f>
        <v>0</v>
      </c>
      <c r="G360" s="9"/>
      <c r="H360" s="10">
        <f t="shared" ref="H360:H383" si="92">IFERROR(-(B360-E360), "NA")</f>
        <v>0</v>
      </c>
      <c r="I360" s="8">
        <f>IFERROR(H360/H444, "NA")</f>
        <v>0</v>
      </c>
      <c r="J360" s="9"/>
      <c r="K360" s="7">
        <v>0</v>
      </c>
      <c r="L360" s="8">
        <f>IFERROR(K360/K444, "NA")</f>
        <v>0</v>
      </c>
      <c r="M360" s="9"/>
      <c r="N360" s="10">
        <f t="shared" ref="N360:N383" si="93">IFERROR(-(B360-K360), "NA")</f>
        <v>0</v>
      </c>
      <c r="O360" s="8">
        <f>IFERROR(N360/N444, "NA")</f>
        <v>0</v>
      </c>
      <c r="P360" s="9"/>
      <c r="Q360" s="7">
        <v>0</v>
      </c>
      <c r="R360" s="8">
        <f>IFERROR(Q360/Q444, "NA")</f>
        <v>0</v>
      </c>
      <c r="S360" s="9"/>
      <c r="T360" s="7">
        <v>0</v>
      </c>
      <c r="U360" s="8">
        <f>IFERROR(T360/T444, "NA")</f>
        <v>0</v>
      </c>
      <c r="V360" s="9"/>
      <c r="W360" s="10">
        <f t="shared" ref="W360:W383" si="94">IFERROR(-(Q360-T360), "NA")</f>
        <v>0</v>
      </c>
      <c r="X360" s="8">
        <f>IFERROR(W360/W444, "NA")</f>
        <v>0</v>
      </c>
      <c r="Y360" s="9"/>
      <c r="Z360" s="7">
        <v>0</v>
      </c>
      <c r="AA360" s="8">
        <f>IFERROR(Z360/Z444, "NA")</f>
        <v>0</v>
      </c>
      <c r="AB360" s="9"/>
      <c r="AC360" s="10">
        <f t="shared" ref="AC360:AC383" si="95">IFERROR(-(Q360-Z360), "NA")</f>
        <v>0</v>
      </c>
      <c r="AD360" s="8">
        <f>IFERROR(AC360/AC444, "NA")</f>
        <v>0</v>
      </c>
    </row>
    <row r="361" spans="1:30" ht="16.5" hidden="1" customHeight="1" x14ac:dyDescent="0.45">
      <c r="A361" s="6" t="s">
        <v>329</v>
      </c>
      <c r="B361" s="7">
        <v>0</v>
      </c>
      <c r="C361" s="8">
        <f>IFERROR(B361/B444, "NA")</f>
        <v>0</v>
      </c>
      <c r="D361" s="9"/>
      <c r="E361" s="7">
        <v>0</v>
      </c>
      <c r="F361" s="8">
        <f>IFERROR(E361/E444, "NA")</f>
        <v>0</v>
      </c>
      <c r="G361" s="9"/>
      <c r="H361" s="10">
        <f t="shared" si="92"/>
        <v>0</v>
      </c>
      <c r="I361" s="8">
        <f>IFERROR(H361/H444, "NA")</f>
        <v>0</v>
      </c>
      <c r="J361" s="9"/>
      <c r="K361" s="7">
        <v>0</v>
      </c>
      <c r="L361" s="8">
        <f>IFERROR(K361/K444, "NA")</f>
        <v>0</v>
      </c>
      <c r="M361" s="9"/>
      <c r="N361" s="10">
        <f t="shared" si="93"/>
        <v>0</v>
      </c>
      <c r="O361" s="8">
        <f>IFERROR(N361/N444, "NA")</f>
        <v>0</v>
      </c>
      <c r="P361" s="9"/>
      <c r="Q361" s="7">
        <v>0</v>
      </c>
      <c r="R361" s="8">
        <f>IFERROR(Q361/Q444, "NA")</f>
        <v>0</v>
      </c>
      <c r="S361" s="9"/>
      <c r="T361" s="7">
        <v>0</v>
      </c>
      <c r="U361" s="8">
        <f>IFERROR(T361/T444, "NA")</f>
        <v>0</v>
      </c>
      <c r="V361" s="9"/>
      <c r="W361" s="10">
        <f t="shared" si="94"/>
        <v>0</v>
      </c>
      <c r="X361" s="8">
        <f>IFERROR(W361/W444, "NA")</f>
        <v>0</v>
      </c>
      <c r="Y361" s="9"/>
      <c r="Z361" s="7">
        <v>0</v>
      </c>
      <c r="AA361" s="8">
        <f>IFERROR(Z361/Z444, "NA")</f>
        <v>0</v>
      </c>
      <c r="AB361" s="9"/>
      <c r="AC361" s="10">
        <f t="shared" si="95"/>
        <v>0</v>
      </c>
      <c r="AD361" s="8">
        <f>IFERROR(AC361/AC444, "NA")</f>
        <v>0</v>
      </c>
    </row>
    <row r="362" spans="1:30" ht="16.5" hidden="1" customHeight="1" x14ac:dyDescent="0.45">
      <c r="A362" s="6" t="s">
        <v>330</v>
      </c>
      <c r="B362" s="7">
        <v>0</v>
      </c>
      <c r="C362" s="8">
        <f>IFERROR(B362/B444, "NA")</f>
        <v>0</v>
      </c>
      <c r="D362" s="9"/>
      <c r="E362" s="7">
        <v>0</v>
      </c>
      <c r="F362" s="8">
        <f>IFERROR(E362/E444, "NA")</f>
        <v>0</v>
      </c>
      <c r="G362" s="9"/>
      <c r="H362" s="10">
        <f t="shared" si="92"/>
        <v>0</v>
      </c>
      <c r="I362" s="8">
        <f>IFERROR(H362/H444, "NA")</f>
        <v>0</v>
      </c>
      <c r="J362" s="9"/>
      <c r="K362" s="7">
        <v>0</v>
      </c>
      <c r="L362" s="8">
        <f>IFERROR(K362/K444, "NA")</f>
        <v>0</v>
      </c>
      <c r="M362" s="9"/>
      <c r="N362" s="10">
        <f t="shared" si="93"/>
        <v>0</v>
      </c>
      <c r="O362" s="8">
        <f>IFERROR(N362/N444, "NA")</f>
        <v>0</v>
      </c>
      <c r="P362" s="9"/>
      <c r="Q362" s="7">
        <v>0</v>
      </c>
      <c r="R362" s="8">
        <f>IFERROR(Q362/Q444, "NA")</f>
        <v>0</v>
      </c>
      <c r="S362" s="9"/>
      <c r="T362" s="7">
        <v>0</v>
      </c>
      <c r="U362" s="8">
        <f>IFERROR(T362/T444, "NA")</f>
        <v>0</v>
      </c>
      <c r="V362" s="9"/>
      <c r="W362" s="10">
        <f t="shared" si="94"/>
        <v>0</v>
      </c>
      <c r="X362" s="8">
        <f>IFERROR(W362/W444, "NA")</f>
        <v>0</v>
      </c>
      <c r="Y362" s="9"/>
      <c r="Z362" s="7">
        <v>0</v>
      </c>
      <c r="AA362" s="8">
        <f>IFERROR(Z362/Z444, "NA")</f>
        <v>0</v>
      </c>
      <c r="AB362" s="9"/>
      <c r="AC362" s="10">
        <f t="shared" si="95"/>
        <v>0</v>
      </c>
      <c r="AD362" s="8">
        <f>IFERROR(AC362/AC444, "NA")</f>
        <v>0</v>
      </c>
    </row>
    <row r="363" spans="1:30" ht="16.5" hidden="1" customHeight="1" x14ac:dyDescent="0.45">
      <c r="A363" s="6" t="s">
        <v>331</v>
      </c>
      <c r="B363" s="7">
        <v>0</v>
      </c>
      <c r="C363" s="8">
        <f>IFERROR(B363/B444, "NA")</f>
        <v>0</v>
      </c>
      <c r="D363" s="9"/>
      <c r="E363" s="7">
        <v>0</v>
      </c>
      <c r="F363" s="8">
        <f>IFERROR(E363/E444, "NA")</f>
        <v>0</v>
      </c>
      <c r="G363" s="9"/>
      <c r="H363" s="10">
        <f t="shared" si="92"/>
        <v>0</v>
      </c>
      <c r="I363" s="8">
        <f>IFERROR(H363/H444, "NA")</f>
        <v>0</v>
      </c>
      <c r="J363" s="9"/>
      <c r="K363" s="7">
        <v>0</v>
      </c>
      <c r="L363" s="8">
        <f>IFERROR(K363/K444, "NA")</f>
        <v>0</v>
      </c>
      <c r="M363" s="9"/>
      <c r="N363" s="10">
        <f t="shared" si="93"/>
        <v>0</v>
      </c>
      <c r="O363" s="8">
        <f>IFERROR(N363/N444, "NA")</f>
        <v>0</v>
      </c>
      <c r="P363" s="9"/>
      <c r="Q363" s="7">
        <v>0</v>
      </c>
      <c r="R363" s="8">
        <f>IFERROR(Q363/Q444, "NA")</f>
        <v>0</v>
      </c>
      <c r="S363" s="9"/>
      <c r="T363" s="7">
        <v>0</v>
      </c>
      <c r="U363" s="8">
        <f>IFERROR(T363/T444, "NA")</f>
        <v>0</v>
      </c>
      <c r="V363" s="9"/>
      <c r="W363" s="10">
        <f t="shared" si="94"/>
        <v>0</v>
      </c>
      <c r="X363" s="8">
        <f>IFERROR(W363/W444, "NA")</f>
        <v>0</v>
      </c>
      <c r="Y363" s="9"/>
      <c r="Z363" s="7">
        <v>0</v>
      </c>
      <c r="AA363" s="8">
        <f>IFERROR(Z363/Z444, "NA")</f>
        <v>0</v>
      </c>
      <c r="AB363" s="9"/>
      <c r="AC363" s="10">
        <f t="shared" si="95"/>
        <v>0</v>
      </c>
      <c r="AD363" s="8">
        <f>IFERROR(AC363/AC444, "NA")</f>
        <v>0</v>
      </c>
    </row>
    <row r="364" spans="1:30" ht="16.5" hidden="1" customHeight="1" x14ac:dyDescent="0.45">
      <c r="A364" s="6" t="s">
        <v>332</v>
      </c>
      <c r="B364" s="7">
        <v>0</v>
      </c>
      <c r="C364" s="8">
        <f>IFERROR(B364/B444, "NA")</f>
        <v>0</v>
      </c>
      <c r="D364" s="9"/>
      <c r="E364" s="7">
        <v>0</v>
      </c>
      <c r="F364" s="8">
        <f>IFERROR(E364/E444, "NA")</f>
        <v>0</v>
      </c>
      <c r="G364" s="9"/>
      <c r="H364" s="10">
        <f t="shared" si="92"/>
        <v>0</v>
      </c>
      <c r="I364" s="8">
        <f>IFERROR(H364/H444, "NA")</f>
        <v>0</v>
      </c>
      <c r="J364" s="9"/>
      <c r="K364" s="7">
        <v>0</v>
      </c>
      <c r="L364" s="8">
        <f>IFERROR(K364/K444, "NA")</f>
        <v>0</v>
      </c>
      <c r="M364" s="9"/>
      <c r="N364" s="10">
        <f t="shared" si="93"/>
        <v>0</v>
      </c>
      <c r="O364" s="8">
        <f>IFERROR(N364/N444, "NA")</f>
        <v>0</v>
      </c>
      <c r="P364" s="9"/>
      <c r="Q364" s="7">
        <v>0</v>
      </c>
      <c r="R364" s="8">
        <f>IFERROR(Q364/Q444, "NA")</f>
        <v>0</v>
      </c>
      <c r="S364" s="9"/>
      <c r="T364" s="7">
        <v>0</v>
      </c>
      <c r="U364" s="8">
        <f>IFERROR(T364/T444, "NA")</f>
        <v>0</v>
      </c>
      <c r="V364" s="9"/>
      <c r="W364" s="10">
        <f t="shared" si="94"/>
        <v>0</v>
      </c>
      <c r="X364" s="8">
        <f>IFERROR(W364/W444, "NA")</f>
        <v>0</v>
      </c>
      <c r="Y364" s="9"/>
      <c r="Z364" s="7">
        <v>0</v>
      </c>
      <c r="AA364" s="8">
        <f>IFERROR(Z364/Z444, "NA")</f>
        <v>0</v>
      </c>
      <c r="AB364" s="9"/>
      <c r="AC364" s="10">
        <f t="shared" si="95"/>
        <v>0</v>
      </c>
      <c r="AD364" s="8">
        <f>IFERROR(AC364/AC444, "NA")</f>
        <v>0</v>
      </c>
    </row>
    <row r="365" spans="1:30" ht="16.5" hidden="1" customHeight="1" x14ac:dyDescent="0.45">
      <c r="A365" s="6" t="s">
        <v>333</v>
      </c>
      <c r="B365" s="7">
        <v>0</v>
      </c>
      <c r="C365" s="8">
        <f>IFERROR(B365/B444, "NA")</f>
        <v>0</v>
      </c>
      <c r="D365" s="9"/>
      <c r="E365" s="7">
        <v>0</v>
      </c>
      <c r="F365" s="8">
        <f>IFERROR(E365/E444, "NA")</f>
        <v>0</v>
      </c>
      <c r="G365" s="9"/>
      <c r="H365" s="10">
        <f t="shared" si="92"/>
        <v>0</v>
      </c>
      <c r="I365" s="8">
        <f>IFERROR(H365/H444, "NA")</f>
        <v>0</v>
      </c>
      <c r="J365" s="9"/>
      <c r="K365" s="7">
        <v>0</v>
      </c>
      <c r="L365" s="8">
        <f>IFERROR(K365/K444, "NA")</f>
        <v>0</v>
      </c>
      <c r="M365" s="9"/>
      <c r="N365" s="10">
        <f t="shared" si="93"/>
        <v>0</v>
      </c>
      <c r="O365" s="8">
        <f>IFERROR(N365/N444, "NA")</f>
        <v>0</v>
      </c>
      <c r="P365" s="9"/>
      <c r="Q365" s="7">
        <v>0</v>
      </c>
      <c r="R365" s="8">
        <f>IFERROR(Q365/Q444, "NA")</f>
        <v>0</v>
      </c>
      <c r="S365" s="9"/>
      <c r="T365" s="7">
        <v>0</v>
      </c>
      <c r="U365" s="8">
        <f>IFERROR(T365/T444, "NA")</f>
        <v>0</v>
      </c>
      <c r="V365" s="9"/>
      <c r="W365" s="10">
        <f t="shared" si="94"/>
        <v>0</v>
      </c>
      <c r="X365" s="8">
        <f>IFERROR(W365/W444, "NA")</f>
        <v>0</v>
      </c>
      <c r="Y365" s="9"/>
      <c r="Z365" s="7">
        <v>0</v>
      </c>
      <c r="AA365" s="8">
        <f>IFERROR(Z365/Z444, "NA")</f>
        <v>0</v>
      </c>
      <c r="AB365" s="9"/>
      <c r="AC365" s="10">
        <f t="shared" si="95"/>
        <v>0</v>
      </c>
      <c r="AD365" s="8">
        <f>IFERROR(AC365/AC444, "NA")</f>
        <v>0</v>
      </c>
    </row>
    <row r="366" spans="1:30" ht="16.5" hidden="1" customHeight="1" x14ac:dyDescent="0.45">
      <c r="A366" s="6" t="s">
        <v>334</v>
      </c>
      <c r="B366" s="7">
        <v>0</v>
      </c>
      <c r="C366" s="8">
        <f>IFERROR(B366/B444, "NA")</f>
        <v>0</v>
      </c>
      <c r="D366" s="9"/>
      <c r="E366" s="7">
        <v>0</v>
      </c>
      <c r="F366" s="8">
        <f>IFERROR(E366/E444, "NA")</f>
        <v>0</v>
      </c>
      <c r="G366" s="9"/>
      <c r="H366" s="10">
        <f t="shared" si="92"/>
        <v>0</v>
      </c>
      <c r="I366" s="8">
        <f>IFERROR(H366/H444, "NA")</f>
        <v>0</v>
      </c>
      <c r="J366" s="9"/>
      <c r="K366" s="7">
        <v>0</v>
      </c>
      <c r="L366" s="8">
        <f>IFERROR(K366/K444, "NA")</f>
        <v>0</v>
      </c>
      <c r="M366" s="9"/>
      <c r="N366" s="10">
        <f t="shared" si="93"/>
        <v>0</v>
      </c>
      <c r="O366" s="8">
        <f>IFERROR(N366/N444, "NA")</f>
        <v>0</v>
      </c>
      <c r="P366" s="9"/>
      <c r="Q366" s="7">
        <v>0</v>
      </c>
      <c r="R366" s="8">
        <f>IFERROR(Q366/Q444, "NA")</f>
        <v>0</v>
      </c>
      <c r="S366" s="9"/>
      <c r="T366" s="7">
        <v>0</v>
      </c>
      <c r="U366" s="8">
        <f>IFERROR(T366/T444, "NA")</f>
        <v>0</v>
      </c>
      <c r="V366" s="9"/>
      <c r="W366" s="10">
        <f t="shared" si="94"/>
        <v>0</v>
      </c>
      <c r="X366" s="8">
        <f>IFERROR(W366/W444, "NA")</f>
        <v>0</v>
      </c>
      <c r="Y366" s="9"/>
      <c r="Z366" s="7">
        <v>0</v>
      </c>
      <c r="AA366" s="8">
        <f>IFERROR(Z366/Z444, "NA")</f>
        <v>0</v>
      </c>
      <c r="AB366" s="9"/>
      <c r="AC366" s="10">
        <f t="shared" si="95"/>
        <v>0</v>
      </c>
      <c r="AD366" s="8">
        <f>IFERROR(AC366/AC444, "NA")</f>
        <v>0</v>
      </c>
    </row>
    <row r="367" spans="1:30" ht="16.5" hidden="1" customHeight="1" x14ac:dyDescent="0.45">
      <c r="A367" s="6" t="s">
        <v>335</v>
      </c>
      <c r="B367" s="7">
        <v>0</v>
      </c>
      <c r="C367" s="8">
        <f>IFERROR(B367/B444, "NA")</f>
        <v>0</v>
      </c>
      <c r="D367" s="9"/>
      <c r="E367" s="7">
        <v>0</v>
      </c>
      <c r="F367" s="8">
        <f>IFERROR(E367/E444, "NA")</f>
        <v>0</v>
      </c>
      <c r="G367" s="9"/>
      <c r="H367" s="10">
        <f t="shared" si="92"/>
        <v>0</v>
      </c>
      <c r="I367" s="8">
        <f>IFERROR(H367/H444, "NA")</f>
        <v>0</v>
      </c>
      <c r="J367" s="9"/>
      <c r="K367" s="7">
        <v>0</v>
      </c>
      <c r="L367" s="8">
        <f>IFERROR(K367/K444, "NA")</f>
        <v>0</v>
      </c>
      <c r="M367" s="9"/>
      <c r="N367" s="10">
        <f t="shared" si="93"/>
        <v>0</v>
      </c>
      <c r="O367" s="8">
        <f>IFERROR(N367/N444, "NA")</f>
        <v>0</v>
      </c>
      <c r="P367" s="9"/>
      <c r="Q367" s="7">
        <v>0</v>
      </c>
      <c r="R367" s="8">
        <f>IFERROR(Q367/Q444, "NA")</f>
        <v>0</v>
      </c>
      <c r="S367" s="9"/>
      <c r="T367" s="7">
        <v>0</v>
      </c>
      <c r="U367" s="8">
        <f>IFERROR(T367/T444, "NA")</f>
        <v>0</v>
      </c>
      <c r="V367" s="9"/>
      <c r="W367" s="10">
        <f t="shared" si="94"/>
        <v>0</v>
      </c>
      <c r="X367" s="8">
        <f>IFERROR(W367/W444, "NA")</f>
        <v>0</v>
      </c>
      <c r="Y367" s="9"/>
      <c r="Z367" s="7">
        <v>0</v>
      </c>
      <c r="AA367" s="8">
        <f>IFERROR(Z367/Z444, "NA")</f>
        <v>0</v>
      </c>
      <c r="AB367" s="9"/>
      <c r="AC367" s="10">
        <f t="shared" si="95"/>
        <v>0</v>
      </c>
      <c r="AD367" s="8">
        <f>IFERROR(AC367/AC444, "NA")</f>
        <v>0</v>
      </c>
    </row>
    <row r="368" spans="1:30" ht="16.5" customHeight="1" x14ac:dyDescent="0.45">
      <c r="A368" s="19" t="s">
        <v>336</v>
      </c>
      <c r="B368" s="14">
        <f>IFERROR(B360+B361+B362+B363+B364+B365+B366+B367, "NA")</f>
        <v>0</v>
      </c>
      <c r="C368" s="15">
        <f>IFERROR(B368/B444, "NA")</f>
        <v>0</v>
      </c>
      <c r="D368" s="2"/>
      <c r="E368" s="14">
        <f>IFERROR(E360+E361+E362+E363+E364+E365+E366+E367, "NA")</f>
        <v>0</v>
      </c>
      <c r="F368" s="15">
        <f>IFERROR(E368/E444, "NA")</f>
        <v>0</v>
      </c>
      <c r="G368" s="2"/>
      <c r="H368" s="14">
        <f t="shared" si="92"/>
        <v>0</v>
      </c>
      <c r="I368" s="15">
        <f>IFERROR(H368/H444, "NA")</f>
        <v>0</v>
      </c>
      <c r="J368" s="2"/>
      <c r="K368" s="14">
        <f>IFERROR(K360+K361+K362+K363+K364+K365+K366+K367, "NA")</f>
        <v>0</v>
      </c>
      <c r="L368" s="15">
        <f>IFERROR(K368/K444, "NA")</f>
        <v>0</v>
      </c>
      <c r="M368" s="2"/>
      <c r="N368" s="14">
        <f t="shared" si="93"/>
        <v>0</v>
      </c>
      <c r="O368" s="15">
        <f>IFERROR(N368/N444, "NA")</f>
        <v>0</v>
      </c>
      <c r="P368" s="2"/>
      <c r="Q368" s="14">
        <f>IFERROR(Q360+Q361+Q362+Q363+Q364+Q365+Q366+Q367, "NA")</f>
        <v>0</v>
      </c>
      <c r="R368" s="15">
        <f>IFERROR(Q368/Q444, "NA")</f>
        <v>0</v>
      </c>
      <c r="S368" s="2"/>
      <c r="T368" s="14">
        <f>IFERROR(T360+T361+T362+T363+T364+T365+T366+T367, "NA")</f>
        <v>0</v>
      </c>
      <c r="U368" s="15">
        <f>IFERROR(T368/T444, "NA")</f>
        <v>0</v>
      </c>
      <c r="V368" s="2"/>
      <c r="W368" s="14">
        <f t="shared" si="94"/>
        <v>0</v>
      </c>
      <c r="X368" s="15">
        <f>IFERROR(W368/W444, "NA")</f>
        <v>0</v>
      </c>
      <c r="Y368" s="2"/>
      <c r="Z368" s="14">
        <f>IFERROR(Z360+Z361+Z362+Z363+Z364+Z365+Z366+Z367, "NA")</f>
        <v>0</v>
      </c>
      <c r="AA368" s="15">
        <f>IFERROR(Z368/Z444, "NA")</f>
        <v>0</v>
      </c>
      <c r="AB368" s="2"/>
      <c r="AC368" s="14">
        <f t="shared" si="95"/>
        <v>0</v>
      </c>
      <c r="AD368" s="15">
        <f>IFERROR(AC368/AC444, "NA")</f>
        <v>0</v>
      </c>
    </row>
    <row r="369" spans="1:30" ht="16.5" hidden="1" customHeight="1" x14ac:dyDescent="0.45">
      <c r="A369" s="20" t="s">
        <v>337</v>
      </c>
      <c r="B369" s="7">
        <v>0</v>
      </c>
      <c r="C369" s="8">
        <f>IFERROR(B369/B444, "NA")</f>
        <v>0</v>
      </c>
      <c r="D369" s="9"/>
      <c r="E369" s="7">
        <v>0</v>
      </c>
      <c r="F369" s="8">
        <f>IFERROR(E369/E444, "NA")</f>
        <v>0</v>
      </c>
      <c r="G369" s="9"/>
      <c r="H369" s="10">
        <f t="shared" si="92"/>
        <v>0</v>
      </c>
      <c r="I369" s="8">
        <f>IFERROR(H369/H444, "NA")</f>
        <v>0</v>
      </c>
      <c r="J369" s="9"/>
      <c r="K369" s="7">
        <v>0</v>
      </c>
      <c r="L369" s="8">
        <f>IFERROR(K369/K444, "NA")</f>
        <v>0</v>
      </c>
      <c r="M369" s="9"/>
      <c r="N369" s="10">
        <f t="shared" si="93"/>
        <v>0</v>
      </c>
      <c r="O369" s="8">
        <f>IFERROR(N369/N444, "NA")</f>
        <v>0</v>
      </c>
      <c r="P369" s="9"/>
      <c r="Q369" s="7">
        <v>0</v>
      </c>
      <c r="R369" s="8">
        <f>IFERROR(Q369/Q444, "NA")</f>
        <v>0</v>
      </c>
      <c r="S369" s="9"/>
      <c r="T369" s="7">
        <v>0</v>
      </c>
      <c r="U369" s="8">
        <f>IFERROR(T369/T444, "NA")</f>
        <v>0</v>
      </c>
      <c r="V369" s="9"/>
      <c r="W369" s="10">
        <f t="shared" si="94"/>
        <v>0</v>
      </c>
      <c r="X369" s="8">
        <f>IFERROR(W369/W444, "NA")</f>
        <v>0</v>
      </c>
      <c r="Y369" s="9"/>
      <c r="Z369" s="7">
        <v>0</v>
      </c>
      <c r="AA369" s="8">
        <f>IFERROR(Z369/Z444, "NA")</f>
        <v>0</v>
      </c>
      <c r="AB369" s="9"/>
      <c r="AC369" s="10">
        <f t="shared" si="95"/>
        <v>0</v>
      </c>
      <c r="AD369" s="8">
        <f>IFERROR(AC369/AC444, "NA")</f>
        <v>0</v>
      </c>
    </row>
    <row r="370" spans="1:30" ht="16.5" hidden="1" customHeight="1" x14ac:dyDescent="0.45">
      <c r="A370" s="20" t="s">
        <v>338</v>
      </c>
      <c r="B370" s="7">
        <v>0</v>
      </c>
      <c r="C370" s="8">
        <f>IFERROR(B370/B444, "NA")</f>
        <v>0</v>
      </c>
      <c r="D370" s="9"/>
      <c r="E370" s="7">
        <v>0</v>
      </c>
      <c r="F370" s="8">
        <f>IFERROR(E370/E444, "NA")</f>
        <v>0</v>
      </c>
      <c r="G370" s="9"/>
      <c r="H370" s="10">
        <f t="shared" si="92"/>
        <v>0</v>
      </c>
      <c r="I370" s="8">
        <f>IFERROR(H370/H444, "NA")</f>
        <v>0</v>
      </c>
      <c r="J370" s="9"/>
      <c r="K370" s="7">
        <v>0</v>
      </c>
      <c r="L370" s="8">
        <f>IFERROR(K370/K444, "NA")</f>
        <v>0</v>
      </c>
      <c r="M370" s="9"/>
      <c r="N370" s="10">
        <f t="shared" si="93"/>
        <v>0</v>
      </c>
      <c r="O370" s="8">
        <f>IFERROR(N370/N444, "NA")</f>
        <v>0</v>
      </c>
      <c r="P370" s="9"/>
      <c r="Q370" s="7">
        <v>0</v>
      </c>
      <c r="R370" s="8">
        <f>IFERROR(Q370/Q444, "NA")</f>
        <v>0</v>
      </c>
      <c r="S370" s="9"/>
      <c r="T370" s="7">
        <v>0</v>
      </c>
      <c r="U370" s="8">
        <f>IFERROR(T370/T444, "NA")</f>
        <v>0</v>
      </c>
      <c r="V370" s="9"/>
      <c r="W370" s="10">
        <f t="shared" si="94"/>
        <v>0</v>
      </c>
      <c r="X370" s="8">
        <f>IFERROR(W370/W444, "NA")</f>
        <v>0</v>
      </c>
      <c r="Y370" s="9"/>
      <c r="Z370" s="7">
        <v>0</v>
      </c>
      <c r="AA370" s="8">
        <f>IFERROR(Z370/Z444, "NA")</f>
        <v>0</v>
      </c>
      <c r="AB370" s="9"/>
      <c r="AC370" s="10">
        <f t="shared" si="95"/>
        <v>0</v>
      </c>
      <c r="AD370" s="8">
        <f>IFERROR(AC370/AC444, "NA")</f>
        <v>0</v>
      </c>
    </row>
    <row r="371" spans="1:30" ht="16.5" hidden="1" customHeight="1" x14ac:dyDescent="0.45">
      <c r="A371" s="20" t="s">
        <v>339</v>
      </c>
      <c r="B371" s="7">
        <v>0</v>
      </c>
      <c r="C371" s="8">
        <f>IFERROR(B371/B444, "NA")</f>
        <v>0</v>
      </c>
      <c r="D371" s="9"/>
      <c r="E371" s="7">
        <v>0</v>
      </c>
      <c r="F371" s="8">
        <f>IFERROR(E371/E444, "NA")</f>
        <v>0</v>
      </c>
      <c r="G371" s="9"/>
      <c r="H371" s="10">
        <f t="shared" si="92"/>
        <v>0</v>
      </c>
      <c r="I371" s="8">
        <f>IFERROR(H371/H444, "NA")</f>
        <v>0</v>
      </c>
      <c r="J371" s="9"/>
      <c r="K371" s="7">
        <v>0</v>
      </c>
      <c r="L371" s="8">
        <f>IFERROR(K371/K444, "NA")</f>
        <v>0</v>
      </c>
      <c r="M371" s="9"/>
      <c r="N371" s="10">
        <f t="shared" si="93"/>
        <v>0</v>
      </c>
      <c r="O371" s="8">
        <f>IFERROR(N371/N444, "NA")</f>
        <v>0</v>
      </c>
      <c r="P371" s="9"/>
      <c r="Q371" s="7">
        <v>0</v>
      </c>
      <c r="R371" s="8">
        <f>IFERROR(Q371/Q444, "NA")</f>
        <v>0</v>
      </c>
      <c r="S371" s="9"/>
      <c r="T371" s="7">
        <v>0</v>
      </c>
      <c r="U371" s="8">
        <f>IFERROR(T371/T444, "NA")</f>
        <v>0</v>
      </c>
      <c r="V371" s="9"/>
      <c r="W371" s="10">
        <f t="shared" si="94"/>
        <v>0</v>
      </c>
      <c r="X371" s="8">
        <f>IFERROR(W371/W444, "NA")</f>
        <v>0</v>
      </c>
      <c r="Y371" s="9"/>
      <c r="Z371" s="7">
        <v>0</v>
      </c>
      <c r="AA371" s="8">
        <f>IFERROR(Z371/Z444, "NA")</f>
        <v>0</v>
      </c>
      <c r="AB371" s="9"/>
      <c r="AC371" s="10">
        <f t="shared" si="95"/>
        <v>0</v>
      </c>
      <c r="AD371" s="8">
        <f>IFERROR(AC371/AC444, "NA")</f>
        <v>0</v>
      </c>
    </row>
    <row r="372" spans="1:30" ht="16.5" hidden="1" customHeight="1" x14ac:dyDescent="0.45">
      <c r="A372" s="20" t="s">
        <v>340</v>
      </c>
      <c r="B372" s="7">
        <v>0</v>
      </c>
      <c r="C372" s="8">
        <f>IFERROR(B372/B444, "NA")</f>
        <v>0</v>
      </c>
      <c r="D372" s="9"/>
      <c r="E372" s="7">
        <v>0</v>
      </c>
      <c r="F372" s="8">
        <f>IFERROR(E372/E444, "NA")</f>
        <v>0</v>
      </c>
      <c r="G372" s="9"/>
      <c r="H372" s="10">
        <f t="shared" si="92"/>
        <v>0</v>
      </c>
      <c r="I372" s="8">
        <f>IFERROR(H372/H444, "NA")</f>
        <v>0</v>
      </c>
      <c r="J372" s="9"/>
      <c r="K372" s="7">
        <v>0</v>
      </c>
      <c r="L372" s="8">
        <f>IFERROR(K372/K444, "NA")</f>
        <v>0</v>
      </c>
      <c r="M372" s="9"/>
      <c r="N372" s="10">
        <f t="shared" si="93"/>
        <v>0</v>
      </c>
      <c r="O372" s="8">
        <f>IFERROR(N372/N444, "NA")</f>
        <v>0</v>
      </c>
      <c r="P372" s="9"/>
      <c r="Q372" s="7">
        <v>0</v>
      </c>
      <c r="R372" s="8">
        <f>IFERROR(Q372/Q444, "NA")</f>
        <v>0</v>
      </c>
      <c r="S372" s="9"/>
      <c r="T372" s="7">
        <v>0</v>
      </c>
      <c r="U372" s="8">
        <f>IFERROR(T372/T444, "NA")</f>
        <v>0</v>
      </c>
      <c r="V372" s="9"/>
      <c r="W372" s="10">
        <f t="shared" si="94"/>
        <v>0</v>
      </c>
      <c r="X372" s="8">
        <f>IFERROR(W372/W444, "NA")</f>
        <v>0</v>
      </c>
      <c r="Y372" s="9"/>
      <c r="Z372" s="7">
        <v>0</v>
      </c>
      <c r="AA372" s="8">
        <f>IFERROR(Z372/Z444, "NA")</f>
        <v>0</v>
      </c>
      <c r="AB372" s="9"/>
      <c r="AC372" s="10">
        <f t="shared" si="95"/>
        <v>0</v>
      </c>
      <c r="AD372" s="8">
        <f>IFERROR(AC372/AC444, "NA")</f>
        <v>0</v>
      </c>
    </row>
    <row r="373" spans="1:30" ht="16.5" hidden="1" customHeight="1" x14ac:dyDescent="0.45">
      <c r="A373" s="20" t="s">
        <v>341</v>
      </c>
      <c r="B373" s="7">
        <v>0</v>
      </c>
      <c r="C373" s="8">
        <f>IFERROR(B373/B444, "NA")</f>
        <v>0</v>
      </c>
      <c r="D373" s="9"/>
      <c r="E373" s="7">
        <v>0</v>
      </c>
      <c r="F373" s="8">
        <f>IFERROR(E373/E444, "NA")</f>
        <v>0</v>
      </c>
      <c r="G373" s="9"/>
      <c r="H373" s="10">
        <f t="shared" si="92"/>
        <v>0</v>
      </c>
      <c r="I373" s="8">
        <f>IFERROR(H373/H444, "NA")</f>
        <v>0</v>
      </c>
      <c r="J373" s="9"/>
      <c r="K373" s="7">
        <v>0</v>
      </c>
      <c r="L373" s="8">
        <f>IFERROR(K373/K444, "NA")</f>
        <v>0</v>
      </c>
      <c r="M373" s="9"/>
      <c r="N373" s="10">
        <f t="shared" si="93"/>
        <v>0</v>
      </c>
      <c r="O373" s="8">
        <f>IFERROR(N373/N444, "NA")</f>
        <v>0</v>
      </c>
      <c r="P373" s="9"/>
      <c r="Q373" s="7">
        <v>0</v>
      </c>
      <c r="R373" s="8">
        <f>IFERROR(Q373/Q444, "NA")</f>
        <v>0</v>
      </c>
      <c r="S373" s="9"/>
      <c r="T373" s="7">
        <v>0</v>
      </c>
      <c r="U373" s="8">
        <f>IFERROR(T373/T444, "NA")</f>
        <v>0</v>
      </c>
      <c r="V373" s="9"/>
      <c r="W373" s="10">
        <f t="shared" si="94"/>
        <v>0</v>
      </c>
      <c r="X373" s="8">
        <f>IFERROR(W373/W444, "NA")</f>
        <v>0</v>
      </c>
      <c r="Y373" s="9"/>
      <c r="Z373" s="7">
        <v>0</v>
      </c>
      <c r="AA373" s="8">
        <f>IFERROR(Z373/Z444, "NA")</f>
        <v>0</v>
      </c>
      <c r="AB373" s="9"/>
      <c r="AC373" s="10">
        <f t="shared" si="95"/>
        <v>0</v>
      </c>
      <c r="AD373" s="8">
        <f>IFERROR(AC373/AC444, "NA")</f>
        <v>0</v>
      </c>
    </row>
    <row r="374" spans="1:30" ht="16.5" hidden="1" customHeight="1" x14ac:dyDescent="0.45">
      <c r="A374" s="20" t="s">
        <v>342</v>
      </c>
      <c r="B374" s="7">
        <v>0</v>
      </c>
      <c r="C374" s="8">
        <f>IFERROR(B374/B444, "NA")</f>
        <v>0</v>
      </c>
      <c r="D374" s="9"/>
      <c r="E374" s="7">
        <v>0</v>
      </c>
      <c r="F374" s="8">
        <f>IFERROR(E374/E444, "NA")</f>
        <v>0</v>
      </c>
      <c r="G374" s="9"/>
      <c r="H374" s="10">
        <f t="shared" si="92"/>
        <v>0</v>
      </c>
      <c r="I374" s="8">
        <f>IFERROR(H374/H444, "NA")</f>
        <v>0</v>
      </c>
      <c r="J374" s="9"/>
      <c r="K374" s="7">
        <v>0</v>
      </c>
      <c r="L374" s="8">
        <f>IFERROR(K374/K444, "NA")</f>
        <v>0</v>
      </c>
      <c r="M374" s="9"/>
      <c r="N374" s="10">
        <f t="shared" si="93"/>
        <v>0</v>
      </c>
      <c r="O374" s="8">
        <f>IFERROR(N374/N444, "NA")</f>
        <v>0</v>
      </c>
      <c r="P374" s="9"/>
      <c r="Q374" s="7">
        <v>0</v>
      </c>
      <c r="R374" s="8">
        <f>IFERROR(Q374/Q444, "NA")</f>
        <v>0</v>
      </c>
      <c r="S374" s="9"/>
      <c r="T374" s="7">
        <v>0</v>
      </c>
      <c r="U374" s="8">
        <f>IFERROR(T374/T444, "NA")</f>
        <v>0</v>
      </c>
      <c r="V374" s="9"/>
      <c r="W374" s="10">
        <f t="shared" si="94"/>
        <v>0</v>
      </c>
      <c r="X374" s="8">
        <f>IFERROR(W374/W444, "NA")</f>
        <v>0</v>
      </c>
      <c r="Y374" s="9"/>
      <c r="Z374" s="7">
        <v>0</v>
      </c>
      <c r="AA374" s="8">
        <f>IFERROR(Z374/Z444, "NA")</f>
        <v>0</v>
      </c>
      <c r="AB374" s="9"/>
      <c r="AC374" s="10">
        <f t="shared" si="95"/>
        <v>0</v>
      </c>
      <c r="AD374" s="8">
        <f>IFERROR(AC374/AC444, "NA")</f>
        <v>0</v>
      </c>
    </row>
    <row r="375" spans="1:30" ht="16.5" hidden="1" customHeight="1" x14ac:dyDescent="0.45">
      <c r="A375" s="20" t="s">
        <v>343</v>
      </c>
      <c r="B375" s="7">
        <v>0</v>
      </c>
      <c r="C375" s="8">
        <f>IFERROR(B375/B444, "NA")</f>
        <v>0</v>
      </c>
      <c r="D375" s="9"/>
      <c r="E375" s="7">
        <v>0</v>
      </c>
      <c r="F375" s="8">
        <f>IFERROR(E375/E444, "NA")</f>
        <v>0</v>
      </c>
      <c r="G375" s="9"/>
      <c r="H375" s="10">
        <f t="shared" si="92"/>
        <v>0</v>
      </c>
      <c r="I375" s="8">
        <f>IFERROR(H375/H444, "NA")</f>
        <v>0</v>
      </c>
      <c r="J375" s="9"/>
      <c r="K375" s="7">
        <v>0</v>
      </c>
      <c r="L375" s="8">
        <f>IFERROR(K375/K444, "NA")</f>
        <v>0</v>
      </c>
      <c r="M375" s="9"/>
      <c r="N375" s="10">
        <f t="shared" si="93"/>
        <v>0</v>
      </c>
      <c r="O375" s="8">
        <f>IFERROR(N375/N444, "NA")</f>
        <v>0</v>
      </c>
      <c r="P375" s="9"/>
      <c r="Q375" s="7">
        <v>0</v>
      </c>
      <c r="R375" s="8">
        <f>IFERROR(Q375/Q444, "NA")</f>
        <v>0</v>
      </c>
      <c r="S375" s="9"/>
      <c r="T375" s="7">
        <v>0</v>
      </c>
      <c r="U375" s="8">
        <f>IFERROR(T375/T444, "NA")</f>
        <v>0</v>
      </c>
      <c r="V375" s="9"/>
      <c r="W375" s="10">
        <f t="shared" si="94"/>
        <v>0</v>
      </c>
      <c r="X375" s="8">
        <f>IFERROR(W375/W444, "NA")</f>
        <v>0</v>
      </c>
      <c r="Y375" s="9"/>
      <c r="Z375" s="7">
        <v>0</v>
      </c>
      <c r="AA375" s="8">
        <f>IFERROR(Z375/Z444, "NA")</f>
        <v>0</v>
      </c>
      <c r="AB375" s="9"/>
      <c r="AC375" s="10">
        <f t="shared" si="95"/>
        <v>0</v>
      </c>
      <c r="AD375" s="8">
        <f>IFERROR(AC375/AC444, "NA")</f>
        <v>0</v>
      </c>
    </row>
    <row r="376" spans="1:30" ht="16.5" hidden="1" customHeight="1" x14ac:dyDescent="0.45">
      <c r="A376" s="20" t="s">
        <v>344</v>
      </c>
      <c r="B376" s="7">
        <v>0</v>
      </c>
      <c r="C376" s="8">
        <f>IFERROR(B376/B444, "NA")</f>
        <v>0</v>
      </c>
      <c r="D376" s="9"/>
      <c r="E376" s="7">
        <v>0</v>
      </c>
      <c r="F376" s="8">
        <f>IFERROR(E376/E444, "NA")</f>
        <v>0</v>
      </c>
      <c r="G376" s="9"/>
      <c r="H376" s="10">
        <f t="shared" si="92"/>
        <v>0</v>
      </c>
      <c r="I376" s="8">
        <f>IFERROR(H376/H444, "NA")</f>
        <v>0</v>
      </c>
      <c r="J376" s="9"/>
      <c r="K376" s="7">
        <v>0</v>
      </c>
      <c r="L376" s="8">
        <f>IFERROR(K376/K444, "NA")</f>
        <v>0</v>
      </c>
      <c r="M376" s="9"/>
      <c r="N376" s="10">
        <f t="shared" si="93"/>
        <v>0</v>
      </c>
      <c r="O376" s="8">
        <f>IFERROR(N376/N444, "NA")</f>
        <v>0</v>
      </c>
      <c r="P376" s="9"/>
      <c r="Q376" s="7">
        <v>0</v>
      </c>
      <c r="R376" s="8">
        <f>IFERROR(Q376/Q444, "NA")</f>
        <v>0</v>
      </c>
      <c r="S376" s="9"/>
      <c r="T376" s="7">
        <v>0</v>
      </c>
      <c r="U376" s="8">
        <f>IFERROR(T376/T444, "NA")</f>
        <v>0</v>
      </c>
      <c r="V376" s="9"/>
      <c r="W376" s="10">
        <f t="shared" si="94"/>
        <v>0</v>
      </c>
      <c r="X376" s="8">
        <f>IFERROR(W376/W444, "NA")</f>
        <v>0</v>
      </c>
      <c r="Y376" s="9"/>
      <c r="Z376" s="7">
        <v>0</v>
      </c>
      <c r="AA376" s="8">
        <f>IFERROR(Z376/Z444, "NA")</f>
        <v>0</v>
      </c>
      <c r="AB376" s="9"/>
      <c r="AC376" s="10">
        <f t="shared" si="95"/>
        <v>0</v>
      </c>
      <c r="AD376" s="8">
        <f>IFERROR(AC376/AC444, "NA")</f>
        <v>0</v>
      </c>
    </row>
    <row r="377" spans="1:30" ht="16.5" hidden="1" customHeight="1" x14ac:dyDescent="0.45">
      <c r="A377" s="20" t="s">
        <v>345</v>
      </c>
      <c r="B377" s="7">
        <v>0</v>
      </c>
      <c r="C377" s="8">
        <f>IFERROR(B377/B444, "NA")</f>
        <v>0</v>
      </c>
      <c r="D377" s="9"/>
      <c r="E377" s="7">
        <v>0</v>
      </c>
      <c r="F377" s="8">
        <f>IFERROR(E377/E444, "NA")</f>
        <v>0</v>
      </c>
      <c r="G377" s="9"/>
      <c r="H377" s="10">
        <f t="shared" si="92"/>
        <v>0</v>
      </c>
      <c r="I377" s="8">
        <f>IFERROR(H377/H444, "NA")</f>
        <v>0</v>
      </c>
      <c r="J377" s="9"/>
      <c r="K377" s="7">
        <v>0</v>
      </c>
      <c r="L377" s="8">
        <f>IFERROR(K377/K444, "NA")</f>
        <v>0</v>
      </c>
      <c r="M377" s="9"/>
      <c r="N377" s="10">
        <f t="shared" si="93"/>
        <v>0</v>
      </c>
      <c r="O377" s="8">
        <f>IFERROR(N377/N444, "NA")</f>
        <v>0</v>
      </c>
      <c r="P377" s="9"/>
      <c r="Q377" s="7">
        <v>0</v>
      </c>
      <c r="R377" s="8">
        <f>IFERROR(Q377/Q444, "NA")</f>
        <v>0</v>
      </c>
      <c r="S377" s="9"/>
      <c r="T377" s="7">
        <v>0</v>
      </c>
      <c r="U377" s="8">
        <f>IFERROR(T377/T444, "NA")</f>
        <v>0</v>
      </c>
      <c r="V377" s="9"/>
      <c r="W377" s="10">
        <f t="shared" si="94"/>
        <v>0</v>
      </c>
      <c r="X377" s="8">
        <f>IFERROR(W377/W444, "NA")</f>
        <v>0</v>
      </c>
      <c r="Y377" s="9"/>
      <c r="Z377" s="7">
        <v>0</v>
      </c>
      <c r="AA377" s="8">
        <f>IFERROR(Z377/Z444, "NA")</f>
        <v>0</v>
      </c>
      <c r="AB377" s="9"/>
      <c r="AC377" s="10">
        <f t="shared" si="95"/>
        <v>0</v>
      </c>
      <c r="AD377" s="8">
        <f>IFERROR(AC377/AC444, "NA")</f>
        <v>0</v>
      </c>
    </row>
    <row r="378" spans="1:30" ht="16.5" hidden="1" customHeight="1" x14ac:dyDescent="0.45">
      <c r="A378" s="20" t="s">
        <v>346</v>
      </c>
      <c r="B378" s="7">
        <v>0</v>
      </c>
      <c r="C378" s="8">
        <f>IFERROR(B378/B444, "NA")</f>
        <v>0</v>
      </c>
      <c r="D378" s="9"/>
      <c r="E378" s="7">
        <v>0</v>
      </c>
      <c r="F378" s="8">
        <f>IFERROR(E378/E444, "NA")</f>
        <v>0</v>
      </c>
      <c r="G378" s="9"/>
      <c r="H378" s="10">
        <f t="shared" si="92"/>
        <v>0</v>
      </c>
      <c r="I378" s="8">
        <f>IFERROR(H378/H444, "NA")</f>
        <v>0</v>
      </c>
      <c r="J378" s="9"/>
      <c r="K378" s="7">
        <v>0</v>
      </c>
      <c r="L378" s="8">
        <f>IFERROR(K378/K444, "NA")</f>
        <v>0</v>
      </c>
      <c r="M378" s="9"/>
      <c r="N378" s="10">
        <f t="shared" si="93"/>
        <v>0</v>
      </c>
      <c r="O378" s="8">
        <f>IFERROR(N378/N444, "NA")</f>
        <v>0</v>
      </c>
      <c r="P378" s="9"/>
      <c r="Q378" s="7">
        <v>0</v>
      </c>
      <c r="R378" s="8">
        <f>IFERROR(Q378/Q444, "NA")</f>
        <v>0</v>
      </c>
      <c r="S378" s="9"/>
      <c r="T378" s="7">
        <v>0</v>
      </c>
      <c r="U378" s="8">
        <f>IFERROR(T378/T444, "NA")</f>
        <v>0</v>
      </c>
      <c r="V378" s="9"/>
      <c r="W378" s="10">
        <f t="shared" si="94"/>
        <v>0</v>
      </c>
      <c r="X378" s="8">
        <f>IFERROR(W378/W444, "NA")</f>
        <v>0</v>
      </c>
      <c r="Y378" s="9"/>
      <c r="Z378" s="7">
        <v>0</v>
      </c>
      <c r="AA378" s="8">
        <f>IFERROR(Z378/Z444, "NA")</f>
        <v>0</v>
      </c>
      <c r="AB378" s="9"/>
      <c r="AC378" s="10">
        <f t="shared" si="95"/>
        <v>0</v>
      </c>
      <c r="AD378" s="8">
        <f>IFERROR(AC378/AC444, "NA")</f>
        <v>0</v>
      </c>
    </row>
    <row r="379" spans="1:30" ht="16.5" hidden="1" customHeight="1" x14ac:dyDescent="0.45">
      <c r="A379" s="20" t="s">
        <v>347</v>
      </c>
      <c r="B379" s="7">
        <v>0</v>
      </c>
      <c r="C379" s="8">
        <f>IFERROR(B379/B444, "NA")</f>
        <v>0</v>
      </c>
      <c r="D379" s="9"/>
      <c r="E379" s="7">
        <v>0</v>
      </c>
      <c r="F379" s="8">
        <f>IFERROR(E379/E444, "NA")</f>
        <v>0</v>
      </c>
      <c r="G379" s="9"/>
      <c r="H379" s="10">
        <f t="shared" si="92"/>
        <v>0</v>
      </c>
      <c r="I379" s="8">
        <f>IFERROR(H379/H444, "NA")</f>
        <v>0</v>
      </c>
      <c r="J379" s="9"/>
      <c r="K379" s="7">
        <v>0</v>
      </c>
      <c r="L379" s="8">
        <f>IFERROR(K379/K444, "NA")</f>
        <v>0</v>
      </c>
      <c r="M379" s="9"/>
      <c r="N379" s="10">
        <f t="shared" si="93"/>
        <v>0</v>
      </c>
      <c r="O379" s="8">
        <f>IFERROR(N379/N444, "NA")</f>
        <v>0</v>
      </c>
      <c r="P379" s="9"/>
      <c r="Q379" s="7">
        <v>0</v>
      </c>
      <c r="R379" s="8">
        <f>IFERROR(Q379/Q444, "NA")</f>
        <v>0</v>
      </c>
      <c r="S379" s="9"/>
      <c r="T379" s="7">
        <v>0</v>
      </c>
      <c r="U379" s="8">
        <f>IFERROR(T379/T444, "NA")</f>
        <v>0</v>
      </c>
      <c r="V379" s="9"/>
      <c r="W379" s="10">
        <f t="shared" si="94"/>
        <v>0</v>
      </c>
      <c r="X379" s="8">
        <f>IFERROR(W379/W444, "NA")</f>
        <v>0</v>
      </c>
      <c r="Y379" s="9"/>
      <c r="Z379" s="7">
        <v>0</v>
      </c>
      <c r="AA379" s="8">
        <f>IFERROR(Z379/Z444, "NA")</f>
        <v>0</v>
      </c>
      <c r="AB379" s="9"/>
      <c r="AC379" s="10">
        <f t="shared" si="95"/>
        <v>0</v>
      </c>
      <c r="AD379" s="8">
        <f>IFERROR(AC379/AC444, "NA")</f>
        <v>0</v>
      </c>
    </row>
    <row r="380" spans="1:30" ht="16.5" hidden="1" customHeight="1" x14ac:dyDescent="0.45">
      <c r="A380" s="20" t="s">
        <v>348</v>
      </c>
      <c r="B380" s="7">
        <v>0</v>
      </c>
      <c r="C380" s="8">
        <f>IFERROR(B380/B444, "NA")</f>
        <v>0</v>
      </c>
      <c r="D380" s="9"/>
      <c r="E380" s="7">
        <v>0</v>
      </c>
      <c r="F380" s="8">
        <f>IFERROR(E380/E444, "NA")</f>
        <v>0</v>
      </c>
      <c r="G380" s="9"/>
      <c r="H380" s="10">
        <f t="shared" si="92"/>
        <v>0</v>
      </c>
      <c r="I380" s="8">
        <f>IFERROR(H380/H444, "NA")</f>
        <v>0</v>
      </c>
      <c r="J380" s="9"/>
      <c r="K380" s="7">
        <v>0</v>
      </c>
      <c r="L380" s="8">
        <f>IFERROR(K380/K444, "NA")</f>
        <v>0</v>
      </c>
      <c r="M380" s="9"/>
      <c r="N380" s="10">
        <f t="shared" si="93"/>
        <v>0</v>
      </c>
      <c r="O380" s="8">
        <f>IFERROR(N380/N444, "NA")</f>
        <v>0</v>
      </c>
      <c r="P380" s="9"/>
      <c r="Q380" s="7">
        <v>0</v>
      </c>
      <c r="R380" s="8">
        <f>IFERROR(Q380/Q444, "NA")</f>
        <v>0</v>
      </c>
      <c r="S380" s="9"/>
      <c r="T380" s="7">
        <v>0</v>
      </c>
      <c r="U380" s="8">
        <f>IFERROR(T380/T444, "NA")</f>
        <v>0</v>
      </c>
      <c r="V380" s="9"/>
      <c r="W380" s="10">
        <f t="shared" si="94"/>
        <v>0</v>
      </c>
      <c r="X380" s="8">
        <f>IFERROR(W380/W444, "NA")</f>
        <v>0</v>
      </c>
      <c r="Y380" s="9"/>
      <c r="Z380" s="7">
        <v>0</v>
      </c>
      <c r="AA380" s="8">
        <f>IFERROR(Z380/Z444, "NA")</f>
        <v>0</v>
      </c>
      <c r="AB380" s="9"/>
      <c r="AC380" s="10">
        <f t="shared" si="95"/>
        <v>0</v>
      </c>
      <c r="AD380" s="8">
        <f>IFERROR(AC380/AC444, "NA")</f>
        <v>0</v>
      </c>
    </row>
    <row r="381" spans="1:30" ht="16.5" hidden="1" customHeight="1" x14ac:dyDescent="0.45">
      <c r="A381" s="20" t="s">
        <v>349</v>
      </c>
      <c r="B381" s="7">
        <v>0</v>
      </c>
      <c r="C381" s="8">
        <f>IFERROR(B381/B444, "NA")</f>
        <v>0</v>
      </c>
      <c r="D381" s="9"/>
      <c r="E381" s="7">
        <v>0</v>
      </c>
      <c r="F381" s="8">
        <f>IFERROR(E381/E444, "NA")</f>
        <v>0</v>
      </c>
      <c r="G381" s="9"/>
      <c r="H381" s="10">
        <f t="shared" si="92"/>
        <v>0</v>
      </c>
      <c r="I381" s="8">
        <f>IFERROR(H381/H444, "NA")</f>
        <v>0</v>
      </c>
      <c r="J381" s="9"/>
      <c r="K381" s="7">
        <v>0</v>
      </c>
      <c r="L381" s="8">
        <f>IFERROR(K381/K444, "NA")</f>
        <v>0</v>
      </c>
      <c r="M381" s="9"/>
      <c r="N381" s="10">
        <f t="shared" si="93"/>
        <v>0</v>
      </c>
      <c r="O381" s="8">
        <f>IFERROR(N381/N444, "NA")</f>
        <v>0</v>
      </c>
      <c r="P381" s="9"/>
      <c r="Q381" s="7">
        <v>0</v>
      </c>
      <c r="R381" s="8">
        <f>IFERROR(Q381/Q444, "NA")</f>
        <v>0</v>
      </c>
      <c r="S381" s="9"/>
      <c r="T381" s="7">
        <v>0</v>
      </c>
      <c r="U381" s="8">
        <f>IFERROR(T381/T444, "NA")</f>
        <v>0</v>
      </c>
      <c r="V381" s="9"/>
      <c r="W381" s="10">
        <f t="shared" si="94"/>
        <v>0</v>
      </c>
      <c r="X381" s="8">
        <f>IFERROR(W381/W444, "NA")</f>
        <v>0</v>
      </c>
      <c r="Y381" s="9"/>
      <c r="Z381" s="7">
        <v>0</v>
      </c>
      <c r="AA381" s="8">
        <f>IFERROR(Z381/Z444, "NA")</f>
        <v>0</v>
      </c>
      <c r="AB381" s="9"/>
      <c r="AC381" s="10">
        <f t="shared" si="95"/>
        <v>0</v>
      </c>
      <c r="AD381" s="8">
        <f>IFERROR(AC381/AC444, "NA")</f>
        <v>0</v>
      </c>
    </row>
    <row r="382" spans="1:30" ht="16.5" hidden="1" customHeight="1" x14ac:dyDescent="0.45">
      <c r="A382" s="20" t="s">
        <v>350</v>
      </c>
      <c r="B382" s="7">
        <v>0</v>
      </c>
      <c r="C382" s="8">
        <f>IFERROR(B382/B444, "NA")</f>
        <v>0</v>
      </c>
      <c r="D382" s="9"/>
      <c r="E382" s="7">
        <v>0</v>
      </c>
      <c r="F382" s="8">
        <f>IFERROR(E382/E444, "NA")</f>
        <v>0</v>
      </c>
      <c r="G382" s="9"/>
      <c r="H382" s="10">
        <f t="shared" si="92"/>
        <v>0</v>
      </c>
      <c r="I382" s="8">
        <f>IFERROR(H382/H444, "NA")</f>
        <v>0</v>
      </c>
      <c r="J382" s="9"/>
      <c r="K382" s="7">
        <v>0</v>
      </c>
      <c r="L382" s="8">
        <f>IFERROR(K382/K444, "NA")</f>
        <v>0</v>
      </c>
      <c r="M382" s="9"/>
      <c r="N382" s="10">
        <f t="shared" si="93"/>
        <v>0</v>
      </c>
      <c r="O382" s="8">
        <f>IFERROR(N382/N444, "NA")</f>
        <v>0</v>
      </c>
      <c r="P382" s="9"/>
      <c r="Q382" s="7">
        <v>0</v>
      </c>
      <c r="R382" s="8">
        <f>IFERROR(Q382/Q444, "NA")</f>
        <v>0</v>
      </c>
      <c r="S382" s="9"/>
      <c r="T382" s="7">
        <v>0</v>
      </c>
      <c r="U382" s="8">
        <f>IFERROR(T382/T444, "NA")</f>
        <v>0</v>
      </c>
      <c r="V382" s="9"/>
      <c r="W382" s="10">
        <f t="shared" si="94"/>
        <v>0</v>
      </c>
      <c r="X382" s="8">
        <f>IFERROR(W382/W444, "NA")</f>
        <v>0</v>
      </c>
      <c r="Y382" s="9"/>
      <c r="Z382" s="7">
        <v>0</v>
      </c>
      <c r="AA382" s="8">
        <f>IFERROR(Z382/Z444, "NA")</f>
        <v>0</v>
      </c>
      <c r="AB382" s="9"/>
      <c r="AC382" s="10">
        <f t="shared" si="95"/>
        <v>0</v>
      </c>
      <c r="AD382" s="8">
        <f>IFERROR(AC382/AC444, "NA")</f>
        <v>0</v>
      </c>
    </row>
    <row r="383" spans="1:30" ht="16.5" hidden="1" customHeight="1" x14ac:dyDescent="0.45">
      <c r="A383" s="20" t="s">
        <v>351</v>
      </c>
      <c r="B383" s="7">
        <v>0</v>
      </c>
      <c r="C383" s="8">
        <f>IFERROR(B383/B444, "NA")</f>
        <v>0</v>
      </c>
      <c r="D383" s="9"/>
      <c r="E383" s="7">
        <v>0</v>
      </c>
      <c r="F383" s="8">
        <f>IFERROR(E383/E444, "NA")</f>
        <v>0</v>
      </c>
      <c r="G383" s="9"/>
      <c r="H383" s="10">
        <f t="shared" si="92"/>
        <v>0</v>
      </c>
      <c r="I383" s="8">
        <f>IFERROR(H383/H444, "NA")</f>
        <v>0</v>
      </c>
      <c r="J383" s="9"/>
      <c r="K383" s="7">
        <v>0</v>
      </c>
      <c r="L383" s="8">
        <f>IFERROR(K383/K444, "NA")</f>
        <v>0</v>
      </c>
      <c r="M383" s="9"/>
      <c r="N383" s="10">
        <f t="shared" si="93"/>
        <v>0</v>
      </c>
      <c r="O383" s="8">
        <f>IFERROR(N383/N444, "NA")</f>
        <v>0</v>
      </c>
      <c r="P383" s="9"/>
      <c r="Q383" s="7">
        <v>0</v>
      </c>
      <c r="R383" s="8">
        <f>IFERROR(Q383/Q444, "NA")</f>
        <v>0</v>
      </c>
      <c r="S383" s="9"/>
      <c r="T383" s="7">
        <v>0</v>
      </c>
      <c r="U383" s="8">
        <f>IFERROR(T383/T444, "NA")</f>
        <v>0</v>
      </c>
      <c r="V383" s="9"/>
      <c r="W383" s="10">
        <f t="shared" si="94"/>
        <v>0</v>
      </c>
      <c r="X383" s="8">
        <f>IFERROR(W383/W444, "NA")</f>
        <v>0</v>
      </c>
      <c r="Y383" s="9"/>
      <c r="Z383" s="7">
        <v>0</v>
      </c>
      <c r="AA383" s="8">
        <f>IFERROR(Z383/Z444, "NA")</f>
        <v>0</v>
      </c>
      <c r="AB383" s="9"/>
      <c r="AC383" s="10">
        <f t="shared" si="95"/>
        <v>0</v>
      </c>
      <c r="AD383" s="8">
        <f>IFERROR(AC383/AC444, "NA")</f>
        <v>0</v>
      </c>
    </row>
    <row r="384" spans="1:30" ht="16.5" customHeight="1" x14ac:dyDescent="0.45">
      <c r="A384" s="5" t="s">
        <v>352</v>
      </c>
      <c r="B384" s="2"/>
      <c r="C384" s="3"/>
      <c r="D384" s="4"/>
      <c r="E384" s="2"/>
      <c r="F384" s="3"/>
      <c r="G384" s="4"/>
      <c r="H384" s="2"/>
      <c r="I384" s="3"/>
      <c r="J384" s="4"/>
      <c r="K384" s="2"/>
      <c r="L384" s="3"/>
      <c r="M384" s="4"/>
      <c r="N384" s="2"/>
      <c r="O384" s="3"/>
      <c r="P384" s="4"/>
      <c r="Q384" s="2"/>
      <c r="R384" s="3"/>
      <c r="S384" s="4"/>
      <c r="T384" s="2"/>
      <c r="U384" s="3"/>
      <c r="V384" s="4"/>
      <c r="W384" s="2"/>
      <c r="X384" s="3"/>
      <c r="Y384" s="4"/>
      <c r="Z384" s="2"/>
      <c r="AA384" s="3"/>
      <c r="AB384" s="4"/>
      <c r="AC384" s="2"/>
      <c r="AD384" s="3"/>
    </row>
    <row r="385" spans="1:30" ht="16.5" hidden="1" customHeight="1" x14ac:dyDescent="0.45">
      <c r="A385" s="6" t="s">
        <v>352</v>
      </c>
      <c r="B385" s="7">
        <v>0</v>
      </c>
      <c r="C385" s="8">
        <f>IFERROR(B385/B444, "NA")</f>
        <v>0</v>
      </c>
      <c r="D385" s="9"/>
      <c r="E385" s="7">
        <v>0</v>
      </c>
      <c r="F385" s="8">
        <f>IFERROR(E385/E444, "NA")</f>
        <v>0</v>
      </c>
      <c r="G385" s="9"/>
      <c r="H385" s="10">
        <f>IFERROR(-(B385-E385), "NA")</f>
        <v>0</v>
      </c>
      <c r="I385" s="8">
        <f>IFERROR(H385/H444, "NA")</f>
        <v>0</v>
      </c>
      <c r="J385" s="9"/>
      <c r="K385" s="7">
        <v>0</v>
      </c>
      <c r="L385" s="8">
        <f>IFERROR(K385/K444, "NA")</f>
        <v>0</v>
      </c>
      <c r="M385" s="9"/>
      <c r="N385" s="10">
        <f>IFERROR(-(B385-K385), "NA")</f>
        <v>0</v>
      </c>
      <c r="O385" s="8">
        <f>IFERROR(N385/N444, "NA")</f>
        <v>0</v>
      </c>
      <c r="P385" s="9"/>
      <c r="Q385" s="7">
        <v>0</v>
      </c>
      <c r="R385" s="8">
        <f>IFERROR(Q385/Q444, "NA")</f>
        <v>0</v>
      </c>
      <c r="S385" s="9"/>
      <c r="T385" s="7">
        <v>0</v>
      </c>
      <c r="U385" s="8">
        <f>IFERROR(T385/T444, "NA")</f>
        <v>0</v>
      </c>
      <c r="V385" s="9"/>
      <c r="W385" s="10">
        <f>IFERROR(-(Q385-T385), "NA")</f>
        <v>0</v>
      </c>
      <c r="X385" s="8">
        <f>IFERROR(W385/W444, "NA")</f>
        <v>0</v>
      </c>
      <c r="Y385" s="9"/>
      <c r="Z385" s="7">
        <v>0</v>
      </c>
      <c r="AA385" s="8">
        <f>IFERROR(Z385/Z444, "NA")</f>
        <v>0</v>
      </c>
      <c r="AB385" s="9"/>
      <c r="AC385" s="10">
        <f>IFERROR(-(Q385-Z385), "NA")</f>
        <v>0</v>
      </c>
      <c r="AD385" s="8">
        <f>IFERROR(AC385/AC444, "NA")</f>
        <v>0</v>
      </c>
    </row>
    <row r="386" spans="1:30" ht="16.5" hidden="1" customHeight="1" x14ac:dyDescent="0.45">
      <c r="A386" s="6" t="s">
        <v>353</v>
      </c>
      <c r="B386" s="7">
        <v>0</v>
      </c>
      <c r="C386" s="8">
        <f>IFERROR(B386/B444, "NA")</f>
        <v>0</v>
      </c>
      <c r="D386" s="9"/>
      <c r="E386" s="7">
        <v>0</v>
      </c>
      <c r="F386" s="8">
        <f>IFERROR(E386/E444, "NA")</f>
        <v>0</v>
      </c>
      <c r="G386" s="9"/>
      <c r="H386" s="10">
        <f>IFERROR(-(B386-E386), "NA")</f>
        <v>0</v>
      </c>
      <c r="I386" s="8">
        <f>IFERROR(H386/H444, "NA")</f>
        <v>0</v>
      </c>
      <c r="J386" s="9"/>
      <c r="K386" s="7">
        <v>0</v>
      </c>
      <c r="L386" s="8">
        <f>IFERROR(K386/K444, "NA")</f>
        <v>0</v>
      </c>
      <c r="M386" s="9"/>
      <c r="N386" s="10">
        <f>IFERROR(-(B386-K386), "NA")</f>
        <v>0</v>
      </c>
      <c r="O386" s="8">
        <f>IFERROR(N386/N444, "NA")</f>
        <v>0</v>
      </c>
      <c r="P386" s="9"/>
      <c r="Q386" s="7">
        <v>0</v>
      </c>
      <c r="R386" s="8">
        <f>IFERROR(Q386/Q444, "NA")</f>
        <v>0</v>
      </c>
      <c r="S386" s="9"/>
      <c r="T386" s="7">
        <v>0</v>
      </c>
      <c r="U386" s="8">
        <f>IFERROR(T386/T444, "NA")</f>
        <v>0</v>
      </c>
      <c r="V386" s="9"/>
      <c r="W386" s="10">
        <f>IFERROR(-(Q386-T386), "NA")</f>
        <v>0</v>
      </c>
      <c r="X386" s="8">
        <f>IFERROR(W386/W444, "NA")</f>
        <v>0</v>
      </c>
      <c r="Y386" s="9"/>
      <c r="Z386" s="7">
        <v>0</v>
      </c>
      <c r="AA386" s="8">
        <f>IFERROR(Z386/Z444, "NA")</f>
        <v>0</v>
      </c>
      <c r="AB386" s="9"/>
      <c r="AC386" s="10">
        <f>IFERROR(-(Q386-Z386), "NA")</f>
        <v>0</v>
      </c>
      <c r="AD386" s="8">
        <f>IFERROR(AC386/AC444, "NA")</f>
        <v>0</v>
      </c>
    </row>
    <row r="387" spans="1:30" ht="16.5" customHeight="1" x14ac:dyDescent="0.45">
      <c r="A387" s="11" t="s">
        <v>354</v>
      </c>
      <c r="B387" s="2"/>
      <c r="C387" s="3"/>
      <c r="D387" s="4"/>
      <c r="E387" s="2"/>
      <c r="F387" s="3"/>
      <c r="G387" s="4"/>
      <c r="H387" s="2"/>
      <c r="I387" s="3"/>
      <c r="J387" s="4"/>
      <c r="K387" s="2"/>
      <c r="L387" s="3"/>
      <c r="M387" s="4"/>
      <c r="N387" s="2"/>
      <c r="O387" s="3"/>
      <c r="P387" s="4"/>
      <c r="Q387" s="2"/>
      <c r="R387" s="3"/>
      <c r="S387" s="4"/>
      <c r="T387" s="2"/>
      <c r="U387" s="3"/>
      <c r="V387" s="4"/>
      <c r="W387" s="2"/>
      <c r="X387" s="3"/>
      <c r="Y387" s="4"/>
      <c r="Z387" s="2"/>
      <c r="AA387" s="3"/>
      <c r="AB387" s="4"/>
      <c r="AC387" s="2"/>
      <c r="AD387" s="3"/>
    </row>
    <row r="388" spans="1:30" ht="16.5" hidden="1" customHeight="1" x14ac:dyDescent="0.45">
      <c r="A388" s="12" t="s">
        <v>354</v>
      </c>
      <c r="B388" s="7">
        <v>0</v>
      </c>
      <c r="C388" s="8">
        <f>IFERROR(B388/B444, "NA")</f>
        <v>0</v>
      </c>
      <c r="D388" s="9"/>
      <c r="E388" s="7">
        <v>0</v>
      </c>
      <c r="F388" s="8">
        <f>IFERROR(E388/E444, "NA")</f>
        <v>0</v>
      </c>
      <c r="G388" s="9"/>
      <c r="H388" s="10">
        <f t="shared" ref="H388:H403" si="96">IFERROR(-(B388-E388), "NA")</f>
        <v>0</v>
      </c>
      <c r="I388" s="8">
        <f>IFERROR(H388/H444, "NA")</f>
        <v>0</v>
      </c>
      <c r="J388" s="9"/>
      <c r="K388" s="7">
        <v>0</v>
      </c>
      <c r="L388" s="8">
        <f>IFERROR(K388/K444, "NA")</f>
        <v>0</v>
      </c>
      <c r="M388" s="9"/>
      <c r="N388" s="10">
        <f t="shared" ref="N388:N403" si="97">IFERROR(-(B388-K388), "NA")</f>
        <v>0</v>
      </c>
      <c r="O388" s="8">
        <f>IFERROR(N388/N444, "NA")</f>
        <v>0</v>
      </c>
      <c r="P388" s="9"/>
      <c r="Q388" s="7">
        <v>0</v>
      </c>
      <c r="R388" s="8">
        <f>IFERROR(Q388/Q444, "NA")</f>
        <v>0</v>
      </c>
      <c r="S388" s="9"/>
      <c r="T388" s="7">
        <v>0</v>
      </c>
      <c r="U388" s="8">
        <f>IFERROR(T388/T444, "NA")</f>
        <v>0</v>
      </c>
      <c r="V388" s="9"/>
      <c r="W388" s="10">
        <f t="shared" ref="W388:W403" si="98">IFERROR(-(Q388-T388), "NA")</f>
        <v>0</v>
      </c>
      <c r="X388" s="8">
        <f>IFERROR(W388/W444, "NA")</f>
        <v>0</v>
      </c>
      <c r="Y388" s="9"/>
      <c r="Z388" s="7">
        <v>0</v>
      </c>
      <c r="AA388" s="8">
        <f>IFERROR(Z388/Z444, "NA")</f>
        <v>0</v>
      </c>
      <c r="AB388" s="9"/>
      <c r="AC388" s="10">
        <f t="shared" ref="AC388:AC403" si="99">IFERROR(-(Q388-Z388), "NA")</f>
        <v>0</v>
      </c>
      <c r="AD388" s="8">
        <f>IFERROR(AC388/AC444, "NA")</f>
        <v>0</v>
      </c>
    </row>
    <row r="389" spans="1:30" ht="16.5" hidden="1" customHeight="1" x14ac:dyDescent="0.45">
      <c r="A389" s="12" t="s">
        <v>355</v>
      </c>
      <c r="B389" s="7">
        <v>0</v>
      </c>
      <c r="C389" s="8">
        <f>IFERROR(B389/B444, "NA")</f>
        <v>0</v>
      </c>
      <c r="D389" s="9"/>
      <c r="E389" s="7">
        <v>0</v>
      </c>
      <c r="F389" s="8">
        <f>IFERROR(E389/E444, "NA")</f>
        <v>0</v>
      </c>
      <c r="G389" s="9"/>
      <c r="H389" s="10">
        <f t="shared" si="96"/>
        <v>0</v>
      </c>
      <c r="I389" s="8">
        <f>IFERROR(H389/H444, "NA")</f>
        <v>0</v>
      </c>
      <c r="J389" s="9"/>
      <c r="K389" s="7">
        <v>0</v>
      </c>
      <c r="L389" s="8">
        <f>IFERROR(K389/K444, "NA")</f>
        <v>0</v>
      </c>
      <c r="M389" s="9"/>
      <c r="N389" s="10">
        <f t="shared" si="97"/>
        <v>0</v>
      </c>
      <c r="O389" s="8">
        <f>IFERROR(N389/N444, "NA")</f>
        <v>0</v>
      </c>
      <c r="P389" s="9"/>
      <c r="Q389" s="7">
        <v>0</v>
      </c>
      <c r="R389" s="8">
        <f>IFERROR(Q389/Q444, "NA")</f>
        <v>0</v>
      </c>
      <c r="S389" s="9"/>
      <c r="T389" s="7">
        <v>0</v>
      </c>
      <c r="U389" s="8">
        <f>IFERROR(T389/T444, "NA")</f>
        <v>0</v>
      </c>
      <c r="V389" s="9"/>
      <c r="W389" s="10">
        <f t="shared" si="98"/>
        <v>0</v>
      </c>
      <c r="X389" s="8">
        <f>IFERROR(W389/W444, "NA")</f>
        <v>0</v>
      </c>
      <c r="Y389" s="9"/>
      <c r="Z389" s="7">
        <v>0</v>
      </c>
      <c r="AA389" s="8">
        <f>IFERROR(Z389/Z444, "NA")</f>
        <v>0</v>
      </c>
      <c r="AB389" s="9"/>
      <c r="AC389" s="10">
        <f t="shared" si="99"/>
        <v>0</v>
      </c>
      <c r="AD389" s="8">
        <f>IFERROR(AC389/AC444, "NA")</f>
        <v>0</v>
      </c>
    </row>
    <row r="390" spans="1:30" ht="16.5" hidden="1" customHeight="1" x14ac:dyDescent="0.45">
      <c r="A390" s="12" t="s">
        <v>356</v>
      </c>
      <c r="B390" s="7">
        <v>0</v>
      </c>
      <c r="C390" s="8">
        <f>IFERROR(B390/B444, "NA")</f>
        <v>0</v>
      </c>
      <c r="D390" s="9"/>
      <c r="E390" s="7">
        <v>0</v>
      </c>
      <c r="F390" s="8">
        <f>IFERROR(E390/E444, "NA")</f>
        <v>0</v>
      </c>
      <c r="G390" s="9"/>
      <c r="H390" s="10">
        <f t="shared" si="96"/>
        <v>0</v>
      </c>
      <c r="I390" s="8">
        <f>IFERROR(H390/H444, "NA")</f>
        <v>0</v>
      </c>
      <c r="J390" s="9"/>
      <c r="K390" s="7">
        <v>0</v>
      </c>
      <c r="L390" s="8">
        <f>IFERROR(K390/K444, "NA")</f>
        <v>0</v>
      </c>
      <c r="M390" s="9"/>
      <c r="N390" s="10">
        <f t="shared" si="97"/>
        <v>0</v>
      </c>
      <c r="O390" s="8">
        <f>IFERROR(N390/N444, "NA")</f>
        <v>0</v>
      </c>
      <c r="P390" s="9"/>
      <c r="Q390" s="7">
        <v>0</v>
      </c>
      <c r="R390" s="8">
        <f>IFERROR(Q390/Q444, "NA")</f>
        <v>0</v>
      </c>
      <c r="S390" s="9"/>
      <c r="T390" s="7">
        <v>0</v>
      </c>
      <c r="U390" s="8">
        <f>IFERROR(T390/T444, "NA")</f>
        <v>0</v>
      </c>
      <c r="V390" s="9"/>
      <c r="W390" s="10">
        <f t="shared" si="98"/>
        <v>0</v>
      </c>
      <c r="X390" s="8">
        <f>IFERROR(W390/W444, "NA")</f>
        <v>0</v>
      </c>
      <c r="Y390" s="9"/>
      <c r="Z390" s="7">
        <v>0</v>
      </c>
      <c r="AA390" s="8">
        <f>IFERROR(Z390/Z444, "NA")</f>
        <v>0</v>
      </c>
      <c r="AB390" s="9"/>
      <c r="AC390" s="10">
        <f t="shared" si="99"/>
        <v>0</v>
      </c>
      <c r="AD390" s="8">
        <f>IFERROR(AC390/AC444, "NA")</f>
        <v>0</v>
      </c>
    </row>
    <row r="391" spans="1:30" ht="16.5" hidden="1" customHeight="1" x14ac:dyDescent="0.45">
      <c r="A391" s="12" t="s">
        <v>357</v>
      </c>
      <c r="B391" s="7">
        <v>0</v>
      </c>
      <c r="C391" s="8">
        <f>IFERROR(B391/B444, "NA")</f>
        <v>0</v>
      </c>
      <c r="D391" s="9"/>
      <c r="E391" s="7">
        <v>0</v>
      </c>
      <c r="F391" s="8">
        <f>IFERROR(E391/E444, "NA")</f>
        <v>0</v>
      </c>
      <c r="G391" s="9"/>
      <c r="H391" s="10">
        <f t="shared" si="96"/>
        <v>0</v>
      </c>
      <c r="I391" s="8">
        <f>IFERROR(H391/H444, "NA")</f>
        <v>0</v>
      </c>
      <c r="J391" s="9"/>
      <c r="K391" s="7">
        <v>0</v>
      </c>
      <c r="L391" s="8">
        <f>IFERROR(K391/K444, "NA")</f>
        <v>0</v>
      </c>
      <c r="M391" s="9"/>
      <c r="N391" s="10">
        <f t="shared" si="97"/>
        <v>0</v>
      </c>
      <c r="O391" s="8">
        <f>IFERROR(N391/N444, "NA")</f>
        <v>0</v>
      </c>
      <c r="P391" s="9"/>
      <c r="Q391" s="7">
        <v>0</v>
      </c>
      <c r="R391" s="8">
        <f>IFERROR(Q391/Q444, "NA")</f>
        <v>0</v>
      </c>
      <c r="S391" s="9"/>
      <c r="T391" s="7">
        <v>0</v>
      </c>
      <c r="U391" s="8">
        <f>IFERROR(T391/T444, "NA")</f>
        <v>0</v>
      </c>
      <c r="V391" s="9"/>
      <c r="W391" s="10">
        <f t="shared" si="98"/>
        <v>0</v>
      </c>
      <c r="X391" s="8">
        <f>IFERROR(W391/W444, "NA")</f>
        <v>0</v>
      </c>
      <c r="Y391" s="9"/>
      <c r="Z391" s="7">
        <v>0</v>
      </c>
      <c r="AA391" s="8">
        <f>IFERROR(Z391/Z444, "NA")</f>
        <v>0</v>
      </c>
      <c r="AB391" s="9"/>
      <c r="AC391" s="10">
        <f t="shared" si="99"/>
        <v>0</v>
      </c>
      <c r="AD391" s="8">
        <f>IFERROR(AC391/AC444, "NA")</f>
        <v>0</v>
      </c>
    </row>
    <row r="392" spans="1:30" ht="16.5" hidden="1" customHeight="1" x14ac:dyDescent="0.45">
      <c r="A392" s="12" t="s">
        <v>358</v>
      </c>
      <c r="B392" s="7">
        <v>0</v>
      </c>
      <c r="C392" s="8">
        <f>IFERROR(B392/B444, "NA")</f>
        <v>0</v>
      </c>
      <c r="D392" s="9"/>
      <c r="E392" s="7">
        <v>0</v>
      </c>
      <c r="F392" s="8">
        <f>IFERROR(E392/E444, "NA")</f>
        <v>0</v>
      </c>
      <c r="G392" s="9"/>
      <c r="H392" s="10">
        <f t="shared" si="96"/>
        <v>0</v>
      </c>
      <c r="I392" s="8">
        <f>IFERROR(H392/H444, "NA")</f>
        <v>0</v>
      </c>
      <c r="J392" s="9"/>
      <c r="K392" s="7">
        <v>0</v>
      </c>
      <c r="L392" s="8">
        <f>IFERROR(K392/K444, "NA")</f>
        <v>0</v>
      </c>
      <c r="M392" s="9"/>
      <c r="N392" s="10">
        <f t="shared" si="97"/>
        <v>0</v>
      </c>
      <c r="O392" s="8">
        <f>IFERROR(N392/N444, "NA")</f>
        <v>0</v>
      </c>
      <c r="P392" s="9"/>
      <c r="Q392" s="7">
        <v>0</v>
      </c>
      <c r="R392" s="8">
        <f>IFERROR(Q392/Q444, "NA")</f>
        <v>0</v>
      </c>
      <c r="S392" s="9"/>
      <c r="T392" s="7">
        <v>0</v>
      </c>
      <c r="U392" s="8">
        <f>IFERROR(T392/T444, "NA")</f>
        <v>0</v>
      </c>
      <c r="V392" s="9"/>
      <c r="W392" s="10">
        <f t="shared" si="98"/>
        <v>0</v>
      </c>
      <c r="X392" s="8">
        <f>IFERROR(W392/W444, "NA")</f>
        <v>0</v>
      </c>
      <c r="Y392" s="9"/>
      <c r="Z392" s="7">
        <v>0</v>
      </c>
      <c r="AA392" s="8">
        <f>IFERROR(Z392/Z444, "NA")</f>
        <v>0</v>
      </c>
      <c r="AB392" s="9"/>
      <c r="AC392" s="10">
        <f t="shared" si="99"/>
        <v>0</v>
      </c>
      <c r="AD392" s="8">
        <f>IFERROR(AC392/AC444, "NA")</f>
        <v>0</v>
      </c>
    </row>
    <row r="393" spans="1:30" ht="16.5" customHeight="1" x14ac:dyDescent="0.45">
      <c r="A393" s="13" t="s">
        <v>359</v>
      </c>
      <c r="B393" s="14">
        <f>IFERROR(B388+B389+B390+B391+B392, "NA")</f>
        <v>0</v>
      </c>
      <c r="C393" s="15">
        <f>IFERROR(B393/B444, "NA")</f>
        <v>0</v>
      </c>
      <c r="D393" s="2"/>
      <c r="E393" s="14">
        <f>IFERROR(E388+E389+E390+E391+E392, "NA")</f>
        <v>0</v>
      </c>
      <c r="F393" s="15">
        <f>IFERROR(E393/E444, "NA")</f>
        <v>0</v>
      </c>
      <c r="G393" s="2"/>
      <c r="H393" s="14">
        <f t="shared" si="96"/>
        <v>0</v>
      </c>
      <c r="I393" s="15">
        <f>IFERROR(H393/H444, "NA")</f>
        <v>0</v>
      </c>
      <c r="J393" s="2"/>
      <c r="K393" s="14">
        <f>IFERROR(K388+K389+K390+K391+K392, "NA")</f>
        <v>0</v>
      </c>
      <c r="L393" s="15">
        <f>IFERROR(K393/K444, "NA")</f>
        <v>0</v>
      </c>
      <c r="M393" s="2"/>
      <c r="N393" s="14">
        <f t="shared" si="97"/>
        <v>0</v>
      </c>
      <c r="O393" s="15">
        <f>IFERROR(N393/N444, "NA")</f>
        <v>0</v>
      </c>
      <c r="P393" s="2"/>
      <c r="Q393" s="14">
        <f>IFERROR(Q388+Q389+Q390+Q391+Q392, "NA")</f>
        <v>0</v>
      </c>
      <c r="R393" s="15">
        <f>IFERROR(Q393/Q444, "NA")</f>
        <v>0</v>
      </c>
      <c r="S393" s="2"/>
      <c r="T393" s="14">
        <f>IFERROR(T388+T389+T390+T391+T392, "NA")</f>
        <v>0</v>
      </c>
      <c r="U393" s="15">
        <f>IFERROR(T393/T444, "NA")</f>
        <v>0</v>
      </c>
      <c r="V393" s="2"/>
      <c r="W393" s="14">
        <f t="shared" si="98"/>
        <v>0</v>
      </c>
      <c r="X393" s="15">
        <f>IFERROR(W393/W444, "NA")</f>
        <v>0</v>
      </c>
      <c r="Y393" s="2"/>
      <c r="Z393" s="14">
        <f>IFERROR(Z388+Z389+Z390+Z391+Z392, "NA")</f>
        <v>0</v>
      </c>
      <c r="AA393" s="15">
        <f>IFERROR(Z393/Z444, "NA")</f>
        <v>0</v>
      </c>
      <c r="AB393" s="2"/>
      <c r="AC393" s="14">
        <f t="shared" si="99"/>
        <v>0</v>
      </c>
      <c r="AD393" s="15">
        <f>IFERROR(AC393/AC444, "NA")</f>
        <v>0</v>
      </c>
    </row>
    <row r="394" spans="1:30" ht="16.5" hidden="1" customHeight="1" x14ac:dyDescent="0.45">
      <c r="A394" s="6" t="s">
        <v>360</v>
      </c>
      <c r="B394" s="7">
        <v>0</v>
      </c>
      <c r="C394" s="8">
        <f>IFERROR(B394/B444, "NA")</f>
        <v>0</v>
      </c>
      <c r="D394" s="9"/>
      <c r="E394" s="7">
        <v>0</v>
      </c>
      <c r="F394" s="8">
        <f>IFERROR(E394/E444, "NA")</f>
        <v>0</v>
      </c>
      <c r="G394" s="9"/>
      <c r="H394" s="10">
        <f t="shared" si="96"/>
        <v>0</v>
      </c>
      <c r="I394" s="8">
        <f>IFERROR(H394/H444, "NA")</f>
        <v>0</v>
      </c>
      <c r="J394" s="9"/>
      <c r="K394" s="7">
        <v>0</v>
      </c>
      <c r="L394" s="8">
        <f>IFERROR(K394/K444, "NA")</f>
        <v>0</v>
      </c>
      <c r="M394" s="9"/>
      <c r="N394" s="10">
        <f t="shared" si="97"/>
        <v>0</v>
      </c>
      <c r="O394" s="8">
        <f>IFERROR(N394/N444, "NA")</f>
        <v>0</v>
      </c>
      <c r="P394" s="9"/>
      <c r="Q394" s="7">
        <v>0</v>
      </c>
      <c r="R394" s="8">
        <f>IFERROR(Q394/Q444, "NA")</f>
        <v>0</v>
      </c>
      <c r="S394" s="9"/>
      <c r="T394" s="7">
        <v>0</v>
      </c>
      <c r="U394" s="8">
        <f>IFERROR(T394/T444, "NA")</f>
        <v>0</v>
      </c>
      <c r="V394" s="9"/>
      <c r="W394" s="10">
        <f t="shared" si="98"/>
        <v>0</v>
      </c>
      <c r="X394" s="8">
        <f>IFERROR(W394/W444, "NA")</f>
        <v>0</v>
      </c>
      <c r="Y394" s="9"/>
      <c r="Z394" s="7">
        <v>0</v>
      </c>
      <c r="AA394" s="8">
        <f>IFERROR(Z394/Z444, "NA")</f>
        <v>0</v>
      </c>
      <c r="AB394" s="9"/>
      <c r="AC394" s="10">
        <f t="shared" si="99"/>
        <v>0</v>
      </c>
      <c r="AD394" s="8">
        <f>IFERROR(AC394/AC444, "NA")</f>
        <v>0</v>
      </c>
    </row>
    <row r="395" spans="1:30" ht="16.5" hidden="1" customHeight="1" x14ac:dyDescent="0.45">
      <c r="A395" s="6" t="s">
        <v>361</v>
      </c>
      <c r="B395" s="7">
        <v>0</v>
      </c>
      <c r="C395" s="8">
        <f>IFERROR(B395/B444, "NA")</f>
        <v>0</v>
      </c>
      <c r="D395" s="9"/>
      <c r="E395" s="7">
        <v>0</v>
      </c>
      <c r="F395" s="8">
        <f>IFERROR(E395/E444, "NA")</f>
        <v>0</v>
      </c>
      <c r="G395" s="9"/>
      <c r="H395" s="10">
        <f t="shared" si="96"/>
        <v>0</v>
      </c>
      <c r="I395" s="8">
        <f>IFERROR(H395/H444, "NA")</f>
        <v>0</v>
      </c>
      <c r="J395" s="9"/>
      <c r="K395" s="7">
        <v>0</v>
      </c>
      <c r="L395" s="8">
        <f>IFERROR(K395/K444, "NA")</f>
        <v>0</v>
      </c>
      <c r="M395" s="9"/>
      <c r="N395" s="10">
        <f t="shared" si="97"/>
        <v>0</v>
      </c>
      <c r="O395" s="8">
        <f>IFERROR(N395/N444, "NA")</f>
        <v>0</v>
      </c>
      <c r="P395" s="9"/>
      <c r="Q395" s="7">
        <v>0</v>
      </c>
      <c r="R395" s="8">
        <f>IFERROR(Q395/Q444, "NA")</f>
        <v>0</v>
      </c>
      <c r="S395" s="9"/>
      <c r="T395" s="7">
        <v>0</v>
      </c>
      <c r="U395" s="8">
        <f>IFERROR(T395/T444, "NA")</f>
        <v>0</v>
      </c>
      <c r="V395" s="9"/>
      <c r="W395" s="10">
        <f t="shared" si="98"/>
        <v>0</v>
      </c>
      <c r="X395" s="8">
        <f>IFERROR(W395/W444, "NA")</f>
        <v>0</v>
      </c>
      <c r="Y395" s="9"/>
      <c r="Z395" s="7">
        <v>0</v>
      </c>
      <c r="AA395" s="8">
        <f>IFERROR(Z395/Z444, "NA")</f>
        <v>0</v>
      </c>
      <c r="AB395" s="9"/>
      <c r="AC395" s="10">
        <f t="shared" si="99"/>
        <v>0</v>
      </c>
      <c r="AD395" s="8">
        <f>IFERROR(AC395/AC444, "NA")</f>
        <v>0</v>
      </c>
    </row>
    <row r="396" spans="1:30" ht="16.5" customHeight="1" x14ac:dyDescent="0.45">
      <c r="A396" s="19" t="s">
        <v>362</v>
      </c>
      <c r="B396" s="14">
        <f>IFERROR(B385+B386+B388+B389+B390+B391+B392+B394+B395, "NA")</f>
        <v>0</v>
      </c>
      <c r="C396" s="15">
        <f>IFERROR(B396/B444, "NA")</f>
        <v>0</v>
      </c>
      <c r="D396" s="2"/>
      <c r="E396" s="14">
        <f>IFERROR(E385+E386+E388+E389+E390+E391+E392+E394+E395, "NA")</f>
        <v>0</v>
      </c>
      <c r="F396" s="15">
        <f>IFERROR(E396/E444, "NA")</f>
        <v>0</v>
      </c>
      <c r="G396" s="2"/>
      <c r="H396" s="14">
        <f t="shared" si="96"/>
        <v>0</v>
      </c>
      <c r="I396" s="15">
        <f>IFERROR(H396/H444, "NA")</f>
        <v>0</v>
      </c>
      <c r="J396" s="2"/>
      <c r="K396" s="14">
        <f>IFERROR(K385+K386+K388+K389+K390+K391+K392+K394+K395, "NA")</f>
        <v>0</v>
      </c>
      <c r="L396" s="15">
        <f>IFERROR(K396/K444, "NA")</f>
        <v>0</v>
      </c>
      <c r="M396" s="2"/>
      <c r="N396" s="14">
        <f t="shared" si="97"/>
        <v>0</v>
      </c>
      <c r="O396" s="15">
        <f>IFERROR(N396/N444, "NA")</f>
        <v>0</v>
      </c>
      <c r="P396" s="2"/>
      <c r="Q396" s="14">
        <f>IFERROR(Q385+Q386+Q388+Q389+Q390+Q391+Q392+Q394+Q395, "NA")</f>
        <v>0</v>
      </c>
      <c r="R396" s="15">
        <f>IFERROR(Q396/Q444, "NA")</f>
        <v>0</v>
      </c>
      <c r="S396" s="2"/>
      <c r="T396" s="14">
        <f>IFERROR(T385+T386+T388+T389+T390+T391+T392+T394+T395, "NA")</f>
        <v>0</v>
      </c>
      <c r="U396" s="15">
        <f>IFERROR(T396/T444, "NA")</f>
        <v>0</v>
      </c>
      <c r="V396" s="2"/>
      <c r="W396" s="14">
        <f t="shared" si="98"/>
        <v>0</v>
      </c>
      <c r="X396" s="15">
        <f>IFERROR(W396/W444, "NA")</f>
        <v>0</v>
      </c>
      <c r="Y396" s="2"/>
      <c r="Z396" s="14">
        <f>IFERROR(Z385+Z386+Z388+Z389+Z390+Z391+Z392+Z394+Z395, "NA")</f>
        <v>0</v>
      </c>
      <c r="AA396" s="15">
        <f>IFERROR(Z396/Z444, "NA")</f>
        <v>0</v>
      </c>
      <c r="AB396" s="2"/>
      <c r="AC396" s="14">
        <f t="shared" si="99"/>
        <v>0</v>
      </c>
      <c r="AD396" s="15">
        <f>IFERROR(AC396/AC444, "NA")</f>
        <v>0</v>
      </c>
    </row>
    <row r="397" spans="1:30" ht="16.5" hidden="1" customHeight="1" x14ac:dyDescent="0.45">
      <c r="A397" s="20" t="s">
        <v>363</v>
      </c>
      <c r="B397" s="7">
        <v>0</v>
      </c>
      <c r="C397" s="8">
        <f>IFERROR(B397/B444, "NA")</f>
        <v>0</v>
      </c>
      <c r="D397" s="9"/>
      <c r="E397" s="7">
        <v>0</v>
      </c>
      <c r="F397" s="8">
        <f>IFERROR(E397/E444, "NA")</f>
        <v>0</v>
      </c>
      <c r="G397" s="9"/>
      <c r="H397" s="10">
        <f t="shared" si="96"/>
        <v>0</v>
      </c>
      <c r="I397" s="8">
        <f>IFERROR(H397/H444, "NA")</f>
        <v>0</v>
      </c>
      <c r="J397" s="9"/>
      <c r="K397" s="7">
        <v>0</v>
      </c>
      <c r="L397" s="8">
        <f>IFERROR(K397/K444, "NA")</f>
        <v>0</v>
      </c>
      <c r="M397" s="9"/>
      <c r="N397" s="10">
        <f t="shared" si="97"/>
        <v>0</v>
      </c>
      <c r="O397" s="8">
        <f>IFERROR(N397/N444, "NA")</f>
        <v>0</v>
      </c>
      <c r="P397" s="9"/>
      <c r="Q397" s="7">
        <v>0</v>
      </c>
      <c r="R397" s="8">
        <f>IFERROR(Q397/Q444, "NA")</f>
        <v>0</v>
      </c>
      <c r="S397" s="9"/>
      <c r="T397" s="7">
        <v>0</v>
      </c>
      <c r="U397" s="8">
        <f>IFERROR(T397/T444, "NA")</f>
        <v>0</v>
      </c>
      <c r="V397" s="9"/>
      <c r="W397" s="10">
        <f t="shared" si="98"/>
        <v>0</v>
      </c>
      <c r="X397" s="8">
        <f>IFERROR(W397/W444, "NA")</f>
        <v>0</v>
      </c>
      <c r="Y397" s="9"/>
      <c r="Z397" s="7">
        <v>0</v>
      </c>
      <c r="AA397" s="8">
        <f>IFERROR(Z397/Z444, "NA")</f>
        <v>0</v>
      </c>
      <c r="AB397" s="9"/>
      <c r="AC397" s="10">
        <f t="shared" si="99"/>
        <v>0</v>
      </c>
      <c r="AD397" s="8">
        <f>IFERROR(AC397/AC444, "NA")</f>
        <v>0</v>
      </c>
    </row>
    <row r="398" spans="1:30" ht="16.5" hidden="1" customHeight="1" x14ac:dyDescent="0.45">
      <c r="A398" s="20" t="s">
        <v>364</v>
      </c>
      <c r="B398" s="7">
        <v>0</v>
      </c>
      <c r="C398" s="8">
        <f>IFERROR(B398/B444, "NA")</f>
        <v>0</v>
      </c>
      <c r="D398" s="9"/>
      <c r="E398" s="7">
        <v>0</v>
      </c>
      <c r="F398" s="8">
        <f>IFERROR(E398/E444, "NA")</f>
        <v>0</v>
      </c>
      <c r="G398" s="9"/>
      <c r="H398" s="10">
        <f t="shared" si="96"/>
        <v>0</v>
      </c>
      <c r="I398" s="8">
        <f>IFERROR(H398/H444, "NA")</f>
        <v>0</v>
      </c>
      <c r="J398" s="9"/>
      <c r="K398" s="7">
        <v>0</v>
      </c>
      <c r="L398" s="8">
        <f>IFERROR(K398/K444, "NA")</f>
        <v>0</v>
      </c>
      <c r="M398" s="9"/>
      <c r="N398" s="10">
        <f t="shared" si="97"/>
        <v>0</v>
      </c>
      <c r="O398" s="8">
        <f>IFERROR(N398/N444, "NA")</f>
        <v>0</v>
      </c>
      <c r="P398" s="9"/>
      <c r="Q398" s="7">
        <v>0</v>
      </c>
      <c r="R398" s="8">
        <f>IFERROR(Q398/Q444, "NA")</f>
        <v>0</v>
      </c>
      <c r="S398" s="9"/>
      <c r="T398" s="7">
        <v>0</v>
      </c>
      <c r="U398" s="8">
        <f>IFERROR(T398/T444, "NA")</f>
        <v>0</v>
      </c>
      <c r="V398" s="9"/>
      <c r="W398" s="10">
        <f t="shared" si="98"/>
        <v>0</v>
      </c>
      <c r="X398" s="8">
        <f>IFERROR(W398/W444, "NA")</f>
        <v>0</v>
      </c>
      <c r="Y398" s="9"/>
      <c r="Z398" s="7">
        <v>0</v>
      </c>
      <c r="AA398" s="8">
        <f>IFERROR(Z398/Z444, "NA")</f>
        <v>0</v>
      </c>
      <c r="AB398" s="9"/>
      <c r="AC398" s="10">
        <f t="shared" si="99"/>
        <v>0</v>
      </c>
      <c r="AD398" s="8">
        <f>IFERROR(AC398/AC444, "NA")</f>
        <v>0</v>
      </c>
    </row>
    <row r="399" spans="1:30" ht="16.5" hidden="1" customHeight="1" x14ac:dyDescent="0.45">
      <c r="A399" s="20" t="s">
        <v>365</v>
      </c>
      <c r="B399" s="7">
        <v>0</v>
      </c>
      <c r="C399" s="8">
        <f>IFERROR(B399/B444, "NA")</f>
        <v>0</v>
      </c>
      <c r="D399" s="9"/>
      <c r="E399" s="7">
        <v>0</v>
      </c>
      <c r="F399" s="8">
        <f>IFERROR(E399/E444, "NA")</f>
        <v>0</v>
      </c>
      <c r="G399" s="9"/>
      <c r="H399" s="10">
        <f t="shared" si="96"/>
        <v>0</v>
      </c>
      <c r="I399" s="8">
        <f>IFERROR(H399/H444, "NA")</f>
        <v>0</v>
      </c>
      <c r="J399" s="9"/>
      <c r="K399" s="7">
        <v>0</v>
      </c>
      <c r="L399" s="8">
        <f>IFERROR(K399/K444, "NA")</f>
        <v>0</v>
      </c>
      <c r="M399" s="9"/>
      <c r="N399" s="10">
        <f t="shared" si="97"/>
        <v>0</v>
      </c>
      <c r="O399" s="8">
        <f>IFERROR(N399/N444, "NA")</f>
        <v>0</v>
      </c>
      <c r="P399" s="9"/>
      <c r="Q399" s="7">
        <v>0</v>
      </c>
      <c r="R399" s="8">
        <f>IFERROR(Q399/Q444, "NA")</f>
        <v>0</v>
      </c>
      <c r="S399" s="9"/>
      <c r="T399" s="7">
        <v>0</v>
      </c>
      <c r="U399" s="8">
        <f>IFERROR(T399/T444, "NA")</f>
        <v>0</v>
      </c>
      <c r="V399" s="9"/>
      <c r="W399" s="10">
        <f t="shared" si="98"/>
        <v>0</v>
      </c>
      <c r="X399" s="8">
        <f>IFERROR(W399/W444, "NA")</f>
        <v>0</v>
      </c>
      <c r="Y399" s="9"/>
      <c r="Z399" s="7">
        <v>0</v>
      </c>
      <c r="AA399" s="8">
        <f>IFERROR(Z399/Z444, "NA")</f>
        <v>0</v>
      </c>
      <c r="AB399" s="9"/>
      <c r="AC399" s="10">
        <f t="shared" si="99"/>
        <v>0</v>
      </c>
      <c r="AD399" s="8">
        <f>IFERROR(AC399/AC444, "NA")</f>
        <v>0</v>
      </c>
    </row>
    <row r="400" spans="1:30" ht="16.5" hidden="1" customHeight="1" x14ac:dyDescent="0.45">
      <c r="A400" s="20" t="s">
        <v>366</v>
      </c>
      <c r="B400" s="7">
        <v>0</v>
      </c>
      <c r="C400" s="8">
        <f>IFERROR(B400/B444, "NA")</f>
        <v>0</v>
      </c>
      <c r="D400" s="9"/>
      <c r="E400" s="7">
        <v>0</v>
      </c>
      <c r="F400" s="8">
        <f>IFERROR(E400/E444, "NA")</f>
        <v>0</v>
      </c>
      <c r="G400" s="9"/>
      <c r="H400" s="10">
        <f t="shared" si="96"/>
        <v>0</v>
      </c>
      <c r="I400" s="8">
        <f>IFERROR(H400/H444, "NA")</f>
        <v>0</v>
      </c>
      <c r="J400" s="9"/>
      <c r="K400" s="7">
        <v>0</v>
      </c>
      <c r="L400" s="8">
        <f>IFERROR(K400/K444, "NA")</f>
        <v>0</v>
      </c>
      <c r="M400" s="9"/>
      <c r="N400" s="10">
        <f t="shared" si="97"/>
        <v>0</v>
      </c>
      <c r="O400" s="8">
        <f>IFERROR(N400/N444, "NA")</f>
        <v>0</v>
      </c>
      <c r="P400" s="9"/>
      <c r="Q400" s="7">
        <v>0</v>
      </c>
      <c r="R400" s="8">
        <f>IFERROR(Q400/Q444, "NA")</f>
        <v>0</v>
      </c>
      <c r="S400" s="9"/>
      <c r="T400" s="7">
        <v>0</v>
      </c>
      <c r="U400" s="8">
        <f>IFERROR(T400/T444, "NA")</f>
        <v>0</v>
      </c>
      <c r="V400" s="9"/>
      <c r="W400" s="10">
        <f t="shared" si="98"/>
        <v>0</v>
      </c>
      <c r="X400" s="8">
        <f>IFERROR(W400/W444, "NA")</f>
        <v>0</v>
      </c>
      <c r="Y400" s="9"/>
      <c r="Z400" s="7">
        <v>0</v>
      </c>
      <c r="AA400" s="8">
        <f>IFERROR(Z400/Z444, "NA")</f>
        <v>0</v>
      </c>
      <c r="AB400" s="9"/>
      <c r="AC400" s="10">
        <f t="shared" si="99"/>
        <v>0</v>
      </c>
      <c r="AD400" s="8">
        <f>IFERROR(AC400/AC444, "NA")</f>
        <v>0</v>
      </c>
    </row>
    <row r="401" spans="1:30" ht="16.5" hidden="1" customHeight="1" x14ac:dyDescent="0.45">
      <c r="A401" s="20" t="s">
        <v>367</v>
      </c>
      <c r="B401" s="7">
        <v>0</v>
      </c>
      <c r="C401" s="8">
        <f>IFERROR(B401/B444, "NA")</f>
        <v>0</v>
      </c>
      <c r="D401" s="9"/>
      <c r="E401" s="7">
        <v>0</v>
      </c>
      <c r="F401" s="8">
        <f>IFERROR(E401/E444, "NA")</f>
        <v>0</v>
      </c>
      <c r="G401" s="9"/>
      <c r="H401" s="10">
        <f t="shared" si="96"/>
        <v>0</v>
      </c>
      <c r="I401" s="8">
        <f>IFERROR(H401/H444, "NA")</f>
        <v>0</v>
      </c>
      <c r="J401" s="9"/>
      <c r="K401" s="7">
        <v>0</v>
      </c>
      <c r="L401" s="8">
        <f>IFERROR(K401/K444, "NA")</f>
        <v>0</v>
      </c>
      <c r="M401" s="9"/>
      <c r="N401" s="10">
        <f t="shared" si="97"/>
        <v>0</v>
      </c>
      <c r="O401" s="8">
        <f>IFERROR(N401/N444, "NA")</f>
        <v>0</v>
      </c>
      <c r="P401" s="9"/>
      <c r="Q401" s="7">
        <v>0</v>
      </c>
      <c r="R401" s="8">
        <f>IFERROR(Q401/Q444, "NA")</f>
        <v>0</v>
      </c>
      <c r="S401" s="9"/>
      <c r="T401" s="7">
        <v>0</v>
      </c>
      <c r="U401" s="8">
        <f>IFERROR(T401/T444, "NA")</f>
        <v>0</v>
      </c>
      <c r="V401" s="9"/>
      <c r="W401" s="10">
        <f t="shared" si="98"/>
        <v>0</v>
      </c>
      <c r="X401" s="8">
        <f>IFERROR(W401/W444, "NA")</f>
        <v>0</v>
      </c>
      <c r="Y401" s="9"/>
      <c r="Z401" s="7">
        <v>0</v>
      </c>
      <c r="AA401" s="8">
        <f>IFERROR(Z401/Z444, "NA")</f>
        <v>0</v>
      </c>
      <c r="AB401" s="9"/>
      <c r="AC401" s="10">
        <f t="shared" si="99"/>
        <v>0</v>
      </c>
      <c r="AD401" s="8">
        <f>IFERROR(AC401/AC444, "NA")</f>
        <v>0</v>
      </c>
    </row>
    <row r="402" spans="1:30" ht="16.5" hidden="1" customHeight="1" x14ac:dyDescent="0.45">
      <c r="A402" s="20" t="s">
        <v>368</v>
      </c>
      <c r="B402" s="7">
        <v>0</v>
      </c>
      <c r="C402" s="8">
        <f>IFERROR(B402/B444, "NA")</f>
        <v>0</v>
      </c>
      <c r="D402" s="9"/>
      <c r="E402" s="7">
        <v>0</v>
      </c>
      <c r="F402" s="8">
        <f>IFERROR(E402/E444, "NA")</f>
        <v>0</v>
      </c>
      <c r="G402" s="9"/>
      <c r="H402" s="10">
        <f t="shared" si="96"/>
        <v>0</v>
      </c>
      <c r="I402" s="8">
        <f>IFERROR(H402/H444, "NA")</f>
        <v>0</v>
      </c>
      <c r="J402" s="9"/>
      <c r="K402" s="7">
        <v>0</v>
      </c>
      <c r="L402" s="8">
        <f>IFERROR(K402/K444, "NA")</f>
        <v>0</v>
      </c>
      <c r="M402" s="9"/>
      <c r="N402" s="10">
        <f t="shared" si="97"/>
        <v>0</v>
      </c>
      <c r="O402" s="8">
        <f>IFERROR(N402/N444, "NA")</f>
        <v>0</v>
      </c>
      <c r="P402" s="9"/>
      <c r="Q402" s="7">
        <v>0</v>
      </c>
      <c r="R402" s="8">
        <f>IFERROR(Q402/Q444, "NA")</f>
        <v>0</v>
      </c>
      <c r="S402" s="9"/>
      <c r="T402" s="7">
        <v>0</v>
      </c>
      <c r="U402" s="8">
        <f>IFERROR(T402/T444, "NA")</f>
        <v>0</v>
      </c>
      <c r="V402" s="9"/>
      <c r="W402" s="10">
        <f t="shared" si="98"/>
        <v>0</v>
      </c>
      <c r="X402" s="8">
        <f>IFERROR(W402/W444, "NA")</f>
        <v>0</v>
      </c>
      <c r="Y402" s="9"/>
      <c r="Z402" s="7">
        <v>0</v>
      </c>
      <c r="AA402" s="8">
        <f>IFERROR(Z402/Z444, "NA")</f>
        <v>0</v>
      </c>
      <c r="AB402" s="9"/>
      <c r="AC402" s="10">
        <f t="shared" si="99"/>
        <v>0</v>
      </c>
      <c r="AD402" s="8">
        <f>IFERROR(AC402/AC444, "NA")</f>
        <v>0</v>
      </c>
    </row>
    <row r="403" spans="1:30" ht="16.5" customHeight="1" x14ac:dyDescent="0.45">
      <c r="A403" s="21" t="s">
        <v>369</v>
      </c>
      <c r="B403" s="14">
        <f>IFERROR(B347+B349+B350+B351+B352+B353+B354+B355+B356+B357+B360+B361+B362+B363+B364+B365+B366+B367+B369+B370+B371+B372+B373+B374+B375+B376+B377+B378+B379+B380+B381+B382+B383+B385+B386+B388+B389+B390+B391+B392+B394+B395+B397+B398+B399+B400+B401+B402, "NA")</f>
        <v>0</v>
      </c>
      <c r="C403" s="15">
        <f>IFERROR(B403/B444, "NA")</f>
        <v>0</v>
      </c>
      <c r="D403" s="2"/>
      <c r="E403" s="14">
        <f>IFERROR(E347+E349+E350+E351+E352+E353+E354+E355+E356+E357+E360+E361+E362+E363+E364+E365+E366+E367+E369+E370+E371+E372+E373+E374+E375+E376+E377+E378+E379+E380+E381+E382+E383+E385+E386+E388+E389+E390+E391+E392+E394+E395+E397+E398+E399+E400+E401+E402, "NA")</f>
        <v>0</v>
      </c>
      <c r="F403" s="15">
        <f>IFERROR(E403/E444, "NA")</f>
        <v>0</v>
      </c>
      <c r="G403" s="2"/>
      <c r="H403" s="14">
        <f t="shared" si="96"/>
        <v>0</v>
      </c>
      <c r="I403" s="15">
        <f>IFERROR(H403/H444, "NA")</f>
        <v>0</v>
      </c>
      <c r="J403" s="2"/>
      <c r="K403" s="14">
        <f>IFERROR(K347+K349+K350+K351+K352+K353+K354+K355+K356+K357+K360+K361+K362+K363+K364+K365+K366+K367+K369+K370+K371+K372+K373+K374+K375+K376+K377+K378+K379+K380+K381+K382+K383+K385+K386+K388+K389+K390+K391+K392+K394+K395+K397+K398+K399+K400+K401+K402, "NA")</f>
        <v>0</v>
      </c>
      <c r="L403" s="15">
        <f>IFERROR(K403/K444, "NA")</f>
        <v>0</v>
      </c>
      <c r="M403" s="2"/>
      <c r="N403" s="14">
        <f t="shared" si="97"/>
        <v>0</v>
      </c>
      <c r="O403" s="15">
        <f>IFERROR(N403/N444, "NA")</f>
        <v>0</v>
      </c>
      <c r="P403" s="2"/>
      <c r="Q403" s="14">
        <f>IFERROR(Q347+Q349+Q350+Q351+Q352+Q353+Q354+Q355+Q356+Q357+Q360+Q361+Q362+Q363+Q364+Q365+Q366+Q367+Q369+Q370+Q371+Q372+Q373+Q374+Q375+Q376+Q377+Q378+Q379+Q380+Q381+Q382+Q383+Q385+Q386+Q388+Q389+Q390+Q391+Q392+Q394+Q395+Q397+Q398+Q399+Q400+Q401+Q402, "NA")</f>
        <v>0</v>
      </c>
      <c r="R403" s="15">
        <f>IFERROR(Q403/Q444, "NA")</f>
        <v>0</v>
      </c>
      <c r="S403" s="2"/>
      <c r="T403" s="14">
        <f>IFERROR(T347+T349+T350+T351+T352+T353+T354+T355+T356+T357+T360+T361+T362+T363+T364+T365+T366+T367+T369+T370+T371+T372+T373+T374+T375+T376+T377+T378+T379+T380+T381+T382+T383+T385+T386+T388+T389+T390+T391+T392+T394+T395+T397+T398+T399+T400+T401+T402, "NA")</f>
        <v>0</v>
      </c>
      <c r="U403" s="15">
        <f>IFERROR(T403/T444, "NA")</f>
        <v>0</v>
      </c>
      <c r="V403" s="2"/>
      <c r="W403" s="14">
        <f t="shared" si="98"/>
        <v>0</v>
      </c>
      <c r="X403" s="15">
        <f>IFERROR(W403/W444, "NA")</f>
        <v>0</v>
      </c>
      <c r="Y403" s="2"/>
      <c r="Z403" s="14">
        <f>IFERROR(Z347+Z349+Z350+Z351+Z352+Z353+Z354+Z355+Z356+Z357+Z360+Z361+Z362+Z363+Z364+Z365+Z366+Z367+Z369+Z370+Z371+Z372+Z373+Z374+Z375+Z376+Z377+Z378+Z379+Z380+Z381+Z382+Z383+Z385+Z386+Z388+Z389+Z390+Z391+Z392+Z394+Z395+Z397+Z398+Z399+Z400+Z401+Z402, "NA")</f>
        <v>0</v>
      </c>
      <c r="AA403" s="15">
        <f>IFERROR(Z403/Z444, "NA")</f>
        <v>0</v>
      </c>
      <c r="AB403" s="2"/>
      <c r="AC403" s="14">
        <f t="shared" si="99"/>
        <v>0</v>
      </c>
      <c r="AD403" s="15">
        <f>IFERROR(AC403/AC444, "NA")</f>
        <v>0</v>
      </c>
    </row>
    <row r="404" spans="1:30" ht="16.5" customHeight="1" x14ac:dyDescent="0.45">
      <c r="A404" s="22" t="s">
        <v>370</v>
      </c>
      <c r="B404" s="23">
        <f>IFERROR(B345-B403, "NA")</f>
        <v>3432.2299999999741</v>
      </c>
      <c r="C404" s="24">
        <f>IFERROR(B404/B444, "NA")</f>
        <v>2.6191200041268018E-2</v>
      </c>
      <c r="D404" s="25"/>
      <c r="E404" s="23">
        <f>IFERROR(E345-E403, "NA")</f>
        <v>16557.470000000008</v>
      </c>
      <c r="F404" s="24">
        <f>IFERROR(E404/E444, "NA")</f>
        <v>0.11646408830452254</v>
      </c>
      <c r="G404" s="25"/>
      <c r="H404" s="23">
        <f>IFERROR(B404-E404, "NA")</f>
        <v>-13125.240000000034</v>
      </c>
      <c r="I404" s="24">
        <f>IFERROR(H404/H444, "NA")</f>
        <v>1.1800227818899294</v>
      </c>
      <c r="J404" s="25"/>
      <c r="K404" s="23">
        <f>IFERROR(K345-K403, "NA")</f>
        <v>4878.0700000000579</v>
      </c>
      <c r="L404" s="24">
        <f>IFERROR(K404/K444, "NA")</f>
        <v>3.5452878219294333E-2</v>
      </c>
      <c r="M404" s="25"/>
      <c r="N404" s="23">
        <f>IFERROR(B404-K404, "NA")</f>
        <v>-1445.8400000000838</v>
      </c>
      <c r="O404" s="24">
        <f>IFERROR(N404/N444, "NA")</f>
        <v>0.2208097252554384</v>
      </c>
      <c r="P404" s="25"/>
      <c r="Q404" s="23">
        <f>IFERROR(Q345-Q403, "NA")</f>
        <v>3432.2299999999741</v>
      </c>
      <c r="R404" s="24">
        <f>IFERROR(Q404/Q444, "NA")</f>
        <v>2.6191200041268018E-2</v>
      </c>
      <c r="S404" s="25"/>
      <c r="T404" s="23">
        <f>IFERROR(T345-T403, "NA")</f>
        <v>16557.470000000008</v>
      </c>
      <c r="U404" s="24">
        <f>IFERROR(T404/T444, "NA")</f>
        <v>0.11646408830452254</v>
      </c>
      <c r="V404" s="25"/>
      <c r="W404" s="23">
        <f>IFERROR(Q404-T404, "NA")</f>
        <v>-13125.240000000034</v>
      </c>
      <c r="X404" s="24">
        <f>IFERROR(W404/W444, "NA")</f>
        <v>1.1800227818899294</v>
      </c>
      <c r="Y404" s="25"/>
      <c r="Z404" s="23">
        <f>IFERROR(Z345-Z403, "NA")</f>
        <v>4878.0700000000579</v>
      </c>
      <c r="AA404" s="24">
        <f>IFERROR(Z404/Z444, "NA")</f>
        <v>3.5452878219294333E-2</v>
      </c>
      <c r="AB404" s="25"/>
      <c r="AC404" s="23">
        <f>IFERROR(Q404-Z404, "NA")</f>
        <v>-1445.8400000000838</v>
      </c>
      <c r="AD404" s="24">
        <f>IFERROR(AC404/AC444, "NA")</f>
        <v>0.2208097252554384</v>
      </c>
    </row>
    <row r="405" spans="1:30" ht="16.5" customHeight="1" x14ac:dyDescent="0.45">
      <c r="A405" s="1" t="s">
        <v>371</v>
      </c>
      <c r="B405" s="2"/>
      <c r="C405" s="3"/>
      <c r="D405" s="4"/>
      <c r="E405" s="2"/>
      <c r="F405" s="3"/>
      <c r="G405" s="4"/>
      <c r="H405" s="2"/>
      <c r="I405" s="3"/>
      <c r="J405" s="4"/>
      <c r="K405" s="2"/>
      <c r="L405" s="3"/>
      <c r="M405" s="4"/>
      <c r="N405" s="2"/>
      <c r="O405" s="3"/>
      <c r="P405" s="4"/>
      <c r="Q405" s="2"/>
      <c r="R405" s="3"/>
      <c r="S405" s="4"/>
      <c r="T405" s="2"/>
      <c r="U405" s="3"/>
      <c r="V405" s="4"/>
      <c r="W405" s="2"/>
      <c r="X405" s="3"/>
      <c r="Y405" s="4"/>
      <c r="Z405" s="2"/>
      <c r="AA405" s="3"/>
      <c r="AB405" s="4"/>
      <c r="AC405" s="2"/>
      <c r="AD405" s="3"/>
    </row>
    <row r="406" spans="1:30" ht="16.5" customHeight="1" x14ac:dyDescent="0.45">
      <c r="A406" s="5" t="s">
        <v>372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45">
      <c r="A407" s="6" t="s">
        <v>372</v>
      </c>
      <c r="B407" s="7">
        <v>0</v>
      </c>
      <c r="C407" s="8">
        <f>IFERROR(B407/B444, "NA")</f>
        <v>0</v>
      </c>
      <c r="D407" s="9"/>
      <c r="E407" s="7">
        <v>3082.44</v>
      </c>
      <c r="F407" s="8">
        <f>IFERROR(E407/E444, "NA")</f>
        <v>2.1681667812376664E-2</v>
      </c>
      <c r="G407" s="9"/>
      <c r="H407" s="10">
        <f t="shared" ref="H407:H429" si="100">IFERROR(-(B407-E407), "NA")</f>
        <v>3082.44</v>
      </c>
      <c r="I407" s="8">
        <f>IFERROR(H407/H444, "NA")</f>
        <v>-0.27712631721848779</v>
      </c>
      <c r="J407" s="9"/>
      <c r="K407" s="7">
        <v>0</v>
      </c>
      <c r="L407" s="8">
        <f>IFERROR(K407/K444, "NA")</f>
        <v>0</v>
      </c>
      <c r="M407" s="9"/>
      <c r="N407" s="10">
        <f t="shared" ref="N407:N429" si="101">IFERROR(-(B407-K407), "NA")</f>
        <v>0</v>
      </c>
      <c r="O407" s="8">
        <f>IFERROR(N407/N444, "NA")</f>
        <v>0</v>
      </c>
      <c r="P407" s="9"/>
      <c r="Q407" s="7">
        <v>0</v>
      </c>
      <c r="R407" s="8">
        <f>IFERROR(Q407/Q444, "NA")</f>
        <v>0</v>
      </c>
      <c r="S407" s="9"/>
      <c r="T407" s="7">
        <v>3082.44</v>
      </c>
      <c r="U407" s="8">
        <f>IFERROR(T407/T444, "NA")</f>
        <v>2.1681667812376664E-2</v>
      </c>
      <c r="V407" s="9"/>
      <c r="W407" s="10">
        <f t="shared" ref="W407:W429" si="102">IFERROR(-(Q407-T407), "NA")</f>
        <v>3082.44</v>
      </c>
      <c r="X407" s="8">
        <f>IFERROR(W407/W444, "NA")</f>
        <v>-0.27712631721848779</v>
      </c>
      <c r="Y407" s="9"/>
      <c r="Z407" s="7">
        <v>0</v>
      </c>
      <c r="AA407" s="8">
        <f>IFERROR(Z407/Z444, "NA")</f>
        <v>0</v>
      </c>
      <c r="AB407" s="9"/>
      <c r="AC407" s="10">
        <f t="shared" ref="AC407:AC429" si="103">IFERROR(-(Q407-Z407), "NA")</f>
        <v>0</v>
      </c>
      <c r="AD407" s="8">
        <f>IFERROR(AC407/AC444, "NA")</f>
        <v>0</v>
      </c>
    </row>
    <row r="408" spans="1:30" ht="16.5" hidden="1" customHeight="1" x14ac:dyDescent="0.45">
      <c r="A408" s="6" t="s">
        <v>373</v>
      </c>
      <c r="B408" s="7">
        <v>0</v>
      </c>
      <c r="C408" s="8">
        <f>IFERROR(B408/B444, "NA")</f>
        <v>0</v>
      </c>
      <c r="D408" s="9"/>
      <c r="E408" s="7">
        <v>0</v>
      </c>
      <c r="F408" s="8">
        <f>IFERROR(E408/E444, "NA")</f>
        <v>0</v>
      </c>
      <c r="G408" s="9"/>
      <c r="H408" s="10">
        <f t="shared" si="100"/>
        <v>0</v>
      </c>
      <c r="I408" s="8">
        <f>IFERROR(H408/H444, "NA")</f>
        <v>0</v>
      </c>
      <c r="J408" s="9"/>
      <c r="K408" s="7">
        <v>0</v>
      </c>
      <c r="L408" s="8">
        <f>IFERROR(K408/K444, "NA")</f>
        <v>0</v>
      </c>
      <c r="M408" s="9"/>
      <c r="N408" s="10">
        <f t="shared" si="101"/>
        <v>0</v>
      </c>
      <c r="O408" s="8">
        <f>IFERROR(N408/N444, "NA")</f>
        <v>0</v>
      </c>
      <c r="P408" s="9"/>
      <c r="Q408" s="7">
        <v>0</v>
      </c>
      <c r="R408" s="8">
        <f>IFERROR(Q408/Q444, "NA")</f>
        <v>0</v>
      </c>
      <c r="S408" s="9"/>
      <c r="T408" s="7">
        <v>0</v>
      </c>
      <c r="U408" s="8">
        <f>IFERROR(T408/T444, "NA")</f>
        <v>0</v>
      </c>
      <c r="V408" s="9"/>
      <c r="W408" s="10">
        <f t="shared" si="102"/>
        <v>0</v>
      </c>
      <c r="X408" s="8">
        <f>IFERROR(W408/W444, "NA")</f>
        <v>0</v>
      </c>
      <c r="Y408" s="9"/>
      <c r="Z408" s="7">
        <v>0</v>
      </c>
      <c r="AA408" s="8">
        <f>IFERROR(Z408/Z444, "NA")</f>
        <v>0</v>
      </c>
      <c r="AB408" s="9"/>
      <c r="AC408" s="10">
        <f t="shared" si="103"/>
        <v>0</v>
      </c>
      <c r="AD408" s="8">
        <f>IFERROR(AC408/AC444, "NA")</f>
        <v>0</v>
      </c>
    </row>
    <row r="409" spans="1:30" ht="16.5" hidden="1" customHeight="1" x14ac:dyDescent="0.45">
      <c r="A409" s="6" t="s">
        <v>374</v>
      </c>
      <c r="B409" s="7">
        <v>0</v>
      </c>
      <c r="C409" s="8">
        <f>IFERROR(B409/B444, "NA")</f>
        <v>0</v>
      </c>
      <c r="D409" s="9"/>
      <c r="E409" s="7">
        <v>0</v>
      </c>
      <c r="F409" s="8">
        <f>IFERROR(E409/E444, "NA")</f>
        <v>0</v>
      </c>
      <c r="G409" s="9"/>
      <c r="H409" s="10">
        <f t="shared" si="100"/>
        <v>0</v>
      </c>
      <c r="I409" s="8">
        <f>IFERROR(H409/H444, "NA")</f>
        <v>0</v>
      </c>
      <c r="J409" s="9"/>
      <c r="K409" s="7">
        <v>0</v>
      </c>
      <c r="L409" s="8">
        <f>IFERROR(K409/K444, "NA")</f>
        <v>0</v>
      </c>
      <c r="M409" s="9"/>
      <c r="N409" s="10">
        <f t="shared" si="101"/>
        <v>0</v>
      </c>
      <c r="O409" s="8">
        <f>IFERROR(N409/N444, "NA")</f>
        <v>0</v>
      </c>
      <c r="P409" s="9"/>
      <c r="Q409" s="7">
        <v>0</v>
      </c>
      <c r="R409" s="8">
        <f>IFERROR(Q409/Q444, "NA")</f>
        <v>0</v>
      </c>
      <c r="S409" s="9"/>
      <c r="T409" s="7">
        <v>0</v>
      </c>
      <c r="U409" s="8">
        <f>IFERROR(T409/T444, "NA")</f>
        <v>0</v>
      </c>
      <c r="V409" s="9"/>
      <c r="W409" s="10">
        <f t="shared" si="102"/>
        <v>0</v>
      </c>
      <c r="X409" s="8">
        <f>IFERROR(W409/W444, "NA")</f>
        <v>0</v>
      </c>
      <c r="Y409" s="9"/>
      <c r="Z409" s="7">
        <v>0</v>
      </c>
      <c r="AA409" s="8">
        <f>IFERROR(Z409/Z444, "NA")</f>
        <v>0</v>
      </c>
      <c r="AB409" s="9"/>
      <c r="AC409" s="10">
        <f t="shared" si="103"/>
        <v>0</v>
      </c>
      <c r="AD409" s="8">
        <f>IFERROR(AC409/AC444, "NA")</f>
        <v>0</v>
      </c>
    </row>
    <row r="410" spans="1:30" ht="16.5" customHeight="1" x14ac:dyDescent="0.45">
      <c r="A410" s="6" t="s">
        <v>375</v>
      </c>
      <c r="B410" s="7">
        <v>4119.5200000000004</v>
      </c>
      <c r="C410" s="8">
        <f>IFERROR(B410/B444, "NA")</f>
        <v>3.1435880577352117E-2</v>
      </c>
      <c r="D410" s="9"/>
      <c r="E410" s="7">
        <v>0</v>
      </c>
      <c r="F410" s="8">
        <f>IFERROR(E410/E444, "NA")</f>
        <v>0</v>
      </c>
      <c r="G410" s="9"/>
      <c r="H410" s="10">
        <f t="shared" si="100"/>
        <v>-4119.5200000000004</v>
      </c>
      <c r="I410" s="8">
        <f>IFERROR(H410/H444, "NA")</f>
        <v>0.37036484288677313</v>
      </c>
      <c r="J410" s="9"/>
      <c r="K410" s="7">
        <v>2999.43</v>
      </c>
      <c r="L410" s="8">
        <f>IFERROR(K410/K444, "NA")</f>
        <v>2.1799282609166477E-2</v>
      </c>
      <c r="M410" s="9"/>
      <c r="N410" s="10">
        <f t="shared" si="101"/>
        <v>-1120.0900000000006</v>
      </c>
      <c r="O410" s="8">
        <f>IFERROR(N410/N444, "NA")</f>
        <v>0.17106095083920059</v>
      </c>
      <c r="P410" s="9"/>
      <c r="Q410" s="7">
        <v>4119.5200000000004</v>
      </c>
      <c r="R410" s="8">
        <f>IFERROR(Q410/Q444, "NA")</f>
        <v>3.1435880577352117E-2</v>
      </c>
      <c r="S410" s="9"/>
      <c r="T410" s="7">
        <v>0</v>
      </c>
      <c r="U410" s="8">
        <f>IFERROR(T410/T444, "NA")</f>
        <v>0</v>
      </c>
      <c r="V410" s="9"/>
      <c r="W410" s="10">
        <f t="shared" si="102"/>
        <v>-4119.5200000000004</v>
      </c>
      <c r="X410" s="8">
        <f>IFERROR(W410/W444, "NA")</f>
        <v>0.37036484288677313</v>
      </c>
      <c r="Y410" s="9"/>
      <c r="Z410" s="7">
        <v>2999.43</v>
      </c>
      <c r="AA410" s="8">
        <f>IFERROR(Z410/Z444, "NA")</f>
        <v>2.1799282609166477E-2</v>
      </c>
      <c r="AB410" s="9"/>
      <c r="AC410" s="10">
        <f t="shared" si="103"/>
        <v>-1120.0900000000006</v>
      </c>
      <c r="AD410" s="8">
        <f>IFERROR(AC410/AC444, "NA")</f>
        <v>0.17106095083920059</v>
      </c>
    </row>
    <row r="411" spans="1:30" ht="16.5" hidden="1" customHeight="1" x14ac:dyDescent="0.45">
      <c r="A411" s="6" t="s">
        <v>376</v>
      </c>
      <c r="B411" s="7">
        <v>0</v>
      </c>
      <c r="C411" s="8">
        <f>IFERROR(B411/B444, "NA")</f>
        <v>0</v>
      </c>
      <c r="D411" s="9"/>
      <c r="E411" s="7">
        <v>0</v>
      </c>
      <c r="F411" s="8">
        <f>IFERROR(E411/E444, "NA")</f>
        <v>0</v>
      </c>
      <c r="G411" s="9"/>
      <c r="H411" s="10">
        <f t="shared" si="100"/>
        <v>0</v>
      </c>
      <c r="I411" s="8">
        <f>IFERROR(H411/H444, "NA")</f>
        <v>0</v>
      </c>
      <c r="J411" s="9"/>
      <c r="K411" s="7">
        <v>0</v>
      </c>
      <c r="L411" s="8">
        <f>IFERROR(K411/K444, "NA")</f>
        <v>0</v>
      </c>
      <c r="M411" s="9"/>
      <c r="N411" s="10">
        <f t="shared" si="101"/>
        <v>0</v>
      </c>
      <c r="O411" s="8">
        <f>IFERROR(N411/N444, "NA")</f>
        <v>0</v>
      </c>
      <c r="P411" s="9"/>
      <c r="Q411" s="7">
        <v>0</v>
      </c>
      <c r="R411" s="8">
        <f>IFERROR(Q411/Q444, "NA")</f>
        <v>0</v>
      </c>
      <c r="S411" s="9"/>
      <c r="T411" s="7">
        <v>0</v>
      </c>
      <c r="U411" s="8">
        <f>IFERROR(T411/T444, "NA")</f>
        <v>0</v>
      </c>
      <c r="V411" s="9"/>
      <c r="W411" s="10">
        <f t="shared" si="102"/>
        <v>0</v>
      </c>
      <c r="X411" s="8">
        <f>IFERROR(W411/W444, "NA")</f>
        <v>0</v>
      </c>
      <c r="Y411" s="9"/>
      <c r="Z411" s="7">
        <v>0</v>
      </c>
      <c r="AA411" s="8">
        <f>IFERROR(Z411/Z444, "NA")</f>
        <v>0</v>
      </c>
      <c r="AB411" s="9"/>
      <c r="AC411" s="10">
        <f t="shared" si="103"/>
        <v>0</v>
      </c>
      <c r="AD411" s="8">
        <f>IFERROR(AC411/AC444, "NA")</f>
        <v>0</v>
      </c>
    </row>
    <row r="412" spans="1:30" ht="16.5" hidden="1" customHeight="1" x14ac:dyDescent="0.45">
      <c r="A412" s="6" t="s">
        <v>377</v>
      </c>
      <c r="B412" s="7">
        <v>0</v>
      </c>
      <c r="C412" s="8">
        <f>IFERROR(B412/B444, "NA")</f>
        <v>0</v>
      </c>
      <c r="D412" s="9"/>
      <c r="E412" s="7">
        <v>0</v>
      </c>
      <c r="F412" s="8">
        <f>IFERROR(E412/E444, "NA")</f>
        <v>0</v>
      </c>
      <c r="G412" s="9"/>
      <c r="H412" s="10">
        <f t="shared" si="100"/>
        <v>0</v>
      </c>
      <c r="I412" s="8">
        <f>IFERROR(H412/H444, "NA")</f>
        <v>0</v>
      </c>
      <c r="J412" s="9"/>
      <c r="K412" s="7">
        <v>0</v>
      </c>
      <c r="L412" s="8">
        <f>IFERROR(K412/K444, "NA")</f>
        <v>0</v>
      </c>
      <c r="M412" s="9"/>
      <c r="N412" s="10">
        <f t="shared" si="101"/>
        <v>0</v>
      </c>
      <c r="O412" s="8">
        <f>IFERROR(N412/N444, "NA")</f>
        <v>0</v>
      </c>
      <c r="P412" s="9"/>
      <c r="Q412" s="7">
        <v>0</v>
      </c>
      <c r="R412" s="8">
        <f>IFERROR(Q412/Q444, "NA")</f>
        <v>0</v>
      </c>
      <c r="S412" s="9"/>
      <c r="T412" s="7">
        <v>0</v>
      </c>
      <c r="U412" s="8">
        <f>IFERROR(T412/T444, "NA")</f>
        <v>0</v>
      </c>
      <c r="V412" s="9"/>
      <c r="W412" s="10">
        <f t="shared" si="102"/>
        <v>0</v>
      </c>
      <c r="X412" s="8">
        <f>IFERROR(W412/W444, "NA")</f>
        <v>0</v>
      </c>
      <c r="Y412" s="9"/>
      <c r="Z412" s="7">
        <v>0</v>
      </c>
      <c r="AA412" s="8">
        <f>IFERROR(Z412/Z444, "NA")</f>
        <v>0</v>
      </c>
      <c r="AB412" s="9"/>
      <c r="AC412" s="10">
        <f t="shared" si="103"/>
        <v>0</v>
      </c>
      <c r="AD412" s="8">
        <f>IFERROR(AC412/AC444, "NA")</f>
        <v>0</v>
      </c>
    </row>
    <row r="413" spans="1:30" ht="16.5" hidden="1" customHeight="1" x14ac:dyDescent="0.45">
      <c r="A413" s="6" t="s">
        <v>378</v>
      </c>
      <c r="B413" s="7">
        <v>0</v>
      </c>
      <c r="C413" s="8">
        <f>IFERROR(B413/B444, "NA")</f>
        <v>0</v>
      </c>
      <c r="D413" s="9"/>
      <c r="E413" s="7">
        <v>0</v>
      </c>
      <c r="F413" s="8">
        <f>IFERROR(E413/E444, "NA")</f>
        <v>0</v>
      </c>
      <c r="G413" s="9"/>
      <c r="H413" s="10">
        <f t="shared" si="100"/>
        <v>0</v>
      </c>
      <c r="I413" s="8">
        <f>IFERROR(H413/H444, "NA")</f>
        <v>0</v>
      </c>
      <c r="J413" s="9"/>
      <c r="K413" s="7">
        <v>0</v>
      </c>
      <c r="L413" s="8">
        <f>IFERROR(K413/K444, "NA")</f>
        <v>0</v>
      </c>
      <c r="M413" s="9"/>
      <c r="N413" s="10">
        <f t="shared" si="101"/>
        <v>0</v>
      </c>
      <c r="O413" s="8">
        <f>IFERROR(N413/N444, "NA")</f>
        <v>0</v>
      </c>
      <c r="P413" s="9"/>
      <c r="Q413" s="7">
        <v>0</v>
      </c>
      <c r="R413" s="8">
        <f>IFERROR(Q413/Q444, "NA")</f>
        <v>0</v>
      </c>
      <c r="S413" s="9"/>
      <c r="T413" s="7">
        <v>0</v>
      </c>
      <c r="U413" s="8">
        <f>IFERROR(T413/T444, "NA")</f>
        <v>0</v>
      </c>
      <c r="V413" s="9"/>
      <c r="W413" s="10">
        <f t="shared" si="102"/>
        <v>0</v>
      </c>
      <c r="X413" s="8">
        <f>IFERROR(W413/W444, "NA")</f>
        <v>0</v>
      </c>
      <c r="Y413" s="9"/>
      <c r="Z413" s="7">
        <v>0</v>
      </c>
      <c r="AA413" s="8">
        <f>IFERROR(Z413/Z444, "NA")</f>
        <v>0</v>
      </c>
      <c r="AB413" s="9"/>
      <c r="AC413" s="10">
        <f t="shared" si="103"/>
        <v>0</v>
      </c>
      <c r="AD413" s="8">
        <f>IFERROR(AC413/AC444, "NA")</f>
        <v>0</v>
      </c>
    </row>
    <row r="414" spans="1:30" ht="16.5" hidden="1" customHeight="1" x14ac:dyDescent="0.45">
      <c r="A414" s="6" t="s">
        <v>379</v>
      </c>
      <c r="B414" s="7">
        <v>0</v>
      </c>
      <c r="C414" s="8">
        <f>IFERROR(B414/B444, "NA")</f>
        <v>0</v>
      </c>
      <c r="D414" s="9"/>
      <c r="E414" s="7">
        <v>0</v>
      </c>
      <c r="F414" s="8">
        <f>IFERROR(E414/E444, "NA")</f>
        <v>0</v>
      </c>
      <c r="G414" s="9"/>
      <c r="H414" s="10">
        <f t="shared" si="100"/>
        <v>0</v>
      </c>
      <c r="I414" s="8">
        <f>IFERROR(H414/H444, "NA")</f>
        <v>0</v>
      </c>
      <c r="J414" s="9"/>
      <c r="K414" s="7">
        <v>0</v>
      </c>
      <c r="L414" s="8">
        <f>IFERROR(K414/K444, "NA")</f>
        <v>0</v>
      </c>
      <c r="M414" s="9"/>
      <c r="N414" s="10">
        <f t="shared" si="101"/>
        <v>0</v>
      </c>
      <c r="O414" s="8">
        <f>IFERROR(N414/N444, "NA")</f>
        <v>0</v>
      </c>
      <c r="P414" s="9"/>
      <c r="Q414" s="7">
        <v>0</v>
      </c>
      <c r="R414" s="8">
        <f>IFERROR(Q414/Q444, "NA")</f>
        <v>0</v>
      </c>
      <c r="S414" s="9"/>
      <c r="T414" s="7">
        <v>0</v>
      </c>
      <c r="U414" s="8">
        <f>IFERROR(T414/T444, "NA")</f>
        <v>0</v>
      </c>
      <c r="V414" s="9"/>
      <c r="W414" s="10">
        <f t="shared" si="102"/>
        <v>0</v>
      </c>
      <c r="X414" s="8">
        <f>IFERROR(W414/W444, "NA")</f>
        <v>0</v>
      </c>
      <c r="Y414" s="9"/>
      <c r="Z414" s="7">
        <v>0</v>
      </c>
      <c r="AA414" s="8">
        <f>IFERROR(Z414/Z444, "NA")</f>
        <v>0</v>
      </c>
      <c r="AB414" s="9"/>
      <c r="AC414" s="10">
        <f t="shared" si="103"/>
        <v>0</v>
      </c>
      <c r="AD414" s="8">
        <f>IFERROR(AC414/AC444, "NA")</f>
        <v>0</v>
      </c>
    </row>
    <row r="415" spans="1:30" ht="16.5" hidden="1" customHeight="1" x14ac:dyDescent="0.45">
      <c r="A415" s="6" t="s">
        <v>380</v>
      </c>
      <c r="B415" s="7">
        <v>0</v>
      </c>
      <c r="C415" s="8">
        <f>IFERROR(B415/B444, "NA")</f>
        <v>0</v>
      </c>
      <c r="D415" s="9"/>
      <c r="E415" s="7">
        <v>0</v>
      </c>
      <c r="F415" s="8">
        <f>IFERROR(E415/E444, "NA")</f>
        <v>0</v>
      </c>
      <c r="G415" s="9"/>
      <c r="H415" s="10">
        <f t="shared" si="100"/>
        <v>0</v>
      </c>
      <c r="I415" s="8">
        <f>IFERROR(H415/H444, "NA")</f>
        <v>0</v>
      </c>
      <c r="J415" s="9"/>
      <c r="K415" s="7">
        <v>0</v>
      </c>
      <c r="L415" s="8">
        <f>IFERROR(K415/K444, "NA")</f>
        <v>0</v>
      </c>
      <c r="M415" s="9"/>
      <c r="N415" s="10">
        <f t="shared" si="101"/>
        <v>0</v>
      </c>
      <c r="O415" s="8">
        <f>IFERROR(N415/N444, "NA")</f>
        <v>0</v>
      </c>
      <c r="P415" s="9"/>
      <c r="Q415" s="7">
        <v>0</v>
      </c>
      <c r="R415" s="8">
        <f>IFERROR(Q415/Q444, "NA")</f>
        <v>0</v>
      </c>
      <c r="S415" s="9"/>
      <c r="T415" s="7">
        <v>0</v>
      </c>
      <c r="U415" s="8">
        <f>IFERROR(T415/T444, "NA")</f>
        <v>0</v>
      </c>
      <c r="V415" s="9"/>
      <c r="W415" s="10">
        <f t="shared" si="102"/>
        <v>0</v>
      </c>
      <c r="X415" s="8">
        <f>IFERROR(W415/W444, "NA")</f>
        <v>0</v>
      </c>
      <c r="Y415" s="9"/>
      <c r="Z415" s="7">
        <v>0</v>
      </c>
      <c r="AA415" s="8">
        <f>IFERROR(Z415/Z444, "NA")</f>
        <v>0</v>
      </c>
      <c r="AB415" s="9"/>
      <c r="AC415" s="10">
        <f t="shared" si="103"/>
        <v>0</v>
      </c>
      <c r="AD415" s="8">
        <f>IFERROR(AC415/AC444, "NA")</f>
        <v>0</v>
      </c>
    </row>
    <row r="416" spans="1:30" ht="16.5" hidden="1" customHeight="1" x14ac:dyDescent="0.45">
      <c r="A416" s="6" t="s">
        <v>381</v>
      </c>
      <c r="B416" s="7">
        <v>0</v>
      </c>
      <c r="C416" s="8">
        <f>IFERROR(B416/B444, "NA")</f>
        <v>0</v>
      </c>
      <c r="D416" s="9"/>
      <c r="E416" s="7">
        <v>0</v>
      </c>
      <c r="F416" s="8">
        <f>IFERROR(E416/E444, "NA")</f>
        <v>0</v>
      </c>
      <c r="G416" s="9"/>
      <c r="H416" s="10">
        <f t="shared" si="100"/>
        <v>0</v>
      </c>
      <c r="I416" s="8">
        <f>IFERROR(H416/H444, "NA")</f>
        <v>0</v>
      </c>
      <c r="J416" s="9"/>
      <c r="K416" s="7">
        <v>0</v>
      </c>
      <c r="L416" s="8">
        <f>IFERROR(K416/K444, "NA")</f>
        <v>0</v>
      </c>
      <c r="M416" s="9"/>
      <c r="N416" s="10">
        <f t="shared" si="101"/>
        <v>0</v>
      </c>
      <c r="O416" s="8">
        <f>IFERROR(N416/N444, "NA")</f>
        <v>0</v>
      </c>
      <c r="P416" s="9"/>
      <c r="Q416" s="7">
        <v>0</v>
      </c>
      <c r="R416" s="8">
        <f>IFERROR(Q416/Q444, "NA")</f>
        <v>0</v>
      </c>
      <c r="S416" s="9"/>
      <c r="T416" s="7">
        <v>0</v>
      </c>
      <c r="U416" s="8">
        <f>IFERROR(T416/T444, "NA")</f>
        <v>0</v>
      </c>
      <c r="V416" s="9"/>
      <c r="W416" s="10">
        <f t="shared" si="102"/>
        <v>0</v>
      </c>
      <c r="X416" s="8">
        <f>IFERROR(W416/W444, "NA")</f>
        <v>0</v>
      </c>
      <c r="Y416" s="9"/>
      <c r="Z416" s="7">
        <v>0</v>
      </c>
      <c r="AA416" s="8">
        <f>IFERROR(Z416/Z444, "NA")</f>
        <v>0</v>
      </c>
      <c r="AB416" s="9"/>
      <c r="AC416" s="10">
        <f t="shared" si="103"/>
        <v>0</v>
      </c>
      <c r="AD416" s="8">
        <f>IFERROR(AC416/AC444, "NA")</f>
        <v>0</v>
      </c>
    </row>
    <row r="417" spans="1:30" ht="16.5" customHeight="1" x14ac:dyDescent="0.45">
      <c r="A417" s="6" t="s">
        <v>382</v>
      </c>
      <c r="B417" s="7">
        <v>-21.72</v>
      </c>
      <c r="C417" s="8">
        <f>IFERROR(B417/B444, "NA")</f>
        <v>-1.6574438918614011E-4</v>
      </c>
      <c r="D417" s="9"/>
      <c r="E417" s="7">
        <v>0</v>
      </c>
      <c r="F417" s="8">
        <f>IFERROR(E417/E444, "NA")</f>
        <v>0</v>
      </c>
      <c r="G417" s="9"/>
      <c r="H417" s="10">
        <f t="shared" si="100"/>
        <v>21.72</v>
      </c>
      <c r="I417" s="8">
        <f>IFERROR(H417/H444, "NA")</f>
        <v>-1.952733422219266E-3</v>
      </c>
      <c r="J417" s="9"/>
      <c r="K417" s="7">
        <v>3.82</v>
      </c>
      <c r="L417" s="8">
        <f>IFERROR(K417/K444, "NA")</f>
        <v>2.7763028164356543E-5</v>
      </c>
      <c r="M417" s="9"/>
      <c r="N417" s="10">
        <f t="shared" si="101"/>
        <v>25.54</v>
      </c>
      <c r="O417" s="8">
        <f>IFERROR(N417/N444, "NA")</f>
        <v>-3.9004871790955914E-3</v>
      </c>
      <c r="P417" s="9"/>
      <c r="Q417" s="7">
        <v>-21.72</v>
      </c>
      <c r="R417" s="8">
        <f>IFERROR(Q417/Q444, "NA")</f>
        <v>-1.6574438918614011E-4</v>
      </c>
      <c r="S417" s="9"/>
      <c r="T417" s="7">
        <v>0</v>
      </c>
      <c r="U417" s="8">
        <f>IFERROR(T417/T444, "NA")</f>
        <v>0</v>
      </c>
      <c r="V417" s="9"/>
      <c r="W417" s="10">
        <f t="shared" si="102"/>
        <v>21.72</v>
      </c>
      <c r="X417" s="8">
        <f>IFERROR(W417/W444, "NA")</f>
        <v>-1.952733422219266E-3</v>
      </c>
      <c r="Y417" s="9"/>
      <c r="Z417" s="7">
        <v>3.82</v>
      </c>
      <c r="AA417" s="8">
        <f>IFERROR(Z417/Z444, "NA")</f>
        <v>2.7763028164356543E-5</v>
      </c>
      <c r="AB417" s="9"/>
      <c r="AC417" s="10">
        <f t="shared" si="103"/>
        <v>25.54</v>
      </c>
      <c r="AD417" s="8">
        <f>IFERROR(AC417/AC444, "NA")</f>
        <v>-3.9004871790955914E-3</v>
      </c>
    </row>
    <row r="418" spans="1:30" ht="16.5" hidden="1" customHeight="1" x14ac:dyDescent="0.45">
      <c r="A418" s="6" t="s">
        <v>383</v>
      </c>
      <c r="B418" s="7">
        <v>0</v>
      </c>
      <c r="C418" s="8">
        <f>IFERROR(B418/B444, "NA")</f>
        <v>0</v>
      </c>
      <c r="D418" s="9"/>
      <c r="E418" s="7">
        <v>0</v>
      </c>
      <c r="F418" s="8">
        <f>IFERROR(E418/E444, "NA")</f>
        <v>0</v>
      </c>
      <c r="G418" s="9"/>
      <c r="H418" s="10">
        <f t="shared" si="100"/>
        <v>0</v>
      </c>
      <c r="I418" s="8">
        <f>IFERROR(H418/H444, "NA")</f>
        <v>0</v>
      </c>
      <c r="J418" s="9"/>
      <c r="K418" s="7">
        <v>0</v>
      </c>
      <c r="L418" s="8">
        <f>IFERROR(K418/K444, "NA")</f>
        <v>0</v>
      </c>
      <c r="M418" s="9"/>
      <c r="N418" s="10">
        <f t="shared" si="101"/>
        <v>0</v>
      </c>
      <c r="O418" s="8">
        <f>IFERROR(N418/N444, "NA")</f>
        <v>0</v>
      </c>
      <c r="P418" s="9"/>
      <c r="Q418" s="7">
        <v>0</v>
      </c>
      <c r="R418" s="8">
        <f>IFERROR(Q418/Q444, "NA")</f>
        <v>0</v>
      </c>
      <c r="S418" s="9"/>
      <c r="T418" s="7">
        <v>0</v>
      </c>
      <c r="U418" s="8">
        <f>IFERROR(T418/T444, "NA")</f>
        <v>0</v>
      </c>
      <c r="V418" s="9"/>
      <c r="W418" s="10">
        <f t="shared" si="102"/>
        <v>0</v>
      </c>
      <c r="X418" s="8">
        <f>IFERROR(W418/W444, "NA")</f>
        <v>0</v>
      </c>
      <c r="Y418" s="9"/>
      <c r="Z418" s="7">
        <v>0</v>
      </c>
      <c r="AA418" s="8">
        <f>IFERROR(Z418/Z444, "NA")</f>
        <v>0</v>
      </c>
      <c r="AB418" s="9"/>
      <c r="AC418" s="10">
        <f t="shared" si="103"/>
        <v>0</v>
      </c>
      <c r="AD418" s="8">
        <f>IFERROR(AC418/AC444, "NA")</f>
        <v>0</v>
      </c>
    </row>
    <row r="419" spans="1:30" ht="16.5" hidden="1" customHeight="1" x14ac:dyDescent="0.45">
      <c r="A419" s="6" t="s">
        <v>384</v>
      </c>
      <c r="B419" s="7">
        <v>0</v>
      </c>
      <c r="C419" s="8">
        <f>IFERROR(B419/B444, "NA")</f>
        <v>0</v>
      </c>
      <c r="D419" s="9"/>
      <c r="E419" s="7">
        <v>0</v>
      </c>
      <c r="F419" s="8">
        <f>IFERROR(E419/E444, "NA")</f>
        <v>0</v>
      </c>
      <c r="G419" s="9"/>
      <c r="H419" s="10">
        <f t="shared" si="100"/>
        <v>0</v>
      </c>
      <c r="I419" s="8">
        <f>IFERROR(H419/H444, "NA")</f>
        <v>0</v>
      </c>
      <c r="J419" s="9"/>
      <c r="K419" s="7">
        <v>0</v>
      </c>
      <c r="L419" s="8">
        <f>IFERROR(K419/K444, "NA")</f>
        <v>0</v>
      </c>
      <c r="M419" s="9"/>
      <c r="N419" s="10">
        <f t="shared" si="101"/>
        <v>0</v>
      </c>
      <c r="O419" s="8">
        <f>IFERROR(N419/N444, "NA")</f>
        <v>0</v>
      </c>
      <c r="P419" s="9"/>
      <c r="Q419" s="7">
        <v>0</v>
      </c>
      <c r="R419" s="8">
        <f>IFERROR(Q419/Q444, "NA")</f>
        <v>0</v>
      </c>
      <c r="S419" s="9"/>
      <c r="T419" s="7">
        <v>0</v>
      </c>
      <c r="U419" s="8">
        <f>IFERROR(T419/T444, "NA")</f>
        <v>0</v>
      </c>
      <c r="V419" s="9"/>
      <c r="W419" s="10">
        <f t="shared" si="102"/>
        <v>0</v>
      </c>
      <c r="X419" s="8">
        <f>IFERROR(W419/W444, "NA")</f>
        <v>0</v>
      </c>
      <c r="Y419" s="9"/>
      <c r="Z419" s="7">
        <v>0</v>
      </c>
      <c r="AA419" s="8">
        <f>IFERROR(Z419/Z444, "NA")</f>
        <v>0</v>
      </c>
      <c r="AB419" s="9"/>
      <c r="AC419" s="10">
        <f t="shared" si="103"/>
        <v>0</v>
      </c>
      <c r="AD419" s="8">
        <f>IFERROR(AC419/AC444, "NA")</f>
        <v>0</v>
      </c>
    </row>
    <row r="420" spans="1:30" ht="16.5" hidden="1" customHeight="1" x14ac:dyDescent="0.45">
      <c r="A420" s="6" t="s">
        <v>385</v>
      </c>
      <c r="B420" s="7">
        <v>0</v>
      </c>
      <c r="C420" s="8">
        <f>IFERROR(B420/B444, "NA")</f>
        <v>0</v>
      </c>
      <c r="D420" s="9"/>
      <c r="E420" s="7">
        <v>0</v>
      </c>
      <c r="F420" s="8">
        <f>IFERROR(E420/E444, "NA")</f>
        <v>0</v>
      </c>
      <c r="G420" s="9"/>
      <c r="H420" s="10">
        <f t="shared" si="100"/>
        <v>0</v>
      </c>
      <c r="I420" s="8">
        <f>IFERROR(H420/H444, "NA")</f>
        <v>0</v>
      </c>
      <c r="J420" s="9"/>
      <c r="K420" s="7">
        <v>0</v>
      </c>
      <c r="L420" s="8">
        <f>IFERROR(K420/K444, "NA")</f>
        <v>0</v>
      </c>
      <c r="M420" s="9"/>
      <c r="N420" s="10">
        <f t="shared" si="101"/>
        <v>0</v>
      </c>
      <c r="O420" s="8">
        <f>IFERROR(N420/N444, "NA")</f>
        <v>0</v>
      </c>
      <c r="P420" s="9"/>
      <c r="Q420" s="7">
        <v>0</v>
      </c>
      <c r="R420" s="8">
        <f>IFERROR(Q420/Q444, "NA")</f>
        <v>0</v>
      </c>
      <c r="S420" s="9"/>
      <c r="T420" s="7">
        <v>0</v>
      </c>
      <c r="U420" s="8">
        <f>IFERROR(T420/T444, "NA")</f>
        <v>0</v>
      </c>
      <c r="V420" s="9"/>
      <c r="W420" s="10">
        <f t="shared" si="102"/>
        <v>0</v>
      </c>
      <c r="X420" s="8">
        <f>IFERROR(W420/W444, "NA")</f>
        <v>0</v>
      </c>
      <c r="Y420" s="9"/>
      <c r="Z420" s="7">
        <v>0</v>
      </c>
      <c r="AA420" s="8">
        <f>IFERROR(Z420/Z444, "NA")</f>
        <v>0</v>
      </c>
      <c r="AB420" s="9"/>
      <c r="AC420" s="10">
        <f t="shared" si="103"/>
        <v>0</v>
      </c>
      <c r="AD420" s="8">
        <f>IFERROR(AC420/AC444, "NA")</f>
        <v>0</v>
      </c>
    </row>
    <row r="421" spans="1:30" ht="16.5" customHeight="1" x14ac:dyDescent="0.45">
      <c r="A421" s="6" t="s">
        <v>386</v>
      </c>
      <c r="B421" s="7">
        <v>0</v>
      </c>
      <c r="C421" s="8">
        <f>IFERROR(B421/B444, "NA")</f>
        <v>0</v>
      </c>
      <c r="D421" s="9"/>
      <c r="E421" s="7">
        <v>0</v>
      </c>
      <c r="F421" s="8">
        <f>IFERROR(E421/E444, "NA")</f>
        <v>0</v>
      </c>
      <c r="G421" s="9"/>
      <c r="H421" s="10">
        <f t="shared" si="100"/>
        <v>0</v>
      </c>
      <c r="I421" s="8">
        <f>IFERROR(H421/H444, "NA")</f>
        <v>0</v>
      </c>
      <c r="J421" s="9"/>
      <c r="K421" s="7">
        <v>-20</v>
      </c>
      <c r="L421" s="8">
        <f>IFERROR(K421/K444, "NA")</f>
        <v>-1.453561683997725E-4</v>
      </c>
      <c r="M421" s="9"/>
      <c r="N421" s="10">
        <f t="shared" si="101"/>
        <v>-20</v>
      </c>
      <c r="O421" s="8">
        <f>IFERROR(N421/N444, "NA")</f>
        <v>3.0544143924006199E-3</v>
      </c>
      <c r="P421" s="9"/>
      <c r="Q421" s="7">
        <v>0</v>
      </c>
      <c r="R421" s="8">
        <f>IFERROR(Q421/Q444, "NA")</f>
        <v>0</v>
      </c>
      <c r="S421" s="9"/>
      <c r="T421" s="7">
        <v>0</v>
      </c>
      <c r="U421" s="8">
        <f>IFERROR(T421/T444, "NA")</f>
        <v>0</v>
      </c>
      <c r="V421" s="9"/>
      <c r="W421" s="10">
        <f t="shared" si="102"/>
        <v>0</v>
      </c>
      <c r="X421" s="8">
        <f>IFERROR(W421/W444, "NA")</f>
        <v>0</v>
      </c>
      <c r="Y421" s="9"/>
      <c r="Z421" s="7">
        <v>-20</v>
      </c>
      <c r="AA421" s="8">
        <f>IFERROR(Z421/Z444, "NA")</f>
        <v>-1.453561683997725E-4</v>
      </c>
      <c r="AB421" s="9"/>
      <c r="AC421" s="10">
        <f t="shared" si="103"/>
        <v>-20</v>
      </c>
      <c r="AD421" s="8">
        <f>IFERROR(AC421/AC444, "NA")</f>
        <v>3.0544143924006199E-3</v>
      </c>
    </row>
    <row r="422" spans="1:30" ht="16.5" hidden="1" customHeight="1" x14ac:dyDescent="0.45">
      <c r="A422" s="6" t="s">
        <v>387</v>
      </c>
      <c r="B422" s="7">
        <v>0</v>
      </c>
      <c r="C422" s="8">
        <f>IFERROR(B422/B444, "NA")</f>
        <v>0</v>
      </c>
      <c r="D422" s="9"/>
      <c r="E422" s="7">
        <v>0</v>
      </c>
      <c r="F422" s="8">
        <f>IFERROR(E422/E444, "NA")</f>
        <v>0</v>
      </c>
      <c r="G422" s="9"/>
      <c r="H422" s="10">
        <f t="shared" si="100"/>
        <v>0</v>
      </c>
      <c r="I422" s="8">
        <f>IFERROR(H422/H444, "NA")</f>
        <v>0</v>
      </c>
      <c r="J422" s="9"/>
      <c r="K422" s="7">
        <v>0</v>
      </c>
      <c r="L422" s="8">
        <f>IFERROR(K422/K444, "NA")</f>
        <v>0</v>
      </c>
      <c r="M422" s="9"/>
      <c r="N422" s="10">
        <f t="shared" si="101"/>
        <v>0</v>
      </c>
      <c r="O422" s="8">
        <f>IFERROR(N422/N444, "NA")</f>
        <v>0</v>
      </c>
      <c r="P422" s="9"/>
      <c r="Q422" s="7">
        <v>0</v>
      </c>
      <c r="R422" s="8">
        <f>IFERROR(Q422/Q444, "NA")</f>
        <v>0</v>
      </c>
      <c r="S422" s="9"/>
      <c r="T422" s="7">
        <v>0</v>
      </c>
      <c r="U422" s="8">
        <f>IFERROR(T422/T444, "NA")</f>
        <v>0</v>
      </c>
      <c r="V422" s="9"/>
      <c r="W422" s="10">
        <f t="shared" si="102"/>
        <v>0</v>
      </c>
      <c r="X422" s="8">
        <f>IFERROR(W422/W444, "NA")</f>
        <v>0</v>
      </c>
      <c r="Y422" s="9"/>
      <c r="Z422" s="7">
        <v>0</v>
      </c>
      <c r="AA422" s="8">
        <f>IFERROR(Z422/Z444, "NA")</f>
        <v>0</v>
      </c>
      <c r="AB422" s="9"/>
      <c r="AC422" s="10">
        <f t="shared" si="103"/>
        <v>0</v>
      </c>
      <c r="AD422" s="8">
        <f>IFERROR(AC422/AC444, "NA")</f>
        <v>0</v>
      </c>
    </row>
    <row r="423" spans="1:30" ht="16.5" hidden="1" customHeight="1" x14ac:dyDescent="0.45">
      <c r="A423" s="6" t="s">
        <v>388</v>
      </c>
      <c r="B423" s="7">
        <v>0</v>
      </c>
      <c r="C423" s="8">
        <f>IFERROR(B423/B444, "NA")</f>
        <v>0</v>
      </c>
      <c r="D423" s="9"/>
      <c r="E423" s="7">
        <v>0</v>
      </c>
      <c r="F423" s="8">
        <f>IFERROR(E423/E444, "NA")</f>
        <v>0</v>
      </c>
      <c r="G423" s="9"/>
      <c r="H423" s="10">
        <f t="shared" si="100"/>
        <v>0</v>
      </c>
      <c r="I423" s="8">
        <f>IFERROR(H423/H444, "NA")</f>
        <v>0</v>
      </c>
      <c r="J423" s="9"/>
      <c r="K423" s="7">
        <v>0</v>
      </c>
      <c r="L423" s="8">
        <f>IFERROR(K423/K444, "NA")</f>
        <v>0</v>
      </c>
      <c r="M423" s="9"/>
      <c r="N423" s="10">
        <f t="shared" si="101"/>
        <v>0</v>
      </c>
      <c r="O423" s="8">
        <f>IFERROR(N423/N444, "NA")</f>
        <v>0</v>
      </c>
      <c r="P423" s="9"/>
      <c r="Q423" s="7">
        <v>0</v>
      </c>
      <c r="R423" s="8">
        <f>IFERROR(Q423/Q444, "NA")</f>
        <v>0</v>
      </c>
      <c r="S423" s="9"/>
      <c r="T423" s="7">
        <v>0</v>
      </c>
      <c r="U423" s="8">
        <f>IFERROR(T423/T444, "NA")</f>
        <v>0</v>
      </c>
      <c r="V423" s="9"/>
      <c r="W423" s="10">
        <f t="shared" si="102"/>
        <v>0</v>
      </c>
      <c r="X423" s="8">
        <f>IFERROR(W423/W444, "NA")</f>
        <v>0</v>
      </c>
      <c r="Y423" s="9"/>
      <c r="Z423" s="7">
        <v>0</v>
      </c>
      <c r="AA423" s="8">
        <f>IFERROR(Z423/Z444, "NA")</f>
        <v>0</v>
      </c>
      <c r="AB423" s="9"/>
      <c r="AC423" s="10">
        <f t="shared" si="103"/>
        <v>0</v>
      </c>
      <c r="AD423" s="8">
        <f>IFERROR(AC423/AC444, "NA")</f>
        <v>0</v>
      </c>
    </row>
    <row r="424" spans="1:30" ht="16.5" hidden="1" customHeight="1" x14ac:dyDescent="0.45">
      <c r="A424" s="6" t="s">
        <v>389</v>
      </c>
      <c r="B424" s="7">
        <v>0</v>
      </c>
      <c r="C424" s="8">
        <f>IFERROR(B424/B444, "NA")</f>
        <v>0</v>
      </c>
      <c r="D424" s="9"/>
      <c r="E424" s="7">
        <v>0</v>
      </c>
      <c r="F424" s="8">
        <f>IFERROR(E424/E444, "NA")</f>
        <v>0</v>
      </c>
      <c r="G424" s="9"/>
      <c r="H424" s="10">
        <f t="shared" si="100"/>
        <v>0</v>
      </c>
      <c r="I424" s="8">
        <f>IFERROR(H424/H444, "NA")</f>
        <v>0</v>
      </c>
      <c r="J424" s="9"/>
      <c r="K424" s="7">
        <v>0</v>
      </c>
      <c r="L424" s="8">
        <f>IFERROR(K424/K444, "NA")</f>
        <v>0</v>
      </c>
      <c r="M424" s="9"/>
      <c r="N424" s="10">
        <f t="shared" si="101"/>
        <v>0</v>
      </c>
      <c r="O424" s="8">
        <f>IFERROR(N424/N444, "NA")</f>
        <v>0</v>
      </c>
      <c r="P424" s="9"/>
      <c r="Q424" s="7">
        <v>0</v>
      </c>
      <c r="R424" s="8">
        <f>IFERROR(Q424/Q444, "NA")</f>
        <v>0</v>
      </c>
      <c r="S424" s="9"/>
      <c r="T424" s="7">
        <v>0</v>
      </c>
      <c r="U424" s="8">
        <f>IFERROR(T424/T444, "NA")</f>
        <v>0</v>
      </c>
      <c r="V424" s="9"/>
      <c r="W424" s="10">
        <f t="shared" si="102"/>
        <v>0</v>
      </c>
      <c r="X424" s="8">
        <f>IFERROR(W424/W444, "NA")</f>
        <v>0</v>
      </c>
      <c r="Y424" s="9"/>
      <c r="Z424" s="7">
        <v>0</v>
      </c>
      <c r="AA424" s="8">
        <f>IFERROR(Z424/Z444, "NA")</f>
        <v>0</v>
      </c>
      <c r="AB424" s="9"/>
      <c r="AC424" s="10">
        <f t="shared" si="103"/>
        <v>0</v>
      </c>
      <c r="AD424" s="8">
        <f>IFERROR(AC424/AC444, "NA")</f>
        <v>0</v>
      </c>
    </row>
    <row r="425" spans="1:30" ht="16.5" hidden="1" customHeight="1" x14ac:dyDescent="0.45">
      <c r="A425" s="6" t="s">
        <v>390</v>
      </c>
      <c r="B425" s="7">
        <v>0</v>
      </c>
      <c r="C425" s="8">
        <f>IFERROR(B425/B444, "NA")</f>
        <v>0</v>
      </c>
      <c r="D425" s="9"/>
      <c r="E425" s="7">
        <v>0</v>
      </c>
      <c r="F425" s="8">
        <f>IFERROR(E425/E444, "NA")</f>
        <v>0</v>
      </c>
      <c r="G425" s="9"/>
      <c r="H425" s="10">
        <f t="shared" si="100"/>
        <v>0</v>
      </c>
      <c r="I425" s="8">
        <f>IFERROR(H425/H444, "NA")</f>
        <v>0</v>
      </c>
      <c r="J425" s="9"/>
      <c r="K425" s="7">
        <v>0</v>
      </c>
      <c r="L425" s="8">
        <f>IFERROR(K425/K444, "NA")</f>
        <v>0</v>
      </c>
      <c r="M425" s="9"/>
      <c r="N425" s="10">
        <f t="shared" si="101"/>
        <v>0</v>
      </c>
      <c r="O425" s="8">
        <f>IFERROR(N425/N444, "NA")</f>
        <v>0</v>
      </c>
      <c r="P425" s="9"/>
      <c r="Q425" s="7">
        <v>0</v>
      </c>
      <c r="R425" s="8">
        <f>IFERROR(Q425/Q444, "NA")</f>
        <v>0</v>
      </c>
      <c r="S425" s="9"/>
      <c r="T425" s="7">
        <v>0</v>
      </c>
      <c r="U425" s="8">
        <f>IFERROR(T425/T444, "NA")</f>
        <v>0</v>
      </c>
      <c r="V425" s="9"/>
      <c r="W425" s="10">
        <f t="shared" si="102"/>
        <v>0</v>
      </c>
      <c r="X425" s="8">
        <f>IFERROR(W425/W444, "NA")</f>
        <v>0</v>
      </c>
      <c r="Y425" s="9"/>
      <c r="Z425" s="7">
        <v>0</v>
      </c>
      <c r="AA425" s="8">
        <f>IFERROR(Z425/Z444, "NA")</f>
        <v>0</v>
      </c>
      <c r="AB425" s="9"/>
      <c r="AC425" s="10">
        <f t="shared" si="103"/>
        <v>0</v>
      </c>
      <c r="AD425" s="8">
        <f>IFERROR(AC425/AC444, "NA")</f>
        <v>0</v>
      </c>
    </row>
    <row r="426" spans="1:30" ht="16.5" hidden="1" customHeight="1" x14ac:dyDescent="0.45">
      <c r="A426" s="6" t="s">
        <v>391</v>
      </c>
      <c r="B426" s="7">
        <v>0</v>
      </c>
      <c r="C426" s="8">
        <f>IFERROR(B426/B444, "NA")</f>
        <v>0</v>
      </c>
      <c r="D426" s="9"/>
      <c r="E426" s="7">
        <v>0</v>
      </c>
      <c r="F426" s="8">
        <f>IFERROR(E426/E444, "NA")</f>
        <v>0</v>
      </c>
      <c r="G426" s="9"/>
      <c r="H426" s="10">
        <f t="shared" si="100"/>
        <v>0</v>
      </c>
      <c r="I426" s="8">
        <f>IFERROR(H426/H444, "NA")</f>
        <v>0</v>
      </c>
      <c r="J426" s="9"/>
      <c r="K426" s="7">
        <v>0</v>
      </c>
      <c r="L426" s="8">
        <f>IFERROR(K426/K444, "NA")</f>
        <v>0</v>
      </c>
      <c r="M426" s="9"/>
      <c r="N426" s="10">
        <f t="shared" si="101"/>
        <v>0</v>
      </c>
      <c r="O426" s="8">
        <f>IFERROR(N426/N444, "NA")</f>
        <v>0</v>
      </c>
      <c r="P426" s="9"/>
      <c r="Q426" s="7">
        <v>0</v>
      </c>
      <c r="R426" s="8">
        <f>IFERROR(Q426/Q444, "NA")</f>
        <v>0</v>
      </c>
      <c r="S426" s="9"/>
      <c r="T426" s="7">
        <v>0</v>
      </c>
      <c r="U426" s="8">
        <f>IFERROR(T426/T444, "NA")</f>
        <v>0</v>
      </c>
      <c r="V426" s="9"/>
      <c r="W426" s="10">
        <f t="shared" si="102"/>
        <v>0</v>
      </c>
      <c r="X426" s="8">
        <f>IFERROR(W426/W444, "NA")</f>
        <v>0</v>
      </c>
      <c r="Y426" s="9"/>
      <c r="Z426" s="7">
        <v>0</v>
      </c>
      <c r="AA426" s="8">
        <f>IFERROR(Z426/Z444, "NA")</f>
        <v>0</v>
      </c>
      <c r="AB426" s="9"/>
      <c r="AC426" s="10">
        <f t="shared" si="103"/>
        <v>0</v>
      </c>
      <c r="AD426" s="8">
        <f>IFERROR(AC426/AC444, "NA")</f>
        <v>0</v>
      </c>
    </row>
    <row r="427" spans="1:30" ht="16.5" hidden="1" customHeight="1" x14ac:dyDescent="0.45">
      <c r="A427" s="6" t="s">
        <v>392</v>
      </c>
      <c r="B427" s="7">
        <v>0</v>
      </c>
      <c r="C427" s="8">
        <f>IFERROR(B427/B444, "NA")</f>
        <v>0</v>
      </c>
      <c r="D427" s="9"/>
      <c r="E427" s="7">
        <v>0</v>
      </c>
      <c r="F427" s="8">
        <f>IFERROR(E427/E444, "NA")</f>
        <v>0</v>
      </c>
      <c r="G427" s="9"/>
      <c r="H427" s="10">
        <f t="shared" si="100"/>
        <v>0</v>
      </c>
      <c r="I427" s="8">
        <f>IFERROR(H427/H444, "NA")</f>
        <v>0</v>
      </c>
      <c r="J427" s="9"/>
      <c r="K427" s="7">
        <v>0</v>
      </c>
      <c r="L427" s="8">
        <f>IFERROR(K427/K444, "NA")</f>
        <v>0</v>
      </c>
      <c r="M427" s="9"/>
      <c r="N427" s="10">
        <f t="shared" si="101"/>
        <v>0</v>
      </c>
      <c r="O427" s="8">
        <f>IFERROR(N427/N444, "NA")</f>
        <v>0</v>
      </c>
      <c r="P427" s="9"/>
      <c r="Q427" s="7">
        <v>0</v>
      </c>
      <c r="R427" s="8">
        <f>IFERROR(Q427/Q444, "NA")</f>
        <v>0</v>
      </c>
      <c r="S427" s="9"/>
      <c r="T427" s="7">
        <v>0</v>
      </c>
      <c r="U427" s="8">
        <f>IFERROR(T427/T444, "NA")</f>
        <v>0</v>
      </c>
      <c r="V427" s="9"/>
      <c r="W427" s="10">
        <f t="shared" si="102"/>
        <v>0</v>
      </c>
      <c r="X427" s="8">
        <f>IFERROR(W427/W444, "NA")</f>
        <v>0</v>
      </c>
      <c r="Y427" s="9"/>
      <c r="Z427" s="7">
        <v>0</v>
      </c>
      <c r="AA427" s="8">
        <f>IFERROR(Z427/Z444, "NA")</f>
        <v>0</v>
      </c>
      <c r="AB427" s="9"/>
      <c r="AC427" s="10">
        <f t="shared" si="103"/>
        <v>0</v>
      </c>
      <c r="AD427" s="8">
        <f>IFERROR(AC427/AC444, "NA")</f>
        <v>0</v>
      </c>
    </row>
    <row r="428" spans="1:30" ht="16.5" customHeight="1" x14ac:dyDescent="0.45">
      <c r="A428" s="19" t="s">
        <v>393</v>
      </c>
      <c r="B428" s="14">
        <f>IFERROR(B407+B408+B409+B410+B411+B412+B413+B414+B415+B416+B417+B418+B419+B420+B421+B422+B423+B424+B425+B426+B427, "NA")</f>
        <v>4097.8</v>
      </c>
      <c r="C428" s="15">
        <f>IFERROR(B428/B444, "NA")</f>
        <v>3.1270136188165973E-2</v>
      </c>
      <c r="D428" s="2"/>
      <c r="E428" s="14">
        <f>IFERROR(E407+E408+E409+E410+E411+E412+E413+E414+E415+E416+E417+E418+E419+E420+E421+E422+E423+E424+E425+E426+E427, "NA")</f>
        <v>3082.44</v>
      </c>
      <c r="F428" s="15">
        <f>IFERROR(E428/E444, "NA")</f>
        <v>2.1681667812376664E-2</v>
      </c>
      <c r="G428" s="2"/>
      <c r="H428" s="14">
        <f t="shared" si="100"/>
        <v>-1015.3600000000001</v>
      </c>
      <c r="I428" s="15">
        <f>IFERROR(H428/H444, "NA")</f>
        <v>9.1285792246066033E-2</v>
      </c>
      <c r="J428" s="2"/>
      <c r="K428" s="14">
        <f>IFERROR(K407+K408+K409+K410+K411+K412+K413+K414+K415+K416+K417+K418+K419+K420+K421+K422+K423+K424+K425+K426+K427, "NA")</f>
        <v>2983.25</v>
      </c>
      <c r="L428" s="15">
        <f>IFERROR(K428/K444, "NA")</f>
        <v>2.1681689468931065E-2</v>
      </c>
      <c r="M428" s="2"/>
      <c r="N428" s="14">
        <f t="shared" si="101"/>
        <v>-1114.5500000000002</v>
      </c>
      <c r="O428" s="15">
        <f>IFERROR(N428/N444, "NA")</f>
        <v>0.17021487805250557</v>
      </c>
      <c r="P428" s="2"/>
      <c r="Q428" s="14">
        <f>IFERROR(Q407+Q408+Q409+Q410+Q411+Q412+Q413+Q414+Q415+Q416+Q417+Q418+Q419+Q420+Q421+Q422+Q423+Q424+Q425+Q426+Q427, "NA")</f>
        <v>4097.8</v>
      </c>
      <c r="R428" s="15">
        <f>IFERROR(Q428/Q444, "NA")</f>
        <v>3.1270136188165973E-2</v>
      </c>
      <c r="S428" s="2"/>
      <c r="T428" s="14">
        <f>IFERROR(T407+T408+T409+T410+T411+T412+T413+T414+T415+T416+T417+T418+T419+T420+T421+T422+T423+T424+T425+T426+T427, "NA")</f>
        <v>3082.44</v>
      </c>
      <c r="U428" s="15">
        <f>IFERROR(T428/T444, "NA")</f>
        <v>2.1681667812376664E-2</v>
      </c>
      <c r="V428" s="2"/>
      <c r="W428" s="14">
        <f t="shared" si="102"/>
        <v>-1015.3600000000001</v>
      </c>
      <c r="X428" s="15">
        <f>IFERROR(W428/W444, "NA")</f>
        <v>9.1285792246066033E-2</v>
      </c>
      <c r="Y428" s="2"/>
      <c r="Z428" s="14">
        <f>IFERROR(Z407+Z408+Z409+Z410+Z411+Z412+Z413+Z414+Z415+Z416+Z417+Z418+Z419+Z420+Z421+Z422+Z423+Z424+Z425+Z426+Z427, "NA")</f>
        <v>2983.25</v>
      </c>
      <c r="AA428" s="15">
        <f>IFERROR(Z428/Z444, "NA")</f>
        <v>2.1681689468931065E-2</v>
      </c>
      <c r="AB428" s="2"/>
      <c r="AC428" s="14">
        <f t="shared" si="103"/>
        <v>-1114.5500000000002</v>
      </c>
      <c r="AD428" s="15">
        <f>IFERROR(AC428/AC444, "NA")</f>
        <v>0.17021487805250557</v>
      </c>
    </row>
    <row r="429" spans="1:30" ht="16.5" customHeight="1" x14ac:dyDescent="0.45">
      <c r="A429" s="21" t="s">
        <v>394</v>
      </c>
      <c r="B429" s="14">
        <f>IFERROR(B407+B408+B409+B410+B411+B412+B413+B414+B415+B416+B417+B418+B419+B420+B421+B422+B423+B424+B425+B426+B427, "NA")</f>
        <v>4097.8</v>
      </c>
      <c r="C429" s="15">
        <f>IFERROR(B429/B444, "NA")</f>
        <v>3.1270136188165973E-2</v>
      </c>
      <c r="D429" s="2"/>
      <c r="E429" s="14">
        <f>IFERROR(E407+E408+E409+E410+E411+E412+E413+E414+E415+E416+E417+E418+E419+E420+E421+E422+E423+E424+E425+E426+E427, "NA")</f>
        <v>3082.44</v>
      </c>
      <c r="F429" s="15">
        <f>IFERROR(E429/E444, "NA")</f>
        <v>2.1681667812376664E-2</v>
      </c>
      <c r="G429" s="2"/>
      <c r="H429" s="14">
        <f t="shared" si="100"/>
        <v>-1015.3600000000001</v>
      </c>
      <c r="I429" s="15">
        <f>IFERROR(H429/H444, "NA")</f>
        <v>9.1285792246066033E-2</v>
      </c>
      <c r="J429" s="2"/>
      <c r="K429" s="14">
        <f>IFERROR(K407+K408+K409+K410+K411+K412+K413+K414+K415+K416+K417+K418+K419+K420+K421+K422+K423+K424+K425+K426+K427, "NA")</f>
        <v>2983.25</v>
      </c>
      <c r="L429" s="15">
        <f>IFERROR(K429/K444, "NA")</f>
        <v>2.1681689468931065E-2</v>
      </c>
      <c r="M429" s="2"/>
      <c r="N429" s="14">
        <f t="shared" si="101"/>
        <v>-1114.5500000000002</v>
      </c>
      <c r="O429" s="15">
        <f>IFERROR(N429/N444, "NA")</f>
        <v>0.17021487805250557</v>
      </c>
      <c r="P429" s="2"/>
      <c r="Q429" s="14">
        <f>IFERROR(Q407+Q408+Q409+Q410+Q411+Q412+Q413+Q414+Q415+Q416+Q417+Q418+Q419+Q420+Q421+Q422+Q423+Q424+Q425+Q426+Q427, "NA")</f>
        <v>4097.8</v>
      </c>
      <c r="R429" s="15">
        <f>IFERROR(Q429/Q444, "NA")</f>
        <v>3.1270136188165973E-2</v>
      </c>
      <c r="S429" s="2"/>
      <c r="T429" s="14">
        <f>IFERROR(T407+T408+T409+T410+T411+T412+T413+T414+T415+T416+T417+T418+T419+T420+T421+T422+T423+T424+T425+T426+T427, "NA")</f>
        <v>3082.44</v>
      </c>
      <c r="U429" s="15">
        <f>IFERROR(T429/T444, "NA")</f>
        <v>2.1681667812376664E-2</v>
      </c>
      <c r="V429" s="2"/>
      <c r="W429" s="14">
        <f t="shared" si="102"/>
        <v>-1015.3600000000001</v>
      </c>
      <c r="X429" s="15">
        <f>IFERROR(W429/W444, "NA")</f>
        <v>9.1285792246066033E-2</v>
      </c>
      <c r="Y429" s="2"/>
      <c r="Z429" s="14">
        <f>IFERROR(Z407+Z408+Z409+Z410+Z411+Z412+Z413+Z414+Z415+Z416+Z417+Z418+Z419+Z420+Z421+Z422+Z423+Z424+Z425+Z426+Z427, "NA")</f>
        <v>2983.25</v>
      </c>
      <c r="AA429" s="15">
        <f>IFERROR(Z429/Z444, "NA")</f>
        <v>2.1681689468931065E-2</v>
      </c>
      <c r="AB429" s="2"/>
      <c r="AC429" s="14">
        <f t="shared" si="103"/>
        <v>-1114.5500000000002</v>
      </c>
      <c r="AD429" s="15">
        <f>IFERROR(AC429/AC444, "NA")</f>
        <v>0.17021487805250557</v>
      </c>
    </row>
    <row r="430" spans="1:30" ht="16.5" customHeight="1" x14ac:dyDescent="0.45">
      <c r="A430" s="1" t="s">
        <v>395</v>
      </c>
      <c r="B430" s="2"/>
      <c r="C430" s="3"/>
      <c r="D430" s="4"/>
      <c r="E430" s="2"/>
      <c r="F430" s="3"/>
      <c r="G430" s="4"/>
      <c r="H430" s="2"/>
      <c r="I430" s="3"/>
      <c r="J430" s="4"/>
      <c r="K430" s="2"/>
      <c r="L430" s="3"/>
      <c r="M430" s="4"/>
      <c r="N430" s="2"/>
      <c r="O430" s="3"/>
      <c r="P430" s="4"/>
      <c r="Q430" s="2"/>
      <c r="R430" s="3"/>
      <c r="S430" s="4"/>
      <c r="T430" s="2"/>
      <c r="U430" s="3"/>
      <c r="V430" s="4"/>
      <c r="W430" s="2"/>
      <c r="X430" s="3"/>
      <c r="Y430" s="4"/>
      <c r="Z430" s="2"/>
      <c r="AA430" s="3"/>
      <c r="AB430" s="4"/>
      <c r="AC430" s="2"/>
      <c r="AD430" s="3"/>
    </row>
    <row r="431" spans="1:30" ht="16.5" customHeight="1" x14ac:dyDescent="0.45">
      <c r="A431" s="5" t="s">
        <v>396</v>
      </c>
      <c r="B431" s="2"/>
      <c r="C431" s="3"/>
      <c r="D431" s="4"/>
      <c r="E431" s="2"/>
      <c r="F431" s="3"/>
      <c r="G431" s="4"/>
      <c r="H431" s="2"/>
      <c r="I431" s="3"/>
      <c r="J431" s="4"/>
      <c r="K431" s="2"/>
      <c r="L431" s="3"/>
      <c r="M431" s="4"/>
      <c r="N431" s="2"/>
      <c r="O431" s="3"/>
      <c r="P431" s="4"/>
      <c r="Q431" s="2"/>
      <c r="R431" s="3"/>
      <c r="S431" s="4"/>
      <c r="T431" s="2"/>
      <c r="U431" s="3"/>
      <c r="V431" s="4"/>
      <c r="W431" s="2"/>
      <c r="X431" s="3"/>
      <c r="Y431" s="4"/>
      <c r="Z431" s="2"/>
      <c r="AA431" s="3"/>
      <c r="AB431" s="4"/>
      <c r="AC431" s="2"/>
      <c r="AD431" s="3"/>
    </row>
    <row r="432" spans="1:30" ht="16.5" hidden="1" customHeight="1" x14ac:dyDescent="0.45">
      <c r="A432" s="6" t="s">
        <v>396</v>
      </c>
      <c r="B432" s="7">
        <v>0</v>
      </c>
      <c r="C432" s="8">
        <f>IFERROR(B432/B444, "NA")</f>
        <v>0</v>
      </c>
      <c r="D432" s="9"/>
      <c r="E432" s="7">
        <v>0</v>
      </c>
      <c r="F432" s="8">
        <f>IFERROR(E432/E444, "NA")</f>
        <v>0</v>
      </c>
      <c r="G432" s="9"/>
      <c r="H432" s="10">
        <f t="shared" ref="H432:H442" si="104">IFERROR(-(B432-E432), "NA")</f>
        <v>0</v>
      </c>
      <c r="I432" s="8">
        <f>IFERROR(H432/H444, "NA")</f>
        <v>0</v>
      </c>
      <c r="J432" s="9"/>
      <c r="K432" s="7">
        <v>0</v>
      </c>
      <c r="L432" s="8">
        <f>IFERROR(K432/K444, "NA")</f>
        <v>0</v>
      </c>
      <c r="M432" s="9"/>
      <c r="N432" s="10">
        <f t="shared" ref="N432:N442" si="105">IFERROR(-(B432-K432), "NA")</f>
        <v>0</v>
      </c>
      <c r="O432" s="8">
        <f>IFERROR(N432/N444, "NA")</f>
        <v>0</v>
      </c>
      <c r="P432" s="9"/>
      <c r="Q432" s="7">
        <v>0</v>
      </c>
      <c r="R432" s="8">
        <f>IFERROR(Q432/Q444, "NA")</f>
        <v>0</v>
      </c>
      <c r="S432" s="9"/>
      <c r="T432" s="7">
        <v>0</v>
      </c>
      <c r="U432" s="8">
        <f>IFERROR(T432/T444, "NA")</f>
        <v>0</v>
      </c>
      <c r="V432" s="9"/>
      <c r="W432" s="10">
        <f t="shared" ref="W432:W442" si="106">IFERROR(-(Q432-T432), "NA")</f>
        <v>0</v>
      </c>
      <c r="X432" s="8">
        <f>IFERROR(W432/W444, "NA")</f>
        <v>0</v>
      </c>
      <c r="Y432" s="9"/>
      <c r="Z432" s="7">
        <v>0</v>
      </c>
      <c r="AA432" s="8">
        <f>IFERROR(Z432/Z444, "NA")</f>
        <v>0</v>
      </c>
      <c r="AB432" s="9"/>
      <c r="AC432" s="10">
        <f t="shared" ref="AC432:AC442" si="107">IFERROR(-(Q432-Z432), "NA")</f>
        <v>0</v>
      </c>
      <c r="AD432" s="8">
        <f>IFERROR(AC432/AC444, "NA")</f>
        <v>0</v>
      </c>
    </row>
    <row r="433" spans="1:30" ht="16.5" hidden="1" customHeight="1" x14ac:dyDescent="0.45">
      <c r="A433" s="6" t="s">
        <v>397</v>
      </c>
      <c r="B433" s="7">
        <v>0</v>
      </c>
      <c r="C433" s="8">
        <f>IFERROR(B433/B444, "NA")</f>
        <v>0</v>
      </c>
      <c r="D433" s="9"/>
      <c r="E433" s="7">
        <v>0</v>
      </c>
      <c r="F433" s="8">
        <f>IFERROR(E433/E444, "NA")</f>
        <v>0</v>
      </c>
      <c r="G433" s="9"/>
      <c r="H433" s="10">
        <f t="shared" si="104"/>
        <v>0</v>
      </c>
      <c r="I433" s="8">
        <f>IFERROR(H433/H444, "NA")</f>
        <v>0</v>
      </c>
      <c r="J433" s="9"/>
      <c r="K433" s="7">
        <v>0</v>
      </c>
      <c r="L433" s="8">
        <f>IFERROR(K433/K444, "NA")</f>
        <v>0</v>
      </c>
      <c r="M433" s="9"/>
      <c r="N433" s="10">
        <f t="shared" si="105"/>
        <v>0</v>
      </c>
      <c r="O433" s="8">
        <f>IFERROR(N433/N444, "NA")</f>
        <v>0</v>
      </c>
      <c r="P433" s="9"/>
      <c r="Q433" s="7">
        <v>0</v>
      </c>
      <c r="R433" s="8">
        <f>IFERROR(Q433/Q444, "NA")</f>
        <v>0</v>
      </c>
      <c r="S433" s="9"/>
      <c r="T433" s="7">
        <v>0</v>
      </c>
      <c r="U433" s="8">
        <f>IFERROR(T433/T444, "NA")</f>
        <v>0</v>
      </c>
      <c r="V433" s="9"/>
      <c r="W433" s="10">
        <f t="shared" si="106"/>
        <v>0</v>
      </c>
      <c r="X433" s="8">
        <f>IFERROR(W433/W444, "NA")</f>
        <v>0</v>
      </c>
      <c r="Y433" s="9"/>
      <c r="Z433" s="7">
        <v>0</v>
      </c>
      <c r="AA433" s="8">
        <f>IFERROR(Z433/Z444, "NA")</f>
        <v>0</v>
      </c>
      <c r="AB433" s="9"/>
      <c r="AC433" s="10">
        <f t="shared" si="107"/>
        <v>0</v>
      </c>
      <c r="AD433" s="8">
        <f>IFERROR(AC433/AC444, "NA")</f>
        <v>0</v>
      </c>
    </row>
    <row r="434" spans="1:30" ht="16.5" hidden="1" customHeight="1" x14ac:dyDescent="0.45">
      <c r="A434" s="6" t="s">
        <v>398</v>
      </c>
      <c r="B434" s="7">
        <v>0</v>
      </c>
      <c r="C434" s="8">
        <f>IFERROR(B434/B444, "NA")</f>
        <v>0</v>
      </c>
      <c r="D434" s="9"/>
      <c r="E434" s="7">
        <v>0</v>
      </c>
      <c r="F434" s="8">
        <f>IFERROR(E434/E444, "NA")</f>
        <v>0</v>
      </c>
      <c r="G434" s="9"/>
      <c r="H434" s="10">
        <f t="shared" si="104"/>
        <v>0</v>
      </c>
      <c r="I434" s="8">
        <f>IFERROR(H434/H444, "NA")</f>
        <v>0</v>
      </c>
      <c r="J434" s="9"/>
      <c r="K434" s="7">
        <v>0</v>
      </c>
      <c r="L434" s="8">
        <f>IFERROR(K434/K444, "NA")</f>
        <v>0</v>
      </c>
      <c r="M434" s="9"/>
      <c r="N434" s="10">
        <f t="shared" si="105"/>
        <v>0</v>
      </c>
      <c r="O434" s="8">
        <f>IFERROR(N434/N444, "NA")</f>
        <v>0</v>
      </c>
      <c r="P434" s="9"/>
      <c r="Q434" s="7">
        <v>0</v>
      </c>
      <c r="R434" s="8">
        <f>IFERROR(Q434/Q444, "NA")</f>
        <v>0</v>
      </c>
      <c r="S434" s="9"/>
      <c r="T434" s="7">
        <v>0</v>
      </c>
      <c r="U434" s="8">
        <f>IFERROR(T434/T444, "NA")</f>
        <v>0</v>
      </c>
      <c r="V434" s="9"/>
      <c r="W434" s="10">
        <f t="shared" si="106"/>
        <v>0</v>
      </c>
      <c r="X434" s="8">
        <f>IFERROR(W434/W444, "NA")</f>
        <v>0</v>
      </c>
      <c r="Y434" s="9"/>
      <c r="Z434" s="7">
        <v>0</v>
      </c>
      <c r="AA434" s="8">
        <f>IFERROR(Z434/Z444, "NA")</f>
        <v>0</v>
      </c>
      <c r="AB434" s="9"/>
      <c r="AC434" s="10">
        <f t="shared" si="107"/>
        <v>0</v>
      </c>
      <c r="AD434" s="8">
        <f>IFERROR(AC434/AC444, "NA")</f>
        <v>0</v>
      </c>
    </row>
    <row r="435" spans="1:30" ht="16.5" hidden="1" customHeight="1" x14ac:dyDescent="0.45">
      <c r="A435" s="6" t="s">
        <v>399</v>
      </c>
      <c r="B435" s="7">
        <v>0</v>
      </c>
      <c r="C435" s="8">
        <f>IFERROR(B435/B444, "NA")</f>
        <v>0</v>
      </c>
      <c r="D435" s="9"/>
      <c r="E435" s="7">
        <v>0</v>
      </c>
      <c r="F435" s="8">
        <f>IFERROR(E435/E444, "NA")</f>
        <v>0</v>
      </c>
      <c r="G435" s="9"/>
      <c r="H435" s="10">
        <f t="shared" si="104"/>
        <v>0</v>
      </c>
      <c r="I435" s="8">
        <f>IFERROR(H435/H444, "NA")</f>
        <v>0</v>
      </c>
      <c r="J435" s="9"/>
      <c r="K435" s="7">
        <v>0</v>
      </c>
      <c r="L435" s="8">
        <f>IFERROR(K435/K444, "NA")</f>
        <v>0</v>
      </c>
      <c r="M435" s="9"/>
      <c r="N435" s="10">
        <f t="shared" si="105"/>
        <v>0</v>
      </c>
      <c r="O435" s="8">
        <f>IFERROR(N435/N444, "NA")</f>
        <v>0</v>
      </c>
      <c r="P435" s="9"/>
      <c r="Q435" s="7">
        <v>0</v>
      </c>
      <c r="R435" s="8">
        <f>IFERROR(Q435/Q444, "NA")</f>
        <v>0</v>
      </c>
      <c r="S435" s="9"/>
      <c r="T435" s="7">
        <v>0</v>
      </c>
      <c r="U435" s="8">
        <f>IFERROR(T435/T444, "NA")</f>
        <v>0</v>
      </c>
      <c r="V435" s="9"/>
      <c r="W435" s="10">
        <f t="shared" si="106"/>
        <v>0</v>
      </c>
      <c r="X435" s="8">
        <f>IFERROR(W435/W444, "NA")</f>
        <v>0</v>
      </c>
      <c r="Y435" s="9"/>
      <c r="Z435" s="7">
        <v>0</v>
      </c>
      <c r="AA435" s="8">
        <f>IFERROR(Z435/Z444, "NA")</f>
        <v>0</v>
      </c>
      <c r="AB435" s="9"/>
      <c r="AC435" s="10">
        <f t="shared" si="107"/>
        <v>0</v>
      </c>
      <c r="AD435" s="8">
        <f>IFERROR(AC435/AC444, "NA")</f>
        <v>0</v>
      </c>
    </row>
    <row r="436" spans="1:30" ht="16.5" hidden="1" customHeight="1" x14ac:dyDescent="0.45">
      <c r="A436" s="6" t="s">
        <v>400</v>
      </c>
      <c r="B436" s="7">
        <v>0</v>
      </c>
      <c r="C436" s="8">
        <f>IFERROR(B436/B444, "NA")</f>
        <v>0</v>
      </c>
      <c r="D436" s="9"/>
      <c r="E436" s="7">
        <v>0</v>
      </c>
      <c r="F436" s="8">
        <f>IFERROR(E436/E444, "NA")</f>
        <v>0</v>
      </c>
      <c r="G436" s="9"/>
      <c r="H436" s="10">
        <f t="shared" si="104"/>
        <v>0</v>
      </c>
      <c r="I436" s="8">
        <f>IFERROR(H436/H444, "NA")</f>
        <v>0</v>
      </c>
      <c r="J436" s="9"/>
      <c r="K436" s="7">
        <v>0</v>
      </c>
      <c r="L436" s="8">
        <f>IFERROR(K436/K444, "NA")</f>
        <v>0</v>
      </c>
      <c r="M436" s="9"/>
      <c r="N436" s="10">
        <f t="shared" si="105"/>
        <v>0</v>
      </c>
      <c r="O436" s="8">
        <f>IFERROR(N436/N444, "NA")</f>
        <v>0</v>
      </c>
      <c r="P436" s="9"/>
      <c r="Q436" s="7">
        <v>0</v>
      </c>
      <c r="R436" s="8">
        <f>IFERROR(Q436/Q444, "NA")</f>
        <v>0</v>
      </c>
      <c r="S436" s="9"/>
      <c r="T436" s="7">
        <v>0</v>
      </c>
      <c r="U436" s="8">
        <f>IFERROR(T436/T444, "NA")</f>
        <v>0</v>
      </c>
      <c r="V436" s="9"/>
      <c r="W436" s="10">
        <f t="shared" si="106"/>
        <v>0</v>
      </c>
      <c r="X436" s="8">
        <f>IFERROR(W436/W444, "NA")</f>
        <v>0</v>
      </c>
      <c r="Y436" s="9"/>
      <c r="Z436" s="7">
        <v>0</v>
      </c>
      <c r="AA436" s="8">
        <f>IFERROR(Z436/Z444, "NA")</f>
        <v>0</v>
      </c>
      <c r="AB436" s="9"/>
      <c r="AC436" s="10">
        <f t="shared" si="107"/>
        <v>0</v>
      </c>
      <c r="AD436" s="8">
        <f>IFERROR(AC436/AC444, "NA")</f>
        <v>0</v>
      </c>
    </row>
    <row r="437" spans="1:30" ht="16.5" hidden="1" customHeight="1" x14ac:dyDescent="0.45">
      <c r="A437" s="6" t="s">
        <v>401</v>
      </c>
      <c r="B437" s="7">
        <v>0</v>
      </c>
      <c r="C437" s="8">
        <f>IFERROR(B437/B444, "NA")</f>
        <v>0</v>
      </c>
      <c r="D437" s="9"/>
      <c r="E437" s="7">
        <v>0</v>
      </c>
      <c r="F437" s="8">
        <f>IFERROR(E437/E444, "NA")</f>
        <v>0</v>
      </c>
      <c r="G437" s="9"/>
      <c r="H437" s="10">
        <f t="shared" si="104"/>
        <v>0</v>
      </c>
      <c r="I437" s="8">
        <f>IFERROR(H437/H444, "NA")</f>
        <v>0</v>
      </c>
      <c r="J437" s="9"/>
      <c r="K437" s="7">
        <v>0</v>
      </c>
      <c r="L437" s="8">
        <f>IFERROR(K437/K444, "NA")</f>
        <v>0</v>
      </c>
      <c r="M437" s="9"/>
      <c r="N437" s="10">
        <f t="shared" si="105"/>
        <v>0</v>
      </c>
      <c r="O437" s="8">
        <f>IFERROR(N437/N444, "NA")</f>
        <v>0</v>
      </c>
      <c r="P437" s="9"/>
      <c r="Q437" s="7">
        <v>0</v>
      </c>
      <c r="R437" s="8">
        <f>IFERROR(Q437/Q444, "NA")</f>
        <v>0</v>
      </c>
      <c r="S437" s="9"/>
      <c r="T437" s="7">
        <v>0</v>
      </c>
      <c r="U437" s="8">
        <f>IFERROR(T437/T444, "NA")</f>
        <v>0</v>
      </c>
      <c r="V437" s="9"/>
      <c r="W437" s="10">
        <f t="shared" si="106"/>
        <v>0</v>
      </c>
      <c r="X437" s="8">
        <f>IFERROR(W437/W444, "NA")</f>
        <v>0</v>
      </c>
      <c r="Y437" s="9"/>
      <c r="Z437" s="7">
        <v>0</v>
      </c>
      <c r="AA437" s="8">
        <f>IFERROR(Z437/Z444, "NA")</f>
        <v>0</v>
      </c>
      <c r="AB437" s="9"/>
      <c r="AC437" s="10">
        <f t="shared" si="107"/>
        <v>0</v>
      </c>
      <c r="AD437" s="8">
        <f>IFERROR(AC437/AC444, "NA")</f>
        <v>0</v>
      </c>
    </row>
    <row r="438" spans="1:30" ht="30.75" hidden="1" customHeight="1" x14ac:dyDescent="0.45">
      <c r="A438" s="6" t="s">
        <v>402</v>
      </c>
      <c r="B438" s="7">
        <v>0</v>
      </c>
      <c r="C438" s="8">
        <f>IFERROR(B438/B444, "NA")</f>
        <v>0</v>
      </c>
      <c r="D438" s="9"/>
      <c r="E438" s="7">
        <v>0</v>
      </c>
      <c r="F438" s="8">
        <f>IFERROR(E438/E444, "NA")</f>
        <v>0</v>
      </c>
      <c r="G438" s="9"/>
      <c r="H438" s="10">
        <f t="shared" si="104"/>
        <v>0</v>
      </c>
      <c r="I438" s="8">
        <f>IFERROR(H438/H444, "NA")</f>
        <v>0</v>
      </c>
      <c r="J438" s="9"/>
      <c r="K438" s="7">
        <v>0</v>
      </c>
      <c r="L438" s="8">
        <f>IFERROR(K438/K444, "NA")</f>
        <v>0</v>
      </c>
      <c r="M438" s="9"/>
      <c r="N438" s="10">
        <f t="shared" si="105"/>
        <v>0</v>
      </c>
      <c r="O438" s="8">
        <f>IFERROR(N438/N444, "NA")</f>
        <v>0</v>
      </c>
      <c r="P438" s="9"/>
      <c r="Q438" s="7">
        <v>0</v>
      </c>
      <c r="R438" s="8">
        <f>IFERROR(Q438/Q444, "NA")</f>
        <v>0</v>
      </c>
      <c r="S438" s="9"/>
      <c r="T438" s="7">
        <v>0</v>
      </c>
      <c r="U438" s="8">
        <f>IFERROR(T438/T444, "NA")</f>
        <v>0</v>
      </c>
      <c r="V438" s="9"/>
      <c r="W438" s="10">
        <f t="shared" si="106"/>
        <v>0</v>
      </c>
      <c r="X438" s="8">
        <f>IFERROR(W438/W444, "NA")</f>
        <v>0</v>
      </c>
      <c r="Y438" s="9"/>
      <c r="Z438" s="7">
        <v>0</v>
      </c>
      <c r="AA438" s="8">
        <f>IFERROR(Z438/Z444, "NA")</f>
        <v>0</v>
      </c>
      <c r="AB438" s="9"/>
      <c r="AC438" s="10">
        <f t="shared" si="107"/>
        <v>0</v>
      </c>
      <c r="AD438" s="8">
        <f>IFERROR(AC438/AC444, "NA")</f>
        <v>0</v>
      </c>
    </row>
    <row r="439" spans="1:30" ht="16.5" hidden="1" customHeight="1" x14ac:dyDescent="0.45">
      <c r="A439" s="6" t="s">
        <v>403</v>
      </c>
      <c r="B439" s="7">
        <v>0</v>
      </c>
      <c r="C439" s="8">
        <f>IFERROR(B439/B444, "NA")</f>
        <v>0</v>
      </c>
      <c r="D439" s="9"/>
      <c r="E439" s="7">
        <v>0</v>
      </c>
      <c r="F439" s="8">
        <f>IFERROR(E439/E444, "NA")</f>
        <v>0</v>
      </c>
      <c r="G439" s="9"/>
      <c r="H439" s="10">
        <f t="shared" si="104"/>
        <v>0</v>
      </c>
      <c r="I439" s="8">
        <f>IFERROR(H439/H444, "NA")</f>
        <v>0</v>
      </c>
      <c r="J439" s="9"/>
      <c r="K439" s="7">
        <v>0</v>
      </c>
      <c r="L439" s="8">
        <f>IFERROR(K439/K444, "NA")</f>
        <v>0</v>
      </c>
      <c r="M439" s="9"/>
      <c r="N439" s="10">
        <f t="shared" si="105"/>
        <v>0</v>
      </c>
      <c r="O439" s="8">
        <f>IFERROR(N439/N444, "NA")</f>
        <v>0</v>
      </c>
      <c r="P439" s="9"/>
      <c r="Q439" s="7">
        <v>0</v>
      </c>
      <c r="R439" s="8">
        <f>IFERROR(Q439/Q444, "NA")</f>
        <v>0</v>
      </c>
      <c r="S439" s="9"/>
      <c r="T439" s="7">
        <v>0</v>
      </c>
      <c r="U439" s="8">
        <f>IFERROR(T439/T444, "NA")</f>
        <v>0</v>
      </c>
      <c r="V439" s="9"/>
      <c r="W439" s="10">
        <f t="shared" si="106"/>
        <v>0</v>
      </c>
      <c r="X439" s="8">
        <f>IFERROR(W439/W444, "NA")</f>
        <v>0</v>
      </c>
      <c r="Y439" s="9"/>
      <c r="Z439" s="7">
        <v>0</v>
      </c>
      <c r="AA439" s="8">
        <f>IFERROR(Z439/Z444, "NA")</f>
        <v>0</v>
      </c>
      <c r="AB439" s="9"/>
      <c r="AC439" s="10">
        <f t="shared" si="107"/>
        <v>0</v>
      </c>
      <c r="AD439" s="8">
        <f>IFERROR(AC439/AC444, "NA")</f>
        <v>0</v>
      </c>
    </row>
    <row r="440" spans="1:30" ht="30.75" hidden="1" customHeight="1" x14ac:dyDescent="0.45">
      <c r="A440" s="6" t="s">
        <v>404</v>
      </c>
      <c r="B440" s="7">
        <v>0</v>
      </c>
      <c r="C440" s="8">
        <f>IFERROR(B440/B444, "NA")</f>
        <v>0</v>
      </c>
      <c r="D440" s="9"/>
      <c r="E440" s="7">
        <v>0</v>
      </c>
      <c r="F440" s="8">
        <f>IFERROR(E440/E444, "NA")</f>
        <v>0</v>
      </c>
      <c r="G440" s="9"/>
      <c r="H440" s="10">
        <f t="shared" si="104"/>
        <v>0</v>
      </c>
      <c r="I440" s="8">
        <f>IFERROR(H440/H444, "NA")</f>
        <v>0</v>
      </c>
      <c r="J440" s="9"/>
      <c r="K440" s="7">
        <v>0</v>
      </c>
      <c r="L440" s="8">
        <f>IFERROR(K440/K444, "NA")</f>
        <v>0</v>
      </c>
      <c r="M440" s="9"/>
      <c r="N440" s="10">
        <f t="shared" si="105"/>
        <v>0</v>
      </c>
      <c r="O440" s="8">
        <f>IFERROR(N440/N444, "NA")</f>
        <v>0</v>
      </c>
      <c r="P440" s="9"/>
      <c r="Q440" s="7">
        <v>0</v>
      </c>
      <c r="R440" s="8">
        <f>IFERROR(Q440/Q444, "NA")</f>
        <v>0</v>
      </c>
      <c r="S440" s="9"/>
      <c r="T440" s="7">
        <v>0</v>
      </c>
      <c r="U440" s="8">
        <f>IFERROR(T440/T444, "NA")</f>
        <v>0</v>
      </c>
      <c r="V440" s="9"/>
      <c r="W440" s="10">
        <f t="shared" si="106"/>
        <v>0</v>
      </c>
      <c r="X440" s="8">
        <f>IFERROR(W440/W444, "NA")</f>
        <v>0</v>
      </c>
      <c r="Y440" s="9"/>
      <c r="Z440" s="7">
        <v>0</v>
      </c>
      <c r="AA440" s="8">
        <f>IFERROR(Z440/Z444, "NA")</f>
        <v>0</v>
      </c>
      <c r="AB440" s="9"/>
      <c r="AC440" s="10">
        <f t="shared" si="107"/>
        <v>0</v>
      </c>
      <c r="AD440" s="8">
        <f>IFERROR(AC440/AC444, "NA")</f>
        <v>0</v>
      </c>
    </row>
    <row r="441" spans="1:30" ht="16.5" customHeight="1" x14ac:dyDescent="0.45">
      <c r="A441" s="19" t="s">
        <v>405</v>
      </c>
      <c r="B441" s="14">
        <f>IFERROR(B432+B433+B434+B435+B436+B437+B438+B439+B440, "NA")</f>
        <v>0</v>
      </c>
      <c r="C441" s="15">
        <f>IFERROR(B441/B444, "NA")</f>
        <v>0</v>
      </c>
      <c r="D441" s="2"/>
      <c r="E441" s="14">
        <f>IFERROR(E432+E433+E434+E435+E436+E437+E438+E439+E440, "NA")</f>
        <v>0</v>
      </c>
      <c r="F441" s="15">
        <f>IFERROR(E441/E444, "NA")</f>
        <v>0</v>
      </c>
      <c r="G441" s="2"/>
      <c r="H441" s="14">
        <f t="shared" si="104"/>
        <v>0</v>
      </c>
      <c r="I441" s="15">
        <f>IFERROR(H441/H444, "NA")</f>
        <v>0</v>
      </c>
      <c r="J441" s="2"/>
      <c r="K441" s="14">
        <f>IFERROR(K432+K433+K434+K435+K436+K437+K438+K439+K440, "NA")</f>
        <v>0</v>
      </c>
      <c r="L441" s="15">
        <f>IFERROR(K441/K444, "NA")</f>
        <v>0</v>
      </c>
      <c r="M441" s="2"/>
      <c r="N441" s="14">
        <f t="shared" si="105"/>
        <v>0</v>
      </c>
      <c r="O441" s="15">
        <f>IFERROR(N441/N444, "NA")</f>
        <v>0</v>
      </c>
      <c r="P441" s="2"/>
      <c r="Q441" s="14">
        <f>IFERROR(Q432+Q433+Q434+Q435+Q436+Q437+Q438+Q439+Q440, "NA")</f>
        <v>0</v>
      </c>
      <c r="R441" s="15">
        <f>IFERROR(Q441/Q444, "NA")</f>
        <v>0</v>
      </c>
      <c r="S441" s="2"/>
      <c r="T441" s="14">
        <f>IFERROR(T432+T433+T434+T435+T436+T437+T438+T439+T440, "NA")</f>
        <v>0</v>
      </c>
      <c r="U441" s="15">
        <f>IFERROR(T441/T444, "NA")</f>
        <v>0</v>
      </c>
      <c r="V441" s="2"/>
      <c r="W441" s="14">
        <f t="shared" si="106"/>
        <v>0</v>
      </c>
      <c r="X441" s="15">
        <f>IFERROR(W441/W444, "NA")</f>
        <v>0</v>
      </c>
      <c r="Y441" s="2"/>
      <c r="Z441" s="14">
        <f>IFERROR(Z432+Z433+Z434+Z435+Z436+Z437+Z438+Z439+Z440, "NA")</f>
        <v>0</v>
      </c>
      <c r="AA441" s="15">
        <f>IFERROR(Z441/Z444, "NA")</f>
        <v>0</v>
      </c>
      <c r="AB441" s="2"/>
      <c r="AC441" s="14">
        <f t="shared" si="107"/>
        <v>0</v>
      </c>
      <c r="AD441" s="15">
        <f>IFERROR(AC441/AC444, "NA")</f>
        <v>0</v>
      </c>
    </row>
    <row r="442" spans="1:30" ht="16.5" customHeight="1" x14ac:dyDescent="0.45">
      <c r="A442" s="21" t="s">
        <v>406</v>
      </c>
      <c r="B442" s="14">
        <f>IFERROR(B432+B433+B434+B435+B436+B437+B438+B439+B440, "NA")</f>
        <v>0</v>
      </c>
      <c r="C442" s="15">
        <f>IFERROR(B442/B444, "NA")</f>
        <v>0</v>
      </c>
      <c r="D442" s="2"/>
      <c r="E442" s="14">
        <f>IFERROR(E432+E433+E434+E435+E436+E437+E438+E439+E440, "NA")</f>
        <v>0</v>
      </c>
      <c r="F442" s="15">
        <f>IFERROR(E442/E444, "NA")</f>
        <v>0</v>
      </c>
      <c r="G442" s="2"/>
      <c r="H442" s="14">
        <f t="shared" si="104"/>
        <v>0</v>
      </c>
      <c r="I442" s="15">
        <f>IFERROR(H442/H444, "NA")</f>
        <v>0</v>
      </c>
      <c r="J442" s="2"/>
      <c r="K442" s="14">
        <f>IFERROR(K432+K433+K434+K435+K436+K437+K438+K439+K440, "NA")</f>
        <v>0</v>
      </c>
      <c r="L442" s="15">
        <f>IFERROR(K442/K444, "NA")</f>
        <v>0</v>
      </c>
      <c r="M442" s="2"/>
      <c r="N442" s="14">
        <f t="shared" si="105"/>
        <v>0</v>
      </c>
      <c r="O442" s="15">
        <f>IFERROR(N442/N444, "NA")</f>
        <v>0</v>
      </c>
      <c r="P442" s="2"/>
      <c r="Q442" s="14">
        <f>IFERROR(Q432+Q433+Q434+Q435+Q436+Q437+Q438+Q439+Q440, "NA")</f>
        <v>0</v>
      </c>
      <c r="R442" s="15">
        <f>IFERROR(Q442/Q444, "NA")</f>
        <v>0</v>
      </c>
      <c r="S442" s="2"/>
      <c r="T442" s="14">
        <f>IFERROR(T432+T433+T434+T435+T436+T437+T438+T439+T440, "NA")</f>
        <v>0</v>
      </c>
      <c r="U442" s="15">
        <f>IFERROR(T442/T444, "NA")</f>
        <v>0</v>
      </c>
      <c r="V442" s="2"/>
      <c r="W442" s="14">
        <f t="shared" si="106"/>
        <v>0</v>
      </c>
      <c r="X442" s="15">
        <f>IFERROR(W442/W444, "NA")</f>
        <v>0</v>
      </c>
      <c r="Y442" s="2"/>
      <c r="Z442" s="14">
        <f>IFERROR(Z432+Z433+Z434+Z435+Z436+Z437+Z438+Z439+Z440, "NA")</f>
        <v>0</v>
      </c>
      <c r="AA442" s="15">
        <f>IFERROR(Z442/Z444, "NA")</f>
        <v>0</v>
      </c>
      <c r="AB442" s="2"/>
      <c r="AC442" s="14">
        <f t="shared" si="107"/>
        <v>0</v>
      </c>
      <c r="AD442" s="15">
        <f>IFERROR(AC442/AC444, "NA")</f>
        <v>0</v>
      </c>
    </row>
    <row r="443" spans="1:30" ht="16.5" customHeight="1" x14ac:dyDescent="0.45">
      <c r="A443" s="22" t="s">
        <v>407</v>
      </c>
      <c r="B443" s="23">
        <f>IFERROR(B404-B429-B442, "NA")</f>
        <v>-665.57000000002608</v>
      </c>
      <c r="C443" s="24">
        <f>IFERROR(B443/B444, "NA")</f>
        <v>-5.0789361468979556E-3</v>
      </c>
      <c r="D443" s="25"/>
      <c r="E443" s="23">
        <f>IFERROR(E404-E429-E442, "NA")</f>
        <v>13475.030000000008</v>
      </c>
      <c r="F443" s="24">
        <f>IFERROR(E443/E444, "NA")</f>
        <v>9.4782420492145858E-2</v>
      </c>
      <c r="G443" s="25"/>
      <c r="H443" s="23">
        <f>IFERROR(B443-E443, "NA")</f>
        <v>-14140.600000000035</v>
      </c>
      <c r="I443" s="24">
        <f>IFERROR(H443/H444, "NA")</f>
        <v>1.2713085741359955</v>
      </c>
      <c r="J443" s="25"/>
      <c r="K443" s="23">
        <f>IFERROR(K404-K429-K442, "NA")</f>
        <v>1894.8200000000579</v>
      </c>
      <c r="L443" s="24">
        <f>IFERROR(K443/K444, "NA")</f>
        <v>1.3771188750363266E-2</v>
      </c>
      <c r="M443" s="25"/>
      <c r="N443" s="23">
        <f>IFERROR(B443-K443, "NA")</f>
        <v>-2560.390000000084</v>
      </c>
      <c r="O443" s="24">
        <f>IFERROR(N443/N444, "NA")</f>
        <v>0.39102460330794397</v>
      </c>
      <c r="P443" s="25"/>
      <c r="Q443" s="23">
        <f>IFERROR(Q404-Q429-Q442, "NA")</f>
        <v>-665.57000000002608</v>
      </c>
      <c r="R443" s="24">
        <f>IFERROR(Q443/Q444, "NA")</f>
        <v>-5.0789361468979556E-3</v>
      </c>
      <c r="S443" s="25"/>
      <c r="T443" s="23">
        <f>IFERROR(T404-T429-T442, "NA")</f>
        <v>13475.030000000008</v>
      </c>
      <c r="U443" s="24">
        <f>IFERROR(T443/T444, "NA")</f>
        <v>9.4782420492145858E-2</v>
      </c>
      <c r="V443" s="25"/>
      <c r="W443" s="23">
        <f>IFERROR(Q443-T443, "NA")</f>
        <v>-14140.600000000035</v>
      </c>
      <c r="X443" s="24">
        <f>IFERROR(W443/W444, "NA")</f>
        <v>1.2713085741359955</v>
      </c>
      <c r="Y443" s="25"/>
      <c r="Z443" s="23">
        <f>IFERROR(Z404-Z429-Z442, "NA")</f>
        <v>1894.8200000000579</v>
      </c>
      <c r="AA443" s="24">
        <f>IFERROR(Z443/Z444, "NA")</f>
        <v>1.3771188750363266E-2</v>
      </c>
      <c r="AB443" s="25"/>
      <c r="AC443" s="23">
        <f>IFERROR(Q443-Z443, "NA")</f>
        <v>-2560.390000000084</v>
      </c>
      <c r="AD443" s="24">
        <f>IFERROR(AC443/AC444, "NA")</f>
        <v>0.39102460330794397</v>
      </c>
    </row>
    <row r="444" spans="1:30" ht="15.75" hidden="1" x14ac:dyDescent="0.45">
      <c r="A444" s="26" t="s">
        <v>117</v>
      </c>
      <c r="B444" s="7">
        <v>131045.16</v>
      </c>
      <c r="C444" s="27"/>
      <c r="D444" s="9"/>
      <c r="E444" s="7">
        <v>142168.03</v>
      </c>
      <c r="F444" s="27"/>
      <c r="G444" s="9"/>
      <c r="H444" s="10">
        <f>IFERROR(B444-E444, "NA")</f>
        <v>-11122.869999999995</v>
      </c>
      <c r="I444" s="27"/>
      <c r="J444" s="9"/>
      <c r="K444" s="7">
        <v>137593.06</v>
      </c>
      <c r="L444" s="27"/>
      <c r="M444" s="9"/>
      <c r="N444" s="10">
        <f>IFERROR(B444-K444, "NA")</f>
        <v>-6547.8999999999942</v>
      </c>
      <c r="O444" s="27"/>
      <c r="P444" s="9"/>
      <c r="Q444" s="7">
        <v>131045.16</v>
      </c>
      <c r="R444" s="27"/>
      <c r="S444" s="9"/>
      <c r="T444" s="7">
        <v>142168.03</v>
      </c>
      <c r="U444" s="27"/>
      <c r="V444" s="9"/>
      <c r="W444" s="10">
        <f>IFERROR(Q444-T444, "NA")</f>
        <v>-11122.869999999995</v>
      </c>
      <c r="X444" s="27"/>
      <c r="Y444" s="9"/>
      <c r="Z444" s="7">
        <v>137593.06</v>
      </c>
      <c r="AA444" s="27"/>
      <c r="AB444" s="9"/>
      <c r="AC444" s="10">
        <f>IFERROR(Q444-Z444, "NA")</f>
        <v>-6547.8999999999942</v>
      </c>
      <c r="AD444" s="27"/>
    </row>
    <row r="447" spans="1:30" ht="15.75" x14ac:dyDescent="0.5">
      <c r="A447" s="28" t="s">
        <v>408</v>
      </c>
    </row>
    <row r="448" spans="1:30" ht="15.75" x14ac:dyDescent="0.5">
      <c r="A448" s="28" t="s">
        <v>409</v>
      </c>
    </row>
    <row r="449" spans="1:1" ht="15.75" x14ac:dyDescent="0.5">
      <c r="A449" s="28" t="s">
        <v>410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4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D44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25" x14ac:dyDescent="0.45"/>
  <cols>
    <col min="1" max="1" width="42.86328125" customWidth="1"/>
    <col min="2" max="2" width="17.1328125" customWidth="1"/>
    <col min="3" max="3" width="9.3984375" customWidth="1"/>
    <col min="4" max="4" width="1.3984375" customWidth="1"/>
    <col min="5" max="5" width="17.1328125" customWidth="1"/>
    <col min="6" max="6" width="9.3984375" customWidth="1"/>
    <col min="7" max="7" width="1.3984375" customWidth="1"/>
    <col min="8" max="8" width="17.1328125" customWidth="1"/>
    <col min="9" max="9" width="9.3984375" customWidth="1"/>
    <col min="10" max="10" width="1.3984375" customWidth="1"/>
    <col min="11" max="11" width="17.1328125" customWidth="1"/>
    <col min="12" max="12" width="9.3984375" customWidth="1"/>
    <col min="13" max="13" width="1.3984375" customWidth="1"/>
    <col min="14" max="14" width="17.1328125" customWidth="1"/>
    <col min="15" max="15" width="9.3984375" customWidth="1"/>
    <col min="16" max="16" width="1.3984375" customWidth="1"/>
    <col min="17" max="17" width="17.1328125" customWidth="1"/>
    <col min="18" max="18" width="9.3984375" customWidth="1"/>
    <col min="19" max="19" width="1.3984375" customWidth="1"/>
    <col min="20" max="20" width="17.1328125" customWidth="1"/>
    <col min="21" max="21" width="9.3984375" customWidth="1"/>
    <col min="22" max="22" width="1.3984375" customWidth="1"/>
    <col min="23" max="23" width="17.1328125" customWidth="1"/>
    <col min="24" max="24" width="9.3984375" customWidth="1"/>
    <col min="25" max="25" width="1.3984375" customWidth="1"/>
    <col min="26" max="26" width="17.1328125" customWidth="1"/>
    <col min="27" max="27" width="9.3984375" customWidth="1"/>
    <col min="28" max="28" width="1.3984375" customWidth="1"/>
    <col min="29" max="29" width="17.1328125" customWidth="1"/>
    <col min="30" max="30" width="9.3984375" customWidth="1"/>
  </cols>
  <sheetData>
    <row r="1" spans="1:30" ht="33.4" x14ac:dyDescent="0.45">
      <c r="A1" s="29" t="s">
        <v>0</v>
      </c>
      <c r="B1" s="29" t="s">
        <v>0</v>
      </c>
      <c r="C1" s="29" t="s">
        <v>0</v>
      </c>
      <c r="D1" s="29" t="s">
        <v>0</v>
      </c>
      <c r="E1" s="29" t="s">
        <v>0</v>
      </c>
      <c r="F1" s="29" t="s">
        <v>0</v>
      </c>
      <c r="G1" s="29" t="s">
        <v>0</v>
      </c>
      <c r="H1" s="29" t="s">
        <v>0</v>
      </c>
      <c r="I1" s="29" t="s">
        <v>0</v>
      </c>
      <c r="J1" s="29" t="s">
        <v>0</v>
      </c>
      <c r="K1" s="29" t="s">
        <v>0</v>
      </c>
      <c r="L1" s="29" t="s">
        <v>0</v>
      </c>
      <c r="M1" s="29" t="s">
        <v>0</v>
      </c>
      <c r="N1" s="29" t="s">
        <v>0</v>
      </c>
      <c r="O1" s="29" t="s">
        <v>0</v>
      </c>
      <c r="P1" s="29" t="s">
        <v>0</v>
      </c>
      <c r="Q1" s="29" t="s">
        <v>0</v>
      </c>
      <c r="R1" s="29" t="s">
        <v>0</v>
      </c>
      <c r="S1" s="29" t="s">
        <v>0</v>
      </c>
      <c r="T1" s="29" t="s">
        <v>0</v>
      </c>
      <c r="U1" s="29" t="s">
        <v>0</v>
      </c>
      <c r="V1" s="29" t="s">
        <v>0</v>
      </c>
      <c r="W1" s="29" t="s">
        <v>0</v>
      </c>
      <c r="X1" s="29" t="s">
        <v>0</v>
      </c>
      <c r="Y1" s="29" t="s">
        <v>0</v>
      </c>
      <c r="Z1" s="29" t="s">
        <v>0</v>
      </c>
      <c r="AA1" s="29" t="s">
        <v>0</v>
      </c>
      <c r="AB1" s="29" t="s">
        <v>0</v>
      </c>
      <c r="AC1" s="29" t="s">
        <v>0</v>
      </c>
      <c r="AD1" s="29" t="s">
        <v>0</v>
      </c>
    </row>
    <row r="2" spans="1:30" ht="23.25" x14ac:dyDescent="0.45">
      <c r="A2" s="30" t="s">
        <v>1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0" t="s">
        <v>1</v>
      </c>
      <c r="O2" s="30" t="s">
        <v>1</v>
      </c>
      <c r="P2" s="30" t="s">
        <v>1</v>
      </c>
      <c r="Q2" s="30" t="s">
        <v>1</v>
      </c>
      <c r="R2" s="30" t="s">
        <v>1</v>
      </c>
      <c r="S2" s="30" t="s">
        <v>1</v>
      </c>
      <c r="T2" s="30" t="s">
        <v>1</v>
      </c>
      <c r="U2" s="30" t="s">
        <v>1</v>
      </c>
      <c r="V2" s="30" t="s">
        <v>1</v>
      </c>
      <c r="W2" s="30" t="s">
        <v>1</v>
      </c>
      <c r="X2" s="30" t="s">
        <v>1</v>
      </c>
      <c r="Y2" s="30" t="s">
        <v>1</v>
      </c>
      <c r="Z2" s="30" t="s">
        <v>1</v>
      </c>
      <c r="AA2" s="30" t="s">
        <v>1</v>
      </c>
      <c r="AB2" s="30" t="s">
        <v>1</v>
      </c>
      <c r="AC2" s="30" t="s">
        <v>1</v>
      </c>
      <c r="AD2" s="30" t="s">
        <v>1</v>
      </c>
    </row>
    <row r="3" spans="1:30" ht="15.75" x14ac:dyDescent="0.45">
      <c r="A3" s="31" t="s">
        <v>414</v>
      </c>
      <c r="B3" s="31" t="s">
        <v>414</v>
      </c>
      <c r="C3" s="31" t="s">
        <v>414</v>
      </c>
      <c r="D3" s="31" t="s">
        <v>414</v>
      </c>
      <c r="E3" s="31" t="s">
        <v>414</v>
      </c>
      <c r="F3" s="31" t="s">
        <v>414</v>
      </c>
      <c r="G3" s="31" t="s">
        <v>414</v>
      </c>
      <c r="H3" s="31" t="s">
        <v>414</v>
      </c>
      <c r="I3" s="31" t="s">
        <v>414</v>
      </c>
      <c r="J3" s="31" t="s">
        <v>414</v>
      </c>
      <c r="K3" s="31" t="s">
        <v>414</v>
      </c>
      <c r="L3" s="31" t="s">
        <v>414</v>
      </c>
      <c r="M3" s="31" t="s">
        <v>414</v>
      </c>
      <c r="N3" s="31" t="s">
        <v>414</v>
      </c>
      <c r="O3" s="31" t="s">
        <v>414</v>
      </c>
      <c r="P3" s="31" t="s">
        <v>414</v>
      </c>
      <c r="Q3" s="31" t="s">
        <v>414</v>
      </c>
      <c r="R3" s="31" t="s">
        <v>414</v>
      </c>
      <c r="S3" s="31" t="s">
        <v>414</v>
      </c>
      <c r="T3" s="31" t="s">
        <v>414</v>
      </c>
      <c r="U3" s="31" t="s">
        <v>414</v>
      </c>
      <c r="V3" s="31" t="s">
        <v>414</v>
      </c>
      <c r="W3" s="31" t="s">
        <v>414</v>
      </c>
      <c r="X3" s="31" t="s">
        <v>414</v>
      </c>
      <c r="Y3" s="31" t="s">
        <v>414</v>
      </c>
      <c r="Z3" s="31" t="s">
        <v>414</v>
      </c>
      <c r="AA3" s="31" t="s">
        <v>414</v>
      </c>
      <c r="AB3" s="31" t="s">
        <v>414</v>
      </c>
      <c r="AC3" s="31" t="s">
        <v>414</v>
      </c>
      <c r="AD3" s="31" t="s">
        <v>414</v>
      </c>
    </row>
    <row r="5" spans="1:30" ht="16.5" customHeight="1" x14ac:dyDescent="0.45">
      <c r="A5" s="32" t="s">
        <v>3</v>
      </c>
      <c r="B5" s="33" t="s">
        <v>4</v>
      </c>
      <c r="C5" s="34" t="s">
        <v>3</v>
      </c>
      <c r="D5" s="32" t="s">
        <v>3</v>
      </c>
      <c r="E5" s="33" t="s">
        <v>5</v>
      </c>
      <c r="F5" s="34" t="s">
        <v>3</v>
      </c>
      <c r="G5" s="32" t="s">
        <v>3</v>
      </c>
      <c r="H5" s="33" t="s">
        <v>6</v>
      </c>
      <c r="I5" s="34" t="s">
        <v>3</v>
      </c>
      <c r="J5" s="32" t="s">
        <v>3</v>
      </c>
      <c r="K5" s="33" t="s">
        <v>7</v>
      </c>
      <c r="L5" s="34" t="s">
        <v>3</v>
      </c>
      <c r="M5" s="32" t="s">
        <v>3</v>
      </c>
      <c r="N5" s="33" t="s">
        <v>6</v>
      </c>
      <c r="O5" s="34" t="s">
        <v>3</v>
      </c>
      <c r="P5" s="32" t="s">
        <v>3</v>
      </c>
      <c r="Q5" s="33" t="s">
        <v>8</v>
      </c>
      <c r="R5" s="34" t="s">
        <v>3</v>
      </c>
      <c r="S5" s="32" t="s">
        <v>3</v>
      </c>
      <c r="T5" s="33" t="s">
        <v>9</v>
      </c>
      <c r="U5" s="34" t="s">
        <v>3</v>
      </c>
      <c r="V5" s="32" t="s">
        <v>3</v>
      </c>
      <c r="W5" s="33" t="s">
        <v>6</v>
      </c>
      <c r="X5" s="34" t="s">
        <v>3</v>
      </c>
      <c r="Y5" s="32" t="s">
        <v>3</v>
      </c>
      <c r="Z5" s="33" t="s">
        <v>10</v>
      </c>
      <c r="AA5" s="34" t="s">
        <v>3</v>
      </c>
      <c r="AB5" s="32" t="s">
        <v>3</v>
      </c>
      <c r="AC5" s="33" t="s">
        <v>6</v>
      </c>
      <c r="AD5" s="34" t="s">
        <v>3</v>
      </c>
    </row>
    <row r="6" spans="1:30" ht="16.5" customHeight="1" x14ac:dyDescent="0.45">
      <c r="A6" s="1" t="s">
        <v>11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45">
      <c r="A7" s="5" t="s">
        <v>11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45">
      <c r="A8" s="6" t="s">
        <v>11</v>
      </c>
      <c r="B8" s="7">
        <v>0</v>
      </c>
      <c r="C8" s="8">
        <f>IFERROR(B8/B444, "NA")</f>
        <v>0</v>
      </c>
      <c r="D8" s="9"/>
      <c r="E8" s="7">
        <v>0</v>
      </c>
      <c r="F8" s="8">
        <f>IFERROR(E8/E444, "NA")</f>
        <v>0</v>
      </c>
      <c r="G8" s="9"/>
      <c r="H8" s="10">
        <f>IFERROR(B8-E8, "NA")</f>
        <v>0</v>
      </c>
      <c r="I8" s="8">
        <f>IFERROR(H8/H444, "NA")</f>
        <v>0</v>
      </c>
      <c r="J8" s="9"/>
      <c r="K8" s="7">
        <v>0</v>
      </c>
      <c r="L8" s="8">
        <f>IFERROR(K8/K444, "NA")</f>
        <v>0</v>
      </c>
      <c r="M8" s="9"/>
      <c r="N8" s="10">
        <f>IFERROR(B8-K8, "NA")</f>
        <v>0</v>
      </c>
      <c r="O8" s="8">
        <f>IFERROR(N8/N444, "NA")</f>
        <v>0</v>
      </c>
      <c r="P8" s="9"/>
      <c r="Q8" s="7">
        <v>0</v>
      </c>
      <c r="R8" s="8">
        <f>IFERROR(Q8/Q444, "NA")</f>
        <v>0</v>
      </c>
      <c r="S8" s="9"/>
      <c r="T8" s="7">
        <v>0</v>
      </c>
      <c r="U8" s="8">
        <f>IFERROR(T8/T444, "NA")</f>
        <v>0</v>
      </c>
      <c r="V8" s="9"/>
      <c r="W8" s="10">
        <f>IFERROR(Q8-T8, "NA")</f>
        <v>0</v>
      </c>
      <c r="X8" s="8">
        <f>IFERROR(W8/W444, "NA")</f>
        <v>0</v>
      </c>
      <c r="Y8" s="9"/>
      <c r="Z8" s="7">
        <v>0</v>
      </c>
      <c r="AA8" s="8">
        <f>IFERROR(Z8/Z444, "NA")</f>
        <v>0</v>
      </c>
      <c r="AB8" s="9"/>
      <c r="AC8" s="10">
        <f>IFERROR(Q8-Z8, "NA")</f>
        <v>0</v>
      </c>
      <c r="AD8" s="8">
        <f>IFERROR(AC8/AC444, "NA")</f>
        <v>0</v>
      </c>
    </row>
    <row r="9" spans="1:30" ht="16.5" customHeight="1" x14ac:dyDescent="0.45">
      <c r="A9" s="11" t="s">
        <v>12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45">
      <c r="A10" s="12" t="s">
        <v>12</v>
      </c>
      <c r="B10" s="7">
        <v>0</v>
      </c>
      <c r="C10" s="8">
        <f>IFERROR(B10/B444, "NA")</f>
        <v>0</v>
      </c>
      <c r="D10" s="9"/>
      <c r="E10" s="7">
        <v>29051.18</v>
      </c>
      <c r="F10" s="8">
        <f>IFERROR(E10/E444, "NA")</f>
        <v>0.4259999263878565</v>
      </c>
      <c r="G10" s="9"/>
      <c r="H10" s="10">
        <f t="shared" ref="H10:H19" si="0">IFERROR(B10-E10, "NA")</f>
        <v>-29051.18</v>
      </c>
      <c r="I10" s="8">
        <f>IFERROR(H10/H444, "NA")</f>
        <v>-6.730917869918998</v>
      </c>
      <c r="J10" s="9"/>
      <c r="K10" s="7">
        <v>0</v>
      </c>
      <c r="L10" s="8">
        <f>IFERROR(K10/K444, "NA")</f>
        <v>0</v>
      </c>
      <c r="M10" s="9"/>
      <c r="N10" s="10">
        <f t="shared" ref="N10:N19" si="1">IFERROR(B10-K10, "NA")</f>
        <v>0</v>
      </c>
      <c r="O10" s="8">
        <f>IFERROR(N10/N444, "NA")</f>
        <v>0</v>
      </c>
      <c r="P10" s="9"/>
      <c r="Q10" s="7">
        <v>0</v>
      </c>
      <c r="R10" s="8">
        <f>IFERROR(Q10/Q444, "NA")</f>
        <v>0</v>
      </c>
      <c r="S10" s="9"/>
      <c r="T10" s="7">
        <v>29051.18</v>
      </c>
      <c r="U10" s="8">
        <f>IFERROR(T10/T444, "NA")</f>
        <v>0.4259999263878565</v>
      </c>
      <c r="V10" s="9"/>
      <c r="W10" s="10">
        <f t="shared" ref="W10:W19" si="2">IFERROR(Q10-T10, "NA")</f>
        <v>-29051.18</v>
      </c>
      <c r="X10" s="8">
        <f>IFERROR(W10/W444, "NA")</f>
        <v>-6.730917869918998</v>
      </c>
      <c r="Y10" s="9"/>
      <c r="Z10" s="7">
        <v>0</v>
      </c>
      <c r="AA10" s="8">
        <f>IFERROR(Z10/Z444, "NA")</f>
        <v>0</v>
      </c>
      <c r="AB10" s="9"/>
      <c r="AC10" s="10">
        <f t="shared" ref="AC10:AC19" si="3">IFERROR(Q10-Z10, "NA")</f>
        <v>0</v>
      </c>
      <c r="AD10" s="8">
        <f>IFERROR(AC10/AC444, "NA")</f>
        <v>0</v>
      </c>
    </row>
    <row r="11" spans="1:30" ht="16.5" customHeight="1" x14ac:dyDescent="0.45">
      <c r="A11" s="12" t="s">
        <v>13</v>
      </c>
      <c r="B11" s="7">
        <v>29664.6</v>
      </c>
      <c r="C11" s="8">
        <f>IFERROR(B11/B444, "NA")</f>
        <v>0.40910285079508235</v>
      </c>
      <c r="D11" s="9"/>
      <c r="E11" s="7">
        <v>0</v>
      </c>
      <c r="F11" s="8">
        <f>IFERROR(E11/E444, "NA")</f>
        <v>0</v>
      </c>
      <c r="G11" s="9"/>
      <c r="H11" s="10">
        <f t="shared" si="0"/>
        <v>29664.6</v>
      </c>
      <c r="I11" s="8">
        <f>IFERROR(H11/H444, "NA")</f>
        <v>6.8730422049637605</v>
      </c>
      <c r="J11" s="9"/>
      <c r="K11" s="7">
        <v>28219.49</v>
      </c>
      <c r="L11" s="8">
        <f>IFERROR(K11/K444, "NA")</f>
        <v>0.42932187521204046</v>
      </c>
      <c r="M11" s="9"/>
      <c r="N11" s="10">
        <f t="shared" si="1"/>
        <v>1445.1099999999969</v>
      </c>
      <c r="O11" s="8">
        <f>IFERROR(N11/N444, "NA")</f>
        <v>0.21311257828894636</v>
      </c>
      <c r="P11" s="9"/>
      <c r="Q11" s="7">
        <v>29664.6</v>
      </c>
      <c r="R11" s="8">
        <f>IFERROR(Q11/Q444, "NA")</f>
        <v>0.40910285079508235</v>
      </c>
      <c r="S11" s="9"/>
      <c r="T11" s="7">
        <v>0</v>
      </c>
      <c r="U11" s="8">
        <f>IFERROR(T11/T444, "NA")</f>
        <v>0</v>
      </c>
      <c r="V11" s="9"/>
      <c r="W11" s="10">
        <f t="shared" si="2"/>
        <v>29664.6</v>
      </c>
      <c r="X11" s="8">
        <f>IFERROR(W11/W444, "NA")</f>
        <v>6.8730422049637605</v>
      </c>
      <c r="Y11" s="9"/>
      <c r="Z11" s="7">
        <v>28219.49</v>
      </c>
      <c r="AA11" s="8">
        <f>IFERROR(Z11/Z444, "NA")</f>
        <v>0.42932187521204046</v>
      </c>
      <c r="AB11" s="9"/>
      <c r="AC11" s="10">
        <f t="shared" si="3"/>
        <v>1445.1099999999969</v>
      </c>
      <c r="AD11" s="8">
        <f>IFERROR(AC11/AC444, "NA")</f>
        <v>0.21311257828894636</v>
      </c>
    </row>
    <row r="12" spans="1:30" ht="16.5" customHeight="1" x14ac:dyDescent="0.45">
      <c r="A12" s="12" t="s">
        <v>14</v>
      </c>
      <c r="B12" s="7">
        <v>2569.6</v>
      </c>
      <c r="C12" s="8">
        <f>IFERROR(B12/B444, "NA")</f>
        <v>3.5437210864230219E-2</v>
      </c>
      <c r="D12" s="9"/>
      <c r="E12" s="7">
        <v>0</v>
      </c>
      <c r="F12" s="8">
        <f>IFERROR(E12/E444, "NA")</f>
        <v>0</v>
      </c>
      <c r="G12" s="9"/>
      <c r="H12" s="10">
        <f t="shared" si="0"/>
        <v>2569.6</v>
      </c>
      <c r="I12" s="8">
        <f>IFERROR(H12/H444, "NA")</f>
        <v>0.59535504439213338</v>
      </c>
      <c r="J12" s="9"/>
      <c r="K12" s="7">
        <v>2368.65</v>
      </c>
      <c r="L12" s="8">
        <f>IFERROR(K12/K444, "NA")</f>
        <v>3.6035848263770875E-2</v>
      </c>
      <c r="M12" s="9"/>
      <c r="N12" s="10">
        <f t="shared" si="1"/>
        <v>200.94999999999982</v>
      </c>
      <c r="O12" s="8">
        <f>IFERROR(N12/N444, "NA")</f>
        <v>2.9634403337575565E-2</v>
      </c>
      <c r="P12" s="9"/>
      <c r="Q12" s="7">
        <v>2569.6</v>
      </c>
      <c r="R12" s="8">
        <f>IFERROR(Q12/Q444, "NA")</f>
        <v>3.5437210864230219E-2</v>
      </c>
      <c r="S12" s="9"/>
      <c r="T12" s="7">
        <v>0</v>
      </c>
      <c r="U12" s="8">
        <f>IFERROR(T12/T444, "NA")</f>
        <v>0</v>
      </c>
      <c r="V12" s="9"/>
      <c r="W12" s="10">
        <f t="shared" si="2"/>
        <v>2569.6</v>
      </c>
      <c r="X12" s="8">
        <f>IFERROR(W12/W444, "NA")</f>
        <v>0.59535504439213338</v>
      </c>
      <c r="Y12" s="9"/>
      <c r="Z12" s="7">
        <v>2368.65</v>
      </c>
      <c r="AA12" s="8">
        <f>IFERROR(Z12/Z444, "NA")</f>
        <v>3.6035848263770875E-2</v>
      </c>
      <c r="AB12" s="9"/>
      <c r="AC12" s="10">
        <f t="shared" si="3"/>
        <v>200.94999999999982</v>
      </c>
      <c r="AD12" s="8">
        <f>IFERROR(AC12/AC444, "NA")</f>
        <v>2.9634403337575565E-2</v>
      </c>
    </row>
    <row r="13" spans="1:30" ht="16.5" customHeight="1" x14ac:dyDescent="0.45">
      <c r="A13" s="12" t="s">
        <v>15</v>
      </c>
      <c r="B13" s="7">
        <v>50.5</v>
      </c>
      <c r="C13" s="8">
        <f>IFERROR(B13/B444, "NA")</f>
        <v>6.9644269483329151E-4</v>
      </c>
      <c r="D13" s="9"/>
      <c r="E13" s="7">
        <v>0</v>
      </c>
      <c r="F13" s="8">
        <f>IFERROR(E13/E444, "NA")</f>
        <v>0</v>
      </c>
      <c r="G13" s="9"/>
      <c r="H13" s="10">
        <f t="shared" si="0"/>
        <v>50.5</v>
      </c>
      <c r="I13" s="8">
        <f>IFERROR(H13/H444, "NA")</f>
        <v>1.1700431873366569E-2</v>
      </c>
      <c r="J13" s="9"/>
      <c r="K13" s="7">
        <v>32.5</v>
      </c>
      <c r="L13" s="8">
        <f>IFERROR(K13/K444, "NA")</f>
        <v>4.9444412157665903E-4</v>
      </c>
      <c r="M13" s="9"/>
      <c r="N13" s="10">
        <f t="shared" si="1"/>
        <v>18</v>
      </c>
      <c r="O13" s="8">
        <f>IFERROR(N13/N444, "NA")</f>
        <v>2.6544874848288664E-3</v>
      </c>
      <c r="P13" s="9"/>
      <c r="Q13" s="7">
        <v>50.5</v>
      </c>
      <c r="R13" s="8">
        <f>IFERROR(Q13/Q444, "NA")</f>
        <v>6.9644269483329151E-4</v>
      </c>
      <c r="S13" s="9"/>
      <c r="T13" s="7">
        <v>0</v>
      </c>
      <c r="U13" s="8">
        <f>IFERROR(T13/T444, "NA")</f>
        <v>0</v>
      </c>
      <c r="V13" s="9"/>
      <c r="W13" s="10">
        <f t="shared" si="2"/>
        <v>50.5</v>
      </c>
      <c r="X13" s="8">
        <f>IFERROR(W13/W444, "NA")</f>
        <v>1.1700431873366569E-2</v>
      </c>
      <c r="Y13" s="9"/>
      <c r="Z13" s="7">
        <v>32.5</v>
      </c>
      <c r="AA13" s="8">
        <f>IFERROR(Z13/Z444, "NA")</f>
        <v>4.9444412157665903E-4</v>
      </c>
      <c r="AB13" s="9"/>
      <c r="AC13" s="10">
        <f t="shared" si="3"/>
        <v>18</v>
      </c>
      <c r="AD13" s="8">
        <f>IFERROR(AC13/AC444, "NA")</f>
        <v>2.6544874848288664E-3</v>
      </c>
    </row>
    <row r="14" spans="1:30" ht="16.5" customHeight="1" x14ac:dyDescent="0.45">
      <c r="A14" s="12" t="s">
        <v>16</v>
      </c>
      <c r="B14" s="7">
        <v>35</v>
      </c>
      <c r="C14" s="8">
        <f>IFERROR(B14/B444, "NA")</f>
        <v>4.8268305582505354E-4</v>
      </c>
      <c r="D14" s="9"/>
      <c r="E14" s="7">
        <v>0</v>
      </c>
      <c r="F14" s="8">
        <f>IFERROR(E14/E444, "NA")</f>
        <v>0</v>
      </c>
      <c r="G14" s="9"/>
      <c r="H14" s="10">
        <f t="shared" si="0"/>
        <v>35</v>
      </c>
      <c r="I14" s="8">
        <f>IFERROR(H14/H444, "NA")</f>
        <v>8.109210209263959E-3</v>
      </c>
      <c r="J14" s="9"/>
      <c r="K14" s="7">
        <v>155</v>
      </c>
      <c r="L14" s="8">
        <f>IFERROR(K14/K444, "NA")</f>
        <v>2.3581181182886816E-3</v>
      </c>
      <c r="M14" s="9"/>
      <c r="N14" s="10">
        <f t="shared" si="1"/>
        <v>-120</v>
      </c>
      <c r="O14" s="8">
        <f>IFERROR(N14/N444, "NA")</f>
        <v>-1.7696583232192441E-2</v>
      </c>
      <c r="P14" s="9"/>
      <c r="Q14" s="7">
        <v>35</v>
      </c>
      <c r="R14" s="8">
        <f>IFERROR(Q14/Q444, "NA")</f>
        <v>4.8268305582505354E-4</v>
      </c>
      <c r="S14" s="9"/>
      <c r="T14" s="7">
        <v>0</v>
      </c>
      <c r="U14" s="8">
        <f>IFERROR(T14/T444, "NA")</f>
        <v>0</v>
      </c>
      <c r="V14" s="9"/>
      <c r="W14" s="10">
        <f t="shared" si="2"/>
        <v>35</v>
      </c>
      <c r="X14" s="8">
        <f>IFERROR(W14/W444, "NA")</f>
        <v>8.109210209263959E-3</v>
      </c>
      <c r="Y14" s="9"/>
      <c r="Z14" s="7">
        <v>155</v>
      </c>
      <c r="AA14" s="8">
        <f>IFERROR(Z14/Z444, "NA")</f>
        <v>2.3581181182886816E-3</v>
      </c>
      <c r="AB14" s="9"/>
      <c r="AC14" s="10">
        <f t="shared" si="3"/>
        <v>-120</v>
      </c>
      <c r="AD14" s="8">
        <f>IFERROR(AC14/AC444, "NA")</f>
        <v>-1.7696583232192441E-2</v>
      </c>
    </row>
    <row r="15" spans="1:30" ht="16.5" customHeight="1" x14ac:dyDescent="0.45">
      <c r="A15" s="12" t="s">
        <v>17</v>
      </c>
      <c r="B15" s="7">
        <v>36</v>
      </c>
      <c r="C15" s="8">
        <f>IFERROR(B15/B444, "NA")</f>
        <v>4.9647400027719797E-4</v>
      </c>
      <c r="D15" s="9"/>
      <c r="E15" s="7">
        <v>0</v>
      </c>
      <c r="F15" s="8">
        <f>IFERROR(E15/E444, "NA")</f>
        <v>0</v>
      </c>
      <c r="G15" s="9"/>
      <c r="H15" s="10">
        <f t="shared" si="0"/>
        <v>36</v>
      </c>
      <c r="I15" s="8">
        <f>IFERROR(H15/H444, "NA")</f>
        <v>8.3409019295286428E-3</v>
      </c>
      <c r="J15" s="9"/>
      <c r="K15" s="7">
        <v>15.5</v>
      </c>
      <c r="L15" s="8">
        <f>IFERROR(K15/K444, "NA")</f>
        <v>2.3581181182886815E-4</v>
      </c>
      <c r="M15" s="9"/>
      <c r="N15" s="10">
        <f t="shared" si="1"/>
        <v>20.5</v>
      </c>
      <c r="O15" s="8">
        <f>IFERROR(N15/N444, "NA")</f>
        <v>3.0231663021662086E-3</v>
      </c>
      <c r="P15" s="9"/>
      <c r="Q15" s="7">
        <v>36</v>
      </c>
      <c r="R15" s="8">
        <f>IFERROR(Q15/Q444, "NA")</f>
        <v>4.9647400027719797E-4</v>
      </c>
      <c r="S15" s="9"/>
      <c r="T15" s="7">
        <v>0</v>
      </c>
      <c r="U15" s="8">
        <f>IFERROR(T15/T444, "NA")</f>
        <v>0</v>
      </c>
      <c r="V15" s="9"/>
      <c r="W15" s="10">
        <f t="shared" si="2"/>
        <v>36</v>
      </c>
      <c r="X15" s="8">
        <f>IFERROR(W15/W444, "NA")</f>
        <v>8.3409019295286428E-3</v>
      </c>
      <c r="Y15" s="9"/>
      <c r="Z15" s="7">
        <v>15.5</v>
      </c>
      <c r="AA15" s="8">
        <f>IFERROR(Z15/Z444, "NA")</f>
        <v>2.3581181182886815E-4</v>
      </c>
      <c r="AB15" s="9"/>
      <c r="AC15" s="10">
        <f t="shared" si="3"/>
        <v>20.5</v>
      </c>
      <c r="AD15" s="8">
        <f>IFERROR(AC15/AC444, "NA")</f>
        <v>3.0231663021662086E-3</v>
      </c>
    </row>
    <row r="16" spans="1:30" ht="16.5" customHeight="1" x14ac:dyDescent="0.45">
      <c r="A16" s="12" t="s">
        <v>18</v>
      </c>
      <c r="B16" s="7">
        <v>0</v>
      </c>
      <c r="C16" s="8">
        <f>IFERROR(B16/B444, "NA")</f>
        <v>0</v>
      </c>
      <c r="D16" s="9"/>
      <c r="E16" s="7">
        <v>0</v>
      </c>
      <c r="F16" s="8">
        <f>IFERROR(E16/E444, "NA")</f>
        <v>0</v>
      </c>
      <c r="G16" s="9"/>
      <c r="H16" s="10">
        <f t="shared" si="0"/>
        <v>0</v>
      </c>
      <c r="I16" s="8">
        <f>IFERROR(H16/H444, "NA")</f>
        <v>0</v>
      </c>
      <c r="J16" s="9"/>
      <c r="K16" s="7">
        <v>1.1000000000000001</v>
      </c>
      <c r="L16" s="8">
        <f>IFERROR(K16/K444, "NA")</f>
        <v>1.6735031807210001E-5</v>
      </c>
      <c r="M16" s="9"/>
      <c r="N16" s="10">
        <f t="shared" si="1"/>
        <v>-1.1000000000000001</v>
      </c>
      <c r="O16" s="8">
        <f>IFERROR(N16/N444, "NA")</f>
        <v>-1.6221867962843073E-4</v>
      </c>
      <c r="P16" s="9"/>
      <c r="Q16" s="7">
        <v>0</v>
      </c>
      <c r="R16" s="8">
        <f>IFERROR(Q16/Q444, "NA")</f>
        <v>0</v>
      </c>
      <c r="S16" s="9"/>
      <c r="T16" s="7">
        <v>0</v>
      </c>
      <c r="U16" s="8">
        <f>IFERROR(T16/T444, "NA")</f>
        <v>0</v>
      </c>
      <c r="V16" s="9"/>
      <c r="W16" s="10">
        <f t="shared" si="2"/>
        <v>0</v>
      </c>
      <c r="X16" s="8">
        <f>IFERROR(W16/W444, "NA")</f>
        <v>0</v>
      </c>
      <c r="Y16" s="9"/>
      <c r="Z16" s="7">
        <v>1.1000000000000001</v>
      </c>
      <c r="AA16" s="8">
        <f>IFERROR(Z16/Z444, "NA")</f>
        <v>1.6735031807210001E-5</v>
      </c>
      <c r="AB16" s="9"/>
      <c r="AC16" s="10">
        <f t="shared" si="3"/>
        <v>-1.1000000000000001</v>
      </c>
      <c r="AD16" s="8">
        <f>IFERROR(AC16/AC444, "NA")</f>
        <v>-1.6221867962843073E-4</v>
      </c>
    </row>
    <row r="17" spans="1:30" ht="16.5" hidden="1" customHeight="1" x14ac:dyDescent="0.45">
      <c r="A17" s="12" t="s">
        <v>19</v>
      </c>
      <c r="B17" s="7">
        <v>0</v>
      </c>
      <c r="C17" s="8">
        <f>IFERROR(B17/B444, "NA")</f>
        <v>0</v>
      </c>
      <c r="D17" s="9"/>
      <c r="E17" s="7">
        <v>0</v>
      </c>
      <c r="F17" s="8">
        <f>IFERROR(E17/E444, "NA")</f>
        <v>0</v>
      </c>
      <c r="G17" s="9"/>
      <c r="H17" s="10">
        <f t="shared" si="0"/>
        <v>0</v>
      </c>
      <c r="I17" s="8">
        <f>IFERROR(H17/H444, "NA")</f>
        <v>0</v>
      </c>
      <c r="J17" s="9"/>
      <c r="K17" s="7">
        <v>0</v>
      </c>
      <c r="L17" s="8">
        <f>IFERROR(K17/K444, "NA")</f>
        <v>0</v>
      </c>
      <c r="M17" s="9"/>
      <c r="N17" s="10">
        <f t="shared" si="1"/>
        <v>0</v>
      </c>
      <c r="O17" s="8">
        <f>IFERROR(N17/N444, "NA")</f>
        <v>0</v>
      </c>
      <c r="P17" s="9"/>
      <c r="Q17" s="7">
        <v>0</v>
      </c>
      <c r="R17" s="8">
        <f>IFERROR(Q17/Q444, "NA")</f>
        <v>0</v>
      </c>
      <c r="S17" s="9"/>
      <c r="T17" s="7">
        <v>0</v>
      </c>
      <c r="U17" s="8">
        <f>IFERROR(T17/T444, "NA")</f>
        <v>0</v>
      </c>
      <c r="V17" s="9"/>
      <c r="W17" s="10">
        <f t="shared" si="2"/>
        <v>0</v>
      </c>
      <c r="X17" s="8">
        <f>IFERROR(W17/W444, "NA")</f>
        <v>0</v>
      </c>
      <c r="Y17" s="9"/>
      <c r="Z17" s="7">
        <v>0</v>
      </c>
      <c r="AA17" s="8">
        <f>IFERROR(Z17/Z444, "NA")</f>
        <v>0</v>
      </c>
      <c r="AB17" s="9"/>
      <c r="AC17" s="10">
        <f t="shared" si="3"/>
        <v>0</v>
      </c>
      <c r="AD17" s="8">
        <f>IFERROR(AC17/AC444, "NA")</f>
        <v>0</v>
      </c>
    </row>
    <row r="18" spans="1:30" ht="16.5" customHeight="1" x14ac:dyDescent="0.45">
      <c r="A18" s="13" t="s">
        <v>20</v>
      </c>
      <c r="B18" s="14">
        <f>IFERROR(B10+B11+B12+B13+B14+B15+B16+B17, "NA")</f>
        <v>32355.699999999997</v>
      </c>
      <c r="C18" s="15">
        <f>IFERROR(B18/B444, "NA")</f>
        <v>0.4462156614102481</v>
      </c>
      <c r="D18" s="2"/>
      <c r="E18" s="14">
        <f>IFERROR(E10+E11+E12+E13+E14+E15+E16+E17, "NA")</f>
        <v>29051.18</v>
      </c>
      <c r="F18" s="15">
        <f>IFERROR(E18/E444, "NA")</f>
        <v>0.4259999263878565</v>
      </c>
      <c r="G18" s="2"/>
      <c r="H18" s="14">
        <f t="shared" si="0"/>
        <v>3304.5199999999968</v>
      </c>
      <c r="I18" s="15">
        <f>IFERROR(H18/H444, "NA")</f>
        <v>0.76562992344905456</v>
      </c>
      <c r="J18" s="2"/>
      <c r="K18" s="14">
        <f>IFERROR(K10+K11+K12+K13+K14+K15+K16+K17, "NA")</f>
        <v>30792.240000000002</v>
      </c>
      <c r="L18" s="15">
        <f>IFERROR(K18/K444, "NA")</f>
        <v>0.46846283255931276</v>
      </c>
      <c r="M18" s="2"/>
      <c r="N18" s="14">
        <f t="shared" si="1"/>
        <v>1563.4599999999955</v>
      </c>
      <c r="O18" s="15">
        <f>IFERROR(N18/N444, "NA")</f>
        <v>0.23056583350169596</v>
      </c>
      <c r="P18" s="2"/>
      <c r="Q18" s="14">
        <f>IFERROR(Q10+Q11+Q12+Q13+Q14+Q15+Q16+Q17, "NA")</f>
        <v>32355.699999999997</v>
      </c>
      <c r="R18" s="15">
        <f>IFERROR(Q18/Q444, "NA")</f>
        <v>0.4462156614102481</v>
      </c>
      <c r="S18" s="2"/>
      <c r="T18" s="14">
        <f>IFERROR(T10+T11+T12+T13+T14+T15+T16+T17, "NA")</f>
        <v>29051.18</v>
      </c>
      <c r="U18" s="15">
        <f>IFERROR(T18/T444, "NA")</f>
        <v>0.4259999263878565</v>
      </c>
      <c r="V18" s="2"/>
      <c r="W18" s="14">
        <f t="shared" si="2"/>
        <v>3304.5199999999968</v>
      </c>
      <c r="X18" s="15">
        <f>IFERROR(W18/W444, "NA")</f>
        <v>0.76562992344905456</v>
      </c>
      <c r="Y18" s="2"/>
      <c r="Z18" s="14">
        <f>IFERROR(Z10+Z11+Z12+Z13+Z14+Z15+Z16+Z17, "NA")</f>
        <v>30792.240000000002</v>
      </c>
      <c r="AA18" s="15">
        <f>IFERROR(Z18/Z444, "NA")</f>
        <v>0.46846283255931276</v>
      </c>
      <c r="AB18" s="2"/>
      <c r="AC18" s="14">
        <f t="shared" si="3"/>
        <v>1563.4599999999955</v>
      </c>
      <c r="AD18" s="15">
        <f>IFERROR(AC18/AC444, "NA")</f>
        <v>0.23056583350169596</v>
      </c>
    </row>
    <row r="19" spans="1:30" ht="16.5" hidden="1" customHeight="1" x14ac:dyDescent="0.45">
      <c r="A19" s="6" t="s">
        <v>21</v>
      </c>
      <c r="B19" s="7">
        <v>0</v>
      </c>
      <c r="C19" s="8">
        <f>IFERROR(B19/B444, "NA")</f>
        <v>0</v>
      </c>
      <c r="D19" s="9"/>
      <c r="E19" s="7">
        <v>0</v>
      </c>
      <c r="F19" s="8">
        <f>IFERROR(E19/E444, "NA")</f>
        <v>0</v>
      </c>
      <c r="G19" s="9"/>
      <c r="H19" s="10">
        <f t="shared" si="0"/>
        <v>0</v>
      </c>
      <c r="I19" s="8">
        <f>IFERROR(H19/H444, "NA")</f>
        <v>0</v>
      </c>
      <c r="J19" s="9"/>
      <c r="K19" s="7">
        <v>0</v>
      </c>
      <c r="L19" s="8">
        <f>IFERROR(K19/K444, "NA")</f>
        <v>0</v>
      </c>
      <c r="M19" s="9"/>
      <c r="N19" s="10">
        <f t="shared" si="1"/>
        <v>0</v>
      </c>
      <c r="O19" s="8">
        <f>IFERROR(N19/N444, "NA")</f>
        <v>0</v>
      </c>
      <c r="P19" s="9"/>
      <c r="Q19" s="7">
        <v>0</v>
      </c>
      <c r="R19" s="8">
        <f>IFERROR(Q19/Q444, "NA")</f>
        <v>0</v>
      </c>
      <c r="S19" s="9"/>
      <c r="T19" s="7">
        <v>0</v>
      </c>
      <c r="U19" s="8">
        <f>IFERROR(T19/T444, "NA")</f>
        <v>0</v>
      </c>
      <c r="V19" s="9"/>
      <c r="W19" s="10">
        <f t="shared" si="2"/>
        <v>0</v>
      </c>
      <c r="X19" s="8">
        <f>IFERROR(W19/W444, "NA")</f>
        <v>0</v>
      </c>
      <c r="Y19" s="9"/>
      <c r="Z19" s="7">
        <v>0</v>
      </c>
      <c r="AA19" s="8">
        <f>IFERROR(Z19/Z444, "NA")</f>
        <v>0</v>
      </c>
      <c r="AB19" s="9"/>
      <c r="AC19" s="10">
        <f t="shared" si="3"/>
        <v>0</v>
      </c>
      <c r="AD19" s="8">
        <f>IFERROR(AC19/AC444, "NA")</f>
        <v>0</v>
      </c>
    </row>
    <row r="20" spans="1:30" ht="16.5" customHeight="1" x14ac:dyDescent="0.45">
      <c r="A20" s="11" t="s">
        <v>22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45">
      <c r="A21" s="12" t="s">
        <v>22</v>
      </c>
      <c r="B21" s="7">
        <v>0</v>
      </c>
      <c r="C21" s="8">
        <f>IFERROR(B21/B444, "NA")</f>
        <v>0</v>
      </c>
      <c r="D21" s="9"/>
      <c r="E21" s="7">
        <v>6273.96</v>
      </c>
      <c r="F21" s="8">
        <f>IFERROR(E21/E444, "NA")</f>
        <v>9.1999929027335767E-2</v>
      </c>
      <c r="G21" s="9"/>
      <c r="H21" s="10">
        <f t="shared" ref="H21:H29" si="4">IFERROR(B21-E21, "NA")</f>
        <v>-6273.96</v>
      </c>
      <c r="I21" s="8">
        <f>IFERROR(H21/H444, "NA")</f>
        <v>-1.4536245852718201</v>
      </c>
      <c r="J21" s="9"/>
      <c r="K21" s="7">
        <v>0</v>
      </c>
      <c r="L21" s="8">
        <f>IFERROR(K21/K444, "NA")</f>
        <v>0</v>
      </c>
      <c r="M21" s="9"/>
      <c r="N21" s="10">
        <f t="shared" ref="N21:N29" si="5">IFERROR(B21-K21, "NA")</f>
        <v>0</v>
      </c>
      <c r="O21" s="8">
        <f>IFERROR(N21/N444, "NA")</f>
        <v>0</v>
      </c>
      <c r="P21" s="9"/>
      <c r="Q21" s="7">
        <v>0</v>
      </c>
      <c r="R21" s="8">
        <f>IFERROR(Q21/Q444, "NA")</f>
        <v>0</v>
      </c>
      <c r="S21" s="9"/>
      <c r="T21" s="7">
        <v>6273.96</v>
      </c>
      <c r="U21" s="8">
        <f>IFERROR(T21/T444, "NA")</f>
        <v>9.1999929027335767E-2</v>
      </c>
      <c r="V21" s="9"/>
      <c r="W21" s="10">
        <f t="shared" ref="W21:W29" si="6">IFERROR(Q21-T21, "NA")</f>
        <v>-6273.96</v>
      </c>
      <c r="X21" s="8">
        <f>IFERROR(W21/W444, "NA")</f>
        <v>-1.4536245852718201</v>
      </c>
      <c r="Y21" s="9"/>
      <c r="Z21" s="7">
        <v>0</v>
      </c>
      <c r="AA21" s="8">
        <f>IFERROR(Z21/Z444, "NA")</f>
        <v>0</v>
      </c>
      <c r="AB21" s="9"/>
      <c r="AC21" s="10">
        <f t="shared" ref="AC21:AC29" si="7">IFERROR(Q21-Z21, "NA")</f>
        <v>0</v>
      </c>
      <c r="AD21" s="8">
        <f>IFERROR(AC21/AC444, "NA")</f>
        <v>0</v>
      </c>
    </row>
    <row r="22" spans="1:30" ht="16.5" customHeight="1" x14ac:dyDescent="0.45">
      <c r="A22" s="12" t="s">
        <v>23</v>
      </c>
      <c r="B22" s="7">
        <v>2358.63</v>
      </c>
      <c r="C22" s="8">
        <f>IFERROR(B22/B444, "NA")</f>
        <v>3.2527735313161318E-2</v>
      </c>
      <c r="D22" s="9"/>
      <c r="E22" s="7">
        <v>0</v>
      </c>
      <c r="F22" s="8">
        <f>IFERROR(E22/E444, "NA")</f>
        <v>0</v>
      </c>
      <c r="G22" s="9"/>
      <c r="H22" s="10">
        <f t="shared" si="4"/>
        <v>2358.63</v>
      </c>
      <c r="I22" s="8">
        <f>IFERROR(H22/H444, "NA")</f>
        <v>0.54647504216789289</v>
      </c>
      <c r="J22" s="9"/>
      <c r="K22" s="7">
        <v>4166.95</v>
      </c>
      <c r="L22" s="8">
        <f>IFERROR(K22/K444, "NA")</f>
        <v>6.3394582535503369E-2</v>
      </c>
      <c r="M22" s="9"/>
      <c r="N22" s="10">
        <f t="shared" si="5"/>
        <v>-1808.3199999999997</v>
      </c>
      <c r="O22" s="8">
        <f>IFERROR(N22/N444, "NA")</f>
        <v>-0.26667571158698528</v>
      </c>
      <c r="P22" s="9"/>
      <c r="Q22" s="7">
        <v>2358.63</v>
      </c>
      <c r="R22" s="8">
        <f>IFERROR(Q22/Q444, "NA")</f>
        <v>3.2527735313161318E-2</v>
      </c>
      <c r="S22" s="9"/>
      <c r="T22" s="7">
        <v>0</v>
      </c>
      <c r="U22" s="8">
        <f>IFERROR(T22/T444, "NA")</f>
        <v>0</v>
      </c>
      <c r="V22" s="9"/>
      <c r="W22" s="10">
        <f t="shared" si="6"/>
        <v>2358.63</v>
      </c>
      <c r="X22" s="8">
        <f>IFERROR(W22/W444, "NA")</f>
        <v>0.54647504216789289</v>
      </c>
      <c r="Y22" s="9"/>
      <c r="Z22" s="7">
        <v>4166.95</v>
      </c>
      <c r="AA22" s="8">
        <f>IFERROR(Z22/Z444, "NA")</f>
        <v>6.3394582535503369E-2</v>
      </c>
      <c r="AB22" s="9"/>
      <c r="AC22" s="10">
        <f t="shared" si="7"/>
        <v>-1808.3199999999997</v>
      </c>
      <c r="AD22" s="8">
        <f>IFERROR(AC22/AC444, "NA")</f>
        <v>-0.26667571158698528</v>
      </c>
    </row>
    <row r="23" spans="1:30" ht="16.5" customHeight="1" x14ac:dyDescent="0.45">
      <c r="A23" s="12" t="s">
        <v>24</v>
      </c>
      <c r="B23" s="7">
        <v>1918.7</v>
      </c>
      <c r="C23" s="8">
        <f>IFERROR(B23/B444, "NA")</f>
        <v>2.6460685120329435E-2</v>
      </c>
      <c r="D23" s="9"/>
      <c r="E23" s="7">
        <v>0</v>
      </c>
      <c r="F23" s="8">
        <f>IFERROR(E23/E444, "NA")</f>
        <v>0</v>
      </c>
      <c r="G23" s="9"/>
      <c r="H23" s="10">
        <f t="shared" si="4"/>
        <v>1918.7</v>
      </c>
      <c r="I23" s="8">
        <f>IFERROR(H23/H444, "NA")</f>
        <v>0.44454690367185024</v>
      </c>
      <c r="J23" s="9"/>
      <c r="K23" s="7">
        <v>0</v>
      </c>
      <c r="L23" s="8">
        <f>IFERROR(K23/K444, "NA")</f>
        <v>0</v>
      </c>
      <c r="M23" s="9"/>
      <c r="N23" s="10">
        <f t="shared" si="5"/>
        <v>1918.7</v>
      </c>
      <c r="O23" s="8">
        <f>IFERROR(N23/N444, "NA")</f>
        <v>0.28295361873006364</v>
      </c>
      <c r="P23" s="9"/>
      <c r="Q23" s="7">
        <v>1918.7</v>
      </c>
      <c r="R23" s="8">
        <f>IFERROR(Q23/Q444, "NA")</f>
        <v>2.6460685120329435E-2</v>
      </c>
      <c r="S23" s="9"/>
      <c r="T23" s="7">
        <v>0</v>
      </c>
      <c r="U23" s="8">
        <f>IFERROR(T23/T444, "NA")</f>
        <v>0</v>
      </c>
      <c r="V23" s="9"/>
      <c r="W23" s="10">
        <f t="shared" si="6"/>
        <v>1918.7</v>
      </c>
      <c r="X23" s="8">
        <f>IFERROR(W23/W444, "NA")</f>
        <v>0.44454690367185024</v>
      </c>
      <c r="Y23" s="9"/>
      <c r="Z23" s="7">
        <v>0</v>
      </c>
      <c r="AA23" s="8">
        <f>IFERROR(Z23/Z444, "NA")</f>
        <v>0</v>
      </c>
      <c r="AB23" s="9"/>
      <c r="AC23" s="10">
        <f t="shared" si="7"/>
        <v>1918.7</v>
      </c>
      <c r="AD23" s="8">
        <f>IFERROR(AC23/AC444, "NA")</f>
        <v>0.28295361873006364</v>
      </c>
    </row>
    <row r="24" spans="1:30" ht="16.5" customHeight="1" x14ac:dyDescent="0.45">
      <c r="A24" s="12" t="s">
        <v>25</v>
      </c>
      <c r="B24" s="7">
        <v>1112.7</v>
      </c>
      <c r="C24" s="8">
        <f>IFERROR(B24/B444, "NA")</f>
        <v>1.534518389190106E-2</v>
      </c>
      <c r="D24" s="9"/>
      <c r="E24" s="7">
        <v>0</v>
      </c>
      <c r="F24" s="8">
        <f>IFERROR(E24/E444, "NA")</f>
        <v>0</v>
      </c>
      <c r="G24" s="9"/>
      <c r="H24" s="10">
        <f t="shared" si="4"/>
        <v>1112.7</v>
      </c>
      <c r="I24" s="8">
        <f>IFERROR(H24/H444, "NA")</f>
        <v>0.25780337713851448</v>
      </c>
      <c r="J24" s="9"/>
      <c r="K24" s="7">
        <v>696.28</v>
      </c>
      <c r="L24" s="8">
        <f>IFERROR(K24/K444, "NA")</f>
        <v>1.0592970860658343E-2</v>
      </c>
      <c r="M24" s="9"/>
      <c r="N24" s="10">
        <f t="shared" si="5"/>
        <v>416.42000000000007</v>
      </c>
      <c r="O24" s="8">
        <f>IFERROR(N24/N444, "NA")</f>
        <v>6.141009324624648E-2</v>
      </c>
      <c r="P24" s="9"/>
      <c r="Q24" s="7">
        <v>1112.7</v>
      </c>
      <c r="R24" s="8">
        <f>IFERROR(Q24/Q444, "NA")</f>
        <v>1.534518389190106E-2</v>
      </c>
      <c r="S24" s="9"/>
      <c r="T24" s="7">
        <v>0</v>
      </c>
      <c r="U24" s="8">
        <f>IFERROR(T24/T444, "NA")</f>
        <v>0</v>
      </c>
      <c r="V24" s="9"/>
      <c r="W24" s="10">
        <f t="shared" si="6"/>
        <v>1112.7</v>
      </c>
      <c r="X24" s="8">
        <f>IFERROR(W24/W444, "NA")</f>
        <v>0.25780337713851448</v>
      </c>
      <c r="Y24" s="9"/>
      <c r="Z24" s="7">
        <v>696.28</v>
      </c>
      <c r="AA24" s="8">
        <f>IFERROR(Z24/Z444, "NA")</f>
        <v>1.0592970860658343E-2</v>
      </c>
      <c r="AB24" s="9"/>
      <c r="AC24" s="10">
        <f t="shared" si="7"/>
        <v>416.42000000000007</v>
      </c>
      <c r="AD24" s="8">
        <f>IFERROR(AC24/AC444, "NA")</f>
        <v>6.141009324624648E-2</v>
      </c>
    </row>
    <row r="25" spans="1:30" ht="16.5" customHeight="1" x14ac:dyDescent="0.45">
      <c r="A25" s="12" t="s">
        <v>26</v>
      </c>
      <c r="B25" s="7">
        <v>47.79</v>
      </c>
      <c r="C25" s="8">
        <f>IFERROR(B25/B444, "NA")</f>
        <v>6.5906923536798029E-4</v>
      </c>
      <c r="D25" s="9"/>
      <c r="E25" s="7">
        <v>0</v>
      </c>
      <c r="F25" s="8">
        <f>IFERROR(E25/E444, "NA")</f>
        <v>0</v>
      </c>
      <c r="G25" s="9"/>
      <c r="H25" s="10">
        <f t="shared" si="4"/>
        <v>47.79</v>
      </c>
      <c r="I25" s="8">
        <f>IFERROR(H25/H444, "NA")</f>
        <v>1.1072547311449273E-2</v>
      </c>
      <c r="J25" s="9"/>
      <c r="K25" s="7">
        <v>0</v>
      </c>
      <c r="L25" s="8">
        <f>IFERROR(K25/K444, "NA")</f>
        <v>0</v>
      </c>
      <c r="M25" s="9"/>
      <c r="N25" s="10">
        <f t="shared" si="5"/>
        <v>47.79</v>
      </c>
      <c r="O25" s="8">
        <f>IFERROR(N25/N444, "NA")</f>
        <v>7.0476642722206396E-3</v>
      </c>
      <c r="P25" s="9"/>
      <c r="Q25" s="7">
        <v>47.79</v>
      </c>
      <c r="R25" s="8">
        <f>IFERROR(Q25/Q444, "NA")</f>
        <v>6.5906923536798029E-4</v>
      </c>
      <c r="S25" s="9"/>
      <c r="T25" s="7">
        <v>0</v>
      </c>
      <c r="U25" s="8">
        <f>IFERROR(T25/T444, "NA")</f>
        <v>0</v>
      </c>
      <c r="V25" s="9"/>
      <c r="W25" s="10">
        <f t="shared" si="6"/>
        <v>47.79</v>
      </c>
      <c r="X25" s="8">
        <f>IFERROR(W25/W444, "NA")</f>
        <v>1.1072547311449273E-2</v>
      </c>
      <c r="Y25" s="9"/>
      <c r="Z25" s="7">
        <v>0</v>
      </c>
      <c r="AA25" s="8">
        <f>IFERROR(Z25/Z444, "NA")</f>
        <v>0</v>
      </c>
      <c r="AB25" s="9"/>
      <c r="AC25" s="10">
        <f t="shared" si="7"/>
        <v>47.79</v>
      </c>
      <c r="AD25" s="8">
        <f>IFERROR(AC25/AC444, "NA")</f>
        <v>7.0476642722206396E-3</v>
      </c>
    </row>
    <row r="26" spans="1:30" ht="16.5" customHeight="1" x14ac:dyDescent="0.45">
      <c r="A26" s="12" t="s">
        <v>27</v>
      </c>
      <c r="B26" s="7">
        <v>713.74</v>
      </c>
      <c r="C26" s="8">
        <f>IFERROR(B26/B444, "NA")</f>
        <v>9.8431486932735353E-3</v>
      </c>
      <c r="D26" s="9"/>
      <c r="E26" s="7">
        <v>0</v>
      </c>
      <c r="F26" s="8">
        <f>IFERROR(E26/E444, "NA")</f>
        <v>0</v>
      </c>
      <c r="G26" s="9"/>
      <c r="H26" s="10">
        <f t="shared" si="4"/>
        <v>713.74</v>
      </c>
      <c r="I26" s="8">
        <f>IFERROR(H26/H444, "NA")</f>
        <v>0.16536764842171595</v>
      </c>
      <c r="J26" s="9"/>
      <c r="K26" s="7">
        <v>0</v>
      </c>
      <c r="L26" s="8">
        <f>IFERROR(K26/K444, "NA")</f>
        <v>0</v>
      </c>
      <c r="M26" s="9"/>
      <c r="N26" s="10">
        <f t="shared" si="5"/>
        <v>713.74</v>
      </c>
      <c r="O26" s="8">
        <f>IFERROR(N26/N444, "NA")</f>
        <v>0.10525632763454194</v>
      </c>
      <c r="P26" s="9"/>
      <c r="Q26" s="7">
        <v>713.74</v>
      </c>
      <c r="R26" s="8">
        <f>IFERROR(Q26/Q444, "NA")</f>
        <v>9.8431486932735353E-3</v>
      </c>
      <c r="S26" s="9"/>
      <c r="T26" s="7">
        <v>0</v>
      </c>
      <c r="U26" s="8">
        <f>IFERROR(T26/T444, "NA")</f>
        <v>0</v>
      </c>
      <c r="V26" s="9"/>
      <c r="W26" s="10">
        <f t="shared" si="6"/>
        <v>713.74</v>
      </c>
      <c r="X26" s="8">
        <f>IFERROR(W26/W444, "NA")</f>
        <v>0.16536764842171595</v>
      </c>
      <c r="Y26" s="9"/>
      <c r="Z26" s="7">
        <v>0</v>
      </c>
      <c r="AA26" s="8">
        <f>IFERROR(Z26/Z444, "NA")</f>
        <v>0</v>
      </c>
      <c r="AB26" s="9"/>
      <c r="AC26" s="10">
        <f t="shared" si="7"/>
        <v>713.74</v>
      </c>
      <c r="AD26" s="8">
        <f>IFERROR(AC26/AC444, "NA")</f>
        <v>0.10525632763454194</v>
      </c>
    </row>
    <row r="27" spans="1:30" ht="16.5" hidden="1" customHeight="1" x14ac:dyDescent="0.45">
      <c r="A27" s="12" t="s">
        <v>28</v>
      </c>
      <c r="B27" s="7">
        <v>0</v>
      </c>
      <c r="C27" s="8">
        <f>IFERROR(B27/B444, "NA")</f>
        <v>0</v>
      </c>
      <c r="D27" s="9"/>
      <c r="E27" s="7">
        <v>0</v>
      </c>
      <c r="F27" s="8">
        <f>IFERROR(E27/E444, "NA")</f>
        <v>0</v>
      </c>
      <c r="G27" s="9"/>
      <c r="H27" s="10">
        <f t="shared" si="4"/>
        <v>0</v>
      </c>
      <c r="I27" s="8">
        <f>IFERROR(H27/H444, "NA")</f>
        <v>0</v>
      </c>
      <c r="J27" s="9"/>
      <c r="K27" s="7">
        <v>0</v>
      </c>
      <c r="L27" s="8">
        <f>IFERROR(K27/K444, "NA")</f>
        <v>0</v>
      </c>
      <c r="M27" s="9"/>
      <c r="N27" s="10">
        <f t="shared" si="5"/>
        <v>0</v>
      </c>
      <c r="O27" s="8">
        <f>IFERROR(N27/N444, "NA")</f>
        <v>0</v>
      </c>
      <c r="P27" s="9"/>
      <c r="Q27" s="7">
        <v>0</v>
      </c>
      <c r="R27" s="8">
        <f>IFERROR(Q27/Q444, "NA")</f>
        <v>0</v>
      </c>
      <c r="S27" s="9"/>
      <c r="T27" s="7">
        <v>0</v>
      </c>
      <c r="U27" s="8">
        <f>IFERROR(T27/T444, "NA")</f>
        <v>0</v>
      </c>
      <c r="V27" s="9"/>
      <c r="W27" s="10">
        <f t="shared" si="6"/>
        <v>0</v>
      </c>
      <c r="X27" s="8">
        <f>IFERROR(W27/W444, "NA")</f>
        <v>0</v>
      </c>
      <c r="Y27" s="9"/>
      <c r="Z27" s="7">
        <v>0</v>
      </c>
      <c r="AA27" s="8">
        <f>IFERROR(Z27/Z444, "NA")</f>
        <v>0</v>
      </c>
      <c r="AB27" s="9"/>
      <c r="AC27" s="10">
        <f t="shared" si="7"/>
        <v>0</v>
      </c>
      <c r="AD27" s="8">
        <f>IFERROR(AC27/AC444, "NA")</f>
        <v>0</v>
      </c>
    </row>
    <row r="28" spans="1:30" ht="16.5" customHeight="1" x14ac:dyDescent="0.45">
      <c r="A28" s="12" t="s">
        <v>29</v>
      </c>
      <c r="B28" s="7">
        <v>790.68</v>
      </c>
      <c r="C28" s="8">
        <f>IFERROR(B28/B444, "NA")</f>
        <v>1.0904223959421524E-2</v>
      </c>
      <c r="D28" s="9"/>
      <c r="E28" s="7">
        <v>0</v>
      </c>
      <c r="F28" s="8">
        <f>IFERROR(E28/E444, "NA")</f>
        <v>0</v>
      </c>
      <c r="G28" s="9"/>
      <c r="H28" s="10">
        <f t="shared" si="4"/>
        <v>790.68</v>
      </c>
      <c r="I28" s="8">
        <f>IFERROR(H28/H444, "NA")</f>
        <v>0.18319400937888075</v>
      </c>
      <c r="J28" s="9"/>
      <c r="K28" s="7">
        <v>802.66</v>
      </c>
      <c r="L28" s="8">
        <f>IFERROR(K28/K444, "NA")</f>
        <v>1.2211400573068342E-2</v>
      </c>
      <c r="M28" s="9"/>
      <c r="N28" s="10">
        <f t="shared" si="5"/>
        <v>-11.980000000000018</v>
      </c>
      <c r="O28" s="8">
        <f>IFERROR(N28/N444, "NA")</f>
        <v>-1.7667088926805481E-3</v>
      </c>
      <c r="P28" s="9"/>
      <c r="Q28" s="7">
        <v>790.68</v>
      </c>
      <c r="R28" s="8">
        <f>IFERROR(Q28/Q444, "NA")</f>
        <v>1.0904223959421524E-2</v>
      </c>
      <c r="S28" s="9"/>
      <c r="T28" s="7">
        <v>0</v>
      </c>
      <c r="U28" s="8">
        <f>IFERROR(T28/T444, "NA")</f>
        <v>0</v>
      </c>
      <c r="V28" s="9"/>
      <c r="W28" s="10">
        <f t="shared" si="6"/>
        <v>790.68</v>
      </c>
      <c r="X28" s="8">
        <f>IFERROR(W28/W444, "NA")</f>
        <v>0.18319400937888075</v>
      </c>
      <c r="Y28" s="9"/>
      <c r="Z28" s="7">
        <v>802.66</v>
      </c>
      <c r="AA28" s="8">
        <f>IFERROR(Z28/Z444, "NA")</f>
        <v>1.2211400573068342E-2</v>
      </c>
      <c r="AB28" s="9"/>
      <c r="AC28" s="10">
        <f t="shared" si="7"/>
        <v>-11.980000000000018</v>
      </c>
      <c r="AD28" s="8">
        <f>IFERROR(AC28/AC444, "NA")</f>
        <v>-1.7667088926805481E-3</v>
      </c>
    </row>
    <row r="29" spans="1:30" ht="16.5" customHeight="1" x14ac:dyDescent="0.45">
      <c r="A29" s="13" t="s">
        <v>30</v>
      </c>
      <c r="B29" s="14">
        <f>IFERROR(B21+B22+B23+B24+B25+B26+B27+B28, "NA")</f>
        <v>6942.24</v>
      </c>
      <c r="C29" s="15">
        <f>IFERROR(B29/B444, "NA")</f>
        <v>9.5740046213454846E-2</v>
      </c>
      <c r="D29" s="2"/>
      <c r="E29" s="14">
        <f>IFERROR(E21+E22+E23+E24+E25+E26+E27+E28, "NA")</f>
        <v>6273.96</v>
      </c>
      <c r="F29" s="15">
        <f>IFERROR(E29/E444, "NA")</f>
        <v>9.1999929027335767E-2</v>
      </c>
      <c r="G29" s="2"/>
      <c r="H29" s="14">
        <f t="shared" si="4"/>
        <v>668.27999999999975</v>
      </c>
      <c r="I29" s="15">
        <f>IFERROR(H29/H444, "NA")</f>
        <v>0.15483494281848331</v>
      </c>
      <c r="J29" s="2"/>
      <c r="K29" s="14">
        <f>IFERROR(K21+K22+K23+K24+K25+K26+K27+K28, "NA")</f>
        <v>5665.8899999999994</v>
      </c>
      <c r="L29" s="15">
        <f>IFERROR(K29/K444, "NA")</f>
        <v>8.6198953969230038E-2</v>
      </c>
      <c r="M29" s="2"/>
      <c r="N29" s="14">
        <f t="shared" si="5"/>
        <v>1276.3500000000004</v>
      </c>
      <c r="O29" s="15">
        <f>IFERROR(N29/N444, "NA")</f>
        <v>0.18822528340340691</v>
      </c>
      <c r="P29" s="2"/>
      <c r="Q29" s="14">
        <f>IFERROR(Q21+Q22+Q23+Q24+Q25+Q26+Q27+Q28, "NA")</f>
        <v>6942.24</v>
      </c>
      <c r="R29" s="15">
        <f>IFERROR(Q29/Q444, "NA")</f>
        <v>9.5740046213454846E-2</v>
      </c>
      <c r="S29" s="2"/>
      <c r="T29" s="14">
        <f>IFERROR(T21+T22+T23+T24+T25+T26+T27+T28, "NA")</f>
        <v>6273.96</v>
      </c>
      <c r="U29" s="15">
        <f>IFERROR(T29/T444, "NA")</f>
        <v>9.1999929027335767E-2</v>
      </c>
      <c r="V29" s="2"/>
      <c r="W29" s="14">
        <f t="shared" si="6"/>
        <v>668.27999999999975</v>
      </c>
      <c r="X29" s="15">
        <f>IFERROR(W29/W444, "NA")</f>
        <v>0.15483494281848331</v>
      </c>
      <c r="Y29" s="2"/>
      <c r="Z29" s="14">
        <f>IFERROR(Z21+Z22+Z23+Z24+Z25+Z26+Z27+Z28, "NA")</f>
        <v>5665.8899999999994</v>
      </c>
      <c r="AA29" s="15">
        <f>IFERROR(Z29/Z444, "NA")</f>
        <v>8.6198953969230038E-2</v>
      </c>
      <c r="AB29" s="2"/>
      <c r="AC29" s="14">
        <f t="shared" si="7"/>
        <v>1276.3500000000004</v>
      </c>
      <c r="AD29" s="15">
        <f>IFERROR(AC29/AC444, "NA")</f>
        <v>0.18822528340340691</v>
      </c>
    </row>
    <row r="30" spans="1:30" ht="16.5" customHeight="1" x14ac:dyDescent="0.45">
      <c r="A30" s="11" t="s">
        <v>31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45">
      <c r="A31" s="12" t="s">
        <v>31</v>
      </c>
      <c r="B31" s="7">
        <v>0</v>
      </c>
      <c r="C31" s="8">
        <f>IFERROR(B31/B444, "NA")</f>
        <v>0</v>
      </c>
      <c r="D31" s="9"/>
      <c r="E31" s="7">
        <v>16503.259999999998</v>
      </c>
      <c r="F31" s="8">
        <f>IFERROR(E31/E444, "NA")</f>
        <v>0.24200006833318494</v>
      </c>
      <c r="G31" s="9"/>
      <c r="H31" s="10">
        <f t="shared" ref="H31:H40" si="8">IFERROR(B31-E31, "NA")</f>
        <v>-16503.259999999998</v>
      </c>
      <c r="I31" s="8">
        <f>IFERROR(H31/H444, "NA")</f>
        <v>-3.8236686993753572</v>
      </c>
      <c r="J31" s="9"/>
      <c r="K31" s="7">
        <v>0</v>
      </c>
      <c r="L31" s="8">
        <f>IFERROR(K31/K444, "NA")</f>
        <v>0</v>
      </c>
      <c r="M31" s="9"/>
      <c r="N31" s="10">
        <f t="shared" ref="N31:N40" si="9">IFERROR(B31-K31, "NA")</f>
        <v>0</v>
      </c>
      <c r="O31" s="8">
        <f>IFERROR(N31/N444, "NA")</f>
        <v>0</v>
      </c>
      <c r="P31" s="9"/>
      <c r="Q31" s="7">
        <v>0</v>
      </c>
      <c r="R31" s="8">
        <f>IFERROR(Q31/Q444, "NA")</f>
        <v>0</v>
      </c>
      <c r="S31" s="9"/>
      <c r="T31" s="7">
        <v>16503.259999999998</v>
      </c>
      <c r="U31" s="8">
        <f>IFERROR(T31/T444, "NA")</f>
        <v>0.24200006833318494</v>
      </c>
      <c r="V31" s="9"/>
      <c r="W31" s="10">
        <f t="shared" ref="W31:W40" si="10">IFERROR(Q31-T31, "NA")</f>
        <v>-16503.259999999998</v>
      </c>
      <c r="X31" s="8">
        <f>IFERROR(W31/W444, "NA")</f>
        <v>-3.8236686993753572</v>
      </c>
      <c r="Y31" s="9"/>
      <c r="Z31" s="7">
        <v>0</v>
      </c>
      <c r="AA31" s="8">
        <f>IFERROR(Z31/Z444, "NA")</f>
        <v>0</v>
      </c>
      <c r="AB31" s="9"/>
      <c r="AC31" s="10">
        <f t="shared" ref="AC31:AC40" si="11">IFERROR(Q31-Z31, "NA")</f>
        <v>0</v>
      </c>
      <c r="AD31" s="8">
        <f>IFERROR(AC31/AC444, "NA")</f>
        <v>0</v>
      </c>
    </row>
    <row r="32" spans="1:30" ht="16.5" hidden="1" customHeight="1" x14ac:dyDescent="0.45">
      <c r="A32" s="12" t="s">
        <v>32</v>
      </c>
      <c r="B32" s="7">
        <v>0</v>
      </c>
      <c r="C32" s="8">
        <f>IFERROR(B32/B444, "NA")</f>
        <v>0</v>
      </c>
      <c r="D32" s="9"/>
      <c r="E32" s="7">
        <v>0</v>
      </c>
      <c r="F32" s="8">
        <f>IFERROR(E32/E444, "NA")</f>
        <v>0</v>
      </c>
      <c r="G32" s="9"/>
      <c r="H32" s="10">
        <f t="shared" si="8"/>
        <v>0</v>
      </c>
      <c r="I32" s="8">
        <f>IFERROR(H32/H444, "NA")</f>
        <v>0</v>
      </c>
      <c r="J32" s="9"/>
      <c r="K32" s="7">
        <v>0</v>
      </c>
      <c r="L32" s="8">
        <f>IFERROR(K32/K444, "NA")</f>
        <v>0</v>
      </c>
      <c r="M32" s="9"/>
      <c r="N32" s="10">
        <f t="shared" si="9"/>
        <v>0</v>
      </c>
      <c r="O32" s="8">
        <f>IFERROR(N32/N444, "NA")</f>
        <v>0</v>
      </c>
      <c r="P32" s="9"/>
      <c r="Q32" s="7">
        <v>0</v>
      </c>
      <c r="R32" s="8">
        <f>IFERROR(Q32/Q444, "NA")</f>
        <v>0</v>
      </c>
      <c r="S32" s="9"/>
      <c r="T32" s="7">
        <v>0</v>
      </c>
      <c r="U32" s="8">
        <f>IFERROR(T32/T444, "NA")</f>
        <v>0</v>
      </c>
      <c r="V32" s="9"/>
      <c r="W32" s="10">
        <f t="shared" si="10"/>
        <v>0</v>
      </c>
      <c r="X32" s="8">
        <f>IFERROR(W32/W444, "NA")</f>
        <v>0</v>
      </c>
      <c r="Y32" s="9"/>
      <c r="Z32" s="7">
        <v>0</v>
      </c>
      <c r="AA32" s="8">
        <f>IFERROR(Z32/Z444, "NA")</f>
        <v>0</v>
      </c>
      <c r="AB32" s="9"/>
      <c r="AC32" s="10">
        <f t="shared" si="11"/>
        <v>0</v>
      </c>
      <c r="AD32" s="8">
        <f>IFERROR(AC32/AC444, "NA")</f>
        <v>0</v>
      </c>
    </row>
    <row r="33" spans="1:30" ht="16.5" customHeight="1" x14ac:dyDescent="0.45">
      <c r="A33" s="12" t="s">
        <v>33</v>
      </c>
      <c r="B33" s="7">
        <v>11277.98</v>
      </c>
      <c r="C33" s="8">
        <f>IFERROR(B33/B444, "NA")</f>
        <v>0.15553399571239535</v>
      </c>
      <c r="D33" s="9"/>
      <c r="E33" s="7">
        <v>0</v>
      </c>
      <c r="F33" s="8">
        <f>IFERROR(E33/E444, "NA")</f>
        <v>0</v>
      </c>
      <c r="G33" s="9"/>
      <c r="H33" s="10">
        <f t="shared" si="8"/>
        <v>11277.98</v>
      </c>
      <c r="I33" s="8">
        <f>IFERROR(H33/H444, "NA")</f>
        <v>2.6130145873107069</v>
      </c>
      <c r="J33" s="9"/>
      <c r="K33" s="7">
        <v>8366.34</v>
      </c>
      <c r="L33" s="8">
        <f>IFERROR(K33/K444, "NA")</f>
        <v>0.12728269637266665</v>
      </c>
      <c r="M33" s="9"/>
      <c r="N33" s="10">
        <f t="shared" si="9"/>
        <v>2911.6399999999994</v>
      </c>
      <c r="O33" s="8">
        <f>IFERROR(N33/N444, "NA")</f>
        <v>0.4293839966848399</v>
      </c>
      <c r="P33" s="9"/>
      <c r="Q33" s="7">
        <v>11277.98</v>
      </c>
      <c r="R33" s="8">
        <f>IFERROR(Q33/Q444, "NA")</f>
        <v>0.15553399571239535</v>
      </c>
      <c r="S33" s="9"/>
      <c r="T33" s="7">
        <v>0</v>
      </c>
      <c r="U33" s="8">
        <f>IFERROR(T33/T444, "NA")</f>
        <v>0</v>
      </c>
      <c r="V33" s="9"/>
      <c r="W33" s="10">
        <f t="shared" si="10"/>
        <v>11277.98</v>
      </c>
      <c r="X33" s="8">
        <f>IFERROR(W33/W444, "NA")</f>
        <v>2.6130145873107069</v>
      </c>
      <c r="Y33" s="9"/>
      <c r="Z33" s="7">
        <v>8366.34</v>
      </c>
      <c r="AA33" s="8">
        <f>IFERROR(Z33/Z444, "NA")</f>
        <v>0.12728269637266665</v>
      </c>
      <c r="AB33" s="9"/>
      <c r="AC33" s="10">
        <f t="shared" si="11"/>
        <v>2911.6399999999994</v>
      </c>
      <c r="AD33" s="8">
        <f>IFERROR(AC33/AC444, "NA")</f>
        <v>0.4293839966848399</v>
      </c>
    </row>
    <row r="34" spans="1:30" ht="16.5" hidden="1" customHeight="1" x14ac:dyDescent="0.45">
      <c r="A34" s="12" t="s">
        <v>34</v>
      </c>
      <c r="B34" s="7">
        <v>0</v>
      </c>
      <c r="C34" s="8">
        <f>IFERROR(B34/B444, "NA")</f>
        <v>0</v>
      </c>
      <c r="D34" s="9"/>
      <c r="E34" s="7">
        <v>0</v>
      </c>
      <c r="F34" s="8">
        <f>IFERROR(E34/E444, "NA")</f>
        <v>0</v>
      </c>
      <c r="G34" s="9"/>
      <c r="H34" s="10">
        <f t="shared" si="8"/>
        <v>0</v>
      </c>
      <c r="I34" s="8">
        <f>IFERROR(H34/H444, "NA")</f>
        <v>0</v>
      </c>
      <c r="J34" s="9"/>
      <c r="K34" s="7">
        <v>0</v>
      </c>
      <c r="L34" s="8">
        <f>IFERROR(K34/K444, "NA")</f>
        <v>0</v>
      </c>
      <c r="M34" s="9"/>
      <c r="N34" s="10">
        <f t="shared" si="9"/>
        <v>0</v>
      </c>
      <c r="O34" s="8">
        <f>IFERROR(N34/N444, "NA")</f>
        <v>0</v>
      </c>
      <c r="P34" s="9"/>
      <c r="Q34" s="7">
        <v>0</v>
      </c>
      <c r="R34" s="8">
        <f>IFERROR(Q34/Q444, "NA")</f>
        <v>0</v>
      </c>
      <c r="S34" s="9"/>
      <c r="T34" s="7">
        <v>0</v>
      </c>
      <c r="U34" s="8">
        <f>IFERROR(T34/T444, "NA")</f>
        <v>0</v>
      </c>
      <c r="V34" s="9"/>
      <c r="W34" s="10">
        <f t="shared" si="10"/>
        <v>0</v>
      </c>
      <c r="X34" s="8">
        <f>IFERROR(W34/W444, "NA")</f>
        <v>0</v>
      </c>
      <c r="Y34" s="9"/>
      <c r="Z34" s="7">
        <v>0</v>
      </c>
      <c r="AA34" s="8">
        <f>IFERROR(Z34/Z444, "NA")</f>
        <v>0</v>
      </c>
      <c r="AB34" s="9"/>
      <c r="AC34" s="10">
        <f t="shared" si="11"/>
        <v>0</v>
      </c>
      <c r="AD34" s="8">
        <f>IFERROR(AC34/AC444, "NA")</f>
        <v>0</v>
      </c>
    </row>
    <row r="35" spans="1:30" ht="16.5" customHeight="1" x14ac:dyDescent="0.45">
      <c r="A35" s="12" t="s">
        <v>35</v>
      </c>
      <c r="B35" s="7">
        <v>814.74</v>
      </c>
      <c r="C35" s="8">
        <f>IFERROR(B35/B444, "NA")</f>
        <v>1.1236034082940119E-2</v>
      </c>
      <c r="D35" s="9"/>
      <c r="E35" s="7">
        <v>0</v>
      </c>
      <c r="F35" s="8">
        <f>IFERROR(E35/E444, "NA")</f>
        <v>0</v>
      </c>
      <c r="G35" s="9"/>
      <c r="H35" s="10">
        <f t="shared" si="8"/>
        <v>814.74</v>
      </c>
      <c r="I35" s="8">
        <f>IFERROR(H35/H444, "NA")</f>
        <v>0.18876851216844909</v>
      </c>
      <c r="J35" s="9"/>
      <c r="K35" s="7">
        <v>1109.9100000000001</v>
      </c>
      <c r="L35" s="8">
        <f>IFERROR(K35/K444, "NA")</f>
        <v>1.6885799230127681E-2</v>
      </c>
      <c r="M35" s="9"/>
      <c r="N35" s="10">
        <f t="shared" si="9"/>
        <v>-295.17000000000007</v>
      </c>
      <c r="O35" s="8">
        <f>IFERROR(N35/N444, "NA")</f>
        <v>-4.3529170605385366E-2</v>
      </c>
      <c r="P35" s="9"/>
      <c r="Q35" s="7">
        <v>814.74</v>
      </c>
      <c r="R35" s="8">
        <f>IFERROR(Q35/Q444, "NA")</f>
        <v>1.1236034082940119E-2</v>
      </c>
      <c r="S35" s="9"/>
      <c r="T35" s="7">
        <v>0</v>
      </c>
      <c r="U35" s="8">
        <f>IFERROR(T35/T444, "NA")</f>
        <v>0</v>
      </c>
      <c r="V35" s="9"/>
      <c r="W35" s="10">
        <f t="shared" si="10"/>
        <v>814.74</v>
      </c>
      <c r="X35" s="8">
        <f>IFERROR(W35/W444, "NA")</f>
        <v>0.18876851216844909</v>
      </c>
      <c r="Y35" s="9"/>
      <c r="Z35" s="7">
        <v>1109.9100000000001</v>
      </c>
      <c r="AA35" s="8">
        <f>IFERROR(Z35/Z444, "NA")</f>
        <v>1.6885799230127681E-2</v>
      </c>
      <c r="AB35" s="9"/>
      <c r="AC35" s="10">
        <f t="shared" si="11"/>
        <v>-295.17000000000007</v>
      </c>
      <c r="AD35" s="8">
        <f>IFERROR(AC35/AC444, "NA")</f>
        <v>-4.3529170605385366E-2</v>
      </c>
    </row>
    <row r="36" spans="1:30" ht="16.5" customHeight="1" x14ac:dyDescent="0.45">
      <c r="A36" s="12" t="s">
        <v>36</v>
      </c>
      <c r="B36" s="7">
        <v>7876.89</v>
      </c>
      <c r="C36" s="8">
        <f>IFERROR(B36/B444, "NA")</f>
        <v>0.10862975244565161</v>
      </c>
      <c r="D36" s="9"/>
      <c r="E36" s="7">
        <v>0</v>
      </c>
      <c r="F36" s="8">
        <f>IFERROR(E36/E444, "NA")</f>
        <v>0</v>
      </c>
      <c r="G36" s="9"/>
      <c r="H36" s="10">
        <f t="shared" si="8"/>
        <v>7876.89</v>
      </c>
      <c r="I36" s="8">
        <f>IFERROR(H36/H444, "NA")</f>
        <v>1.8250101944356909</v>
      </c>
      <c r="J36" s="9"/>
      <c r="K36" s="7">
        <v>13071.22</v>
      </c>
      <c r="L36" s="8">
        <f>IFERROR(K36/K444, "NA")</f>
        <v>0.19886116587185407</v>
      </c>
      <c r="M36" s="9"/>
      <c r="N36" s="10">
        <f t="shared" si="9"/>
        <v>-5194.329999999999</v>
      </c>
      <c r="O36" s="8">
        <f>IFERROR(N36/N444, "NA")</f>
        <v>-0.76601577650395125</v>
      </c>
      <c r="P36" s="9"/>
      <c r="Q36" s="7">
        <v>7876.89</v>
      </c>
      <c r="R36" s="8">
        <f>IFERROR(Q36/Q444, "NA")</f>
        <v>0.10862975244565161</v>
      </c>
      <c r="S36" s="9"/>
      <c r="T36" s="7">
        <v>0</v>
      </c>
      <c r="U36" s="8">
        <f>IFERROR(T36/T444, "NA")</f>
        <v>0</v>
      </c>
      <c r="V36" s="9"/>
      <c r="W36" s="10">
        <f t="shared" si="10"/>
        <v>7876.89</v>
      </c>
      <c r="X36" s="8">
        <f>IFERROR(W36/W444, "NA")</f>
        <v>1.8250101944356909</v>
      </c>
      <c r="Y36" s="9"/>
      <c r="Z36" s="7">
        <v>13071.22</v>
      </c>
      <c r="AA36" s="8">
        <f>IFERROR(Z36/Z444, "NA")</f>
        <v>0.19886116587185407</v>
      </c>
      <c r="AB36" s="9"/>
      <c r="AC36" s="10">
        <f t="shared" si="11"/>
        <v>-5194.329999999999</v>
      </c>
      <c r="AD36" s="8">
        <f>IFERROR(AC36/AC444, "NA")</f>
        <v>-0.76601577650395125</v>
      </c>
    </row>
    <row r="37" spans="1:30" ht="16.5" customHeight="1" x14ac:dyDescent="0.45">
      <c r="A37" s="12" t="s">
        <v>37</v>
      </c>
      <c r="B37" s="7">
        <v>173.85</v>
      </c>
      <c r="C37" s="8">
        <f>IFERROR(B37/B444, "NA")</f>
        <v>2.3975556930053016E-3</v>
      </c>
      <c r="D37" s="9"/>
      <c r="E37" s="7">
        <v>0</v>
      </c>
      <c r="F37" s="8">
        <f>IFERROR(E37/E444, "NA")</f>
        <v>0</v>
      </c>
      <c r="G37" s="9"/>
      <c r="H37" s="10">
        <f t="shared" si="8"/>
        <v>173.85</v>
      </c>
      <c r="I37" s="8">
        <f>IFERROR(H37/H444, "NA")</f>
        <v>4.0279605568015402E-2</v>
      </c>
      <c r="J37" s="9"/>
      <c r="K37" s="7">
        <v>0</v>
      </c>
      <c r="L37" s="8">
        <f>IFERROR(K37/K444, "NA")</f>
        <v>0</v>
      </c>
      <c r="M37" s="9"/>
      <c r="N37" s="10">
        <f t="shared" si="9"/>
        <v>173.85</v>
      </c>
      <c r="O37" s="8">
        <f>IFERROR(N37/N444, "NA")</f>
        <v>2.5637924957638798E-2</v>
      </c>
      <c r="P37" s="9"/>
      <c r="Q37" s="7">
        <v>173.85</v>
      </c>
      <c r="R37" s="8">
        <f>IFERROR(Q37/Q444, "NA")</f>
        <v>2.3975556930053016E-3</v>
      </c>
      <c r="S37" s="9"/>
      <c r="T37" s="7">
        <v>0</v>
      </c>
      <c r="U37" s="8">
        <f>IFERROR(T37/T444, "NA")</f>
        <v>0</v>
      </c>
      <c r="V37" s="9"/>
      <c r="W37" s="10">
        <f t="shared" si="10"/>
        <v>173.85</v>
      </c>
      <c r="X37" s="8">
        <f>IFERROR(W37/W444, "NA")</f>
        <v>4.0279605568015402E-2</v>
      </c>
      <c r="Y37" s="9"/>
      <c r="Z37" s="7">
        <v>0</v>
      </c>
      <c r="AA37" s="8">
        <f>IFERROR(Z37/Z444, "NA")</f>
        <v>0</v>
      </c>
      <c r="AB37" s="9"/>
      <c r="AC37" s="10">
        <f t="shared" si="11"/>
        <v>173.85</v>
      </c>
      <c r="AD37" s="8">
        <f>IFERROR(AC37/AC444, "NA")</f>
        <v>2.5637924957638798E-2</v>
      </c>
    </row>
    <row r="38" spans="1:30" ht="16.5" hidden="1" customHeight="1" x14ac:dyDescent="0.45">
      <c r="A38" s="12" t="s">
        <v>38</v>
      </c>
      <c r="B38" s="7">
        <v>0</v>
      </c>
      <c r="C38" s="8">
        <f>IFERROR(B38/B444, "NA")</f>
        <v>0</v>
      </c>
      <c r="D38" s="9"/>
      <c r="E38" s="7">
        <v>0</v>
      </c>
      <c r="F38" s="8">
        <f>IFERROR(E38/E444, "NA")</f>
        <v>0</v>
      </c>
      <c r="G38" s="9"/>
      <c r="H38" s="10">
        <f t="shared" si="8"/>
        <v>0</v>
      </c>
      <c r="I38" s="8">
        <f>IFERROR(H38/H444, "NA")</f>
        <v>0</v>
      </c>
      <c r="J38" s="9"/>
      <c r="K38" s="7">
        <v>0</v>
      </c>
      <c r="L38" s="8">
        <f>IFERROR(K38/K444, "NA")</f>
        <v>0</v>
      </c>
      <c r="M38" s="9"/>
      <c r="N38" s="10">
        <f t="shared" si="9"/>
        <v>0</v>
      </c>
      <c r="O38" s="8">
        <f>IFERROR(N38/N444, "NA")</f>
        <v>0</v>
      </c>
      <c r="P38" s="9"/>
      <c r="Q38" s="7">
        <v>0</v>
      </c>
      <c r="R38" s="8">
        <f>IFERROR(Q38/Q444, "NA")</f>
        <v>0</v>
      </c>
      <c r="S38" s="9"/>
      <c r="T38" s="7">
        <v>0</v>
      </c>
      <c r="U38" s="8">
        <f>IFERROR(T38/T444, "NA")</f>
        <v>0</v>
      </c>
      <c r="V38" s="9"/>
      <c r="W38" s="10">
        <f t="shared" si="10"/>
        <v>0</v>
      </c>
      <c r="X38" s="8">
        <f>IFERROR(W38/W444, "NA")</f>
        <v>0</v>
      </c>
      <c r="Y38" s="9"/>
      <c r="Z38" s="7">
        <v>0</v>
      </c>
      <c r="AA38" s="8">
        <f>IFERROR(Z38/Z444, "NA")</f>
        <v>0</v>
      </c>
      <c r="AB38" s="9"/>
      <c r="AC38" s="10">
        <f t="shared" si="11"/>
        <v>0</v>
      </c>
      <c r="AD38" s="8">
        <f>IFERROR(AC38/AC444, "NA")</f>
        <v>0</v>
      </c>
    </row>
    <row r="39" spans="1:30" ht="16.5" customHeight="1" x14ac:dyDescent="0.45">
      <c r="A39" s="12" t="s">
        <v>39</v>
      </c>
      <c r="B39" s="7">
        <v>137.65</v>
      </c>
      <c r="C39" s="8">
        <f>IFERROR(B39/B444, "NA")</f>
        <v>1.8983235038376751E-3</v>
      </c>
      <c r="D39" s="9"/>
      <c r="E39" s="7">
        <v>0</v>
      </c>
      <c r="F39" s="8">
        <f>IFERROR(E39/E444, "NA")</f>
        <v>0</v>
      </c>
      <c r="G39" s="9"/>
      <c r="H39" s="10">
        <f t="shared" si="8"/>
        <v>137.65</v>
      </c>
      <c r="I39" s="8">
        <f>IFERROR(H39/H444, "NA")</f>
        <v>3.1892365294433823E-2</v>
      </c>
      <c r="J39" s="9"/>
      <c r="K39" s="7">
        <v>621.65</v>
      </c>
      <c r="L39" s="8">
        <f>IFERROR(K39/K444, "NA")</f>
        <v>9.4575750208655412E-3</v>
      </c>
      <c r="M39" s="9"/>
      <c r="N39" s="10">
        <f t="shared" si="9"/>
        <v>-484</v>
      </c>
      <c r="O39" s="8">
        <f>IFERROR(N39/N444, "NA")</f>
        <v>-7.1376219036509508E-2</v>
      </c>
      <c r="P39" s="9"/>
      <c r="Q39" s="7">
        <v>137.65</v>
      </c>
      <c r="R39" s="8">
        <f>IFERROR(Q39/Q444, "NA")</f>
        <v>1.8983235038376751E-3</v>
      </c>
      <c r="S39" s="9"/>
      <c r="T39" s="7">
        <v>0</v>
      </c>
      <c r="U39" s="8">
        <f>IFERROR(T39/T444, "NA")</f>
        <v>0</v>
      </c>
      <c r="V39" s="9"/>
      <c r="W39" s="10">
        <f t="shared" si="10"/>
        <v>137.65</v>
      </c>
      <c r="X39" s="8">
        <f>IFERROR(W39/W444, "NA")</f>
        <v>3.1892365294433823E-2</v>
      </c>
      <c r="Y39" s="9"/>
      <c r="Z39" s="7">
        <v>621.65</v>
      </c>
      <c r="AA39" s="8">
        <f>IFERROR(Z39/Z444, "NA")</f>
        <v>9.4575750208655412E-3</v>
      </c>
      <c r="AB39" s="9"/>
      <c r="AC39" s="10">
        <f t="shared" si="11"/>
        <v>-484</v>
      </c>
      <c r="AD39" s="8">
        <f>IFERROR(AC39/AC444, "NA")</f>
        <v>-7.1376219036509508E-2</v>
      </c>
    </row>
    <row r="40" spans="1:30" ht="16.5" customHeight="1" x14ac:dyDescent="0.45">
      <c r="A40" s="13" t="s">
        <v>40</v>
      </c>
      <c r="B40" s="14">
        <f>IFERROR(B31+B32+B33+B34+B35+B36+B37+B38+B39, "NA")</f>
        <v>20281.11</v>
      </c>
      <c r="C40" s="15">
        <f>IFERROR(B40/B444, "NA")</f>
        <v>0.27969566143783009</v>
      </c>
      <c r="D40" s="2"/>
      <c r="E40" s="14">
        <f>IFERROR(E31+E32+E33+E34+E35+E36+E37+E38+E39, "NA")</f>
        <v>16503.259999999998</v>
      </c>
      <c r="F40" s="15">
        <f>IFERROR(E40/E444, "NA")</f>
        <v>0.24200006833318494</v>
      </c>
      <c r="G40" s="2"/>
      <c r="H40" s="14">
        <f t="shared" si="8"/>
        <v>3777.8500000000022</v>
      </c>
      <c r="I40" s="15">
        <f>IFERROR(H40/H444, "NA")</f>
        <v>0.8752965654019389</v>
      </c>
      <c r="J40" s="2"/>
      <c r="K40" s="14">
        <f>IFERROR(K31+K32+K33+K34+K35+K36+K37+K38+K39, "NA")</f>
        <v>23169.120000000003</v>
      </c>
      <c r="L40" s="15">
        <f>IFERROR(K40/K444, "NA")</f>
        <v>0.35248723649551394</v>
      </c>
      <c r="M40" s="2"/>
      <c r="N40" s="14">
        <f t="shared" si="9"/>
        <v>-2888.010000000002</v>
      </c>
      <c r="O40" s="15">
        <f>IFERROR(N40/N444, "NA")</f>
        <v>-0.42589924450336775</v>
      </c>
      <c r="P40" s="2"/>
      <c r="Q40" s="14">
        <f>IFERROR(Q31+Q32+Q33+Q34+Q35+Q36+Q37+Q38+Q39, "NA")</f>
        <v>20281.11</v>
      </c>
      <c r="R40" s="15">
        <f>IFERROR(Q40/Q444, "NA")</f>
        <v>0.27969566143783009</v>
      </c>
      <c r="S40" s="2"/>
      <c r="T40" s="14">
        <f>IFERROR(T31+T32+T33+T34+T35+T36+T37+T38+T39, "NA")</f>
        <v>16503.259999999998</v>
      </c>
      <c r="U40" s="15">
        <f>IFERROR(T40/T444, "NA")</f>
        <v>0.24200006833318494</v>
      </c>
      <c r="V40" s="2"/>
      <c r="W40" s="14">
        <f t="shared" si="10"/>
        <v>3777.8500000000022</v>
      </c>
      <c r="X40" s="15">
        <f>IFERROR(W40/W444, "NA")</f>
        <v>0.8752965654019389</v>
      </c>
      <c r="Y40" s="2"/>
      <c r="Z40" s="14">
        <f>IFERROR(Z31+Z32+Z33+Z34+Z35+Z36+Z37+Z38+Z39, "NA")</f>
        <v>23169.120000000003</v>
      </c>
      <c r="AA40" s="15">
        <f>IFERROR(Z40/Z444, "NA")</f>
        <v>0.35248723649551394</v>
      </c>
      <c r="AB40" s="2"/>
      <c r="AC40" s="14">
        <f t="shared" si="11"/>
        <v>-2888.010000000002</v>
      </c>
      <c r="AD40" s="15">
        <f>IFERROR(AC40/AC444, "NA")</f>
        <v>-0.42589924450336775</v>
      </c>
    </row>
    <row r="41" spans="1:30" ht="16.5" customHeight="1" x14ac:dyDescent="0.45">
      <c r="A41" s="11" t="s">
        <v>41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45">
      <c r="A42" s="12" t="s">
        <v>41</v>
      </c>
      <c r="B42" s="7">
        <v>0</v>
      </c>
      <c r="C42" s="8">
        <f>IFERROR(B42/B444, "NA")</f>
        <v>0</v>
      </c>
      <c r="D42" s="9"/>
      <c r="E42" s="7">
        <v>13434.47</v>
      </c>
      <c r="F42" s="8">
        <f>IFERROR(E42/E444, "NA")</f>
        <v>0.1970000265414302</v>
      </c>
      <c r="G42" s="9"/>
      <c r="H42" s="10">
        <f>IFERROR(B42-E42, "NA")</f>
        <v>-13434.47</v>
      </c>
      <c r="I42" s="8">
        <f>IFERROR(H42/H444, "NA")</f>
        <v>-3.1126554651442961</v>
      </c>
      <c r="J42" s="9"/>
      <c r="K42" s="7">
        <v>0</v>
      </c>
      <c r="L42" s="8">
        <f>IFERROR(K42/K444, "NA")</f>
        <v>0</v>
      </c>
      <c r="M42" s="9"/>
      <c r="N42" s="10">
        <f>IFERROR(B42-K42, "NA")</f>
        <v>0</v>
      </c>
      <c r="O42" s="8">
        <f>IFERROR(N42/N444, "NA")</f>
        <v>0</v>
      </c>
      <c r="P42" s="9"/>
      <c r="Q42" s="7">
        <v>0</v>
      </c>
      <c r="R42" s="8">
        <f>IFERROR(Q42/Q444, "NA")</f>
        <v>0</v>
      </c>
      <c r="S42" s="9"/>
      <c r="T42" s="7">
        <v>13434.47</v>
      </c>
      <c r="U42" s="8">
        <f>IFERROR(T42/T444, "NA")</f>
        <v>0.1970000265414302</v>
      </c>
      <c r="V42" s="9"/>
      <c r="W42" s="10">
        <f>IFERROR(Q42-T42, "NA")</f>
        <v>-13434.47</v>
      </c>
      <c r="X42" s="8">
        <f>IFERROR(W42/W444, "NA")</f>
        <v>-3.1126554651442961</v>
      </c>
      <c r="Y42" s="9"/>
      <c r="Z42" s="7">
        <v>0</v>
      </c>
      <c r="AA42" s="8">
        <f>IFERROR(Z42/Z444, "NA")</f>
        <v>0</v>
      </c>
      <c r="AB42" s="9"/>
      <c r="AC42" s="10">
        <f>IFERROR(Q42-Z42, "NA")</f>
        <v>0</v>
      </c>
      <c r="AD42" s="8">
        <f>IFERROR(AC42/AC444, "NA")</f>
        <v>0</v>
      </c>
    </row>
    <row r="43" spans="1:30" ht="16.5" customHeight="1" x14ac:dyDescent="0.45">
      <c r="A43" s="12" t="s">
        <v>42</v>
      </c>
      <c r="B43" s="7">
        <v>2701.41</v>
      </c>
      <c r="C43" s="8">
        <f>IFERROR(B43/B444, "NA")</f>
        <v>3.7254995252467366E-2</v>
      </c>
      <c r="D43" s="9"/>
      <c r="E43" s="7">
        <v>0</v>
      </c>
      <c r="F43" s="8">
        <f>IFERROR(E43/E444, "NA")</f>
        <v>0</v>
      </c>
      <c r="G43" s="9"/>
      <c r="H43" s="10">
        <f>IFERROR(B43-E43, "NA")</f>
        <v>2701.41</v>
      </c>
      <c r="I43" s="8">
        <f>IFERROR(H43/H444, "NA")</f>
        <v>0.62589433004022144</v>
      </c>
      <c r="J43" s="9"/>
      <c r="K43" s="7">
        <v>3272.1</v>
      </c>
      <c r="L43" s="8">
        <f>IFERROR(K43/K444, "NA")</f>
        <v>4.9780634160338032E-2</v>
      </c>
      <c r="M43" s="9"/>
      <c r="N43" s="10">
        <f>IFERROR(B43-K43, "NA")</f>
        <v>-570.69000000000005</v>
      </c>
      <c r="O43" s="8">
        <f>IFERROR(N43/N444, "NA")</f>
        <v>-8.4160525706499206E-2</v>
      </c>
      <c r="P43" s="9"/>
      <c r="Q43" s="7">
        <v>2701.41</v>
      </c>
      <c r="R43" s="8">
        <f>IFERROR(Q43/Q444, "NA")</f>
        <v>3.7254995252467366E-2</v>
      </c>
      <c r="S43" s="9"/>
      <c r="T43" s="7">
        <v>0</v>
      </c>
      <c r="U43" s="8">
        <f>IFERROR(T43/T444, "NA")</f>
        <v>0</v>
      </c>
      <c r="V43" s="9"/>
      <c r="W43" s="10">
        <f>IFERROR(Q43-T43, "NA")</f>
        <v>2701.41</v>
      </c>
      <c r="X43" s="8">
        <f>IFERROR(W43/W444, "NA")</f>
        <v>0.62589433004022144</v>
      </c>
      <c r="Y43" s="9"/>
      <c r="Z43" s="7">
        <v>3272.1</v>
      </c>
      <c r="AA43" s="8">
        <f>IFERROR(Z43/Z444, "NA")</f>
        <v>4.9780634160338032E-2</v>
      </c>
      <c r="AB43" s="9"/>
      <c r="AC43" s="10">
        <f>IFERROR(Q43-Z43, "NA")</f>
        <v>-570.69000000000005</v>
      </c>
      <c r="AD43" s="8">
        <f>IFERROR(AC43/AC444, "NA")</f>
        <v>-8.4160525706499206E-2</v>
      </c>
    </row>
    <row r="44" spans="1:30" ht="16.5" hidden="1" customHeight="1" x14ac:dyDescent="0.45">
      <c r="A44" s="12" t="s">
        <v>43</v>
      </c>
      <c r="B44" s="7">
        <v>0</v>
      </c>
      <c r="C44" s="8">
        <f>IFERROR(B44/B444, "NA")</f>
        <v>0</v>
      </c>
      <c r="D44" s="9"/>
      <c r="E44" s="7">
        <v>0</v>
      </c>
      <c r="F44" s="8">
        <f>IFERROR(E44/E444, "NA")</f>
        <v>0</v>
      </c>
      <c r="G44" s="9"/>
      <c r="H44" s="10">
        <f>IFERROR(B44-E44, "NA")</f>
        <v>0</v>
      </c>
      <c r="I44" s="8">
        <f>IFERROR(H44/H444, "NA")</f>
        <v>0</v>
      </c>
      <c r="J44" s="9"/>
      <c r="K44" s="7">
        <v>0</v>
      </c>
      <c r="L44" s="8">
        <f>IFERROR(K44/K444, "NA")</f>
        <v>0</v>
      </c>
      <c r="M44" s="9"/>
      <c r="N44" s="10">
        <f>IFERROR(B44-K44, "NA")</f>
        <v>0</v>
      </c>
      <c r="O44" s="8">
        <f>IFERROR(N44/N444, "NA")</f>
        <v>0</v>
      </c>
      <c r="P44" s="9"/>
      <c r="Q44" s="7">
        <v>0</v>
      </c>
      <c r="R44" s="8">
        <f>IFERROR(Q44/Q444, "NA")</f>
        <v>0</v>
      </c>
      <c r="S44" s="9"/>
      <c r="T44" s="7">
        <v>0</v>
      </c>
      <c r="U44" s="8">
        <f>IFERROR(T44/T444, "NA")</f>
        <v>0</v>
      </c>
      <c r="V44" s="9"/>
      <c r="W44" s="10">
        <f>IFERROR(Q44-T44, "NA")</f>
        <v>0</v>
      </c>
      <c r="X44" s="8">
        <f>IFERROR(W44/W444, "NA")</f>
        <v>0</v>
      </c>
      <c r="Y44" s="9"/>
      <c r="Z44" s="7">
        <v>0</v>
      </c>
      <c r="AA44" s="8">
        <f>IFERROR(Z44/Z444, "NA")</f>
        <v>0</v>
      </c>
      <c r="AB44" s="9"/>
      <c r="AC44" s="10">
        <f>IFERROR(Q44-Z44, "NA")</f>
        <v>0</v>
      </c>
      <c r="AD44" s="8">
        <f>IFERROR(AC44/AC444, "NA")</f>
        <v>0</v>
      </c>
    </row>
    <row r="45" spans="1:30" ht="16.5" customHeight="1" x14ac:dyDescent="0.45">
      <c r="A45" s="16" t="s">
        <v>44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45">
      <c r="A46" s="17" t="s">
        <v>44</v>
      </c>
      <c r="B46" s="7">
        <v>0</v>
      </c>
      <c r="C46" s="8">
        <f>IFERROR(B46/B444, "NA")</f>
        <v>0</v>
      </c>
      <c r="D46" s="9"/>
      <c r="E46" s="7">
        <v>0</v>
      </c>
      <c r="F46" s="8">
        <f>IFERROR(E46/E444, "NA")</f>
        <v>0</v>
      </c>
      <c r="G46" s="9"/>
      <c r="H46" s="10">
        <f t="shared" ref="H46:H62" si="12">IFERROR(B46-E46, "NA")</f>
        <v>0</v>
      </c>
      <c r="I46" s="8">
        <f>IFERROR(H46/H444, "NA")</f>
        <v>0</v>
      </c>
      <c r="J46" s="9"/>
      <c r="K46" s="7">
        <v>0</v>
      </c>
      <c r="L46" s="8">
        <f>IFERROR(K46/K444, "NA")</f>
        <v>0</v>
      </c>
      <c r="M46" s="9"/>
      <c r="N46" s="10">
        <f t="shared" ref="N46:N62" si="13">IFERROR(B46-K46, "NA")</f>
        <v>0</v>
      </c>
      <c r="O46" s="8">
        <f>IFERROR(N46/N444, "NA")</f>
        <v>0</v>
      </c>
      <c r="P46" s="9"/>
      <c r="Q46" s="7">
        <v>0</v>
      </c>
      <c r="R46" s="8">
        <f>IFERROR(Q46/Q444, "NA")</f>
        <v>0</v>
      </c>
      <c r="S46" s="9"/>
      <c r="T46" s="7">
        <v>0</v>
      </c>
      <c r="U46" s="8">
        <f>IFERROR(T46/T444, "NA")</f>
        <v>0</v>
      </c>
      <c r="V46" s="9"/>
      <c r="W46" s="10">
        <f t="shared" ref="W46:W62" si="14">IFERROR(Q46-T46, "NA")</f>
        <v>0</v>
      </c>
      <c r="X46" s="8">
        <f>IFERROR(W46/W444, "NA")</f>
        <v>0</v>
      </c>
      <c r="Y46" s="9"/>
      <c r="Z46" s="7">
        <v>0</v>
      </c>
      <c r="AA46" s="8">
        <f>IFERROR(Z46/Z444, "NA")</f>
        <v>0</v>
      </c>
      <c r="AB46" s="9"/>
      <c r="AC46" s="10">
        <f t="shared" ref="AC46:AC62" si="15">IFERROR(Q46-Z46, "NA")</f>
        <v>0</v>
      </c>
      <c r="AD46" s="8">
        <f>IFERROR(AC46/AC444, "NA")</f>
        <v>0</v>
      </c>
    </row>
    <row r="47" spans="1:30" ht="16.5" hidden="1" customHeight="1" x14ac:dyDescent="0.45">
      <c r="A47" s="17" t="s">
        <v>45</v>
      </c>
      <c r="B47" s="7">
        <v>0</v>
      </c>
      <c r="C47" s="8">
        <f>IFERROR(B47/B444, "NA")</f>
        <v>0</v>
      </c>
      <c r="D47" s="9"/>
      <c r="E47" s="7">
        <v>0</v>
      </c>
      <c r="F47" s="8">
        <f>IFERROR(E47/E444, "NA")</f>
        <v>0</v>
      </c>
      <c r="G47" s="9"/>
      <c r="H47" s="10">
        <f t="shared" si="12"/>
        <v>0</v>
      </c>
      <c r="I47" s="8">
        <f>IFERROR(H47/H444, "NA")</f>
        <v>0</v>
      </c>
      <c r="J47" s="9"/>
      <c r="K47" s="7">
        <v>0</v>
      </c>
      <c r="L47" s="8">
        <f>IFERROR(K47/K444, "NA")</f>
        <v>0</v>
      </c>
      <c r="M47" s="9"/>
      <c r="N47" s="10">
        <f t="shared" si="13"/>
        <v>0</v>
      </c>
      <c r="O47" s="8">
        <f>IFERROR(N47/N444, "NA")</f>
        <v>0</v>
      </c>
      <c r="P47" s="9"/>
      <c r="Q47" s="7">
        <v>0</v>
      </c>
      <c r="R47" s="8">
        <f>IFERROR(Q47/Q444, "NA")</f>
        <v>0</v>
      </c>
      <c r="S47" s="9"/>
      <c r="T47" s="7">
        <v>0</v>
      </c>
      <c r="U47" s="8">
        <f>IFERROR(T47/T444, "NA")</f>
        <v>0</v>
      </c>
      <c r="V47" s="9"/>
      <c r="W47" s="10">
        <f t="shared" si="14"/>
        <v>0</v>
      </c>
      <c r="X47" s="8">
        <f>IFERROR(W47/W444, "NA")</f>
        <v>0</v>
      </c>
      <c r="Y47" s="9"/>
      <c r="Z47" s="7">
        <v>0</v>
      </c>
      <c r="AA47" s="8">
        <f>IFERROR(Z47/Z444, "NA")</f>
        <v>0</v>
      </c>
      <c r="AB47" s="9"/>
      <c r="AC47" s="10">
        <f t="shared" si="15"/>
        <v>0</v>
      </c>
      <c r="AD47" s="8">
        <f>IFERROR(AC47/AC444, "NA")</f>
        <v>0</v>
      </c>
    </row>
    <row r="48" spans="1:30" ht="16.5" customHeight="1" x14ac:dyDescent="0.45">
      <c r="A48" s="17" t="s">
        <v>46</v>
      </c>
      <c r="B48" s="7">
        <v>9823.86</v>
      </c>
      <c r="C48" s="8">
        <f>IFERROR(B48/B444, "NA")</f>
        <v>0.13548030756564317</v>
      </c>
      <c r="D48" s="9"/>
      <c r="E48" s="7">
        <v>0</v>
      </c>
      <c r="F48" s="8">
        <f>IFERROR(E48/E444, "NA")</f>
        <v>0</v>
      </c>
      <c r="G48" s="9"/>
      <c r="H48" s="10">
        <f t="shared" si="12"/>
        <v>9823.86</v>
      </c>
      <c r="I48" s="8">
        <f>IFERROR(H48/H444, "NA")</f>
        <v>2.2761070230394238</v>
      </c>
      <c r="J48" s="9"/>
      <c r="K48" s="7">
        <v>4702.33</v>
      </c>
      <c r="L48" s="8">
        <f>IFERROR(K48/K444, "NA")</f>
        <v>7.153967465272526E-2</v>
      </c>
      <c r="M48" s="9"/>
      <c r="N48" s="10">
        <f t="shared" si="13"/>
        <v>5121.5300000000007</v>
      </c>
      <c r="O48" s="8">
        <f>IFERROR(N48/N444, "NA")</f>
        <v>0.75527984934308801</v>
      </c>
      <c r="P48" s="9"/>
      <c r="Q48" s="7">
        <v>9823.86</v>
      </c>
      <c r="R48" s="8">
        <f>IFERROR(Q48/Q444, "NA")</f>
        <v>0.13548030756564317</v>
      </c>
      <c r="S48" s="9"/>
      <c r="T48" s="7">
        <v>0</v>
      </c>
      <c r="U48" s="8">
        <f>IFERROR(T48/T444, "NA")</f>
        <v>0</v>
      </c>
      <c r="V48" s="9"/>
      <c r="W48" s="10">
        <f t="shared" si="14"/>
        <v>9823.86</v>
      </c>
      <c r="X48" s="8">
        <f>IFERROR(W48/W444, "NA")</f>
        <v>2.2761070230394238</v>
      </c>
      <c r="Y48" s="9"/>
      <c r="Z48" s="7">
        <v>4702.33</v>
      </c>
      <c r="AA48" s="8">
        <f>IFERROR(Z48/Z444, "NA")</f>
        <v>7.153967465272526E-2</v>
      </c>
      <c r="AB48" s="9"/>
      <c r="AC48" s="10">
        <f t="shared" si="15"/>
        <v>5121.5300000000007</v>
      </c>
      <c r="AD48" s="8">
        <f>IFERROR(AC48/AC444, "NA")</f>
        <v>0.75527984934308801</v>
      </c>
    </row>
    <row r="49" spans="1:30" ht="16.5" hidden="1" customHeight="1" x14ac:dyDescent="0.45">
      <c r="A49" s="17" t="s">
        <v>47</v>
      </c>
      <c r="B49" s="7">
        <v>0</v>
      </c>
      <c r="C49" s="8">
        <f>IFERROR(B49/B444, "NA")</f>
        <v>0</v>
      </c>
      <c r="D49" s="9"/>
      <c r="E49" s="7">
        <v>0</v>
      </c>
      <c r="F49" s="8">
        <f>IFERROR(E49/E444, "NA")</f>
        <v>0</v>
      </c>
      <c r="G49" s="9"/>
      <c r="H49" s="10">
        <f t="shared" si="12"/>
        <v>0</v>
      </c>
      <c r="I49" s="8">
        <f>IFERROR(H49/H444, "NA")</f>
        <v>0</v>
      </c>
      <c r="J49" s="9"/>
      <c r="K49" s="7">
        <v>0</v>
      </c>
      <c r="L49" s="8">
        <f>IFERROR(K49/K444, "NA")</f>
        <v>0</v>
      </c>
      <c r="M49" s="9"/>
      <c r="N49" s="10">
        <f t="shared" si="13"/>
        <v>0</v>
      </c>
      <c r="O49" s="8">
        <f>IFERROR(N49/N444, "NA")</f>
        <v>0</v>
      </c>
      <c r="P49" s="9"/>
      <c r="Q49" s="7">
        <v>0</v>
      </c>
      <c r="R49" s="8">
        <f>IFERROR(Q49/Q444, "NA")</f>
        <v>0</v>
      </c>
      <c r="S49" s="9"/>
      <c r="T49" s="7">
        <v>0</v>
      </c>
      <c r="U49" s="8">
        <f>IFERROR(T49/T444, "NA")</f>
        <v>0</v>
      </c>
      <c r="V49" s="9"/>
      <c r="W49" s="10">
        <f t="shared" si="14"/>
        <v>0</v>
      </c>
      <c r="X49" s="8">
        <f>IFERROR(W49/W444, "NA")</f>
        <v>0</v>
      </c>
      <c r="Y49" s="9"/>
      <c r="Z49" s="7">
        <v>0</v>
      </c>
      <c r="AA49" s="8">
        <f>IFERROR(Z49/Z444, "NA")</f>
        <v>0</v>
      </c>
      <c r="AB49" s="9"/>
      <c r="AC49" s="10">
        <f t="shared" si="15"/>
        <v>0</v>
      </c>
      <c r="AD49" s="8">
        <f>IFERROR(AC49/AC444, "NA")</f>
        <v>0</v>
      </c>
    </row>
    <row r="50" spans="1:30" ht="16.5" hidden="1" customHeight="1" x14ac:dyDescent="0.45">
      <c r="A50" s="17" t="s">
        <v>48</v>
      </c>
      <c r="B50" s="7">
        <v>0</v>
      </c>
      <c r="C50" s="8">
        <f>IFERROR(B50/B444, "NA")</f>
        <v>0</v>
      </c>
      <c r="D50" s="9"/>
      <c r="E50" s="7">
        <v>0</v>
      </c>
      <c r="F50" s="8">
        <f>IFERROR(E50/E444, "NA")</f>
        <v>0</v>
      </c>
      <c r="G50" s="9"/>
      <c r="H50" s="10">
        <f t="shared" si="12"/>
        <v>0</v>
      </c>
      <c r="I50" s="8">
        <f>IFERROR(H50/H444, "NA")</f>
        <v>0</v>
      </c>
      <c r="J50" s="9"/>
      <c r="K50" s="7">
        <v>0</v>
      </c>
      <c r="L50" s="8">
        <f>IFERROR(K50/K444, "NA")</f>
        <v>0</v>
      </c>
      <c r="M50" s="9"/>
      <c r="N50" s="10">
        <f t="shared" si="13"/>
        <v>0</v>
      </c>
      <c r="O50" s="8">
        <f>IFERROR(N50/N444, "NA")</f>
        <v>0</v>
      </c>
      <c r="P50" s="9"/>
      <c r="Q50" s="7">
        <v>0</v>
      </c>
      <c r="R50" s="8">
        <f>IFERROR(Q50/Q444, "NA")</f>
        <v>0</v>
      </c>
      <c r="S50" s="9"/>
      <c r="T50" s="7">
        <v>0</v>
      </c>
      <c r="U50" s="8">
        <f>IFERROR(T50/T444, "NA")</f>
        <v>0</v>
      </c>
      <c r="V50" s="9"/>
      <c r="W50" s="10">
        <f t="shared" si="14"/>
        <v>0</v>
      </c>
      <c r="X50" s="8">
        <f>IFERROR(W50/W444, "NA")</f>
        <v>0</v>
      </c>
      <c r="Y50" s="9"/>
      <c r="Z50" s="7">
        <v>0</v>
      </c>
      <c r="AA50" s="8">
        <f>IFERROR(Z50/Z444, "NA")</f>
        <v>0</v>
      </c>
      <c r="AB50" s="9"/>
      <c r="AC50" s="10">
        <f t="shared" si="15"/>
        <v>0</v>
      </c>
      <c r="AD50" s="8">
        <f>IFERROR(AC50/AC444, "NA")</f>
        <v>0</v>
      </c>
    </row>
    <row r="51" spans="1:30" ht="16.5" hidden="1" customHeight="1" x14ac:dyDescent="0.45">
      <c r="A51" s="17" t="s">
        <v>49</v>
      </c>
      <c r="B51" s="7">
        <v>0</v>
      </c>
      <c r="C51" s="8">
        <f>IFERROR(B51/B444, "NA")</f>
        <v>0</v>
      </c>
      <c r="D51" s="9"/>
      <c r="E51" s="7">
        <v>0</v>
      </c>
      <c r="F51" s="8">
        <f>IFERROR(E51/E444, "NA")</f>
        <v>0</v>
      </c>
      <c r="G51" s="9"/>
      <c r="H51" s="10">
        <f t="shared" si="12"/>
        <v>0</v>
      </c>
      <c r="I51" s="8">
        <f>IFERROR(H51/H444, "NA")</f>
        <v>0</v>
      </c>
      <c r="J51" s="9"/>
      <c r="K51" s="7">
        <v>0</v>
      </c>
      <c r="L51" s="8">
        <f>IFERROR(K51/K444, "NA")</f>
        <v>0</v>
      </c>
      <c r="M51" s="9"/>
      <c r="N51" s="10">
        <f t="shared" si="13"/>
        <v>0</v>
      </c>
      <c r="O51" s="8">
        <f>IFERROR(N51/N444, "NA")</f>
        <v>0</v>
      </c>
      <c r="P51" s="9"/>
      <c r="Q51" s="7">
        <v>0</v>
      </c>
      <c r="R51" s="8">
        <f>IFERROR(Q51/Q444, "NA")</f>
        <v>0</v>
      </c>
      <c r="S51" s="9"/>
      <c r="T51" s="7">
        <v>0</v>
      </c>
      <c r="U51" s="8">
        <f>IFERROR(T51/T444, "NA")</f>
        <v>0</v>
      </c>
      <c r="V51" s="9"/>
      <c r="W51" s="10">
        <f t="shared" si="14"/>
        <v>0</v>
      </c>
      <c r="X51" s="8">
        <f>IFERROR(W51/W444, "NA")</f>
        <v>0</v>
      </c>
      <c r="Y51" s="9"/>
      <c r="Z51" s="7">
        <v>0</v>
      </c>
      <c r="AA51" s="8">
        <f>IFERROR(Z51/Z444, "NA")</f>
        <v>0</v>
      </c>
      <c r="AB51" s="9"/>
      <c r="AC51" s="10">
        <f t="shared" si="15"/>
        <v>0</v>
      </c>
      <c r="AD51" s="8">
        <f>IFERROR(AC51/AC444, "NA")</f>
        <v>0</v>
      </c>
    </row>
    <row r="52" spans="1:30" ht="16.5" hidden="1" customHeight="1" x14ac:dyDescent="0.45">
      <c r="A52" s="17" t="s">
        <v>50</v>
      </c>
      <c r="B52" s="7">
        <v>0</v>
      </c>
      <c r="C52" s="8">
        <f>IFERROR(B52/B444, "NA")</f>
        <v>0</v>
      </c>
      <c r="D52" s="9"/>
      <c r="E52" s="7">
        <v>0</v>
      </c>
      <c r="F52" s="8">
        <f>IFERROR(E52/E444, "NA")</f>
        <v>0</v>
      </c>
      <c r="G52" s="9"/>
      <c r="H52" s="10">
        <f t="shared" si="12"/>
        <v>0</v>
      </c>
      <c r="I52" s="8">
        <f>IFERROR(H52/H444, "NA")</f>
        <v>0</v>
      </c>
      <c r="J52" s="9"/>
      <c r="K52" s="7">
        <v>0</v>
      </c>
      <c r="L52" s="8">
        <f>IFERROR(K52/K444, "NA")</f>
        <v>0</v>
      </c>
      <c r="M52" s="9"/>
      <c r="N52" s="10">
        <f t="shared" si="13"/>
        <v>0</v>
      </c>
      <c r="O52" s="8">
        <f>IFERROR(N52/N444, "NA")</f>
        <v>0</v>
      </c>
      <c r="P52" s="9"/>
      <c r="Q52" s="7">
        <v>0</v>
      </c>
      <c r="R52" s="8">
        <f>IFERROR(Q52/Q444, "NA")</f>
        <v>0</v>
      </c>
      <c r="S52" s="9"/>
      <c r="T52" s="7">
        <v>0</v>
      </c>
      <c r="U52" s="8">
        <f>IFERROR(T52/T444, "NA")</f>
        <v>0</v>
      </c>
      <c r="V52" s="9"/>
      <c r="W52" s="10">
        <f t="shared" si="14"/>
        <v>0</v>
      </c>
      <c r="X52" s="8">
        <f>IFERROR(W52/W444, "NA")</f>
        <v>0</v>
      </c>
      <c r="Y52" s="9"/>
      <c r="Z52" s="7">
        <v>0</v>
      </c>
      <c r="AA52" s="8">
        <f>IFERROR(Z52/Z444, "NA")</f>
        <v>0</v>
      </c>
      <c r="AB52" s="9"/>
      <c r="AC52" s="10">
        <f t="shared" si="15"/>
        <v>0</v>
      </c>
      <c r="AD52" s="8">
        <f>IFERROR(AC52/AC444, "NA")</f>
        <v>0</v>
      </c>
    </row>
    <row r="53" spans="1:30" ht="16.5" hidden="1" customHeight="1" x14ac:dyDescent="0.45">
      <c r="A53" s="17" t="s">
        <v>51</v>
      </c>
      <c r="B53" s="7">
        <v>0</v>
      </c>
      <c r="C53" s="8">
        <f>IFERROR(B53/B444, "NA")</f>
        <v>0</v>
      </c>
      <c r="D53" s="9"/>
      <c r="E53" s="7">
        <v>0</v>
      </c>
      <c r="F53" s="8">
        <f>IFERROR(E53/E444, "NA")</f>
        <v>0</v>
      </c>
      <c r="G53" s="9"/>
      <c r="H53" s="10">
        <f t="shared" si="12"/>
        <v>0</v>
      </c>
      <c r="I53" s="8">
        <f>IFERROR(H53/H444, "NA")</f>
        <v>0</v>
      </c>
      <c r="J53" s="9"/>
      <c r="K53" s="7">
        <v>0</v>
      </c>
      <c r="L53" s="8">
        <f>IFERROR(K53/K444, "NA")</f>
        <v>0</v>
      </c>
      <c r="M53" s="9"/>
      <c r="N53" s="10">
        <f t="shared" si="13"/>
        <v>0</v>
      </c>
      <c r="O53" s="8">
        <f>IFERROR(N53/N444, "NA")</f>
        <v>0</v>
      </c>
      <c r="P53" s="9"/>
      <c r="Q53" s="7">
        <v>0</v>
      </c>
      <c r="R53" s="8">
        <f>IFERROR(Q53/Q444, "NA")</f>
        <v>0</v>
      </c>
      <c r="S53" s="9"/>
      <c r="T53" s="7">
        <v>0</v>
      </c>
      <c r="U53" s="8">
        <f>IFERROR(T53/T444, "NA")</f>
        <v>0</v>
      </c>
      <c r="V53" s="9"/>
      <c r="W53" s="10">
        <f t="shared" si="14"/>
        <v>0</v>
      </c>
      <c r="X53" s="8">
        <f>IFERROR(W53/W444, "NA")</f>
        <v>0</v>
      </c>
      <c r="Y53" s="9"/>
      <c r="Z53" s="7">
        <v>0</v>
      </c>
      <c r="AA53" s="8">
        <f>IFERROR(Z53/Z444, "NA")</f>
        <v>0</v>
      </c>
      <c r="AB53" s="9"/>
      <c r="AC53" s="10">
        <f t="shared" si="15"/>
        <v>0</v>
      </c>
      <c r="AD53" s="8">
        <f>IFERROR(AC53/AC444, "NA")</f>
        <v>0</v>
      </c>
    </row>
    <row r="54" spans="1:30" ht="16.5" hidden="1" customHeight="1" x14ac:dyDescent="0.45">
      <c r="A54" s="17" t="s">
        <v>52</v>
      </c>
      <c r="B54" s="7">
        <v>0</v>
      </c>
      <c r="C54" s="8">
        <f>IFERROR(B54/B444, "NA")</f>
        <v>0</v>
      </c>
      <c r="D54" s="9"/>
      <c r="E54" s="7">
        <v>0</v>
      </c>
      <c r="F54" s="8">
        <f>IFERROR(E54/E444, "NA")</f>
        <v>0</v>
      </c>
      <c r="G54" s="9"/>
      <c r="H54" s="10">
        <f t="shared" si="12"/>
        <v>0</v>
      </c>
      <c r="I54" s="8">
        <f>IFERROR(H54/H444, "NA")</f>
        <v>0</v>
      </c>
      <c r="J54" s="9"/>
      <c r="K54" s="7">
        <v>0</v>
      </c>
      <c r="L54" s="8">
        <f>IFERROR(K54/K444, "NA")</f>
        <v>0</v>
      </c>
      <c r="M54" s="9"/>
      <c r="N54" s="10">
        <f t="shared" si="13"/>
        <v>0</v>
      </c>
      <c r="O54" s="8">
        <f>IFERROR(N54/N444, "NA")</f>
        <v>0</v>
      </c>
      <c r="P54" s="9"/>
      <c r="Q54" s="7">
        <v>0</v>
      </c>
      <c r="R54" s="8">
        <f>IFERROR(Q54/Q444, "NA")</f>
        <v>0</v>
      </c>
      <c r="S54" s="9"/>
      <c r="T54" s="7">
        <v>0</v>
      </c>
      <c r="U54" s="8">
        <f>IFERROR(T54/T444, "NA")</f>
        <v>0</v>
      </c>
      <c r="V54" s="9"/>
      <c r="W54" s="10">
        <f t="shared" si="14"/>
        <v>0</v>
      </c>
      <c r="X54" s="8">
        <f>IFERROR(W54/W444, "NA")</f>
        <v>0</v>
      </c>
      <c r="Y54" s="9"/>
      <c r="Z54" s="7">
        <v>0</v>
      </c>
      <c r="AA54" s="8">
        <f>IFERROR(Z54/Z444, "NA")</f>
        <v>0</v>
      </c>
      <c r="AB54" s="9"/>
      <c r="AC54" s="10">
        <f t="shared" si="15"/>
        <v>0</v>
      </c>
      <c r="AD54" s="8">
        <f>IFERROR(AC54/AC444, "NA")</f>
        <v>0</v>
      </c>
    </row>
    <row r="55" spans="1:30" ht="16.5" customHeight="1" x14ac:dyDescent="0.45">
      <c r="A55" s="17" t="s">
        <v>53</v>
      </c>
      <c r="B55" s="7">
        <v>266.35000000000002</v>
      </c>
      <c r="C55" s="8">
        <f>IFERROR(B55/B444, "NA")</f>
        <v>3.6732180548286579E-3</v>
      </c>
      <c r="D55" s="9"/>
      <c r="E55" s="7">
        <v>0</v>
      </c>
      <c r="F55" s="8">
        <f>IFERROR(E55/E444, "NA")</f>
        <v>0</v>
      </c>
      <c r="G55" s="9"/>
      <c r="H55" s="10">
        <f t="shared" si="12"/>
        <v>266.35000000000002</v>
      </c>
      <c r="I55" s="8">
        <f>IFERROR(H55/H444, "NA")</f>
        <v>6.1711089692498729E-2</v>
      </c>
      <c r="J55" s="9"/>
      <c r="K55" s="7">
        <v>0</v>
      </c>
      <c r="L55" s="8">
        <f>IFERROR(K55/K444, "NA")</f>
        <v>0</v>
      </c>
      <c r="M55" s="9"/>
      <c r="N55" s="10">
        <f t="shared" si="13"/>
        <v>266.35000000000002</v>
      </c>
      <c r="O55" s="8">
        <f>IFERROR(N55/N444, "NA")</f>
        <v>3.9279041199120478E-2</v>
      </c>
      <c r="P55" s="9"/>
      <c r="Q55" s="7">
        <v>266.35000000000002</v>
      </c>
      <c r="R55" s="8">
        <f>IFERROR(Q55/Q444, "NA")</f>
        <v>3.6732180548286579E-3</v>
      </c>
      <c r="S55" s="9"/>
      <c r="T55" s="7">
        <v>0</v>
      </c>
      <c r="U55" s="8">
        <f>IFERROR(T55/T444, "NA")</f>
        <v>0</v>
      </c>
      <c r="V55" s="9"/>
      <c r="W55" s="10">
        <f t="shared" si="14"/>
        <v>266.35000000000002</v>
      </c>
      <c r="X55" s="8">
        <f>IFERROR(W55/W444, "NA")</f>
        <v>6.1711089692498729E-2</v>
      </c>
      <c r="Y55" s="9"/>
      <c r="Z55" s="7">
        <v>0</v>
      </c>
      <c r="AA55" s="8">
        <f>IFERROR(Z55/Z444, "NA")</f>
        <v>0</v>
      </c>
      <c r="AB55" s="9"/>
      <c r="AC55" s="10">
        <f t="shared" si="15"/>
        <v>266.35000000000002</v>
      </c>
      <c r="AD55" s="8">
        <f>IFERROR(AC55/AC444, "NA")</f>
        <v>3.9279041199120478E-2</v>
      </c>
    </row>
    <row r="56" spans="1:30" ht="16.5" hidden="1" customHeight="1" x14ac:dyDescent="0.45">
      <c r="A56" s="17" t="s">
        <v>54</v>
      </c>
      <c r="B56" s="7">
        <v>0</v>
      </c>
      <c r="C56" s="8">
        <f>IFERROR(B56/B444, "NA")</f>
        <v>0</v>
      </c>
      <c r="D56" s="9"/>
      <c r="E56" s="7">
        <v>0</v>
      </c>
      <c r="F56" s="8">
        <f>IFERROR(E56/E444, "NA")</f>
        <v>0</v>
      </c>
      <c r="G56" s="9"/>
      <c r="H56" s="10">
        <f t="shared" si="12"/>
        <v>0</v>
      </c>
      <c r="I56" s="8">
        <f>IFERROR(H56/H444, "NA")</f>
        <v>0</v>
      </c>
      <c r="J56" s="9"/>
      <c r="K56" s="7">
        <v>0</v>
      </c>
      <c r="L56" s="8">
        <f>IFERROR(K56/K444, "NA")</f>
        <v>0</v>
      </c>
      <c r="M56" s="9"/>
      <c r="N56" s="10">
        <f t="shared" si="13"/>
        <v>0</v>
      </c>
      <c r="O56" s="8">
        <f>IFERROR(N56/N444, "NA")</f>
        <v>0</v>
      </c>
      <c r="P56" s="9"/>
      <c r="Q56" s="7">
        <v>0</v>
      </c>
      <c r="R56" s="8">
        <f>IFERROR(Q56/Q444, "NA")</f>
        <v>0</v>
      </c>
      <c r="S56" s="9"/>
      <c r="T56" s="7">
        <v>0</v>
      </c>
      <c r="U56" s="8">
        <f>IFERROR(T56/T444, "NA")</f>
        <v>0</v>
      </c>
      <c r="V56" s="9"/>
      <c r="W56" s="10">
        <f t="shared" si="14"/>
        <v>0</v>
      </c>
      <c r="X56" s="8">
        <f>IFERROR(W56/W444, "NA")</f>
        <v>0</v>
      </c>
      <c r="Y56" s="9"/>
      <c r="Z56" s="7">
        <v>0</v>
      </c>
      <c r="AA56" s="8">
        <f>IFERROR(Z56/Z444, "NA")</f>
        <v>0</v>
      </c>
      <c r="AB56" s="9"/>
      <c r="AC56" s="10">
        <f t="shared" si="15"/>
        <v>0</v>
      </c>
      <c r="AD56" s="8">
        <f>IFERROR(AC56/AC444, "NA")</f>
        <v>0</v>
      </c>
    </row>
    <row r="57" spans="1:30" ht="16.5" hidden="1" customHeight="1" x14ac:dyDescent="0.45">
      <c r="A57" s="17" t="s">
        <v>55</v>
      </c>
      <c r="B57" s="7">
        <v>0</v>
      </c>
      <c r="C57" s="8">
        <f>IFERROR(B57/B444, "NA")</f>
        <v>0</v>
      </c>
      <c r="D57" s="9"/>
      <c r="E57" s="7">
        <v>0</v>
      </c>
      <c r="F57" s="8">
        <f>IFERROR(E57/E444, "NA")</f>
        <v>0</v>
      </c>
      <c r="G57" s="9"/>
      <c r="H57" s="10">
        <f t="shared" si="12"/>
        <v>0</v>
      </c>
      <c r="I57" s="8">
        <f>IFERROR(H57/H444, "NA")</f>
        <v>0</v>
      </c>
      <c r="J57" s="9"/>
      <c r="K57" s="7">
        <v>0</v>
      </c>
      <c r="L57" s="8">
        <f>IFERROR(K57/K444, "NA")</f>
        <v>0</v>
      </c>
      <c r="M57" s="9"/>
      <c r="N57" s="10">
        <f t="shared" si="13"/>
        <v>0</v>
      </c>
      <c r="O57" s="8">
        <f>IFERROR(N57/N444, "NA")</f>
        <v>0</v>
      </c>
      <c r="P57" s="9"/>
      <c r="Q57" s="7">
        <v>0</v>
      </c>
      <c r="R57" s="8">
        <f>IFERROR(Q57/Q444, "NA")</f>
        <v>0</v>
      </c>
      <c r="S57" s="9"/>
      <c r="T57" s="7">
        <v>0</v>
      </c>
      <c r="U57" s="8">
        <f>IFERROR(T57/T444, "NA")</f>
        <v>0</v>
      </c>
      <c r="V57" s="9"/>
      <c r="W57" s="10">
        <f t="shared" si="14"/>
        <v>0</v>
      </c>
      <c r="X57" s="8">
        <f>IFERROR(W57/W444, "NA")</f>
        <v>0</v>
      </c>
      <c r="Y57" s="9"/>
      <c r="Z57" s="7">
        <v>0</v>
      </c>
      <c r="AA57" s="8">
        <f>IFERROR(Z57/Z444, "NA")</f>
        <v>0</v>
      </c>
      <c r="AB57" s="9"/>
      <c r="AC57" s="10">
        <f t="shared" si="15"/>
        <v>0</v>
      </c>
      <c r="AD57" s="8">
        <f>IFERROR(AC57/AC444, "NA")</f>
        <v>0</v>
      </c>
    </row>
    <row r="58" spans="1:30" ht="16.5" hidden="1" customHeight="1" x14ac:dyDescent="0.45">
      <c r="A58" s="17" t="s">
        <v>56</v>
      </c>
      <c r="B58" s="7">
        <v>0</v>
      </c>
      <c r="C58" s="8">
        <f>IFERROR(B58/B444, "NA")</f>
        <v>0</v>
      </c>
      <c r="D58" s="9"/>
      <c r="E58" s="7">
        <v>0</v>
      </c>
      <c r="F58" s="8">
        <f>IFERROR(E58/E444, "NA")</f>
        <v>0</v>
      </c>
      <c r="G58" s="9"/>
      <c r="H58" s="10">
        <f t="shared" si="12"/>
        <v>0</v>
      </c>
      <c r="I58" s="8">
        <f>IFERROR(H58/H444, "NA")</f>
        <v>0</v>
      </c>
      <c r="J58" s="9"/>
      <c r="K58" s="7">
        <v>0</v>
      </c>
      <c r="L58" s="8">
        <f>IFERROR(K58/K444, "NA")</f>
        <v>0</v>
      </c>
      <c r="M58" s="9"/>
      <c r="N58" s="10">
        <f t="shared" si="13"/>
        <v>0</v>
      </c>
      <c r="O58" s="8">
        <f>IFERROR(N58/N444, "NA")</f>
        <v>0</v>
      </c>
      <c r="P58" s="9"/>
      <c r="Q58" s="7">
        <v>0</v>
      </c>
      <c r="R58" s="8">
        <f>IFERROR(Q58/Q444, "NA")</f>
        <v>0</v>
      </c>
      <c r="S58" s="9"/>
      <c r="T58" s="7">
        <v>0</v>
      </c>
      <c r="U58" s="8">
        <f>IFERROR(T58/T444, "NA")</f>
        <v>0</v>
      </c>
      <c r="V58" s="9"/>
      <c r="W58" s="10">
        <f t="shared" si="14"/>
        <v>0</v>
      </c>
      <c r="X58" s="8">
        <f>IFERROR(W58/W444, "NA")</f>
        <v>0</v>
      </c>
      <c r="Y58" s="9"/>
      <c r="Z58" s="7">
        <v>0</v>
      </c>
      <c r="AA58" s="8">
        <f>IFERROR(Z58/Z444, "NA")</f>
        <v>0</v>
      </c>
      <c r="AB58" s="9"/>
      <c r="AC58" s="10">
        <f t="shared" si="15"/>
        <v>0</v>
      </c>
      <c r="AD58" s="8">
        <f>IFERROR(AC58/AC444, "NA")</f>
        <v>0</v>
      </c>
    </row>
    <row r="59" spans="1:30" ht="16.5" hidden="1" customHeight="1" x14ac:dyDescent="0.45">
      <c r="A59" s="17" t="s">
        <v>57</v>
      </c>
      <c r="B59" s="7">
        <v>0</v>
      </c>
      <c r="C59" s="8">
        <f>IFERROR(B59/B444, "NA")</f>
        <v>0</v>
      </c>
      <c r="D59" s="9"/>
      <c r="E59" s="7">
        <v>0</v>
      </c>
      <c r="F59" s="8">
        <f>IFERROR(E59/E444, "NA")</f>
        <v>0</v>
      </c>
      <c r="G59" s="9"/>
      <c r="H59" s="10">
        <f t="shared" si="12"/>
        <v>0</v>
      </c>
      <c r="I59" s="8">
        <f>IFERROR(H59/H444, "NA")</f>
        <v>0</v>
      </c>
      <c r="J59" s="9"/>
      <c r="K59" s="7">
        <v>0</v>
      </c>
      <c r="L59" s="8">
        <f>IFERROR(K59/K444, "NA")</f>
        <v>0</v>
      </c>
      <c r="M59" s="9"/>
      <c r="N59" s="10">
        <f t="shared" si="13"/>
        <v>0</v>
      </c>
      <c r="O59" s="8">
        <f>IFERROR(N59/N444, "NA")</f>
        <v>0</v>
      </c>
      <c r="P59" s="9"/>
      <c r="Q59" s="7">
        <v>0</v>
      </c>
      <c r="R59" s="8">
        <f>IFERROR(Q59/Q444, "NA")</f>
        <v>0</v>
      </c>
      <c r="S59" s="9"/>
      <c r="T59" s="7">
        <v>0</v>
      </c>
      <c r="U59" s="8">
        <f>IFERROR(T59/T444, "NA")</f>
        <v>0</v>
      </c>
      <c r="V59" s="9"/>
      <c r="W59" s="10">
        <f t="shared" si="14"/>
        <v>0</v>
      </c>
      <c r="X59" s="8">
        <f>IFERROR(W59/W444, "NA")</f>
        <v>0</v>
      </c>
      <c r="Y59" s="9"/>
      <c r="Z59" s="7">
        <v>0</v>
      </c>
      <c r="AA59" s="8">
        <f>IFERROR(Z59/Z444, "NA")</f>
        <v>0</v>
      </c>
      <c r="AB59" s="9"/>
      <c r="AC59" s="10">
        <f t="shared" si="15"/>
        <v>0</v>
      </c>
      <c r="AD59" s="8">
        <f>IFERROR(AC59/AC444, "NA")</f>
        <v>0</v>
      </c>
    </row>
    <row r="60" spans="1:30" ht="16.5" hidden="1" customHeight="1" x14ac:dyDescent="0.45">
      <c r="A60" s="17" t="s">
        <v>58</v>
      </c>
      <c r="B60" s="7">
        <v>0</v>
      </c>
      <c r="C60" s="8">
        <f>IFERROR(B60/B444, "NA")</f>
        <v>0</v>
      </c>
      <c r="D60" s="9"/>
      <c r="E60" s="7">
        <v>0</v>
      </c>
      <c r="F60" s="8">
        <f>IFERROR(E60/E444, "NA")</f>
        <v>0</v>
      </c>
      <c r="G60" s="9"/>
      <c r="H60" s="10">
        <f t="shared" si="12"/>
        <v>0</v>
      </c>
      <c r="I60" s="8">
        <f>IFERROR(H60/H444, "NA")</f>
        <v>0</v>
      </c>
      <c r="J60" s="9"/>
      <c r="K60" s="7">
        <v>0</v>
      </c>
      <c r="L60" s="8">
        <f>IFERROR(K60/K444, "NA")</f>
        <v>0</v>
      </c>
      <c r="M60" s="9"/>
      <c r="N60" s="10">
        <f t="shared" si="13"/>
        <v>0</v>
      </c>
      <c r="O60" s="8">
        <f>IFERROR(N60/N444, "NA")</f>
        <v>0</v>
      </c>
      <c r="P60" s="9"/>
      <c r="Q60" s="7">
        <v>0</v>
      </c>
      <c r="R60" s="8">
        <f>IFERROR(Q60/Q444, "NA")</f>
        <v>0</v>
      </c>
      <c r="S60" s="9"/>
      <c r="T60" s="7">
        <v>0</v>
      </c>
      <c r="U60" s="8">
        <f>IFERROR(T60/T444, "NA")</f>
        <v>0</v>
      </c>
      <c r="V60" s="9"/>
      <c r="W60" s="10">
        <f t="shared" si="14"/>
        <v>0</v>
      </c>
      <c r="X60" s="8">
        <f>IFERROR(W60/W444, "NA")</f>
        <v>0</v>
      </c>
      <c r="Y60" s="9"/>
      <c r="Z60" s="7">
        <v>0</v>
      </c>
      <c r="AA60" s="8">
        <f>IFERROR(Z60/Z444, "NA")</f>
        <v>0</v>
      </c>
      <c r="AB60" s="9"/>
      <c r="AC60" s="10">
        <f t="shared" si="15"/>
        <v>0</v>
      </c>
      <c r="AD60" s="8">
        <f>IFERROR(AC60/AC444, "NA")</f>
        <v>0</v>
      </c>
    </row>
    <row r="61" spans="1:30" ht="16.5" customHeight="1" x14ac:dyDescent="0.45">
      <c r="A61" s="18" t="s">
        <v>59</v>
      </c>
      <c r="B61" s="14">
        <f>IFERROR(B46+B47+B48+B49+B50+B51+B52+B53+B54+B55+B56+B57+B58+B59+B60, "NA")</f>
        <v>10090.210000000001</v>
      </c>
      <c r="C61" s="15">
        <f>IFERROR(B61/B444, "NA")</f>
        <v>0.13915352562047184</v>
      </c>
      <c r="D61" s="2"/>
      <c r="E61" s="14">
        <f>IFERROR(E46+E47+E48+E49+E50+E51+E52+E53+E54+E55+E56+E57+E58+E59+E60, "NA")</f>
        <v>0</v>
      </c>
      <c r="F61" s="15">
        <f>IFERROR(E61/E444, "NA")</f>
        <v>0</v>
      </c>
      <c r="G61" s="2"/>
      <c r="H61" s="14">
        <f t="shared" si="12"/>
        <v>10090.210000000001</v>
      </c>
      <c r="I61" s="15">
        <f>IFERROR(H61/H444, "NA")</f>
        <v>2.3378181127319229</v>
      </c>
      <c r="J61" s="2"/>
      <c r="K61" s="14">
        <f>IFERROR(K46+K47+K48+K49+K50+K51+K52+K53+K54+K55+K56+K57+K58+K59+K60, "NA")</f>
        <v>4702.33</v>
      </c>
      <c r="L61" s="15">
        <f>IFERROR(K61/K444, "NA")</f>
        <v>7.153967465272526E-2</v>
      </c>
      <c r="M61" s="2"/>
      <c r="N61" s="14">
        <f t="shared" si="13"/>
        <v>5387.880000000001</v>
      </c>
      <c r="O61" s="15">
        <f>IFERROR(N61/N444, "NA")</f>
        <v>0.79455889054220863</v>
      </c>
      <c r="P61" s="2"/>
      <c r="Q61" s="14">
        <f>IFERROR(Q46+Q47+Q48+Q49+Q50+Q51+Q52+Q53+Q54+Q55+Q56+Q57+Q58+Q59+Q60, "NA")</f>
        <v>10090.210000000001</v>
      </c>
      <c r="R61" s="15">
        <f>IFERROR(Q61/Q444, "NA")</f>
        <v>0.13915352562047184</v>
      </c>
      <c r="S61" s="2"/>
      <c r="T61" s="14">
        <f>IFERROR(T46+T47+T48+T49+T50+T51+T52+T53+T54+T55+T56+T57+T58+T59+T60, "NA")</f>
        <v>0</v>
      </c>
      <c r="U61" s="15">
        <f>IFERROR(T61/T444, "NA")</f>
        <v>0</v>
      </c>
      <c r="V61" s="2"/>
      <c r="W61" s="14">
        <f t="shared" si="14"/>
        <v>10090.210000000001</v>
      </c>
      <c r="X61" s="15">
        <f>IFERROR(W61/W444, "NA")</f>
        <v>2.3378181127319229</v>
      </c>
      <c r="Y61" s="2"/>
      <c r="Z61" s="14">
        <f>IFERROR(Z46+Z47+Z48+Z49+Z50+Z51+Z52+Z53+Z54+Z55+Z56+Z57+Z58+Z59+Z60, "NA")</f>
        <v>4702.33</v>
      </c>
      <c r="AA61" s="15">
        <f>IFERROR(Z61/Z444, "NA")</f>
        <v>7.153967465272526E-2</v>
      </c>
      <c r="AB61" s="2"/>
      <c r="AC61" s="14">
        <f t="shared" si="15"/>
        <v>5387.880000000001</v>
      </c>
      <c r="AD61" s="15">
        <f>IFERROR(AC61/AC444, "NA")</f>
        <v>0.79455889054220863</v>
      </c>
    </row>
    <row r="62" spans="1:30" ht="16.5" customHeight="1" x14ac:dyDescent="0.45">
      <c r="A62" s="13" t="s">
        <v>60</v>
      </c>
      <c r="B62" s="14">
        <f>IFERROR(B42+B43+B44+B46+B47+B48+B49+B50+B51+B52+B53+B54+B55+B56+B57+B58+B59+B60, "NA")</f>
        <v>12791.62</v>
      </c>
      <c r="C62" s="15">
        <f>IFERROR(B62/B444, "NA")</f>
        <v>0.17640852087293921</v>
      </c>
      <c r="D62" s="2"/>
      <c r="E62" s="14">
        <f>IFERROR(E42+E43+E44+E46+E47+E48+E49+E50+E51+E52+E53+E54+E55+E56+E57+E58+E59+E60, "NA")</f>
        <v>13434.47</v>
      </c>
      <c r="F62" s="15">
        <f>IFERROR(E62/E444, "NA")</f>
        <v>0.1970000265414302</v>
      </c>
      <c r="G62" s="2"/>
      <c r="H62" s="14">
        <f t="shared" si="12"/>
        <v>-642.84999999999854</v>
      </c>
      <c r="I62" s="15">
        <f>IFERROR(H62/H444, "NA")</f>
        <v>-0.14894302237215212</v>
      </c>
      <c r="J62" s="2"/>
      <c r="K62" s="14">
        <f>IFERROR(K42+K43+K44+K46+K47+K48+K49+K50+K51+K52+K53+K54+K55+K56+K57+K58+K59+K60, "NA")</f>
        <v>7974.43</v>
      </c>
      <c r="L62" s="15">
        <f>IFERROR(K62/K444, "NA")</f>
        <v>0.1213203088130633</v>
      </c>
      <c r="M62" s="2"/>
      <c r="N62" s="14">
        <f t="shared" si="13"/>
        <v>4817.1900000000005</v>
      </c>
      <c r="O62" s="15">
        <f>IFERROR(N62/N444, "NA")</f>
        <v>0.71039836483570928</v>
      </c>
      <c r="P62" s="2"/>
      <c r="Q62" s="14">
        <f>IFERROR(Q42+Q43+Q44+Q46+Q47+Q48+Q49+Q50+Q51+Q52+Q53+Q54+Q55+Q56+Q57+Q58+Q59+Q60, "NA")</f>
        <v>12791.62</v>
      </c>
      <c r="R62" s="15">
        <f>IFERROR(Q62/Q444, "NA")</f>
        <v>0.17640852087293921</v>
      </c>
      <c r="S62" s="2"/>
      <c r="T62" s="14">
        <f>IFERROR(T42+T43+T44+T46+T47+T48+T49+T50+T51+T52+T53+T54+T55+T56+T57+T58+T59+T60, "NA")</f>
        <v>13434.47</v>
      </c>
      <c r="U62" s="15">
        <f>IFERROR(T62/T444, "NA")</f>
        <v>0.1970000265414302</v>
      </c>
      <c r="V62" s="2"/>
      <c r="W62" s="14">
        <f t="shared" si="14"/>
        <v>-642.84999999999854</v>
      </c>
      <c r="X62" s="15">
        <f>IFERROR(W62/W444, "NA")</f>
        <v>-0.14894302237215212</v>
      </c>
      <c r="Y62" s="2"/>
      <c r="Z62" s="14">
        <f>IFERROR(Z42+Z43+Z44+Z46+Z47+Z48+Z49+Z50+Z51+Z52+Z53+Z54+Z55+Z56+Z57+Z58+Z59+Z60, "NA")</f>
        <v>7974.43</v>
      </c>
      <c r="AA62" s="15">
        <f>IFERROR(Z62/Z444, "NA")</f>
        <v>0.1213203088130633</v>
      </c>
      <c r="AB62" s="2"/>
      <c r="AC62" s="14">
        <f t="shared" si="15"/>
        <v>4817.1900000000005</v>
      </c>
      <c r="AD62" s="15">
        <f>IFERROR(AC62/AC444, "NA")</f>
        <v>0.71039836483570928</v>
      </c>
    </row>
    <row r="63" spans="1:30" ht="16.5" customHeight="1" x14ac:dyDescent="0.45">
      <c r="A63" s="11" t="s">
        <v>61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45">
      <c r="A64" s="12" t="s">
        <v>61</v>
      </c>
      <c r="B64" s="7">
        <v>0</v>
      </c>
      <c r="C64" s="8">
        <f>IFERROR(B64/B444, "NA")</f>
        <v>0</v>
      </c>
      <c r="D64" s="9"/>
      <c r="E64" s="7">
        <v>5523.82</v>
      </c>
      <c r="F64" s="8">
        <f>IFERROR(E64/E444, "NA")</f>
        <v>8.1000045897611367E-2</v>
      </c>
      <c r="G64" s="9"/>
      <c r="H64" s="10">
        <f t="shared" ref="H64:H73" si="16">IFERROR(B64-E64, "NA")</f>
        <v>-5523.82</v>
      </c>
      <c r="I64" s="8">
        <f>IFERROR(H64/H444, "NA")</f>
        <v>-1.2798233582324696</v>
      </c>
      <c r="J64" s="9"/>
      <c r="K64" s="7">
        <v>0</v>
      </c>
      <c r="L64" s="8">
        <f>IFERROR(K64/K444, "NA")</f>
        <v>0</v>
      </c>
      <c r="M64" s="9"/>
      <c r="N64" s="10">
        <f t="shared" ref="N64:N73" si="17">IFERROR(B64-K64, "NA")</f>
        <v>0</v>
      </c>
      <c r="O64" s="8">
        <f>IFERROR(N64/N444, "NA")</f>
        <v>0</v>
      </c>
      <c r="P64" s="9"/>
      <c r="Q64" s="7">
        <v>0</v>
      </c>
      <c r="R64" s="8">
        <f>IFERROR(Q64/Q444, "NA")</f>
        <v>0</v>
      </c>
      <c r="S64" s="9"/>
      <c r="T64" s="7">
        <v>5523.82</v>
      </c>
      <c r="U64" s="8">
        <f>IFERROR(T64/T444, "NA")</f>
        <v>8.1000045897611367E-2</v>
      </c>
      <c r="V64" s="9"/>
      <c r="W64" s="10">
        <f t="shared" ref="W64:W73" si="18">IFERROR(Q64-T64, "NA")</f>
        <v>-5523.82</v>
      </c>
      <c r="X64" s="8">
        <f>IFERROR(W64/W444, "NA")</f>
        <v>-1.2798233582324696</v>
      </c>
      <c r="Y64" s="9"/>
      <c r="Z64" s="7">
        <v>0</v>
      </c>
      <c r="AA64" s="8">
        <f>IFERROR(Z64/Z444, "NA")</f>
        <v>0</v>
      </c>
      <c r="AB64" s="9"/>
      <c r="AC64" s="10">
        <f t="shared" ref="AC64:AC73" si="19">IFERROR(Q64-Z64, "NA")</f>
        <v>0</v>
      </c>
      <c r="AD64" s="8">
        <f>IFERROR(AC64/AC444, "NA")</f>
        <v>0</v>
      </c>
    </row>
    <row r="65" spans="1:30" ht="16.5" customHeight="1" x14ac:dyDescent="0.45">
      <c r="A65" s="12" t="s">
        <v>62</v>
      </c>
      <c r="B65" s="7">
        <v>1924</v>
      </c>
      <c r="C65" s="8">
        <f>IFERROR(B65/B444, "NA")</f>
        <v>2.6533777125925802E-2</v>
      </c>
      <c r="D65" s="9"/>
      <c r="E65" s="7">
        <v>0</v>
      </c>
      <c r="F65" s="8">
        <f>IFERROR(E65/E444, "NA")</f>
        <v>0</v>
      </c>
      <c r="G65" s="9"/>
      <c r="H65" s="10">
        <f t="shared" si="16"/>
        <v>1924</v>
      </c>
      <c r="I65" s="8">
        <f>IFERROR(H65/H444, "NA")</f>
        <v>0.44577486978925301</v>
      </c>
      <c r="J65" s="9"/>
      <c r="K65" s="7">
        <v>2110.1999999999998</v>
      </c>
      <c r="L65" s="8">
        <f>IFERROR(K65/K444, "NA")</f>
        <v>3.210387647234049E-2</v>
      </c>
      <c r="M65" s="9"/>
      <c r="N65" s="10">
        <f t="shared" si="17"/>
        <v>-186.19999999999982</v>
      </c>
      <c r="O65" s="8">
        <f>IFERROR(N65/N444, "NA")</f>
        <v>-2.7459198315285246E-2</v>
      </c>
      <c r="P65" s="9"/>
      <c r="Q65" s="7">
        <v>1924</v>
      </c>
      <c r="R65" s="8">
        <f>IFERROR(Q65/Q444, "NA")</f>
        <v>2.6533777125925802E-2</v>
      </c>
      <c r="S65" s="9"/>
      <c r="T65" s="7">
        <v>0</v>
      </c>
      <c r="U65" s="8">
        <f>IFERROR(T65/T444, "NA")</f>
        <v>0</v>
      </c>
      <c r="V65" s="9"/>
      <c r="W65" s="10">
        <f t="shared" si="18"/>
        <v>1924</v>
      </c>
      <c r="X65" s="8">
        <f>IFERROR(W65/W444, "NA")</f>
        <v>0.44577486978925301</v>
      </c>
      <c r="Y65" s="9"/>
      <c r="Z65" s="7">
        <v>2110.1999999999998</v>
      </c>
      <c r="AA65" s="8">
        <f>IFERROR(Z65/Z444, "NA")</f>
        <v>3.210387647234049E-2</v>
      </c>
      <c r="AB65" s="9"/>
      <c r="AC65" s="10">
        <f t="shared" si="19"/>
        <v>-186.19999999999982</v>
      </c>
      <c r="AD65" s="8">
        <f>IFERROR(AC65/AC444, "NA")</f>
        <v>-2.7459198315285246E-2</v>
      </c>
    </row>
    <row r="66" spans="1:30" ht="16.5" hidden="1" customHeight="1" x14ac:dyDescent="0.45">
      <c r="A66" s="12" t="s">
        <v>63</v>
      </c>
      <c r="B66" s="7">
        <v>0</v>
      </c>
      <c r="C66" s="8">
        <f>IFERROR(B66/B444, "NA")</f>
        <v>0</v>
      </c>
      <c r="D66" s="9"/>
      <c r="E66" s="7">
        <v>0</v>
      </c>
      <c r="F66" s="8">
        <f>IFERROR(E66/E444, "NA")</f>
        <v>0</v>
      </c>
      <c r="G66" s="9"/>
      <c r="H66" s="10">
        <f t="shared" si="16"/>
        <v>0</v>
      </c>
      <c r="I66" s="8">
        <f>IFERROR(H66/H444, "NA")</f>
        <v>0</v>
      </c>
      <c r="J66" s="9"/>
      <c r="K66" s="7">
        <v>0</v>
      </c>
      <c r="L66" s="8">
        <f>IFERROR(K66/K444, "NA")</f>
        <v>0</v>
      </c>
      <c r="M66" s="9"/>
      <c r="N66" s="10">
        <f t="shared" si="17"/>
        <v>0</v>
      </c>
      <c r="O66" s="8">
        <f>IFERROR(N66/N444, "NA")</f>
        <v>0</v>
      </c>
      <c r="P66" s="9"/>
      <c r="Q66" s="7">
        <v>0</v>
      </c>
      <c r="R66" s="8">
        <f>IFERROR(Q66/Q444, "NA")</f>
        <v>0</v>
      </c>
      <c r="S66" s="9"/>
      <c r="T66" s="7">
        <v>0</v>
      </c>
      <c r="U66" s="8">
        <f>IFERROR(T66/T444, "NA")</f>
        <v>0</v>
      </c>
      <c r="V66" s="9"/>
      <c r="W66" s="10">
        <f t="shared" si="18"/>
        <v>0</v>
      </c>
      <c r="X66" s="8">
        <f>IFERROR(W66/W444, "NA")</f>
        <v>0</v>
      </c>
      <c r="Y66" s="9"/>
      <c r="Z66" s="7">
        <v>0</v>
      </c>
      <c r="AA66" s="8">
        <f>IFERROR(Z66/Z444, "NA")</f>
        <v>0</v>
      </c>
      <c r="AB66" s="9"/>
      <c r="AC66" s="10">
        <f t="shared" si="19"/>
        <v>0</v>
      </c>
      <c r="AD66" s="8">
        <f>IFERROR(AC66/AC444, "NA")</f>
        <v>0</v>
      </c>
    </row>
    <row r="67" spans="1:30" ht="16.5" hidden="1" customHeight="1" x14ac:dyDescent="0.45">
      <c r="A67" s="12" t="s">
        <v>64</v>
      </c>
      <c r="B67" s="7">
        <v>0</v>
      </c>
      <c r="C67" s="8">
        <f>IFERROR(B67/B444, "NA")</f>
        <v>0</v>
      </c>
      <c r="D67" s="9"/>
      <c r="E67" s="7">
        <v>0</v>
      </c>
      <c r="F67" s="8">
        <f>IFERROR(E67/E444, "NA")</f>
        <v>0</v>
      </c>
      <c r="G67" s="9"/>
      <c r="H67" s="10">
        <f t="shared" si="16"/>
        <v>0</v>
      </c>
      <c r="I67" s="8">
        <f>IFERROR(H67/H444, "NA")</f>
        <v>0</v>
      </c>
      <c r="J67" s="9"/>
      <c r="K67" s="7">
        <v>0</v>
      </c>
      <c r="L67" s="8">
        <f>IFERROR(K67/K444, "NA")</f>
        <v>0</v>
      </c>
      <c r="M67" s="9"/>
      <c r="N67" s="10">
        <f t="shared" si="17"/>
        <v>0</v>
      </c>
      <c r="O67" s="8">
        <f>IFERROR(N67/N444, "NA")</f>
        <v>0</v>
      </c>
      <c r="P67" s="9"/>
      <c r="Q67" s="7">
        <v>0</v>
      </c>
      <c r="R67" s="8">
        <f>IFERROR(Q67/Q444, "NA")</f>
        <v>0</v>
      </c>
      <c r="S67" s="9"/>
      <c r="T67" s="7">
        <v>0</v>
      </c>
      <c r="U67" s="8">
        <f>IFERROR(T67/T444, "NA")</f>
        <v>0</v>
      </c>
      <c r="V67" s="9"/>
      <c r="W67" s="10">
        <f t="shared" si="18"/>
        <v>0</v>
      </c>
      <c r="X67" s="8">
        <f>IFERROR(W67/W444, "NA")</f>
        <v>0</v>
      </c>
      <c r="Y67" s="9"/>
      <c r="Z67" s="7">
        <v>0</v>
      </c>
      <c r="AA67" s="8">
        <f>IFERROR(Z67/Z444, "NA")</f>
        <v>0</v>
      </c>
      <c r="AB67" s="9"/>
      <c r="AC67" s="10">
        <f t="shared" si="19"/>
        <v>0</v>
      </c>
      <c r="AD67" s="8">
        <f>IFERROR(AC67/AC444, "NA")</f>
        <v>0</v>
      </c>
    </row>
    <row r="68" spans="1:30" ht="16.5" customHeight="1" x14ac:dyDescent="0.45">
      <c r="A68" s="12" t="s">
        <v>65</v>
      </c>
      <c r="B68" s="7">
        <v>-12.25</v>
      </c>
      <c r="C68" s="8">
        <f>IFERROR(B68/B444, "NA")</f>
        <v>-1.6893906953876874E-4</v>
      </c>
      <c r="D68" s="9"/>
      <c r="E68" s="7">
        <v>0</v>
      </c>
      <c r="F68" s="8">
        <f>IFERROR(E68/E444, "NA")</f>
        <v>0</v>
      </c>
      <c r="G68" s="9"/>
      <c r="H68" s="10">
        <f t="shared" si="16"/>
        <v>-12.25</v>
      </c>
      <c r="I68" s="8">
        <f>IFERROR(H68/H444, "NA")</f>
        <v>-2.8382235732423854E-3</v>
      </c>
      <c r="J68" s="9"/>
      <c r="K68" s="7">
        <v>0</v>
      </c>
      <c r="L68" s="8">
        <f>IFERROR(K68/K444, "NA")</f>
        <v>0</v>
      </c>
      <c r="M68" s="9"/>
      <c r="N68" s="10">
        <f t="shared" si="17"/>
        <v>-12.25</v>
      </c>
      <c r="O68" s="8">
        <f>IFERROR(N68/N444, "NA")</f>
        <v>-1.8065262049529783E-3</v>
      </c>
      <c r="P68" s="9"/>
      <c r="Q68" s="7">
        <v>-12.25</v>
      </c>
      <c r="R68" s="8">
        <f>IFERROR(Q68/Q444, "NA")</f>
        <v>-1.6893906953876874E-4</v>
      </c>
      <c r="S68" s="9"/>
      <c r="T68" s="7">
        <v>0</v>
      </c>
      <c r="U68" s="8">
        <f>IFERROR(T68/T444, "NA")</f>
        <v>0</v>
      </c>
      <c r="V68" s="9"/>
      <c r="W68" s="10">
        <f t="shared" si="18"/>
        <v>-12.25</v>
      </c>
      <c r="X68" s="8">
        <f>IFERROR(W68/W444, "NA")</f>
        <v>-2.8382235732423854E-3</v>
      </c>
      <c r="Y68" s="9"/>
      <c r="Z68" s="7">
        <v>0</v>
      </c>
      <c r="AA68" s="8">
        <f>IFERROR(Z68/Z444, "NA")</f>
        <v>0</v>
      </c>
      <c r="AB68" s="9"/>
      <c r="AC68" s="10">
        <f t="shared" si="19"/>
        <v>-12.25</v>
      </c>
      <c r="AD68" s="8">
        <f>IFERROR(AC68/AC444, "NA")</f>
        <v>-1.8065262049529783E-3</v>
      </c>
    </row>
    <row r="69" spans="1:30" ht="16.5" customHeight="1" x14ac:dyDescent="0.45">
      <c r="A69" s="12" t="s">
        <v>66</v>
      </c>
      <c r="B69" s="7">
        <v>1125</v>
      </c>
      <c r="C69" s="8">
        <f>IFERROR(B69/B444, "NA")</f>
        <v>1.5514812508662436E-2</v>
      </c>
      <c r="D69" s="9"/>
      <c r="E69" s="7">
        <v>0</v>
      </c>
      <c r="F69" s="8">
        <f>IFERROR(E69/E444, "NA")</f>
        <v>0</v>
      </c>
      <c r="G69" s="9"/>
      <c r="H69" s="10">
        <f t="shared" si="16"/>
        <v>1125</v>
      </c>
      <c r="I69" s="8">
        <f>IFERROR(H69/H444, "NA")</f>
        <v>0.2606531852977701</v>
      </c>
      <c r="J69" s="9"/>
      <c r="K69" s="7">
        <v>0</v>
      </c>
      <c r="L69" s="8">
        <f>IFERROR(K69/K444, "NA")</f>
        <v>0</v>
      </c>
      <c r="M69" s="9"/>
      <c r="N69" s="10">
        <f t="shared" si="17"/>
        <v>1125</v>
      </c>
      <c r="O69" s="8">
        <f>IFERROR(N69/N444, "NA")</f>
        <v>0.16590546780180415</v>
      </c>
      <c r="P69" s="9"/>
      <c r="Q69" s="7">
        <v>1125</v>
      </c>
      <c r="R69" s="8">
        <f>IFERROR(Q69/Q444, "NA")</f>
        <v>1.5514812508662436E-2</v>
      </c>
      <c r="S69" s="9"/>
      <c r="T69" s="7">
        <v>0</v>
      </c>
      <c r="U69" s="8">
        <f>IFERROR(T69/T444, "NA")</f>
        <v>0</v>
      </c>
      <c r="V69" s="9"/>
      <c r="W69" s="10">
        <f t="shared" si="18"/>
        <v>1125</v>
      </c>
      <c r="X69" s="8">
        <f>IFERROR(W69/W444, "NA")</f>
        <v>0.2606531852977701</v>
      </c>
      <c r="Y69" s="9"/>
      <c r="Z69" s="7">
        <v>0</v>
      </c>
      <c r="AA69" s="8">
        <f>IFERROR(Z69/Z444, "NA")</f>
        <v>0</v>
      </c>
      <c r="AB69" s="9"/>
      <c r="AC69" s="10">
        <f t="shared" si="19"/>
        <v>1125</v>
      </c>
      <c r="AD69" s="8">
        <f>IFERROR(AC69/AC444, "NA")</f>
        <v>0.16590546780180415</v>
      </c>
    </row>
    <row r="70" spans="1:30" ht="16.5" hidden="1" customHeight="1" x14ac:dyDescent="0.45">
      <c r="A70" s="12" t="s">
        <v>67</v>
      </c>
      <c r="B70" s="7">
        <v>0</v>
      </c>
      <c r="C70" s="8">
        <f>IFERROR(B70/B444, "NA")</f>
        <v>0</v>
      </c>
      <c r="D70" s="9"/>
      <c r="E70" s="7">
        <v>0</v>
      </c>
      <c r="F70" s="8">
        <f>IFERROR(E70/E444, "NA")</f>
        <v>0</v>
      </c>
      <c r="G70" s="9"/>
      <c r="H70" s="10">
        <f t="shared" si="16"/>
        <v>0</v>
      </c>
      <c r="I70" s="8">
        <f>IFERROR(H70/H444, "NA")</f>
        <v>0</v>
      </c>
      <c r="J70" s="9"/>
      <c r="K70" s="7">
        <v>0</v>
      </c>
      <c r="L70" s="8">
        <f>IFERROR(K70/K444, "NA")</f>
        <v>0</v>
      </c>
      <c r="M70" s="9"/>
      <c r="N70" s="10">
        <f t="shared" si="17"/>
        <v>0</v>
      </c>
      <c r="O70" s="8">
        <f>IFERROR(N70/N444, "NA")</f>
        <v>0</v>
      </c>
      <c r="P70" s="9"/>
      <c r="Q70" s="7">
        <v>0</v>
      </c>
      <c r="R70" s="8">
        <f>IFERROR(Q70/Q444, "NA")</f>
        <v>0</v>
      </c>
      <c r="S70" s="9"/>
      <c r="T70" s="7">
        <v>0</v>
      </c>
      <c r="U70" s="8">
        <f>IFERROR(T70/T444, "NA")</f>
        <v>0</v>
      </c>
      <c r="V70" s="9"/>
      <c r="W70" s="10">
        <f t="shared" si="18"/>
        <v>0</v>
      </c>
      <c r="X70" s="8">
        <f>IFERROR(W70/W444, "NA")</f>
        <v>0</v>
      </c>
      <c r="Y70" s="9"/>
      <c r="Z70" s="7">
        <v>0</v>
      </c>
      <c r="AA70" s="8">
        <f>IFERROR(Z70/Z444, "NA")</f>
        <v>0</v>
      </c>
      <c r="AB70" s="9"/>
      <c r="AC70" s="10">
        <f t="shared" si="19"/>
        <v>0</v>
      </c>
      <c r="AD70" s="8">
        <f>IFERROR(AC70/AC444, "NA")</f>
        <v>0</v>
      </c>
    </row>
    <row r="71" spans="1:30" ht="16.5" hidden="1" customHeight="1" x14ac:dyDescent="0.45">
      <c r="A71" s="12" t="s">
        <v>68</v>
      </c>
      <c r="B71" s="7">
        <v>0</v>
      </c>
      <c r="C71" s="8">
        <f>IFERROR(B71/B444, "NA")</f>
        <v>0</v>
      </c>
      <c r="D71" s="9"/>
      <c r="E71" s="7">
        <v>0</v>
      </c>
      <c r="F71" s="8">
        <f>IFERROR(E71/E444, "NA")</f>
        <v>0</v>
      </c>
      <c r="G71" s="9"/>
      <c r="H71" s="10">
        <f t="shared" si="16"/>
        <v>0</v>
      </c>
      <c r="I71" s="8">
        <f>IFERROR(H71/H444, "NA")</f>
        <v>0</v>
      </c>
      <c r="J71" s="9"/>
      <c r="K71" s="7">
        <v>0</v>
      </c>
      <c r="L71" s="8">
        <f>IFERROR(K71/K444, "NA")</f>
        <v>0</v>
      </c>
      <c r="M71" s="9"/>
      <c r="N71" s="10">
        <f t="shared" si="17"/>
        <v>0</v>
      </c>
      <c r="O71" s="8">
        <f>IFERROR(N71/N444, "NA")</f>
        <v>0</v>
      </c>
      <c r="P71" s="9"/>
      <c r="Q71" s="7">
        <v>0</v>
      </c>
      <c r="R71" s="8">
        <f>IFERROR(Q71/Q444, "NA")</f>
        <v>0</v>
      </c>
      <c r="S71" s="9"/>
      <c r="T71" s="7">
        <v>0</v>
      </c>
      <c r="U71" s="8">
        <f>IFERROR(T71/T444, "NA")</f>
        <v>0</v>
      </c>
      <c r="V71" s="9"/>
      <c r="W71" s="10">
        <f t="shared" si="18"/>
        <v>0</v>
      </c>
      <c r="X71" s="8">
        <f>IFERROR(W71/W444, "NA")</f>
        <v>0</v>
      </c>
      <c r="Y71" s="9"/>
      <c r="Z71" s="7">
        <v>0</v>
      </c>
      <c r="AA71" s="8">
        <f>IFERROR(Z71/Z444, "NA")</f>
        <v>0</v>
      </c>
      <c r="AB71" s="9"/>
      <c r="AC71" s="10">
        <f t="shared" si="19"/>
        <v>0</v>
      </c>
      <c r="AD71" s="8">
        <f>IFERROR(AC71/AC444, "NA")</f>
        <v>0</v>
      </c>
    </row>
    <row r="72" spans="1:30" ht="16.5" hidden="1" customHeight="1" x14ac:dyDescent="0.45">
      <c r="A72" s="12" t="s">
        <v>69</v>
      </c>
      <c r="B72" s="7">
        <v>0</v>
      </c>
      <c r="C72" s="8">
        <f>IFERROR(B72/B444, "NA")</f>
        <v>0</v>
      </c>
      <c r="D72" s="9"/>
      <c r="E72" s="7">
        <v>0</v>
      </c>
      <c r="F72" s="8">
        <f>IFERROR(E72/E444, "NA")</f>
        <v>0</v>
      </c>
      <c r="G72" s="9"/>
      <c r="H72" s="10">
        <f t="shared" si="16"/>
        <v>0</v>
      </c>
      <c r="I72" s="8">
        <f>IFERROR(H72/H444, "NA")</f>
        <v>0</v>
      </c>
      <c r="J72" s="9"/>
      <c r="K72" s="7">
        <v>0</v>
      </c>
      <c r="L72" s="8">
        <f>IFERROR(K72/K444, "NA")</f>
        <v>0</v>
      </c>
      <c r="M72" s="9"/>
      <c r="N72" s="10">
        <f t="shared" si="17"/>
        <v>0</v>
      </c>
      <c r="O72" s="8">
        <f>IFERROR(N72/N444, "NA")</f>
        <v>0</v>
      </c>
      <c r="P72" s="9"/>
      <c r="Q72" s="7">
        <v>0</v>
      </c>
      <c r="R72" s="8">
        <f>IFERROR(Q72/Q444, "NA")</f>
        <v>0</v>
      </c>
      <c r="S72" s="9"/>
      <c r="T72" s="7">
        <v>0</v>
      </c>
      <c r="U72" s="8">
        <f>IFERROR(T72/T444, "NA")</f>
        <v>0</v>
      </c>
      <c r="V72" s="9"/>
      <c r="W72" s="10">
        <f t="shared" si="18"/>
        <v>0</v>
      </c>
      <c r="X72" s="8">
        <f>IFERROR(W72/W444, "NA")</f>
        <v>0</v>
      </c>
      <c r="Y72" s="9"/>
      <c r="Z72" s="7">
        <v>0</v>
      </c>
      <c r="AA72" s="8">
        <f>IFERROR(Z72/Z444, "NA")</f>
        <v>0</v>
      </c>
      <c r="AB72" s="9"/>
      <c r="AC72" s="10">
        <f t="shared" si="19"/>
        <v>0</v>
      </c>
      <c r="AD72" s="8">
        <f>IFERROR(AC72/AC444, "NA")</f>
        <v>0</v>
      </c>
    </row>
    <row r="73" spans="1:30" ht="16.5" customHeight="1" x14ac:dyDescent="0.45">
      <c r="A73" s="13" t="s">
        <v>70</v>
      </c>
      <c r="B73" s="14">
        <f>IFERROR(B64+B65+B66+B67+B68+B69+B70+B71+B72, "NA")</f>
        <v>3036.75</v>
      </c>
      <c r="C73" s="15">
        <f>IFERROR(B73/B444, "NA")</f>
        <v>4.187965056504947E-2</v>
      </c>
      <c r="D73" s="2"/>
      <c r="E73" s="14">
        <f>IFERROR(E64+E65+E66+E67+E68+E69+E70+E71+E72, "NA")</f>
        <v>5523.82</v>
      </c>
      <c r="F73" s="15">
        <f>IFERROR(E73/E444, "NA")</f>
        <v>8.1000045897611367E-2</v>
      </c>
      <c r="G73" s="2"/>
      <c r="H73" s="14">
        <f t="shared" si="16"/>
        <v>-2487.0699999999997</v>
      </c>
      <c r="I73" s="15">
        <f>IFERROR(H73/H444, "NA")</f>
        <v>-0.57623352671868888</v>
      </c>
      <c r="J73" s="2"/>
      <c r="K73" s="14">
        <f>IFERROR(K64+K65+K66+K67+K68+K69+K70+K71+K72, "NA")</f>
        <v>2110.1999999999998</v>
      </c>
      <c r="L73" s="15">
        <f>IFERROR(K73/K444, "NA")</f>
        <v>3.210387647234049E-2</v>
      </c>
      <c r="M73" s="2"/>
      <c r="N73" s="14">
        <f t="shared" si="17"/>
        <v>926.55000000000018</v>
      </c>
      <c r="O73" s="15">
        <f>IFERROR(N73/N444, "NA")</f>
        <v>0.13663974328156592</v>
      </c>
      <c r="P73" s="2"/>
      <c r="Q73" s="14">
        <f>IFERROR(Q64+Q65+Q66+Q67+Q68+Q69+Q70+Q71+Q72, "NA")</f>
        <v>3036.75</v>
      </c>
      <c r="R73" s="15">
        <f>IFERROR(Q73/Q444, "NA")</f>
        <v>4.187965056504947E-2</v>
      </c>
      <c r="S73" s="2"/>
      <c r="T73" s="14">
        <f>IFERROR(T64+T65+T66+T67+T68+T69+T70+T71+T72, "NA")</f>
        <v>5523.82</v>
      </c>
      <c r="U73" s="15">
        <f>IFERROR(T73/T444, "NA")</f>
        <v>8.1000045897611367E-2</v>
      </c>
      <c r="V73" s="2"/>
      <c r="W73" s="14">
        <f t="shared" si="18"/>
        <v>-2487.0699999999997</v>
      </c>
      <c r="X73" s="15">
        <f>IFERROR(W73/W444, "NA")</f>
        <v>-0.57623352671868888</v>
      </c>
      <c r="Y73" s="2"/>
      <c r="Z73" s="14">
        <f>IFERROR(Z64+Z65+Z66+Z67+Z68+Z69+Z70+Z71+Z72, "NA")</f>
        <v>2110.1999999999998</v>
      </c>
      <c r="AA73" s="15">
        <f>IFERROR(Z73/Z444, "NA")</f>
        <v>3.210387647234049E-2</v>
      </c>
      <c r="AB73" s="2"/>
      <c r="AC73" s="14">
        <f t="shared" si="19"/>
        <v>926.55000000000018</v>
      </c>
      <c r="AD73" s="15">
        <f>IFERROR(AC73/AC444, "NA")</f>
        <v>0.13663974328156592</v>
      </c>
    </row>
    <row r="74" spans="1:30" ht="16.5" customHeight="1" x14ac:dyDescent="0.45">
      <c r="A74" s="11" t="s">
        <v>71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45">
      <c r="A75" s="12" t="s">
        <v>71</v>
      </c>
      <c r="B75" s="7">
        <v>0</v>
      </c>
      <c r="C75" s="8">
        <f>IFERROR(B75/B444, "NA")</f>
        <v>0</v>
      </c>
      <c r="D75" s="9"/>
      <c r="E75" s="7">
        <v>1022.93</v>
      </c>
      <c r="F75" s="8">
        <f>IFERROR(E75/E444, "NA")</f>
        <v>1.5000013930584919E-2</v>
      </c>
      <c r="G75" s="9"/>
      <c r="H75" s="10">
        <f t="shared" ref="H75:H92" si="20">IFERROR(B75-E75, "NA")</f>
        <v>-1022.93</v>
      </c>
      <c r="I75" s="8">
        <f>IFERROR(H75/H444, "NA")</f>
        <v>-0.23700441141035372</v>
      </c>
      <c r="J75" s="9"/>
      <c r="K75" s="7">
        <v>0</v>
      </c>
      <c r="L75" s="8">
        <f>IFERROR(K75/K444, "NA")</f>
        <v>0</v>
      </c>
      <c r="M75" s="9"/>
      <c r="N75" s="10">
        <f t="shared" ref="N75:N92" si="21">IFERROR(B75-K75, "NA")</f>
        <v>0</v>
      </c>
      <c r="O75" s="8">
        <f>IFERROR(N75/N444, "NA")</f>
        <v>0</v>
      </c>
      <c r="P75" s="9"/>
      <c r="Q75" s="7">
        <v>0</v>
      </c>
      <c r="R75" s="8">
        <f>IFERROR(Q75/Q444, "NA")</f>
        <v>0</v>
      </c>
      <c r="S75" s="9"/>
      <c r="T75" s="7">
        <v>1022.93</v>
      </c>
      <c r="U75" s="8">
        <f>IFERROR(T75/T444, "NA")</f>
        <v>1.5000013930584919E-2</v>
      </c>
      <c r="V75" s="9"/>
      <c r="W75" s="10">
        <f t="shared" ref="W75:W92" si="22">IFERROR(Q75-T75, "NA")</f>
        <v>-1022.93</v>
      </c>
      <c r="X75" s="8">
        <f>IFERROR(W75/W444, "NA")</f>
        <v>-0.23700441141035372</v>
      </c>
      <c r="Y75" s="9"/>
      <c r="Z75" s="7">
        <v>0</v>
      </c>
      <c r="AA75" s="8">
        <f>IFERROR(Z75/Z444, "NA")</f>
        <v>0</v>
      </c>
      <c r="AB75" s="9"/>
      <c r="AC75" s="10">
        <f t="shared" ref="AC75:AC92" si="23">IFERROR(Q75-Z75, "NA")</f>
        <v>0</v>
      </c>
      <c r="AD75" s="8">
        <f>IFERROR(AC75/AC444, "NA")</f>
        <v>0</v>
      </c>
    </row>
    <row r="76" spans="1:30" ht="16.5" hidden="1" customHeight="1" x14ac:dyDescent="0.45">
      <c r="A76" s="12" t="s">
        <v>72</v>
      </c>
      <c r="B76" s="7">
        <v>0</v>
      </c>
      <c r="C76" s="8">
        <f>IFERROR(B76/B444, "NA")</f>
        <v>0</v>
      </c>
      <c r="D76" s="9"/>
      <c r="E76" s="7">
        <v>0</v>
      </c>
      <c r="F76" s="8">
        <f>IFERROR(E76/E444, "NA")</f>
        <v>0</v>
      </c>
      <c r="G76" s="9"/>
      <c r="H76" s="10">
        <f t="shared" si="20"/>
        <v>0</v>
      </c>
      <c r="I76" s="8">
        <f>IFERROR(H76/H444, "NA")</f>
        <v>0</v>
      </c>
      <c r="J76" s="9"/>
      <c r="K76" s="7">
        <v>0</v>
      </c>
      <c r="L76" s="8">
        <f>IFERROR(K76/K444, "NA")</f>
        <v>0</v>
      </c>
      <c r="M76" s="9"/>
      <c r="N76" s="10">
        <f t="shared" si="21"/>
        <v>0</v>
      </c>
      <c r="O76" s="8">
        <f>IFERROR(N76/N444, "NA")</f>
        <v>0</v>
      </c>
      <c r="P76" s="9"/>
      <c r="Q76" s="7">
        <v>0</v>
      </c>
      <c r="R76" s="8">
        <f>IFERROR(Q76/Q444, "NA")</f>
        <v>0</v>
      </c>
      <c r="S76" s="9"/>
      <c r="T76" s="7">
        <v>0</v>
      </c>
      <c r="U76" s="8">
        <f>IFERROR(T76/T444, "NA")</f>
        <v>0</v>
      </c>
      <c r="V76" s="9"/>
      <c r="W76" s="10">
        <f t="shared" si="22"/>
        <v>0</v>
      </c>
      <c r="X76" s="8">
        <f>IFERROR(W76/W444, "NA")</f>
        <v>0</v>
      </c>
      <c r="Y76" s="9"/>
      <c r="Z76" s="7">
        <v>0</v>
      </c>
      <c r="AA76" s="8">
        <f>IFERROR(Z76/Z444, "NA")</f>
        <v>0</v>
      </c>
      <c r="AB76" s="9"/>
      <c r="AC76" s="10">
        <f t="shared" si="23"/>
        <v>0</v>
      </c>
      <c r="AD76" s="8">
        <f>IFERROR(AC76/AC444, "NA")</f>
        <v>0</v>
      </c>
    </row>
    <row r="77" spans="1:30" ht="16.5" customHeight="1" x14ac:dyDescent="0.45">
      <c r="A77" s="12" t="s">
        <v>73</v>
      </c>
      <c r="B77" s="7">
        <v>290.19</v>
      </c>
      <c r="C77" s="8">
        <f>IFERROR(B77/B444, "NA")</f>
        <v>4.0019941705677796E-3</v>
      </c>
      <c r="D77" s="9"/>
      <c r="E77" s="7">
        <v>0</v>
      </c>
      <c r="F77" s="8">
        <f>IFERROR(E77/E444, "NA")</f>
        <v>0</v>
      </c>
      <c r="G77" s="9"/>
      <c r="H77" s="10">
        <f t="shared" si="20"/>
        <v>290.19</v>
      </c>
      <c r="I77" s="8">
        <f>IFERROR(H77/H444, "NA")</f>
        <v>6.72346203036088E-2</v>
      </c>
      <c r="J77" s="9"/>
      <c r="K77" s="7">
        <v>91.61</v>
      </c>
      <c r="L77" s="8">
        <f>IFERROR(K77/K444, "NA")</f>
        <v>1.3937238762350072E-3</v>
      </c>
      <c r="M77" s="9"/>
      <c r="N77" s="10">
        <f t="shared" si="21"/>
        <v>198.57999999999998</v>
      </c>
      <c r="O77" s="8">
        <f>IFERROR(N77/N444, "NA")</f>
        <v>2.928489581873979E-2</v>
      </c>
      <c r="P77" s="9"/>
      <c r="Q77" s="7">
        <v>290.19</v>
      </c>
      <c r="R77" s="8">
        <f>IFERROR(Q77/Q444, "NA")</f>
        <v>4.0019941705677796E-3</v>
      </c>
      <c r="S77" s="9"/>
      <c r="T77" s="7">
        <v>0</v>
      </c>
      <c r="U77" s="8">
        <f>IFERROR(T77/T444, "NA")</f>
        <v>0</v>
      </c>
      <c r="V77" s="9"/>
      <c r="W77" s="10">
        <f t="shared" si="22"/>
        <v>290.19</v>
      </c>
      <c r="X77" s="8">
        <f>IFERROR(W77/W444, "NA")</f>
        <v>6.72346203036088E-2</v>
      </c>
      <c r="Y77" s="9"/>
      <c r="Z77" s="7">
        <v>91.61</v>
      </c>
      <c r="AA77" s="8">
        <f>IFERROR(Z77/Z444, "NA")</f>
        <v>1.3937238762350072E-3</v>
      </c>
      <c r="AB77" s="9"/>
      <c r="AC77" s="10">
        <f t="shared" si="23"/>
        <v>198.57999999999998</v>
      </c>
      <c r="AD77" s="8">
        <f>IFERROR(AC77/AC444, "NA")</f>
        <v>2.928489581873979E-2</v>
      </c>
    </row>
    <row r="78" spans="1:30" ht="16.5" hidden="1" customHeight="1" x14ac:dyDescent="0.45">
      <c r="A78" s="12" t="s">
        <v>74</v>
      </c>
      <c r="B78" s="7">
        <v>0</v>
      </c>
      <c r="C78" s="8">
        <f>IFERROR(B78/B444, "NA")</f>
        <v>0</v>
      </c>
      <c r="D78" s="9"/>
      <c r="E78" s="7">
        <v>0</v>
      </c>
      <c r="F78" s="8">
        <f>IFERROR(E78/E444, "NA")</f>
        <v>0</v>
      </c>
      <c r="G78" s="9"/>
      <c r="H78" s="10">
        <f t="shared" si="20"/>
        <v>0</v>
      </c>
      <c r="I78" s="8">
        <f>IFERROR(H78/H444, "NA")</f>
        <v>0</v>
      </c>
      <c r="J78" s="9"/>
      <c r="K78" s="7">
        <v>0</v>
      </c>
      <c r="L78" s="8">
        <f>IFERROR(K78/K444, "NA")</f>
        <v>0</v>
      </c>
      <c r="M78" s="9"/>
      <c r="N78" s="10">
        <f t="shared" si="21"/>
        <v>0</v>
      </c>
      <c r="O78" s="8">
        <f>IFERROR(N78/N444, "NA")</f>
        <v>0</v>
      </c>
      <c r="P78" s="9"/>
      <c r="Q78" s="7">
        <v>0</v>
      </c>
      <c r="R78" s="8">
        <f>IFERROR(Q78/Q444, "NA")</f>
        <v>0</v>
      </c>
      <c r="S78" s="9"/>
      <c r="T78" s="7">
        <v>0</v>
      </c>
      <c r="U78" s="8">
        <f>IFERROR(T78/T444, "NA")</f>
        <v>0</v>
      </c>
      <c r="V78" s="9"/>
      <c r="W78" s="10">
        <f t="shared" si="22"/>
        <v>0</v>
      </c>
      <c r="X78" s="8">
        <f>IFERROR(W78/W444, "NA")</f>
        <v>0</v>
      </c>
      <c r="Y78" s="9"/>
      <c r="Z78" s="7">
        <v>0</v>
      </c>
      <c r="AA78" s="8">
        <f>IFERROR(Z78/Z444, "NA")</f>
        <v>0</v>
      </c>
      <c r="AB78" s="9"/>
      <c r="AC78" s="10">
        <f t="shared" si="23"/>
        <v>0</v>
      </c>
      <c r="AD78" s="8">
        <f>IFERROR(AC78/AC444, "NA")</f>
        <v>0</v>
      </c>
    </row>
    <row r="79" spans="1:30" ht="16.5" hidden="1" customHeight="1" x14ac:dyDescent="0.45">
      <c r="A79" s="12" t="s">
        <v>75</v>
      </c>
      <c r="B79" s="7">
        <v>0</v>
      </c>
      <c r="C79" s="8">
        <f>IFERROR(B79/B444, "NA")</f>
        <v>0</v>
      </c>
      <c r="D79" s="9"/>
      <c r="E79" s="7">
        <v>0</v>
      </c>
      <c r="F79" s="8">
        <f>IFERROR(E79/E444, "NA")</f>
        <v>0</v>
      </c>
      <c r="G79" s="9"/>
      <c r="H79" s="10">
        <f t="shared" si="20"/>
        <v>0</v>
      </c>
      <c r="I79" s="8">
        <f>IFERROR(H79/H444, "NA")</f>
        <v>0</v>
      </c>
      <c r="J79" s="9"/>
      <c r="K79" s="7">
        <v>0</v>
      </c>
      <c r="L79" s="8">
        <f>IFERROR(K79/K444, "NA")</f>
        <v>0</v>
      </c>
      <c r="M79" s="9"/>
      <c r="N79" s="10">
        <f t="shared" si="21"/>
        <v>0</v>
      </c>
      <c r="O79" s="8">
        <f>IFERROR(N79/N444, "NA")</f>
        <v>0</v>
      </c>
      <c r="P79" s="9"/>
      <c r="Q79" s="7">
        <v>0</v>
      </c>
      <c r="R79" s="8">
        <f>IFERROR(Q79/Q444, "NA")</f>
        <v>0</v>
      </c>
      <c r="S79" s="9"/>
      <c r="T79" s="7">
        <v>0</v>
      </c>
      <c r="U79" s="8">
        <f>IFERROR(T79/T444, "NA")</f>
        <v>0</v>
      </c>
      <c r="V79" s="9"/>
      <c r="W79" s="10">
        <f t="shared" si="22"/>
        <v>0</v>
      </c>
      <c r="X79" s="8">
        <f>IFERROR(W79/W444, "NA")</f>
        <v>0</v>
      </c>
      <c r="Y79" s="9"/>
      <c r="Z79" s="7">
        <v>0</v>
      </c>
      <c r="AA79" s="8">
        <f>IFERROR(Z79/Z444, "NA")</f>
        <v>0</v>
      </c>
      <c r="AB79" s="9"/>
      <c r="AC79" s="10">
        <f t="shared" si="23"/>
        <v>0</v>
      </c>
      <c r="AD79" s="8">
        <f>IFERROR(AC79/AC444, "NA")</f>
        <v>0</v>
      </c>
    </row>
    <row r="80" spans="1:30" ht="16.5" customHeight="1" x14ac:dyDescent="0.45">
      <c r="A80" s="12" t="s">
        <v>76</v>
      </c>
      <c r="B80" s="7">
        <v>988.9</v>
      </c>
      <c r="C80" s="8">
        <f>IFERROR(B80/B444, "NA")</f>
        <v>1.3637864968725584E-2</v>
      </c>
      <c r="D80" s="9"/>
      <c r="E80" s="7">
        <v>0</v>
      </c>
      <c r="F80" s="8">
        <f>IFERROR(E80/E444, "NA")</f>
        <v>0</v>
      </c>
      <c r="G80" s="9"/>
      <c r="H80" s="10">
        <f t="shared" si="20"/>
        <v>988.9</v>
      </c>
      <c r="I80" s="8">
        <f>IFERROR(H80/H444, "NA")</f>
        <v>0.22911994216974652</v>
      </c>
      <c r="J80" s="9"/>
      <c r="K80" s="7">
        <v>650.17999999999995</v>
      </c>
      <c r="L80" s="8">
        <f>IFERROR(K80/K444, "NA")</f>
        <v>9.8916208912834501E-3</v>
      </c>
      <c r="M80" s="9"/>
      <c r="N80" s="10">
        <f t="shared" si="21"/>
        <v>338.72</v>
      </c>
      <c r="O80" s="8">
        <f>IFERROR(N80/N444, "NA")</f>
        <v>4.9951555603401872E-2</v>
      </c>
      <c r="P80" s="9"/>
      <c r="Q80" s="7">
        <v>988.9</v>
      </c>
      <c r="R80" s="8">
        <f>IFERROR(Q80/Q444, "NA")</f>
        <v>1.3637864968725584E-2</v>
      </c>
      <c r="S80" s="9"/>
      <c r="T80" s="7">
        <v>0</v>
      </c>
      <c r="U80" s="8">
        <f>IFERROR(T80/T444, "NA")</f>
        <v>0</v>
      </c>
      <c r="V80" s="9"/>
      <c r="W80" s="10">
        <f t="shared" si="22"/>
        <v>988.9</v>
      </c>
      <c r="X80" s="8">
        <f>IFERROR(W80/W444, "NA")</f>
        <v>0.22911994216974652</v>
      </c>
      <c r="Y80" s="9"/>
      <c r="Z80" s="7">
        <v>650.17999999999995</v>
      </c>
      <c r="AA80" s="8">
        <f>IFERROR(Z80/Z444, "NA")</f>
        <v>9.8916208912834501E-3</v>
      </c>
      <c r="AB80" s="9"/>
      <c r="AC80" s="10">
        <f t="shared" si="23"/>
        <v>338.72</v>
      </c>
      <c r="AD80" s="8">
        <f>IFERROR(AC80/AC444, "NA")</f>
        <v>4.9951555603401872E-2</v>
      </c>
    </row>
    <row r="81" spans="1:30" ht="16.5" hidden="1" customHeight="1" x14ac:dyDescent="0.45">
      <c r="A81" s="12" t="s">
        <v>77</v>
      </c>
      <c r="B81" s="7">
        <v>0</v>
      </c>
      <c r="C81" s="8">
        <f>IFERROR(B81/B444, "NA")</f>
        <v>0</v>
      </c>
      <c r="D81" s="9"/>
      <c r="E81" s="7">
        <v>0</v>
      </c>
      <c r="F81" s="8">
        <f>IFERROR(E81/E444, "NA")</f>
        <v>0</v>
      </c>
      <c r="G81" s="9"/>
      <c r="H81" s="10">
        <f t="shared" si="20"/>
        <v>0</v>
      </c>
      <c r="I81" s="8">
        <f>IFERROR(H81/H444, "NA")</f>
        <v>0</v>
      </c>
      <c r="J81" s="9"/>
      <c r="K81" s="7">
        <v>0</v>
      </c>
      <c r="L81" s="8">
        <f>IFERROR(K81/K444, "NA")</f>
        <v>0</v>
      </c>
      <c r="M81" s="9"/>
      <c r="N81" s="10">
        <f t="shared" si="21"/>
        <v>0</v>
      </c>
      <c r="O81" s="8">
        <f>IFERROR(N81/N444, "NA")</f>
        <v>0</v>
      </c>
      <c r="P81" s="9"/>
      <c r="Q81" s="7">
        <v>0</v>
      </c>
      <c r="R81" s="8">
        <f>IFERROR(Q81/Q444, "NA")</f>
        <v>0</v>
      </c>
      <c r="S81" s="9"/>
      <c r="T81" s="7">
        <v>0</v>
      </c>
      <c r="U81" s="8">
        <f>IFERROR(T81/T444, "NA")</f>
        <v>0</v>
      </c>
      <c r="V81" s="9"/>
      <c r="W81" s="10">
        <f t="shared" si="22"/>
        <v>0</v>
      </c>
      <c r="X81" s="8">
        <f>IFERROR(W81/W444, "NA")</f>
        <v>0</v>
      </c>
      <c r="Y81" s="9"/>
      <c r="Z81" s="7">
        <v>0</v>
      </c>
      <c r="AA81" s="8">
        <f>IFERROR(Z81/Z444, "NA")</f>
        <v>0</v>
      </c>
      <c r="AB81" s="9"/>
      <c r="AC81" s="10">
        <f t="shared" si="23"/>
        <v>0</v>
      </c>
      <c r="AD81" s="8">
        <f>IFERROR(AC81/AC444, "NA")</f>
        <v>0</v>
      </c>
    </row>
    <row r="82" spans="1:30" ht="16.5" hidden="1" customHeight="1" x14ac:dyDescent="0.45">
      <c r="A82" s="12" t="s">
        <v>78</v>
      </c>
      <c r="B82" s="7">
        <v>0</v>
      </c>
      <c r="C82" s="8">
        <f>IFERROR(B82/B444, "NA")</f>
        <v>0</v>
      </c>
      <c r="D82" s="9"/>
      <c r="E82" s="7">
        <v>0</v>
      </c>
      <c r="F82" s="8">
        <f>IFERROR(E82/E444, "NA")</f>
        <v>0</v>
      </c>
      <c r="G82" s="9"/>
      <c r="H82" s="10">
        <f t="shared" si="20"/>
        <v>0</v>
      </c>
      <c r="I82" s="8">
        <f>IFERROR(H82/H444, "NA")</f>
        <v>0</v>
      </c>
      <c r="J82" s="9"/>
      <c r="K82" s="7">
        <v>0</v>
      </c>
      <c r="L82" s="8">
        <f>IFERROR(K82/K444, "NA")</f>
        <v>0</v>
      </c>
      <c r="M82" s="9"/>
      <c r="N82" s="10">
        <f t="shared" si="21"/>
        <v>0</v>
      </c>
      <c r="O82" s="8">
        <f>IFERROR(N82/N444, "NA")</f>
        <v>0</v>
      </c>
      <c r="P82" s="9"/>
      <c r="Q82" s="7">
        <v>0</v>
      </c>
      <c r="R82" s="8">
        <f>IFERROR(Q82/Q444, "NA")</f>
        <v>0</v>
      </c>
      <c r="S82" s="9"/>
      <c r="T82" s="7">
        <v>0</v>
      </c>
      <c r="U82" s="8">
        <f>IFERROR(T82/T444, "NA")</f>
        <v>0</v>
      </c>
      <c r="V82" s="9"/>
      <c r="W82" s="10">
        <f t="shared" si="22"/>
        <v>0</v>
      </c>
      <c r="X82" s="8">
        <f>IFERROR(W82/W444, "NA")</f>
        <v>0</v>
      </c>
      <c r="Y82" s="9"/>
      <c r="Z82" s="7">
        <v>0</v>
      </c>
      <c r="AA82" s="8">
        <f>IFERROR(Z82/Z444, "NA")</f>
        <v>0</v>
      </c>
      <c r="AB82" s="9"/>
      <c r="AC82" s="10">
        <f t="shared" si="23"/>
        <v>0</v>
      </c>
      <c r="AD82" s="8">
        <f>IFERROR(AC82/AC444, "NA")</f>
        <v>0</v>
      </c>
    </row>
    <row r="83" spans="1:30" ht="16.5" customHeight="1" x14ac:dyDescent="0.45">
      <c r="A83" s="12" t="s">
        <v>79</v>
      </c>
      <c r="B83" s="7">
        <v>121.46</v>
      </c>
      <c r="C83" s="8">
        <f>IFERROR(B83/B444, "NA")</f>
        <v>1.6750481131574571E-3</v>
      </c>
      <c r="D83" s="9"/>
      <c r="E83" s="7">
        <v>0</v>
      </c>
      <c r="F83" s="8">
        <f>IFERROR(E83/E444, "NA")</f>
        <v>0</v>
      </c>
      <c r="G83" s="9"/>
      <c r="H83" s="10">
        <f t="shared" si="20"/>
        <v>121.46</v>
      </c>
      <c r="I83" s="8">
        <f>IFERROR(H83/H444, "NA")</f>
        <v>2.8141276343348582E-2</v>
      </c>
      <c r="J83" s="9"/>
      <c r="K83" s="7">
        <v>0</v>
      </c>
      <c r="L83" s="8">
        <f>IFERROR(K83/K444, "NA")</f>
        <v>0</v>
      </c>
      <c r="M83" s="9"/>
      <c r="N83" s="10">
        <f t="shared" si="21"/>
        <v>121.46</v>
      </c>
      <c r="O83" s="8">
        <f>IFERROR(N83/N444, "NA")</f>
        <v>1.7911891661517448E-2</v>
      </c>
      <c r="P83" s="9"/>
      <c r="Q83" s="7">
        <v>121.46</v>
      </c>
      <c r="R83" s="8">
        <f>IFERROR(Q83/Q444, "NA")</f>
        <v>1.6750481131574571E-3</v>
      </c>
      <c r="S83" s="9"/>
      <c r="T83" s="7">
        <v>0</v>
      </c>
      <c r="U83" s="8">
        <f>IFERROR(T83/T444, "NA")</f>
        <v>0</v>
      </c>
      <c r="V83" s="9"/>
      <c r="W83" s="10">
        <f t="shared" si="22"/>
        <v>121.46</v>
      </c>
      <c r="X83" s="8">
        <f>IFERROR(W83/W444, "NA")</f>
        <v>2.8141276343348582E-2</v>
      </c>
      <c r="Y83" s="9"/>
      <c r="Z83" s="7">
        <v>0</v>
      </c>
      <c r="AA83" s="8">
        <f>IFERROR(Z83/Z444, "NA")</f>
        <v>0</v>
      </c>
      <c r="AB83" s="9"/>
      <c r="AC83" s="10">
        <f t="shared" si="23"/>
        <v>121.46</v>
      </c>
      <c r="AD83" s="8">
        <f>IFERROR(AC83/AC444, "NA")</f>
        <v>1.7911891661517448E-2</v>
      </c>
    </row>
    <row r="84" spans="1:30" ht="16.5" hidden="1" customHeight="1" x14ac:dyDescent="0.45">
      <c r="A84" s="12" t="s">
        <v>80</v>
      </c>
      <c r="B84" s="7">
        <v>0</v>
      </c>
      <c r="C84" s="8">
        <f>IFERROR(B84/B444, "NA")</f>
        <v>0</v>
      </c>
      <c r="D84" s="9"/>
      <c r="E84" s="7">
        <v>0</v>
      </c>
      <c r="F84" s="8">
        <f>IFERROR(E84/E444, "NA")</f>
        <v>0</v>
      </c>
      <c r="G84" s="9"/>
      <c r="H84" s="10">
        <f t="shared" si="20"/>
        <v>0</v>
      </c>
      <c r="I84" s="8">
        <f>IFERROR(H84/H444, "NA")</f>
        <v>0</v>
      </c>
      <c r="J84" s="9"/>
      <c r="K84" s="7">
        <v>0</v>
      </c>
      <c r="L84" s="8">
        <f>IFERROR(K84/K444, "NA")</f>
        <v>0</v>
      </c>
      <c r="M84" s="9"/>
      <c r="N84" s="10">
        <f t="shared" si="21"/>
        <v>0</v>
      </c>
      <c r="O84" s="8">
        <f>IFERROR(N84/N444, "NA")</f>
        <v>0</v>
      </c>
      <c r="P84" s="9"/>
      <c r="Q84" s="7">
        <v>0</v>
      </c>
      <c r="R84" s="8">
        <f>IFERROR(Q84/Q444, "NA")</f>
        <v>0</v>
      </c>
      <c r="S84" s="9"/>
      <c r="T84" s="7">
        <v>0</v>
      </c>
      <c r="U84" s="8">
        <f>IFERROR(T84/T444, "NA")</f>
        <v>0</v>
      </c>
      <c r="V84" s="9"/>
      <c r="W84" s="10">
        <f t="shared" si="22"/>
        <v>0</v>
      </c>
      <c r="X84" s="8">
        <f>IFERROR(W84/W444, "NA")</f>
        <v>0</v>
      </c>
      <c r="Y84" s="9"/>
      <c r="Z84" s="7">
        <v>0</v>
      </c>
      <c r="AA84" s="8">
        <f>IFERROR(Z84/Z444, "NA")</f>
        <v>0</v>
      </c>
      <c r="AB84" s="9"/>
      <c r="AC84" s="10">
        <f t="shared" si="23"/>
        <v>0</v>
      </c>
      <c r="AD84" s="8">
        <f>IFERROR(AC84/AC444, "NA")</f>
        <v>0</v>
      </c>
    </row>
    <row r="85" spans="1:30" ht="16.5" hidden="1" customHeight="1" x14ac:dyDescent="0.45">
      <c r="A85" s="12" t="s">
        <v>81</v>
      </c>
      <c r="B85" s="7">
        <v>0</v>
      </c>
      <c r="C85" s="8">
        <f>IFERROR(B85/B444, "NA")</f>
        <v>0</v>
      </c>
      <c r="D85" s="9"/>
      <c r="E85" s="7">
        <v>0</v>
      </c>
      <c r="F85" s="8">
        <f>IFERROR(E85/E444, "NA")</f>
        <v>0</v>
      </c>
      <c r="G85" s="9"/>
      <c r="H85" s="10">
        <f t="shared" si="20"/>
        <v>0</v>
      </c>
      <c r="I85" s="8">
        <f>IFERROR(H85/H444, "NA")</f>
        <v>0</v>
      </c>
      <c r="J85" s="9"/>
      <c r="K85" s="7">
        <v>0</v>
      </c>
      <c r="L85" s="8">
        <f>IFERROR(K85/K444, "NA")</f>
        <v>0</v>
      </c>
      <c r="M85" s="9"/>
      <c r="N85" s="10">
        <f t="shared" si="21"/>
        <v>0</v>
      </c>
      <c r="O85" s="8">
        <f>IFERROR(N85/N444, "NA")</f>
        <v>0</v>
      </c>
      <c r="P85" s="9"/>
      <c r="Q85" s="7">
        <v>0</v>
      </c>
      <c r="R85" s="8">
        <f>IFERROR(Q85/Q444, "NA")</f>
        <v>0</v>
      </c>
      <c r="S85" s="9"/>
      <c r="T85" s="7">
        <v>0</v>
      </c>
      <c r="U85" s="8">
        <f>IFERROR(T85/T444, "NA")</f>
        <v>0</v>
      </c>
      <c r="V85" s="9"/>
      <c r="W85" s="10">
        <f t="shared" si="22"/>
        <v>0</v>
      </c>
      <c r="X85" s="8">
        <f>IFERROR(W85/W444, "NA")</f>
        <v>0</v>
      </c>
      <c r="Y85" s="9"/>
      <c r="Z85" s="7">
        <v>0</v>
      </c>
      <c r="AA85" s="8">
        <f>IFERROR(Z85/Z444, "NA")</f>
        <v>0</v>
      </c>
      <c r="AB85" s="9"/>
      <c r="AC85" s="10">
        <f t="shared" si="23"/>
        <v>0</v>
      </c>
      <c r="AD85" s="8">
        <f>IFERROR(AC85/AC444, "NA")</f>
        <v>0</v>
      </c>
    </row>
    <row r="86" spans="1:30" ht="16.5" hidden="1" customHeight="1" x14ac:dyDescent="0.45">
      <c r="A86" s="12" t="s">
        <v>82</v>
      </c>
      <c r="B86" s="7">
        <v>0</v>
      </c>
      <c r="C86" s="8">
        <f>IFERROR(B86/B444, "NA")</f>
        <v>0</v>
      </c>
      <c r="D86" s="9"/>
      <c r="E86" s="7">
        <v>0</v>
      </c>
      <c r="F86" s="8">
        <f>IFERROR(E86/E444, "NA")</f>
        <v>0</v>
      </c>
      <c r="G86" s="9"/>
      <c r="H86" s="10">
        <f t="shared" si="20"/>
        <v>0</v>
      </c>
      <c r="I86" s="8">
        <f>IFERROR(H86/H444, "NA")</f>
        <v>0</v>
      </c>
      <c r="J86" s="9"/>
      <c r="K86" s="7">
        <v>0</v>
      </c>
      <c r="L86" s="8">
        <f>IFERROR(K86/K444, "NA")</f>
        <v>0</v>
      </c>
      <c r="M86" s="9"/>
      <c r="N86" s="10">
        <f t="shared" si="21"/>
        <v>0</v>
      </c>
      <c r="O86" s="8">
        <f>IFERROR(N86/N444, "NA")</f>
        <v>0</v>
      </c>
      <c r="P86" s="9"/>
      <c r="Q86" s="7">
        <v>0</v>
      </c>
      <c r="R86" s="8">
        <f>IFERROR(Q86/Q444, "NA")</f>
        <v>0</v>
      </c>
      <c r="S86" s="9"/>
      <c r="T86" s="7">
        <v>0</v>
      </c>
      <c r="U86" s="8">
        <f>IFERROR(T86/T444, "NA")</f>
        <v>0</v>
      </c>
      <c r="V86" s="9"/>
      <c r="W86" s="10">
        <f t="shared" si="22"/>
        <v>0</v>
      </c>
      <c r="X86" s="8">
        <f>IFERROR(W86/W444, "NA")</f>
        <v>0</v>
      </c>
      <c r="Y86" s="9"/>
      <c r="Z86" s="7">
        <v>0</v>
      </c>
      <c r="AA86" s="8">
        <f>IFERROR(Z86/Z444, "NA")</f>
        <v>0</v>
      </c>
      <c r="AB86" s="9"/>
      <c r="AC86" s="10">
        <f t="shared" si="23"/>
        <v>0</v>
      </c>
      <c r="AD86" s="8">
        <f>IFERROR(AC86/AC444, "NA")</f>
        <v>0</v>
      </c>
    </row>
    <row r="87" spans="1:30" ht="16.5" hidden="1" customHeight="1" x14ac:dyDescent="0.45">
      <c r="A87" s="12" t="s">
        <v>83</v>
      </c>
      <c r="B87" s="7">
        <v>0</v>
      </c>
      <c r="C87" s="8">
        <f>IFERROR(B87/B444, "NA")</f>
        <v>0</v>
      </c>
      <c r="D87" s="9"/>
      <c r="E87" s="7">
        <v>0</v>
      </c>
      <c r="F87" s="8">
        <f>IFERROR(E87/E444, "NA")</f>
        <v>0</v>
      </c>
      <c r="G87" s="9"/>
      <c r="H87" s="10">
        <f t="shared" si="20"/>
        <v>0</v>
      </c>
      <c r="I87" s="8">
        <f>IFERROR(H87/H444, "NA")</f>
        <v>0</v>
      </c>
      <c r="J87" s="9"/>
      <c r="K87" s="7">
        <v>0</v>
      </c>
      <c r="L87" s="8">
        <f>IFERROR(K87/K444, "NA")</f>
        <v>0</v>
      </c>
      <c r="M87" s="9"/>
      <c r="N87" s="10">
        <f t="shared" si="21"/>
        <v>0</v>
      </c>
      <c r="O87" s="8">
        <f>IFERROR(N87/N444, "NA")</f>
        <v>0</v>
      </c>
      <c r="P87" s="9"/>
      <c r="Q87" s="7">
        <v>0</v>
      </c>
      <c r="R87" s="8">
        <f>IFERROR(Q87/Q444, "NA")</f>
        <v>0</v>
      </c>
      <c r="S87" s="9"/>
      <c r="T87" s="7">
        <v>0</v>
      </c>
      <c r="U87" s="8">
        <f>IFERROR(T87/T444, "NA")</f>
        <v>0</v>
      </c>
      <c r="V87" s="9"/>
      <c r="W87" s="10">
        <f t="shared" si="22"/>
        <v>0</v>
      </c>
      <c r="X87" s="8">
        <f>IFERROR(W87/W444, "NA")</f>
        <v>0</v>
      </c>
      <c r="Y87" s="9"/>
      <c r="Z87" s="7">
        <v>0</v>
      </c>
      <c r="AA87" s="8">
        <f>IFERROR(Z87/Z444, "NA")</f>
        <v>0</v>
      </c>
      <c r="AB87" s="9"/>
      <c r="AC87" s="10">
        <f t="shared" si="23"/>
        <v>0</v>
      </c>
      <c r="AD87" s="8">
        <f>IFERROR(AC87/AC444, "NA")</f>
        <v>0</v>
      </c>
    </row>
    <row r="88" spans="1:30" ht="16.5" customHeight="1" x14ac:dyDescent="0.45">
      <c r="A88" s="13" t="s">
        <v>84</v>
      </c>
      <c r="B88" s="14">
        <f>IFERROR(B75+B76+B77+B78+B79+B80+B81+B82+B83+B84+B85+B86+B87, "NA")</f>
        <v>1400.55</v>
      </c>
      <c r="C88" s="15">
        <f>IFERROR(B88/B444, "NA")</f>
        <v>1.931490725245082E-2</v>
      </c>
      <c r="D88" s="2"/>
      <c r="E88" s="14">
        <f>IFERROR(E75+E76+E77+E78+E79+E80+E81+E82+E83+E84+E85+E86+E87, "NA")</f>
        <v>1022.93</v>
      </c>
      <c r="F88" s="15">
        <f>IFERROR(E88/E444, "NA")</f>
        <v>1.5000013930584919E-2</v>
      </c>
      <c r="G88" s="2"/>
      <c r="H88" s="14">
        <f t="shared" si="20"/>
        <v>377.62</v>
      </c>
      <c r="I88" s="15">
        <f>IFERROR(H88/H444, "NA")</f>
        <v>8.7491427406350172E-2</v>
      </c>
      <c r="J88" s="2"/>
      <c r="K88" s="14">
        <f>IFERROR(K75+K76+K77+K78+K79+K80+K81+K82+K83+K84+K85+K86+K87, "NA")</f>
        <v>741.79</v>
      </c>
      <c r="L88" s="15">
        <f>IFERROR(K88/K444, "NA")</f>
        <v>1.1285344767518458E-2</v>
      </c>
      <c r="M88" s="2"/>
      <c r="N88" s="14">
        <f t="shared" si="21"/>
        <v>658.76</v>
      </c>
      <c r="O88" s="15">
        <f>IFERROR(N88/N444, "NA")</f>
        <v>9.7148343083659106E-2</v>
      </c>
      <c r="P88" s="2"/>
      <c r="Q88" s="14">
        <f>IFERROR(Q75+Q76+Q77+Q78+Q79+Q80+Q81+Q82+Q83+Q84+Q85+Q86+Q87, "NA")</f>
        <v>1400.55</v>
      </c>
      <c r="R88" s="15">
        <f>IFERROR(Q88/Q444, "NA")</f>
        <v>1.931490725245082E-2</v>
      </c>
      <c r="S88" s="2"/>
      <c r="T88" s="14">
        <f>IFERROR(T75+T76+T77+T78+T79+T80+T81+T82+T83+T84+T85+T86+T87, "NA")</f>
        <v>1022.93</v>
      </c>
      <c r="U88" s="15">
        <f>IFERROR(T88/T444, "NA")</f>
        <v>1.5000013930584919E-2</v>
      </c>
      <c r="V88" s="2"/>
      <c r="W88" s="14">
        <f t="shared" si="22"/>
        <v>377.62</v>
      </c>
      <c r="X88" s="15">
        <f>IFERROR(W88/W444, "NA")</f>
        <v>8.7491427406350172E-2</v>
      </c>
      <c r="Y88" s="2"/>
      <c r="Z88" s="14">
        <f>IFERROR(Z75+Z76+Z77+Z78+Z79+Z80+Z81+Z82+Z83+Z84+Z85+Z86+Z87, "NA")</f>
        <v>741.79</v>
      </c>
      <c r="AA88" s="15">
        <f>IFERROR(Z88/Z444, "NA")</f>
        <v>1.1285344767518458E-2</v>
      </c>
      <c r="AB88" s="2"/>
      <c r="AC88" s="14">
        <f t="shared" si="23"/>
        <v>658.76</v>
      </c>
      <c r="AD88" s="15">
        <f>IFERROR(AC88/AC444, "NA")</f>
        <v>9.7148343083659106E-2</v>
      </c>
    </row>
    <row r="89" spans="1:30" ht="16.5" customHeight="1" x14ac:dyDescent="0.45">
      <c r="A89" s="6" t="s">
        <v>85</v>
      </c>
      <c r="B89" s="7">
        <v>-12.95</v>
      </c>
      <c r="C89" s="8">
        <f>IFERROR(B89/B444, "NA")</f>
        <v>-1.7859273065526981E-4</v>
      </c>
      <c r="D89" s="9"/>
      <c r="E89" s="7">
        <v>0</v>
      </c>
      <c r="F89" s="8">
        <f>IFERROR(E89/E444, "NA")</f>
        <v>0</v>
      </c>
      <c r="G89" s="9"/>
      <c r="H89" s="10">
        <f t="shared" si="20"/>
        <v>-12.95</v>
      </c>
      <c r="I89" s="8">
        <f>IFERROR(H89/H444, "NA")</f>
        <v>-3.0004077774276644E-3</v>
      </c>
      <c r="J89" s="9"/>
      <c r="K89" s="7">
        <v>6.31</v>
      </c>
      <c r="L89" s="8">
        <f>IFERROR(K89/K444, "NA")</f>
        <v>9.5998227912268253E-5</v>
      </c>
      <c r="M89" s="9"/>
      <c r="N89" s="10">
        <f t="shared" si="21"/>
        <v>-19.259999999999998</v>
      </c>
      <c r="O89" s="8">
        <f>IFERROR(N89/N444, "NA")</f>
        <v>-2.8403016087668867E-3</v>
      </c>
      <c r="P89" s="9"/>
      <c r="Q89" s="7">
        <v>-12.95</v>
      </c>
      <c r="R89" s="8">
        <f>IFERROR(Q89/Q444, "NA")</f>
        <v>-1.7859273065526981E-4</v>
      </c>
      <c r="S89" s="9"/>
      <c r="T89" s="7">
        <v>0</v>
      </c>
      <c r="U89" s="8">
        <f>IFERROR(T89/T444, "NA")</f>
        <v>0</v>
      </c>
      <c r="V89" s="9"/>
      <c r="W89" s="10">
        <f t="shared" si="22"/>
        <v>-12.95</v>
      </c>
      <c r="X89" s="8">
        <f>IFERROR(W89/W444, "NA")</f>
        <v>-3.0004077774276644E-3</v>
      </c>
      <c r="Y89" s="9"/>
      <c r="Z89" s="7">
        <v>6.31</v>
      </c>
      <c r="AA89" s="8">
        <f>IFERROR(Z89/Z444, "NA")</f>
        <v>9.5998227912268253E-5</v>
      </c>
      <c r="AB89" s="9"/>
      <c r="AC89" s="10">
        <f t="shared" si="23"/>
        <v>-19.259999999999998</v>
      </c>
      <c r="AD89" s="8">
        <f>IFERROR(AC89/AC444, "NA")</f>
        <v>-2.8403016087668867E-3</v>
      </c>
    </row>
    <row r="90" spans="1:30" ht="16.5" customHeight="1" x14ac:dyDescent="0.45">
      <c r="A90" s="6" t="s">
        <v>86</v>
      </c>
      <c r="B90" s="7">
        <v>-101.1</v>
      </c>
      <c r="C90" s="8">
        <f>IFERROR(B90/B444, "NA")</f>
        <v>-1.3942644841117974E-3</v>
      </c>
      <c r="D90" s="9"/>
      <c r="E90" s="7">
        <v>0</v>
      </c>
      <c r="F90" s="8">
        <f>IFERROR(E90/E444, "NA")</f>
        <v>0</v>
      </c>
      <c r="G90" s="9"/>
      <c r="H90" s="10">
        <f t="shared" si="20"/>
        <v>-101.1</v>
      </c>
      <c r="I90" s="8">
        <f>IFERROR(H90/H444, "NA")</f>
        <v>-2.3424032918759604E-2</v>
      </c>
      <c r="J90" s="9"/>
      <c r="K90" s="7">
        <v>0</v>
      </c>
      <c r="L90" s="8">
        <f>IFERROR(K90/K444, "NA")</f>
        <v>0</v>
      </c>
      <c r="M90" s="9"/>
      <c r="N90" s="10">
        <f t="shared" si="21"/>
        <v>-101.1</v>
      </c>
      <c r="O90" s="8">
        <f>IFERROR(N90/N444, "NA")</f>
        <v>-1.4909371373122132E-2</v>
      </c>
      <c r="P90" s="9"/>
      <c r="Q90" s="7">
        <v>-101.1</v>
      </c>
      <c r="R90" s="8">
        <f>IFERROR(Q90/Q444, "NA")</f>
        <v>-1.3942644841117974E-3</v>
      </c>
      <c r="S90" s="9"/>
      <c r="T90" s="7">
        <v>0</v>
      </c>
      <c r="U90" s="8">
        <f>IFERROR(T90/T444, "NA")</f>
        <v>0</v>
      </c>
      <c r="V90" s="9"/>
      <c r="W90" s="10">
        <f t="shared" si="22"/>
        <v>-101.1</v>
      </c>
      <c r="X90" s="8">
        <f>IFERROR(W90/W444, "NA")</f>
        <v>-2.3424032918759604E-2</v>
      </c>
      <c r="Y90" s="9"/>
      <c r="Z90" s="7">
        <v>0</v>
      </c>
      <c r="AA90" s="8">
        <f>IFERROR(Z90/Z444, "NA")</f>
        <v>0</v>
      </c>
      <c r="AB90" s="9"/>
      <c r="AC90" s="10">
        <f t="shared" si="23"/>
        <v>-101.1</v>
      </c>
      <c r="AD90" s="8">
        <f>IFERROR(AC90/AC444, "NA")</f>
        <v>-1.4909371373122132E-2</v>
      </c>
    </row>
    <row r="91" spans="1:30" ht="16.5" hidden="1" customHeight="1" x14ac:dyDescent="0.45">
      <c r="A91" s="6" t="s">
        <v>87</v>
      </c>
      <c r="B91" s="7">
        <v>0</v>
      </c>
      <c r="C91" s="8">
        <f>IFERROR(B91/B444, "NA")</f>
        <v>0</v>
      </c>
      <c r="D91" s="9"/>
      <c r="E91" s="7">
        <v>0</v>
      </c>
      <c r="F91" s="8">
        <f>IFERROR(E91/E444, "NA")</f>
        <v>0</v>
      </c>
      <c r="G91" s="9"/>
      <c r="H91" s="10">
        <f t="shared" si="20"/>
        <v>0</v>
      </c>
      <c r="I91" s="8">
        <f>IFERROR(H91/H444, "NA")</f>
        <v>0</v>
      </c>
      <c r="J91" s="9"/>
      <c r="K91" s="7">
        <v>0</v>
      </c>
      <c r="L91" s="8">
        <f>IFERROR(K91/K444, "NA")</f>
        <v>0</v>
      </c>
      <c r="M91" s="9"/>
      <c r="N91" s="10">
        <f t="shared" si="21"/>
        <v>0</v>
      </c>
      <c r="O91" s="8">
        <f>IFERROR(N91/N444, "NA")</f>
        <v>0</v>
      </c>
      <c r="P91" s="9"/>
      <c r="Q91" s="7">
        <v>0</v>
      </c>
      <c r="R91" s="8">
        <f>IFERROR(Q91/Q444, "NA")</f>
        <v>0</v>
      </c>
      <c r="S91" s="9"/>
      <c r="T91" s="7">
        <v>0</v>
      </c>
      <c r="U91" s="8">
        <f>IFERROR(T91/T444, "NA")</f>
        <v>0</v>
      </c>
      <c r="V91" s="9"/>
      <c r="W91" s="10">
        <f t="shared" si="22"/>
        <v>0</v>
      </c>
      <c r="X91" s="8">
        <f>IFERROR(W91/W444, "NA")</f>
        <v>0</v>
      </c>
      <c r="Y91" s="9"/>
      <c r="Z91" s="7">
        <v>0</v>
      </c>
      <c r="AA91" s="8">
        <f>IFERROR(Z91/Z444, "NA")</f>
        <v>0</v>
      </c>
      <c r="AB91" s="9"/>
      <c r="AC91" s="10">
        <f t="shared" si="23"/>
        <v>0</v>
      </c>
      <c r="AD91" s="8">
        <f>IFERROR(AC91/AC444, "NA")</f>
        <v>0</v>
      </c>
    </row>
    <row r="92" spans="1:30" ht="16.5" hidden="1" customHeight="1" x14ac:dyDescent="0.45">
      <c r="A92" s="6" t="s">
        <v>88</v>
      </c>
      <c r="B92" s="7">
        <v>0</v>
      </c>
      <c r="C92" s="8">
        <f>IFERROR(B92/B444, "NA")</f>
        <v>0</v>
      </c>
      <c r="D92" s="9"/>
      <c r="E92" s="7">
        <v>0</v>
      </c>
      <c r="F92" s="8">
        <f>IFERROR(E92/E444, "NA")</f>
        <v>0</v>
      </c>
      <c r="G92" s="9"/>
      <c r="H92" s="10">
        <f t="shared" si="20"/>
        <v>0</v>
      </c>
      <c r="I92" s="8">
        <f>IFERROR(H92/H444, "NA")</f>
        <v>0</v>
      </c>
      <c r="J92" s="9"/>
      <c r="K92" s="7">
        <v>0</v>
      </c>
      <c r="L92" s="8">
        <f>IFERROR(K92/K444, "NA")</f>
        <v>0</v>
      </c>
      <c r="M92" s="9"/>
      <c r="N92" s="10">
        <f t="shared" si="21"/>
        <v>0</v>
      </c>
      <c r="O92" s="8">
        <f>IFERROR(N92/N444, "NA")</f>
        <v>0</v>
      </c>
      <c r="P92" s="9"/>
      <c r="Q92" s="7">
        <v>0</v>
      </c>
      <c r="R92" s="8">
        <f>IFERROR(Q92/Q444, "NA")</f>
        <v>0</v>
      </c>
      <c r="S92" s="9"/>
      <c r="T92" s="7">
        <v>0</v>
      </c>
      <c r="U92" s="8">
        <f>IFERROR(T92/T444, "NA")</f>
        <v>0</v>
      </c>
      <c r="V92" s="9"/>
      <c r="W92" s="10">
        <f t="shared" si="22"/>
        <v>0</v>
      </c>
      <c r="X92" s="8">
        <f>IFERROR(W92/W444, "NA")</f>
        <v>0</v>
      </c>
      <c r="Y92" s="9"/>
      <c r="Z92" s="7">
        <v>0</v>
      </c>
      <c r="AA92" s="8">
        <f>IFERROR(Z92/Z444, "NA")</f>
        <v>0</v>
      </c>
      <c r="AB92" s="9"/>
      <c r="AC92" s="10">
        <f t="shared" si="23"/>
        <v>0</v>
      </c>
      <c r="AD92" s="8">
        <f>IFERROR(AC92/AC444, "NA")</f>
        <v>0</v>
      </c>
    </row>
    <row r="93" spans="1:30" ht="16.5" customHeight="1" x14ac:dyDescent="0.45">
      <c r="A93" s="11" t="s">
        <v>89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45">
      <c r="A94" s="12" t="s">
        <v>89</v>
      </c>
      <c r="B94" s="7">
        <v>0</v>
      </c>
      <c r="C94" s="8">
        <f>IFERROR(B94/B444, "NA")</f>
        <v>0</v>
      </c>
      <c r="D94" s="9"/>
      <c r="E94" s="7">
        <v>-3614.35</v>
      </c>
      <c r="F94" s="8">
        <f>IFERROR(E94/E444, "NA")</f>
        <v>-5.3000010118003781E-2</v>
      </c>
      <c r="G94" s="9"/>
      <c r="H94" s="10">
        <f t="shared" ref="H94:H124" si="24">IFERROR(B94-E94, "NA")</f>
        <v>3614.35</v>
      </c>
      <c r="I94" s="8">
        <f>IFERROR(H94/H444, "NA")</f>
        <v>0.83741496913866253</v>
      </c>
      <c r="J94" s="9"/>
      <c r="K94" s="7">
        <v>0</v>
      </c>
      <c r="L94" s="8">
        <f>IFERROR(K94/K444, "NA")</f>
        <v>0</v>
      </c>
      <c r="M94" s="9"/>
      <c r="N94" s="10">
        <f t="shared" ref="N94:N124" si="25">IFERROR(B94-K94, "NA")</f>
        <v>0</v>
      </c>
      <c r="O94" s="8">
        <f>IFERROR(N94/N444, "NA")</f>
        <v>0</v>
      </c>
      <c r="P94" s="9"/>
      <c r="Q94" s="7">
        <v>0</v>
      </c>
      <c r="R94" s="8">
        <f>IFERROR(Q94/Q444, "NA")</f>
        <v>0</v>
      </c>
      <c r="S94" s="9"/>
      <c r="T94" s="7">
        <v>-3614.35</v>
      </c>
      <c r="U94" s="8">
        <f>IFERROR(T94/T444, "NA")</f>
        <v>-5.3000010118003781E-2</v>
      </c>
      <c r="V94" s="9"/>
      <c r="W94" s="10">
        <f t="shared" ref="W94:W124" si="26">IFERROR(Q94-T94, "NA")</f>
        <v>3614.35</v>
      </c>
      <c r="X94" s="8">
        <f>IFERROR(W94/W444, "NA")</f>
        <v>0.83741496913866253</v>
      </c>
      <c r="Y94" s="9"/>
      <c r="Z94" s="7">
        <v>0</v>
      </c>
      <c r="AA94" s="8">
        <f>IFERROR(Z94/Z444, "NA")</f>
        <v>0</v>
      </c>
      <c r="AB94" s="9"/>
      <c r="AC94" s="10">
        <f t="shared" ref="AC94:AC124" si="27">IFERROR(Q94-Z94, "NA")</f>
        <v>0</v>
      </c>
      <c r="AD94" s="8">
        <f>IFERROR(AC94/AC444, "NA")</f>
        <v>0</v>
      </c>
    </row>
    <row r="95" spans="1:30" ht="16.5" hidden="1" customHeight="1" x14ac:dyDescent="0.45">
      <c r="A95" s="12" t="s">
        <v>90</v>
      </c>
      <c r="B95" s="7">
        <v>0</v>
      </c>
      <c r="C95" s="8">
        <f>IFERROR(B95/B444, "NA")</f>
        <v>0</v>
      </c>
      <c r="D95" s="9"/>
      <c r="E95" s="7">
        <v>0</v>
      </c>
      <c r="F95" s="8">
        <f>IFERROR(E95/E444, "NA")</f>
        <v>0</v>
      </c>
      <c r="G95" s="9"/>
      <c r="H95" s="10">
        <f t="shared" si="24"/>
        <v>0</v>
      </c>
      <c r="I95" s="8">
        <f>IFERROR(H95/H444, "NA")</f>
        <v>0</v>
      </c>
      <c r="J95" s="9"/>
      <c r="K95" s="7">
        <v>0</v>
      </c>
      <c r="L95" s="8">
        <f>IFERROR(K95/K444, "NA")</f>
        <v>0</v>
      </c>
      <c r="M95" s="9"/>
      <c r="N95" s="10">
        <f t="shared" si="25"/>
        <v>0</v>
      </c>
      <c r="O95" s="8">
        <f>IFERROR(N95/N444, "NA")</f>
        <v>0</v>
      </c>
      <c r="P95" s="9"/>
      <c r="Q95" s="7">
        <v>0</v>
      </c>
      <c r="R95" s="8">
        <f>IFERROR(Q95/Q444, "NA")</f>
        <v>0</v>
      </c>
      <c r="S95" s="9"/>
      <c r="T95" s="7">
        <v>0</v>
      </c>
      <c r="U95" s="8">
        <f>IFERROR(T95/T444, "NA")</f>
        <v>0</v>
      </c>
      <c r="V95" s="9"/>
      <c r="W95" s="10">
        <f t="shared" si="26"/>
        <v>0</v>
      </c>
      <c r="X95" s="8">
        <f>IFERROR(W95/W444, "NA")</f>
        <v>0</v>
      </c>
      <c r="Y95" s="9"/>
      <c r="Z95" s="7">
        <v>0</v>
      </c>
      <c r="AA95" s="8">
        <f>IFERROR(Z95/Z444, "NA")</f>
        <v>0</v>
      </c>
      <c r="AB95" s="9"/>
      <c r="AC95" s="10">
        <f t="shared" si="27"/>
        <v>0</v>
      </c>
      <c r="AD95" s="8">
        <f>IFERROR(AC95/AC444, "NA")</f>
        <v>0</v>
      </c>
    </row>
    <row r="96" spans="1:30" ht="16.5" customHeight="1" x14ac:dyDescent="0.45">
      <c r="A96" s="12" t="s">
        <v>91</v>
      </c>
      <c r="B96" s="7">
        <v>-1554.04</v>
      </c>
      <c r="C96" s="8">
        <f>IFERROR(B96/B444, "NA")</f>
        <v>-2.1431679316410462E-2</v>
      </c>
      <c r="D96" s="9"/>
      <c r="E96" s="7">
        <v>0</v>
      </c>
      <c r="F96" s="8">
        <f>IFERROR(E96/E444, "NA")</f>
        <v>0</v>
      </c>
      <c r="G96" s="9"/>
      <c r="H96" s="10">
        <f t="shared" si="24"/>
        <v>-1554.04</v>
      </c>
      <c r="I96" s="8">
        <f>IFERROR(H96/H444, "NA")</f>
        <v>-0.36005820096013036</v>
      </c>
      <c r="J96" s="9"/>
      <c r="K96" s="7">
        <v>-1709.2</v>
      </c>
      <c r="L96" s="8">
        <f>IFERROR(K96/K444, "NA")</f>
        <v>-2.6003196695348483E-2</v>
      </c>
      <c r="M96" s="9"/>
      <c r="N96" s="10">
        <f t="shared" si="25"/>
        <v>155.16000000000008</v>
      </c>
      <c r="O96" s="8">
        <f>IFERROR(N96/N444, "NA")</f>
        <v>2.2881682119224839E-2</v>
      </c>
      <c r="P96" s="9"/>
      <c r="Q96" s="7">
        <v>-1554.04</v>
      </c>
      <c r="R96" s="8">
        <f>IFERROR(Q96/Q444, "NA")</f>
        <v>-2.1431679316410462E-2</v>
      </c>
      <c r="S96" s="9"/>
      <c r="T96" s="7">
        <v>0</v>
      </c>
      <c r="U96" s="8">
        <f>IFERROR(T96/T444, "NA")</f>
        <v>0</v>
      </c>
      <c r="V96" s="9"/>
      <c r="W96" s="10">
        <f t="shared" si="26"/>
        <v>-1554.04</v>
      </c>
      <c r="X96" s="8">
        <f>IFERROR(W96/W444, "NA")</f>
        <v>-0.36005820096013036</v>
      </c>
      <c r="Y96" s="9"/>
      <c r="Z96" s="7">
        <v>-1709.2</v>
      </c>
      <c r="AA96" s="8">
        <f>IFERROR(Z96/Z444, "NA")</f>
        <v>-2.6003196695348483E-2</v>
      </c>
      <c r="AB96" s="9"/>
      <c r="AC96" s="10">
        <f t="shared" si="27"/>
        <v>155.16000000000008</v>
      </c>
      <c r="AD96" s="8">
        <f>IFERROR(AC96/AC444, "NA")</f>
        <v>2.2881682119224839E-2</v>
      </c>
    </row>
    <row r="97" spans="1:30" ht="16.5" hidden="1" customHeight="1" x14ac:dyDescent="0.45">
      <c r="A97" s="12" t="s">
        <v>92</v>
      </c>
      <c r="B97" s="7">
        <v>0</v>
      </c>
      <c r="C97" s="8">
        <f>IFERROR(B97/B444, "NA")</f>
        <v>0</v>
      </c>
      <c r="D97" s="9"/>
      <c r="E97" s="7">
        <v>0</v>
      </c>
      <c r="F97" s="8">
        <f>IFERROR(E97/E444, "NA")</f>
        <v>0</v>
      </c>
      <c r="G97" s="9"/>
      <c r="H97" s="10">
        <f t="shared" si="24"/>
        <v>0</v>
      </c>
      <c r="I97" s="8">
        <f>IFERROR(H97/H444, "NA")</f>
        <v>0</v>
      </c>
      <c r="J97" s="9"/>
      <c r="K97" s="7">
        <v>0</v>
      </c>
      <c r="L97" s="8">
        <f>IFERROR(K97/K444, "NA")</f>
        <v>0</v>
      </c>
      <c r="M97" s="9"/>
      <c r="N97" s="10">
        <f t="shared" si="25"/>
        <v>0</v>
      </c>
      <c r="O97" s="8">
        <f>IFERROR(N97/N444, "NA")</f>
        <v>0</v>
      </c>
      <c r="P97" s="9"/>
      <c r="Q97" s="7">
        <v>0</v>
      </c>
      <c r="R97" s="8">
        <f>IFERROR(Q97/Q444, "NA")</f>
        <v>0</v>
      </c>
      <c r="S97" s="9"/>
      <c r="T97" s="7">
        <v>0</v>
      </c>
      <c r="U97" s="8">
        <f>IFERROR(T97/T444, "NA")</f>
        <v>0</v>
      </c>
      <c r="V97" s="9"/>
      <c r="W97" s="10">
        <f t="shared" si="26"/>
        <v>0</v>
      </c>
      <c r="X97" s="8">
        <f>IFERROR(W97/W444, "NA")</f>
        <v>0</v>
      </c>
      <c r="Y97" s="9"/>
      <c r="Z97" s="7">
        <v>0</v>
      </c>
      <c r="AA97" s="8">
        <f>IFERROR(Z97/Z444, "NA")</f>
        <v>0</v>
      </c>
      <c r="AB97" s="9"/>
      <c r="AC97" s="10">
        <f t="shared" si="27"/>
        <v>0</v>
      </c>
      <c r="AD97" s="8">
        <f>IFERROR(AC97/AC444, "NA")</f>
        <v>0</v>
      </c>
    </row>
    <row r="98" spans="1:30" ht="16.5" customHeight="1" x14ac:dyDescent="0.45">
      <c r="A98" s="12" t="s">
        <v>93</v>
      </c>
      <c r="B98" s="7">
        <v>-1446.11</v>
      </c>
      <c r="C98" s="8">
        <f>IFERROR(B98/B444, "NA")</f>
        <v>-1.994322268169052E-2</v>
      </c>
      <c r="D98" s="9"/>
      <c r="E98" s="7">
        <v>0</v>
      </c>
      <c r="F98" s="8">
        <f>IFERROR(E98/E444, "NA")</f>
        <v>0</v>
      </c>
      <c r="G98" s="9"/>
      <c r="H98" s="10">
        <f t="shared" si="24"/>
        <v>-1446.11</v>
      </c>
      <c r="I98" s="8">
        <f>IFERROR(H98/H444, "NA")</f>
        <v>-0.3350517135919629</v>
      </c>
      <c r="J98" s="9"/>
      <c r="K98" s="7">
        <v>-1178.2</v>
      </c>
      <c r="L98" s="8">
        <f>IFERROR(K98/K444, "NA")</f>
        <v>-1.7924740432049838E-2</v>
      </c>
      <c r="M98" s="9"/>
      <c r="N98" s="10">
        <f t="shared" si="25"/>
        <v>-267.90999999999985</v>
      </c>
      <c r="O98" s="8">
        <f>IFERROR(N98/N444, "NA")</f>
        <v>-3.9509096781138953E-2</v>
      </c>
      <c r="P98" s="9"/>
      <c r="Q98" s="7">
        <v>-1446.11</v>
      </c>
      <c r="R98" s="8">
        <f>IFERROR(Q98/Q444, "NA")</f>
        <v>-1.994322268169052E-2</v>
      </c>
      <c r="S98" s="9"/>
      <c r="T98" s="7">
        <v>0</v>
      </c>
      <c r="U98" s="8">
        <f>IFERROR(T98/T444, "NA")</f>
        <v>0</v>
      </c>
      <c r="V98" s="9"/>
      <c r="W98" s="10">
        <f t="shared" si="26"/>
        <v>-1446.11</v>
      </c>
      <c r="X98" s="8">
        <f>IFERROR(W98/W444, "NA")</f>
        <v>-0.3350517135919629</v>
      </c>
      <c r="Y98" s="9"/>
      <c r="Z98" s="7">
        <v>-1178.2</v>
      </c>
      <c r="AA98" s="8">
        <f>IFERROR(Z98/Z444, "NA")</f>
        <v>-1.7924740432049838E-2</v>
      </c>
      <c r="AB98" s="9"/>
      <c r="AC98" s="10">
        <f t="shared" si="27"/>
        <v>-267.90999999999985</v>
      </c>
      <c r="AD98" s="8">
        <f>IFERROR(AC98/AC444, "NA")</f>
        <v>-3.9509096781138953E-2</v>
      </c>
    </row>
    <row r="99" spans="1:30" ht="16.5" hidden="1" customHeight="1" x14ac:dyDescent="0.45">
      <c r="A99" s="12" t="s">
        <v>94</v>
      </c>
      <c r="B99" s="7">
        <v>0</v>
      </c>
      <c r="C99" s="8">
        <f>IFERROR(B99/B444, "NA")</f>
        <v>0</v>
      </c>
      <c r="D99" s="9"/>
      <c r="E99" s="7">
        <v>0</v>
      </c>
      <c r="F99" s="8">
        <f>IFERROR(E99/E444, "NA")</f>
        <v>0</v>
      </c>
      <c r="G99" s="9"/>
      <c r="H99" s="10">
        <f t="shared" si="24"/>
        <v>0</v>
      </c>
      <c r="I99" s="8">
        <f>IFERROR(H99/H444, "NA")</f>
        <v>0</v>
      </c>
      <c r="J99" s="9"/>
      <c r="K99" s="7">
        <v>0</v>
      </c>
      <c r="L99" s="8">
        <f>IFERROR(K99/K444, "NA")</f>
        <v>0</v>
      </c>
      <c r="M99" s="9"/>
      <c r="N99" s="10">
        <f t="shared" si="25"/>
        <v>0</v>
      </c>
      <c r="O99" s="8">
        <f>IFERROR(N99/N444, "NA")</f>
        <v>0</v>
      </c>
      <c r="P99" s="9"/>
      <c r="Q99" s="7">
        <v>0</v>
      </c>
      <c r="R99" s="8">
        <f>IFERROR(Q99/Q444, "NA")</f>
        <v>0</v>
      </c>
      <c r="S99" s="9"/>
      <c r="T99" s="7">
        <v>0</v>
      </c>
      <c r="U99" s="8">
        <f>IFERROR(T99/T444, "NA")</f>
        <v>0</v>
      </c>
      <c r="V99" s="9"/>
      <c r="W99" s="10">
        <f t="shared" si="26"/>
        <v>0</v>
      </c>
      <c r="X99" s="8">
        <f>IFERROR(W99/W444, "NA")</f>
        <v>0</v>
      </c>
      <c r="Y99" s="9"/>
      <c r="Z99" s="7">
        <v>0</v>
      </c>
      <c r="AA99" s="8">
        <f>IFERROR(Z99/Z444, "NA")</f>
        <v>0</v>
      </c>
      <c r="AB99" s="9"/>
      <c r="AC99" s="10">
        <f t="shared" si="27"/>
        <v>0</v>
      </c>
      <c r="AD99" s="8">
        <f>IFERROR(AC99/AC444, "NA")</f>
        <v>0</v>
      </c>
    </row>
    <row r="100" spans="1:30" ht="16.5" customHeight="1" x14ac:dyDescent="0.45">
      <c r="A100" s="12" t="s">
        <v>95</v>
      </c>
      <c r="B100" s="7">
        <v>-74.64</v>
      </c>
      <c r="C100" s="8">
        <f>IFERROR(B100/B444, "NA")</f>
        <v>-1.029356093908057E-3</v>
      </c>
      <c r="D100" s="9"/>
      <c r="E100" s="7">
        <v>0</v>
      </c>
      <c r="F100" s="8">
        <f>IFERROR(E100/E444, "NA")</f>
        <v>0</v>
      </c>
      <c r="G100" s="9"/>
      <c r="H100" s="10">
        <f t="shared" si="24"/>
        <v>-74.64</v>
      </c>
      <c r="I100" s="8">
        <f>IFERROR(H100/H444, "NA")</f>
        <v>-1.7293470000556053E-2</v>
      </c>
      <c r="J100" s="9"/>
      <c r="K100" s="7">
        <v>-691.5</v>
      </c>
      <c r="L100" s="8">
        <f>IFERROR(K100/K444, "NA")</f>
        <v>-1.0520249540623377E-2</v>
      </c>
      <c r="M100" s="9"/>
      <c r="N100" s="10">
        <f t="shared" si="25"/>
        <v>616.86</v>
      </c>
      <c r="O100" s="8">
        <f>IFERROR(N100/N444, "NA")</f>
        <v>9.0969286105085242E-2</v>
      </c>
      <c r="P100" s="9"/>
      <c r="Q100" s="7">
        <v>-74.64</v>
      </c>
      <c r="R100" s="8">
        <f>IFERROR(Q100/Q444, "NA")</f>
        <v>-1.029356093908057E-3</v>
      </c>
      <c r="S100" s="9"/>
      <c r="T100" s="7">
        <v>0</v>
      </c>
      <c r="U100" s="8">
        <f>IFERROR(T100/T444, "NA")</f>
        <v>0</v>
      </c>
      <c r="V100" s="9"/>
      <c r="W100" s="10">
        <f t="shared" si="26"/>
        <v>-74.64</v>
      </c>
      <c r="X100" s="8">
        <f>IFERROR(W100/W444, "NA")</f>
        <v>-1.7293470000556053E-2</v>
      </c>
      <c r="Y100" s="9"/>
      <c r="Z100" s="7">
        <v>-691.5</v>
      </c>
      <c r="AA100" s="8">
        <f>IFERROR(Z100/Z444, "NA")</f>
        <v>-1.0520249540623377E-2</v>
      </c>
      <c r="AB100" s="9"/>
      <c r="AC100" s="10">
        <f t="shared" si="27"/>
        <v>616.86</v>
      </c>
      <c r="AD100" s="8">
        <f>IFERROR(AC100/AC444, "NA")</f>
        <v>9.0969286105085242E-2</v>
      </c>
    </row>
    <row r="101" spans="1:30" ht="16.5" hidden="1" customHeight="1" x14ac:dyDescent="0.45">
      <c r="A101" s="12" t="s">
        <v>96</v>
      </c>
      <c r="B101" s="7">
        <v>0</v>
      </c>
      <c r="C101" s="8">
        <f>IFERROR(B101/B444, "NA")</f>
        <v>0</v>
      </c>
      <c r="D101" s="9"/>
      <c r="E101" s="7">
        <v>0</v>
      </c>
      <c r="F101" s="8">
        <f>IFERROR(E101/E444, "NA")</f>
        <v>0</v>
      </c>
      <c r="G101" s="9"/>
      <c r="H101" s="10">
        <f t="shared" si="24"/>
        <v>0</v>
      </c>
      <c r="I101" s="8">
        <f>IFERROR(H101/H444, "NA")</f>
        <v>0</v>
      </c>
      <c r="J101" s="9"/>
      <c r="K101" s="7">
        <v>0</v>
      </c>
      <c r="L101" s="8">
        <f>IFERROR(K101/K444, "NA")</f>
        <v>0</v>
      </c>
      <c r="M101" s="9"/>
      <c r="N101" s="10">
        <f t="shared" si="25"/>
        <v>0</v>
      </c>
      <c r="O101" s="8">
        <f>IFERROR(N101/N444, "NA")</f>
        <v>0</v>
      </c>
      <c r="P101" s="9"/>
      <c r="Q101" s="7">
        <v>0</v>
      </c>
      <c r="R101" s="8">
        <f>IFERROR(Q101/Q444, "NA")</f>
        <v>0</v>
      </c>
      <c r="S101" s="9"/>
      <c r="T101" s="7">
        <v>0</v>
      </c>
      <c r="U101" s="8">
        <f>IFERROR(T101/T444, "NA")</f>
        <v>0</v>
      </c>
      <c r="V101" s="9"/>
      <c r="W101" s="10">
        <f t="shared" si="26"/>
        <v>0</v>
      </c>
      <c r="X101" s="8">
        <f>IFERROR(W101/W444, "NA")</f>
        <v>0</v>
      </c>
      <c r="Y101" s="9"/>
      <c r="Z101" s="7">
        <v>0</v>
      </c>
      <c r="AA101" s="8">
        <f>IFERROR(Z101/Z444, "NA")</f>
        <v>0</v>
      </c>
      <c r="AB101" s="9"/>
      <c r="AC101" s="10">
        <f t="shared" si="27"/>
        <v>0</v>
      </c>
      <c r="AD101" s="8">
        <f>IFERROR(AC101/AC444, "NA")</f>
        <v>0</v>
      </c>
    </row>
    <row r="102" spans="1:30" ht="16.5" customHeight="1" x14ac:dyDescent="0.45">
      <c r="A102" s="12" t="s">
        <v>97</v>
      </c>
      <c r="B102" s="7">
        <v>-980.34</v>
      </c>
      <c r="C102" s="8">
        <f>IFERROR(B102/B444, "NA")</f>
        <v>-1.3519814484215228E-2</v>
      </c>
      <c r="D102" s="9"/>
      <c r="E102" s="7">
        <v>0</v>
      </c>
      <c r="F102" s="8">
        <f>IFERROR(E102/E444, "NA")</f>
        <v>0</v>
      </c>
      <c r="G102" s="9"/>
      <c r="H102" s="10">
        <f t="shared" si="24"/>
        <v>-980.34</v>
      </c>
      <c r="I102" s="8">
        <f>IFERROR(H102/H444, "NA")</f>
        <v>-0.22713666104428085</v>
      </c>
      <c r="J102" s="9"/>
      <c r="K102" s="7">
        <v>-752.4</v>
      </c>
      <c r="L102" s="8">
        <f>IFERROR(K102/K444, "NA")</f>
        <v>-1.1446761756131638E-2</v>
      </c>
      <c r="M102" s="9"/>
      <c r="N102" s="10">
        <f t="shared" si="25"/>
        <v>-227.94000000000005</v>
      </c>
      <c r="O102" s="8">
        <f>IFERROR(N102/N444, "NA")</f>
        <v>-3.3614659849549554E-2</v>
      </c>
      <c r="P102" s="9"/>
      <c r="Q102" s="7">
        <v>-980.34</v>
      </c>
      <c r="R102" s="8">
        <f>IFERROR(Q102/Q444, "NA")</f>
        <v>-1.3519814484215228E-2</v>
      </c>
      <c r="S102" s="9"/>
      <c r="T102" s="7">
        <v>0</v>
      </c>
      <c r="U102" s="8">
        <f>IFERROR(T102/T444, "NA")</f>
        <v>0</v>
      </c>
      <c r="V102" s="9"/>
      <c r="W102" s="10">
        <f t="shared" si="26"/>
        <v>-980.34</v>
      </c>
      <c r="X102" s="8">
        <f>IFERROR(W102/W444, "NA")</f>
        <v>-0.22713666104428085</v>
      </c>
      <c r="Y102" s="9"/>
      <c r="Z102" s="7">
        <v>-752.4</v>
      </c>
      <c r="AA102" s="8">
        <f>IFERROR(Z102/Z444, "NA")</f>
        <v>-1.1446761756131638E-2</v>
      </c>
      <c r="AB102" s="9"/>
      <c r="AC102" s="10">
        <f t="shared" si="27"/>
        <v>-227.94000000000005</v>
      </c>
      <c r="AD102" s="8">
        <f>IFERROR(AC102/AC444, "NA")</f>
        <v>-3.3614659849549554E-2</v>
      </c>
    </row>
    <row r="103" spans="1:30" ht="16.5" hidden="1" customHeight="1" x14ac:dyDescent="0.45">
      <c r="A103" s="12" t="s">
        <v>98</v>
      </c>
      <c r="B103" s="7">
        <v>0</v>
      </c>
      <c r="C103" s="8">
        <f>IFERROR(B103/B444, "NA")</f>
        <v>0</v>
      </c>
      <c r="D103" s="9"/>
      <c r="E103" s="7">
        <v>0</v>
      </c>
      <c r="F103" s="8">
        <f>IFERROR(E103/E444, "NA")</f>
        <v>0</v>
      </c>
      <c r="G103" s="9"/>
      <c r="H103" s="10">
        <f t="shared" si="24"/>
        <v>0</v>
      </c>
      <c r="I103" s="8">
        <f>IFERROR(H103/H444, "NA")</f>
        <v>0</v>
      </c>
      <c r="J103" s="9"/>
      <c r="K103" s="7">
        <v>0</v>
      </c>
      <c r="L103" s="8">
        <f>IFERROR(K103/K444, "NA")</f>
        <v>0</v>
      </c>
      <c r="M103" s="9"/>
      <c r="N103" s="10">
        <f t="shared" si="25"/>
        <v>0</v>
      </c>
      <c r="O103" s="8">
        <f>IFERROR(N103/N444, "NA")</f>
        <v>0</v>
      </c>
      <c r="P103" s="9"/>
      <c r="Q103" s="7">
        <v>0</v>
      </c>
      <c r="R103" s="8">
        <f>IFERROR(Q103/Q444, "NA")</f>
        <v>0</v>
      </c>
      <c r="S103" s="9"/>
      <c r="T103" s="7">
        <v>0</v>
      </c>
      <c r="U103" s="8">
        <f>IFERROR(T103/T444, "NA")</f>
        <v>0</v>
      </c>
      <c r="V103" s="9"/>
      <c r="W103" s="10">
        <f t="shared" si="26"/>
        <v>0</v>
      </c>
      <c r="X103" s="8">
        <f>IFERROR(W103/W444, "NA")</f>
        <v>0</v>
      </c>
      <c r="Y103" s="9"/>
      <c r="Z103" s="7">
        <v>0</v>
      </c>
      <c r="AA103" s="8">
        <f>IFERROR(Z103/Z444, "NA")</f>
        <v>0</v>
      </c>
      <c r="AB103" s="9"/>
      <c r="AC103" s="10">
        <f t="shared" si="27"/>
        <v>0</v>
      </c>
      <c r="AD103" s="8">
        <f>IFERROR(AC103/AC444, "NA")</f>
        <v>0</v>
      </c>
    </row>
    <row r="104" spans="1:30" ht="16.5" customHeight="1" x14ac:dyDescent="0.45">
      <c r="A104" s="12" t="s">
        <v>99</v>
      </c>
      <c r="B104" s="7">
        <v>-127.44</v>
      </c>
      <c r="C104" s="8">
        <f>IFERROR(B104/B444, "NA")</f>
        <v>-1.7575179609812808E-3</v>
      </c>
      <c r="D104" s="9"/>
      <c r="E104" s="7">
        <v>0</v>
      </c>
      <c r="F104" s="8">
        <f>IFERROR(E104/E444, "NA")</f>
        <v>0</v>
      </c>
      <c r="G104" s="9"/>
      <c r="H104" s="10">
        <f t="shared" si="24"/>
        <v>-127.44</v>
      </c>
      <c r="I104" s="8">
        <f>IFERROR(H104/H444, "NA")</f>
        <v>-2.9526792830531397E-2</v>
      </c>
      <c r="J104" s="9"/>
      <c r="K104" s="7">
        <v>-398.3</v>
      </c>
      <c r="L104" s="8">
        <f>IFERROR(K104/K444, "NA")</f>
        <v>-6.0596028807379477E-3</v>
      </c>
      <c r="M104" s="9"/>
      <c r="N104" s="10">
        <f t="shared" si="25"/>
        <v>270.86</v>
      </c>
      <c r="O104" s="8">
        <f>IFERROR(N104/N444, "NA")</f>
        <v>3.9944137785597043E-2</v>
      </c>
      <c r="P104" s="9"/>
      <c r="Q104" s="7">
        <v>-127.44</v>
      </c>
      <c r="R104" s="8">
        <f>IFERROR(Q104/Q444, "NA")</f>
        <v>-1.7575179609812808E-3</v>
      </c>
      <c r="S104" s="9"/>
      <c r="T104" s="7">
        <v>0</v>
      </c>
      <c r="U104" s="8">
        <f>IFERROR(T104/T444, "NA")</f>
        <v>0</v>
      </c>
      <c r="V104" s="9"/>
      <c r="W104" s="10">
        <f t="shared" si="26"/>
        <v>-127.44</v>
      </c>
      <c r="X104" s="8">
        <f>IFERROR(W104/W444, "NA")</f>
        <v>-2.9526792830531397E-2</v>
      </c>
      <c r="Y104" s="9"/>
      <c r="Z104" s="7">
        <v>-398.3</v>
      </c>
      <c r="AA104" s="8">
        <f>IFERROR(Z104/Z444, "NA")</f>
        <v>-6.0596028807379477E-3</v>
      </c>
      <c r="AB104" s="9"/>
      <c r="AC104" s="10">
        <f t="shared" si="27"/>
        <v>270.86</v>
      </c>
      <c r="AD104" s="8">
        <f>IFERROR(AC104/AC444, "NA")</f>
        <v>3.9944137785597043E-2</v>
      </c>
    </row>
    <row r="105" spans="1:30" ht="16.5" hidden="1" customHeight="1" x14ac:dyDescent="0.45">
      <c r="A105" s="12" t="s">
        <v>100</v>
      </c>
      <c r="B105" s="7">
        <v>0</v>
      </c>
      <c r="C105" s="8">
        <f>IFERROR(B105/B444, "NA")</f>
        <v>0</v>
      </c>
      <c r="D105" s="9"/>
      <c r="E105" s="7">
        <v>0</v>
      </c>
      <c r="F105" s="8">
        <f>IFERROR(E105/E444, "NA")</f>
        <v>0</v>
      </c>
      <c r="G105" s="9"/>
      <c r="H105" s="10">
        <f t="shared" si="24"/>
        <v>0</v>
      </c>
      <c r="I105" s="8">
        <f>IFERROR(H105/H444, "NA")</f>
        <v>0</v>
      </c>
      <c r="J105" s="9"/>
      <c r="K105" s="7">
        <v>0</v>
      </c>
      <c r="L105" s="8">
        <f>IFERROR(K105/K444, "NA")</f>
        <v>0</v>
      </c>
      <c r="M105" s="9"/>
      <c r="N105" s="10">
        <f t="shared" si="25"/>
        <v>0</v>
      </c>
      <c r="O105" s="8">
        <f>IFERROR(N105/N444, "NA")</f>
        <v>0</v>
      </c>
      <c r="P105" s="9"/>
      <c r="Q105" s="7">
        <v>0</v>
      </c>
      <c r="R105" s="8">
        <f>IFERROR(Q105/Q444, "NA")</f>
        <v>0</v>
      </c>
      <c r="S105" s="9"/>
      <c r="T105" s="7">
        <v>0</v>
      </c>
      <c r="U105" s="8">
        <f>IFERROR(T105/T444, "NA")</f>
        <v>0</v>
      </c>
      <c r="V105" s="9"/>
      <c r="W105" s="10">
        <f t="shared" si="26"/>
        <v>0</v>
      </c>
      <c r="X105" s="8">
        <f>IFERROR(W105/W444, "NA")</f>
        <v>0</v>
      </c>
      <c r="Y105" s="9"/>
      <c r="Z105" s="7">
        <v>0</v>
      </c>
      <c r="AA105" s="8">
        <f>IFERROR(Z105/Z444, "NA")</f>
        <v>0</v>
      </c>
      <c r="AB105" s="9"/>
      <c r="AC105" s="10">
        <f t="shared" si="27"/>
        <v>0</v>
      </c>
      <c r="AD105" s="8">
        <f>IFERROR(AC105/AC444, "NA")</f>
        <v>0</v>
      </c>
    </row>
    <row r="106" spans="1:30" ht="16.5" hidden="1" customHeight="1" x14ac:dyDescent="0.45">
      <c r="A106" s="12" t="s">
        <v>101</v>
      </c>
      <c r="B106" s="7">
        <v>0</v>
      </c>
      <c r="C106" s="8">
        <f>IFERROR(B106/B444, "NA")</f>
        <v>0</v>
      </c>
      <c r="D106" s="9"/>
      <c r="E106" s="7">
        <v>0</v>
      </c>
      <c r="F106" s="8">
        <f>IFERROR(E106/E444, "NA")</f>
        <v>0</v>
      </c>
      <c r="G106" s="9"/>
      <c r="H106" s="10">
        <f t="shared" si="24"/>
        <v>0</v>
      </c>
      <c r="I106" s="8">
        <f>IFERROR(H106/H444, "NA")</f>
        <v>0</v>
      </c>
      <c r="J106" s="9"/>
      <c r="K106" s="7">
        <v>0</v>
      </c>
      <c r="L106" s="8">
        <f>IFERROR(K106/K444, "NA")</f>
        <v>0</v>
      </c>
      <c r="M106" s="9"/>
      <c r="N106" s="10">
        <f t="shared" si="25"/>
        <v>0</v>
      </c>
      <c r="O106" s="8">
        <f>IFERROR(N106/N444, "NA")</f>
        <v>0</v>
      </c>
      <c r="P106" s="9"/>
      <c r="Q106" s="7">
        <v>0</v>
      </c>
      <c r="R106" s="8">
        <f>IFERROR(Q106/Q444, "NA")</f>
        <v>0</v>
      </c>
      <c r="S106" s="9"/>
      <c r="T106" s="7">
        <v>0</v>
      </c>
      <c r="U106" s="8">
        <f>IFERROR(T106/T444, "NA")</f>
        <v>0</v>
      </c>
      <c r="V106" s="9"/>
      <c r="W106" s="10">
        <f t="shared" si="26"/>
        <v>0</v>
      </c>
      <c r="X106" s="8">
        <f>IFERROR(W106/W444, "NA")</f>
        <v>0</v>
      </c>
      <c r="Y106" s="9"/>
      <c r="Z106" s="7">
        <v>0</v>
      </c>
      <c r="AA106" s="8">
        <f>IFERROR(Z106/Z444, "NA")</f>
        <v>0</v>
      </c>
      <c r="AB106" s="9"/>
      <c r="AC106" s="10">
        <f t="shared" si="27"/>
        <v>0</v>
      </c>
      <c r="AD106" s="8">
        <f>IFERROR(AC106/AC444, "NA")</f>
        <v>0</v>
      </c>
    </row>
    <row r="107" spans="1:30" ht="16.5" hidden="1" customHeight="1" x14ac:dyDescent="0.45">
      <c r="A107" s="12" t="s">
        <v>102</v>
      </c>
      <c r="B107" s="7">
        <v>0</v>
      </c>
      <c r="C107" s="8">
        <f>IFERROR(B107/B444, "NA")</f>
        <v>0</v>
      </c>
      <c r="D107" s="9"/>
      <c r="E107" s="7">
        <v>0</v>
      </c>
      <c r="F107" s="8">
        <f>IFERROR(E107/E444, "NA")</f>
        <v>0</v>
      </c>
      <c r="G107" s="9"/>
      <c r="H107" s="10">
        <f t="shared" si="24"/>
        <v>0</v>
      </c>
      <c r="I107" s="8">
        <f>IFERROR(H107/H444, "NA")</f>
        <v>0</v>
      </c>
      <c r="J107" s="9"/>
      <c r="K107" s="7">
        <v>0</v>
      </c>
      <c r="L107" s="8">
        <f>IFERROR(K107/K444, "NA")</f>
        <v>0</v>
      </c>
      <c r="M107" s="9"/>
      <c r="N107" s="10">
        <f t="shared" si="25"/>
        <v>0</v>
      </c>
      <c r="O107" s="8">
        <f>IFERROR(N107/N444, "NA")</f>
        <v>0</v>
      </c>
      <c r="P107" s="9"/>
      <c r="Q107" s="7">
        <v>0</v>
      </c>
      <c r="R107" s="8">
        <f>IFERROR(Q107/Q444, "NA")</f>
        <v>0</v>
      </c>
      <c r="S107" s="9"/>
      <c r="T107" s="7">
        <v>0</v>
      </c>
      <c r="U107" s="8">
        <f>IFERROR(T107/T444, "NA")</f>
        <v>0</v>
      </c>
      <c r="V107" s="9"/>
      <c r="W107" s="10">
        <f t="shared" si="26"/>
        <v>0</v>
      </c>
      <c r="X107" s="8">
        <f>IFERROR(W107/W444, "NA")</f>
        <v>0</v>
      </c>
      <c r="Y107" s="9"/>
      <c r="Z107" s="7">
        <v>0</v>
      </c>
      <c r="AA107" s="8">
        <f>IFERROR(Z107/Z444, "NA")</f>
        <v>0</v>
      </c>
      <c r="AB107" s="9"/>
      <c r="AC107" s="10">
        <f t="shared" si="27"/>
        <v>0</v>
      </c>
      <c r="AD107" s="8">
        <f>IFERROR(AC107/AC444, "NA")</f>
        <v>0</v>
      </c>
    </row>
    <row r="108" spans="1:30" ht="16.5" hidden="1" customHeight="1" x14ac:dyDescent="0.45">
      <c r="A108" s="12" t="s">
        <v>103</v>
      </c>
      <c r="B108" s="7">
        <v>0</v>
      </c>
      <c r="C108" s="8">
        <f>IFERROR(B108/B444, "NA")</f>
        <v>0</v>
      </c>
      <c r="D108" s="9"/>
      <c r="E108" s="7">
        <v>0</v>
      </c>
      <c r="F108" s="8">
        <f>IFERROR(E108/E444, "NA")</f>
        <v>0</v>
      </c>
      <c r="G108" s="9"/>
      <c r="H108" s="10">
        <f t="shared" si="24"/>
        <v>0</v>
      </c>
      <c r="I108" s="8">
        <f>IFERROR(H108/H444, "NA")</f>
        <v>0</v>
      </c>
      <c r="J108" s="9"/>
      <c r="K108" s="7">
        <v>0</v>
      </c>
      <c r="L108" s="8">
        <f>IFERROR(K108/K444, "NA")</f>
        <v>0</v>
      </c>
      <c r="M108" s="9"/>
      <c r="N108" s="10">
        <f t="shared" si="25"/>
        <v>0</v>
      </c>
      <c r="O108" s="8">
        <f>IFERROR(N108/N444, "NA")</f>
        <v>0</v>
      </c>
      <c r="P108" s="9"/>
      <c r="Q108" s="7">
        <v>0</v>
      </c>
      <c r="R108" s="8">
        <f>IFERROR(Q108/Q444, "NA")</f>
        <v>0</v>
      </c>
      <c r="S108" s="9"/>
      <c r="T108" s="7">
        <v>0</v>
      </c>
      <c r="U108" s="8">
        <f>IFERROR(T108/T444, "NA")</f>
        <v>0</v>
      </c>
      <c r="V108" s="9"/>
      <c r="W108" s="10">
        <f t="shared" si="26"/>
        <v>0</v>
      </c>
      <c r="X108" s="8">
        <f>IFERROR(W108/W444, "NA")</f>
        <v>0</v>
      </c>
      <c r="Y108" s="9"/>
      <c r="Z108" s="7">
        <v>0</v>
      </c>
      <c r="AA108" s="8">
        <f>IFERROR(Z108/Z444, "NA")</f>
        <v>0</v>
      </c>
      <c r="AB108" s="9"/>
      <c r="AC108" s="10">
        <f t="shared" si="27"/>
        <v>0</v>
      </c>
      <c r="AD108" s="8">
        <f>IFERROR(AC108/AC444, "NA")</f>
        <v>0</v>
      </c>
    </row>
    <row r="109" spans="1:30" ht="16.5" hidden="1" customHeight="1" x14ac:dyDescent="0.45">
      <c r="A109" s="12" t="s">
        <v>104</v>
      </c>
      <c r="B109" s="7">
        <v>0</v>
      </c>
      <c r="C109" s="8">
        <f>IFERROR(B109/B444, "NA")</f>
        <v>0</v>
      </c>
      <c r="D109" s="9"/>
      <c r="E109" s="7">
        <v>0</v>
      </c>
      <c r="F109" s="8">
        <f>IFERROR(E109/E444, "NA")</f>
        <v>0</v>
      </c>
      <c r="G109" s="9"/>
      <c r="H109" s="10">
        <f t="shared" si="24"/>
        <v>0</v>
      </c>
      <c r="I109" s="8">
        <f>IFERROR(H109/H444, "NA")</f>
        <v>0</v>
      </c>
      <c r="J109" s="9"/>
      <c r="K109" s="7">
        <v>0</v>
      </c>
      <c r="L109" s="8">
        <f>IFERROR(K109/K444, "NA")</f>
        <v>0</v>
      </c>
      <c r="M109" s="9"/>
      <c r="N109" s="10">
        <f t="shared" si="25"/>
        <v>0</v>
      </c>
      <c r="O109" s="8">
        <f>IFERROR(N109/N444, "NA")</f>
        <v>0</v>
      </c>
      <c r="P109" s="9"/>
      <c r="Q109" s="7">
        <v>0</v>
      </c>
      <c r="R109" s="8">
        <f>IFERROR(Q109/Q444, "NA")</f>
        <v>0</v>
      </c>
      <c r="S109" s="9"/>
      <c r="T109" s="7">
        <v>0</v>
      </c>
      <c r="U109" s="8">
        <f>IFERROR(T109/T444, "NA")</f>
        <v>0</v>
      </c>
      <c r="V109" s="9"/>
      <c r="W109" s="10">
        <f t="shared" si="26"/>
        <v>0</v>
      </c>
      <c r="X109" s="8">
        <f>IFERROR(W109/W444, "NA")</f>
        <v>0</v>
      </c>
      <c r="Y109" s="9"/>
      <c r="Z109" s="7">
        <v>0</v>
      </c>
      <c r="AA109" s="8">
        <f>IFERROR(Z109/Z444, "NA")</f>
        <v>0</v>
      </c>
      <c r="AB109" s="9"/>
      <c r="AC109" s="10">
        <f t="shared" si="27"/>
        <v>0</v>
      </c>
      <c r="AD109" s="8">
        <f>IFERROR(AC109/AC444, "NA")</f>
        <v>0</v>
      </c>
    </row>
    <row r="110" spans="1:30" ht="16.5" hidden="1" customHeight="1" x14ac:dyDescent="0.45">
      <c r="A110" s="12" t="s">
        <v>105</v>
      </c>
      <c r="B110" s="7">
        <v>0</v>
      </c>
      <c r="C110" s="8">
        <f>IFERROR(B110/B444, "NA")</f>
        <v>0</v>
      </c>
      <c r="D110" s="9"/>
      <c r="E110" s="7">
        <v>0</v>
      </c>
      <c r="F110" s="8">
        <f>IFERROR(E110/E444, "NA")</f>
        <v>0</v>
      </c>
      <c r="G110" s="9"/>
      <c r="H110" s="10">
        <f t="shared" si="24"/>
        <v>0</v>
      </c>
      <c r="I110" s="8">
        <f>IFERROR(H110/H444, "NA")</f>
        <v>0</v>
      </c>
      <c r="J110" s="9"/>
      <c r="K110" s="7">
        <v>0</v>
      </c>
      <c r="L110" s="8">
        <f>IFERROR(K110/K444, "NA")</f>
        <v>0</v>
      </c>
      <c r="M110" s="9"/>
      <c r="N110" s="10">
        <f t="shared" si="25"/>
        <v>0</v>
      </c>
      <c r="O110" s="8">
        <f>IFERROR(N110/N444, "NA")</f>
        <v>0</v>
      </c>
      <c r="P110" s="9"/>
      <c r="Q110" s="7">
        <v>0</v>
      </c>
      <c r="R110" s="8">
        <f>IFERROR(Q110/Q444, "NA")</f>
        <v>0</v>
      </c>
      <c r="S110" s="9"/>
      <c r="T110" s="7">
        <v>0</v>
      </c>
      <c r="U110" s="8">
        <f>IFERROR(T110/T444, "NA")</f>
        <v>0</v>
      </c>
      <c r="V110" s="9"/>
      <c r="W110" s="10">
        <f t="shared" si="26"/>
        <v>0</v>
      </c>
      <c r="X110" s="8">
        <f>IFERROR(W110/W444, "NA")</f>
        <v>0</v>
      </c>
      <c r="Y110" s="9"/>
      <c r="Z110" s="7">
        <v>0</v>
      </c>
      <c r="AA110" s="8">
        <f>IFERROR(Z110/Z444, "NA")</f>
        <v>0</v>
      </c>
      <c r="AB110" s="9"/>
      <c r="AC110" s="10">
        <f t="shared" si="27"/>
        <v>0</v>
      </c>
      <c r="AD110" s="8">
        <f>IFERROR(AC110/AC444, "NA")</f>
        <v>0</v>
      </c>
    </row>
    <row r="111" spans="1:30" ht="16.5" hidden="1" customHeight="1" x14ac:dyDescent="0.45">
      <c r="A111" s="12" t="s">
        <v>106</v>
      </c>
      <c r="B111" s="7">
        <v>0</v>
      </c>
      <c r="C111" s="8">
        <f>IFERROR(B111/B444, "NA")</f>
        <v>0</v>
      </c>
      <c r="D111" s="9"/>
      <c r="E111" s="7">
        <v>0</v>
      </c>
      <c r="F111" s="8">
        <f>IFERROR(E111/E444, "NA")</f>
        <v>0</v>
      </c>
      <c r="G111" s="9"/>
      <c r="H111" s="10">
        <f t="shared" si="24"/>
        <v>0</v>
      </c>
      <c r="I111" s="8">
        <f>IFERROR(H111/H444, "NA")</f>
        <v>0</v>
      </c>
      <c r="J111" s="9"/>
      <c r="K111" s="7">
        <v>0</v>
      </c>
      <c r="L111" s="8">
        <f>IFERROR(K111/K444, "NA")</f>
        <v>0</v>
      </c>
      <c r="M111" s="9"/>
      <c r="N111" s="10">
        <f t="shared" si="25"/>
        <v>0</v>
      </c>
      <c r="O111" s="8">
        <f>IFERROR(N111/N444, "NA")</f>
        <v>0</v>
      </c>
      <c r="P111" s="9"/>
      <c r="Q111" s="7">
        <v>0</v>
      </c>
      <c r="R111" s="8">
        <f>IFERROR(Q111/Q444, "NA")</f>
        <v>0</v>
      </c>
      <c r="S111" s="9"/>
      <c r="T111" s="7">
        <v>0</v>
      </c>
      <c r="U111" s="8">
        <f>IFERROR(T111/T444, "NA")</f>
        <v>0</v>
      </c>
      <c r="V111" s="9"/>
      <c r="W111" s="10">
        <f t="shared" si="26"/>
        <v>0</v>
      </c>
      <c r="X111" s="8">
        <f>IFERROR(W111/W444, "NA")</f>
        <v>0</v>
      </c>
      <c r="Y111" s="9"/>
      <c r="Z111" s="7">
        <v>0</v>
      </c>
      <c r="AA111" s="8">
        <f>IFERROR(Z111/Z444, "NA")</f>
        <v>0</v>
      </c>
      <c r="AB111" s="9"/>
      <c r="AC111" s="10">
        <f t="shared" si="27"/>
        <v>0</v>
      </c>
      <c r="AD111" s="8">
        <f>IFERROR(AC111/AC444, "NA")</f>
        <v>0</v>
      </c>
    </row>
    <row r="112" spans="1:30" ht="16.5" hidden="1" customHeight="1" x14ac:dyDescent="0.45">
      <c r="A112" s="12" t="s">
        <v>107</v>
      </c>
      <c r="B112" s="7">
        <v>0</v>
      </c>
      <c r="C112" s="8">
        <f>IFERROR(B112/B444, "NA")</f>
        <v>0</v>
      </c>
      <c r="D112" s="9"/>
      <c r="E112" s="7">
        <v>0</v>
      </c>
      <c r="F112" s="8">
        <f>IFERROR(E112/E444, "NA")</f>
        <v>0</v>
      </c>
      <c r="G112" s="9"/>
      <c r="H112" s="10">
        <f t="shared" si="24"/>
        <v>0</v>
      </c>
      <c r="I112" s="8">
        <f>IFERROR(H112/H444, "NA")</f>
        <v>0</v>
      </c>
      <c r="J112" s="9"/>
      <c r="K112" s="7">
        <v>0</v>
      </c>
      <c r="L112" s="8">
        <f>IFERROR(K112/K444, "NA")</f>
        <v>0</v>
      </c>
      <c r="M112" s="9"/>
      <c r="N112" s="10">
        <f t="shared" si="25"/>
        <v>0</v>
      </c>
      <c r="O112" s="8">
        <f>IFERROR(N112/N444, "NA")</f>
        <v>0</v>
      </c>
      <c r="P112" s="9"/>
      <c r="Q112" s="7">
        <v>0</v>
      </c>
      <c r="R112" s="8">
        <f>IFERROR(Q112/Q444, "NA")</f>
        <v>0</v>
      </c>
      <c r="S112" s="9"/>
      <c r="T112" s="7">
        <v>0</v>
      </c>
      <c r="U112" s="8">
        <f>IFERROR(T112/T444, "NA")</f>
        <v>0</v>
      </c>
      <c r="V112" s="9"/>
      <c r="W112" s="10">
        <f t="shared" si="26"/>
        <v>0</v>
      </c>
      <c r="X112" s="8">
        <f>IFERROR(W112/W444, "NA")</f>
        <v>0</v>
      </c>
      <c r="Y112" s="9"/>
      <c r="Z112" s="7">
        <v>0</v>
      </c>
      <c r="AA112" s="8">
        <f>IFERROR(Z112/Z444, "NA")</f>
        <v>0</v>
      </c>
      <c r="AB112" s="9"/>
      <c r="AC112" s="10">
        <f t="shared" si="27"/>
        <v>0</v>
      </c>
      <c r="AD112" s="8">
        <f>IFERROR(AC112/AC444, "NA")</f>
        <v>0</v>
      </c>
    </row>
    <row r="113" spans="1:30" ht="16.5" hidden="1" customHeight="1" x14ac:dyDescent="0.45">
      <c r="A113" s="12" t="s">
        <v>108</v>
      </c>
      <c r="B113" s="7">
        <v>0</v>
      </c>
      <c r="C113" s="8">
        <f>IFERROR(B113/B444, "NA")</f>
        <v>0</v>
      </c>
      <c r="D113" s="9"/>
      <c r="E113" s="7">
        <v>0</v>
      </c>
      <c r="F113" s="8">
        <f>IFERROR(E113/E444, "NA")</f>
        <v>0</v>
      </c>
      <c r="G113" s="9"/>
      <c r="H113" s="10">
        <f t="shared" si="24"/>
        <v>0</v>
      </c>
      <c r="I113" s="8">
        <f>IFERROR(H113/H444, "NA")</f>
        <v>0</v>
      </c>
      <c r="J113" s="9"/>
      <c r="K113" s="7">
        <v>0</v>
      </c>
      <c r="L113" s="8">
        <f>IFERROR(K113/K444, "NA")</f>
        <v>0</v>
      </c>
      <c r="M113" s="9"/>
      <c r="N113" s="10">
        <f t="shared" si="25"/>
        <v>0</v>
      </c>
      <c r="O113" s="8">
        <f>IFERROR(N113/N444, "NA")</f>
        <v>0</v>
      </c>
      <c r="P113" s="9"/>
      <c r="Q113" s="7">
        <v>0</v>
      </c>
      <c r="R113" s="8">
        <f>IFERROR(Q113/Q444, "NA")</f>
        <v>0</v>
      </c>
      <c r="S113" s="9"/>
      <c r="T113" s="7">
        <v>0</v>
      </c>
      <c r="U113" s="8">
        <f>IFERROR(T113/T444, "NA")</f>
        <v>0</v>
      </c>
      <c r="V113" s="9"/>
      <c r="W113" s="10">
        <f t="shared" si="26"/>
        <v>0</v>
      </c>
      <c r="X113" s="8">
        <f>IFERROR(W113/W444, "NA")</f>
        <v>0</v>
      </c>
      <c r="Y113" s="9"/>
      <c r="Z113" s="7">
        <v>0</v>
      </c>
      <c r="AA113" s="8">
        <f>IFERROR(Z113/Z444, "NA")</f>
        <v>0</v>
      </c>
      <c r="AB113" s="9"/>
      <c r="AC113" s="10">
        <f t="shared" si="27"/>
        <v>0</v>
      </c>
      <c r="AD113" s="8">
        <f>IFERROR(AC113/AC444, "NA")</f>
        <v>0</v>
      </c>
    </row>
    <row r="114" spans="1:30" ht="16.5" hidden="1" customHeight="1" x14ac:dyDescent="0.45">
      <c r="A114" s="12" t="s">
        <v>109</v>
      </c>
      <c r="B114" s="7">
        <v>0</v>
      </c>
      <c r="C114" s="8">
        <f>IFERROR(B114/B444, "NA")</f>
        <v>0</v>
      </c>
      <c r="D114" s="9"/>
      <c r="E114" s="7">
        <v>0</v>
      </c>
      <c r="F114" s="8">
        <f>IFERROR(E114/E444, "NA")</f>
        <v>0</v>
      </c>
      <c r="G114" s="9"/>
      <c r="H114" s="10">
        <f t="shared" si="24"/>
        <v>0</v>
      </c>
      <c r="I114" s="8">
        <f>IFERROR(H114/H444, "NA")</f>
        <v>0</v>
      </c>
      <c r="J114" s="9"/>
      <c r="K114" s="7">
        <v>0</v>
      </c>
      <c r="L114" s="8">
        <f>IFERROR(K114/K444, "NA")</f>
        <v>0</v>
      </c>
      <c r="M114" s="9"/>
      <c r="N114" s="10">
        <f t="shared" si="25"/>
        <v>0</v>
      </c>
      <c r="O114" s="8">
        <f>IFERROR(N114/N444, "NA")</f>
        <v>0</v>
      </c>
      <c r="P114" s="9"/>
      <c r="Q114" s="7">
        <v>0</v>
      </c>
      <c r="R114" s="8">
        <f>IFERROR(Q114/Q444, "NA")</f>
        <v>0</v>
      </c>
      <c r="S114" s="9"/>
      <c r="T114" s="7">
        <v>0</v>
      </c>
      <c r="U114" s="8">
        <f>IFERROR(T114/T444, "NA")</f>
        <v>0</v>
      </c>
      <c r="V114" s="9"/>
      <c r="W114" s="10">
        <f t="shared" si="26"/>
        <v>0</v>
      </c>
      <c r="X114" s="8">
        <f>IFERROR(W114/W444, "NA")</f>
        <v>0</v>
      </c>
      <c r="Y114" s="9"/>
      <c r="Z114" s="7">
        <v>0</v>
      </c>
      <c r="AA114" s="8">
        <f>IFERROR(Z114/Z444, "NA")</f>
        <v>0</v>
      </c>
      <c r="AB114" s="9"/>
      <c r="AC114" s="10">
        <f t="shared" si="27"/>
        <v>0</v>
      </c>
      <c r="AD114" s="8">
        <f>IFERROR(AC114/AC444, "NA")</f>
        <v>0</v>
      </c>
    </row>
    <row r="115" spans="1:30" ht="16.5" hidden="1" customHeight="1" x14ac:dyDescent="0.45">
      <c r="A115" s="12" t="s">
        <v>110</v>
      </c>
      <c r="B115" s="7">
        <v>0</v>
      </c>
      <c r="C115" s="8">
        <f>IFERROR(B115/B444, "NA")</f>
        <v>0</v>
      </c>
      <c r="D115" s="9"/>
      <c r="E115" s="7">
        <v>0</v>
      </c>
      <c r="F115" s="8">
        <f>IFERROR(E115/E444, "NA")</f>
        <v>0</v>
      </c>
      <c r="G115" s="9"/>
      <c r="H115" s="10">
        <f t="shared" si="24"/>
        <v>0</v>
      </c>
      <c r="I115" s="8">
        <f>IFERROR(H115/H444, "NA")</f>
        <v>0</v>
      </c>
      <c r="J115" s="9"/>
      <c r="K115" s="7">
        <v>0</v>
      </c>
      <c r="L115" s="8">
        <f>IFERROR(K115/K444, "NA")</f>
        <v>0</v>
      </c>
      <c r="M115" s="9"/>
      <c r="N115" s="10">
        <f t="shared" si="25"/>
        <v>0</v>
      </c>
      <c r="O115" s="8">
        <f>IFERROR(N115/N444, "NA")</f>
        <v>0</v>
      </c>
      <c r="P115" s="9"/>
      <c r="Q115" s="7">
        <v>0</v>
      </c>
      <c r="R115" s="8">
        <f>IFERROR(Q115/Q444, "NA")</f>
        <v>0</v>
      </c>
      <c r="S115" s="9"/>
      <c r="T115" s="7">
        <v>0</v>
      </c>
      <c r="U115" s="8">
        <f>IFERROR(T115/T444, "NA")</f>
        <v>0</v>
      </c>
      <c r="V115" s="9"/>
      <c r="W115" s="10">
        <f t="shared" si="26"/>
        <v>0</v>
      </c>
      <c r="X115" s="8">
        <f>IFERROR(W115/W444, "NA")</f>
        <v>0</v>
      </c>
      <c r="Y115" s="9"/>
      <c r="Z115" s="7">
        <v>0</v>
      </c>
      <c r="AA115" s="8">
        <f>IFERROR(Z115/Z444, "NA")</f>
        <v>0</v>
      </c>
      <c r="AB115" s="9"/>
      <c r="AC115" s="10">
        <f t="shared" si="27"/>
        <v>0</v>
      </c>
      <c r="AD115" s="8">
        <f>IFERROR(AC115/AC444, "NA")</f>
        <v>0</v>
      </c>
    </row>
    <row r="116" spans="1:30" ht="16.5" hidden="1" customHeight="1" x14ac:dyDescent="0.45">
      <c r="A116" s="12" t="s">
        <v>111</v>
      </c>
      <c r="B116" s="7">
        <v>0</v>
      </c>
      <c r="C116" s="8">
        <f>IFERROR(B116/B444, "NA")</f>
        <v>0</v>
      </c>
      <c r="D116" s="9"/>
      <c r="E116" s="7">
        <v>0</v>
      </c>
      <c r="F116" s="8">
        <f>IFERROR(E116/E444, "NA")</f>
        <v>0</v>
      </c>
      <c r="G116" s="9"/>
      <c r="H116" s="10">
        <f t="shared" si="24"/>
        <v>0</v>
      </c>
      <c r="I116" s="8">
        <f>IFERROR(H116/H444, "NA")</f>
        <v>0</v>
      </c>
      <c r="J116" s="9"/>
      <c r="K116" s="7">
        <v>0</v>
      </c>
      <c r="L116" s="8">
        <f>IFERROR(K116/K444, "NA")</f>
        <v>0</v>
      </c>
      <c r="M116" s="9"/>
      <c r="N116" s="10">
        <f t="shared" si="25"/>
        <v>0</v>
      </c>
      <c r="O116" s="8">
        <f>IFERROR(N116/N444, "NA")</f>
        <v>0</v>
      </c>
      <c r="P116" s="9"/>
      <c r="Q116" s="7">
        <v>0</v>
      </c>
      <c r="R116" s="8">
        <f>IFERROR(Q116/Q444, "NA")</f>
        <v>0</v>
      </c>
      <c r="S116" s="9"/>
      <c r="T116" s="7">
        <v>0</v>
      </c>
      <c r="U116" s="8">
        <f>IFERROR(T116/T444, "NA")</f>
        <v>0</v>
      </c>
      <c r="V116" s="9"/>
      <c r="W116" s="10">
        <f t="shared" si="26"/>
        <v>0</v>
      </c>
      <c r="X116" s="8">
        <f>IFERROR(W116/W444, "NA")</f>
        <v>0</v>
      </c>
      <c r="Y116" s="9"/>
      <c r="Z116" s="7">
        <v>0</v>
      </c>
      <c r="AA116" s="8">
        <f>IFERROR(Z116/Z444, "NA")</f>
        <v>0</v>
      </c>
      <c r="AB116" s="9"/>
      <c r="AC116" s="10">
        <f t="shared" si="27"/>
        <v>0</v>
      </c>
      <c r="AD116" s="8">
        <f>IFERROR(AC116/AC444, "NA")</f>
        <v>0</v>
      </c>
    </row>
    <row r="117" spans="1:30" ht="16.5" hidden="1" customHeight="1" x14ac:dyDescent="0.45">
      <c r="A117" s="12" t="s">
        <v>112</v>
      </c>
      <c r="B117" s="7">
        <v>0</v>
      </c>
      <c r="C117" s="8">
        <f>IFERROR(B117/B444, "NA")</f>
        <v>0</v>
      </c>
      <c r="D117" s="9"/>
      <c r="E117" s="7">
        <v>0</v>
      </c>
      <c r="F117" s="8">
        <f>IFERROR(E117/E444, "NA")</f>
        <v>0</v>
      </c>
      <c r="G117" s="9"/>
      <c r="H117" s="10">
        <f t="shared" si="24"/>
        <v>0</v>
      </c>
      <c r="I117" s="8">
        <f>IFERROR(H117/H444, "NA")</f>
        <v>0</v>
      </c>
      <c r="J117" s="9"/>
      <c r="K117" s="7">
        <v>0</v>
      </c>
      <c r="L117" s="8">
        <f>IFERROR(K117/K444, "NA")</f>
        <v>0</v>
      </c>
      <c r="M117" s="9"/>
      <c r="N117" s="10">
        <f t="shared" si="25"/>
        <v>0</v>
      </c>
      <c r="O117" s="8">
        <f>IFERROR(N117/N444, "NA")</f>
        <v>0</v>
      </c>
      <c r="P117" s="9"/>
      <c r="Q117" s="7">
        <v>0</v>
      </c>
      <c r="R117" s="8">
        <f>IFERROR(Q117/Q444, "NA")</f>
        <v>0</v>
      </c>
      <c r="S117" s="9"/>
      <c r="T117" s="7">
        <v>0</v>
      </c>
      <c r="U117" s="8">
        <f>IFERROR(T117/T444, "NA")</f>
        <v>0</v>
      </c>
      <c r="V117" s="9"/>
      <c r="W117" s="10">
        <f t="shared" si="26"/>
        <v>0</v>
      </c>
      <c r="X117" s="8">
        <f>IFERROR(W117/W444, "NA")</f>
        <v>0</v>
      </c>
      <c r="Y117" s="9"/>
      <c r="Z117" s="7">
        <v>0</v>
      </c>
      <c r="AA117" s="8">
        <f>IFERROR(Z117/Z444, "NA")</f>
        <v>0</v>
      </c>
      <c r="AB117" s="9"/>
      <c r="AC117" s="10">
        <f t="shared" si="27"/>
        <v>0</v>
      </c>
      <c r="AD117" s="8">
        <f>IFERROR(AC117/AC444, "NA")</f>
        <v>0</v>
      </c>
    </row>
    <row r="118" spans="1:30" ht="16.5" customHeight="1" x14ac:dyDescent="0.45">
      <c r="A118" s="13" t="s">
        <v>113</v>
      </c>
      <c r="B118" s="14">
        <f>IFERROR(B94+B95+B96+B97+B98+B99+B100+B101+B102+B103+B104+B105+B106+B107+B108+B109+B110+B111+B112+B113+B114+B115+B116+B117, "NA")</f>
        <v>-4182.57</v>
      </c>
      <c r="C118" s="15">
        <f>IFERROR(B118/B444, "NA")</f>
        <v>-5.7681590537205549E-2</v>
      </c>
      <c r="D118" s="2"/>
      <c r="E118" s="14">
        <f>IFERROR(E94+E95+E96+E97+E98+E99+E100+E101+E102+E103+E104+E105+E106+E107+E108+E109+E110+E111+E112+E113+E114+E115+E116+E117, "NA")</f>
        <v>-3614.35</v>
      </c>
      <c r="F118" s="15">
        <f>IFERROR(E118/E444, "NA")</f>
        <v>-5.3000010118003781E-2</v>
      </c>
      <c r="G118" s="2"/>
      <c r="H118" s="14">
        <f t="shared" si="24"/>
        <v>-568.2199999999998</v>
      </c>
      <c r="I118" s="15">
        <f>IFERROR(H118/H444, "NA")</f>
        <v>-0.13165186928879899</v>
      </c>
      <c r="J118" s="2"/>
      <c r="K118" s="14">
        <f>IFERROR(K94+K95+K96+K97+K98+K99+K100+K101+K102+K103+K104+K105+K106+K107+K108+K109+K110+K111+K112+K113+K114+K115+K116+K117, "NA")</f>
        <v>-4729.6000000000004</v>
      </c>
      <c r="L118" s="15">
        <f>IFERROR(K118/K444, "NA")</f>
        <v>-7.1954551304891284E-2</v>
      </c>
      <c r="M118" s="2"/>
      <c r="N118" s="14">
        <f t="shared" si="25"/>
        <v>547.03000000000065</v>
      </c>
      <c r="O118" s="15">
        <f>IFERROR(N118/N444, "NA")</f>
        <v>8.0671349379218688E-2</v>
      </c>
      <c r="P118" s="2"/>
      <c r="Q118" s="14">
        <f>IFERROR(Q94+Q95+Q96+Q97+Q98+Q99+Q100+Q101+Q102+Q103+Q104+Q105+Q106+Q107+Q108+Q109+Q110+Q111+Q112+Q113+Q114+Q115+Q116+Q117, "NA")</f>
        <v>-4182.57</v>
      </c>
      <c r="R118" s="15">
        <f>IFERROR(Q118/Q444, "NA")</f>
        <v>-5.7681590537205549E-2</v>
      </c>
      <c r="S118" s="2"/>
      <c r="T118" s="14">
        <f>IFERROR(T94+T95+T96+T97+T98+T99+T100+T101+T102+T103+T104+T105+T106+T107+T108+T109+T110+T111+T112+T113+T114+T115+T116+T117, "NA")</f>
        <v>-3614.35</v>
      </c>
      <c r="U118" s="15">
        <f>IFERROR(T118/T444, "NA")</f>
        <v>-5.3000010118003781E-2</v>
      </c>
      <c r="V118" s="2"/>
      <c r="W118" s="14">
        <f t="shared" si="26"/>
        <v>-568.2199999999998</v>
      </c>
      <c r="X118" s="15">
        <f>IFERROR(W118/W444, "NA")</f>
        <v>-0.13165186928879899</v>
      </c>
      <c r="Y118" s="2"/>
      <c r="Z118" s="14">
        <f>IFERROR(Z94+Z95+Z96+Z97+Z98+Z99+Z100+Z101+Z102+Z103+Z104+Z105+Z106+Z107+Z108+Z109+Z110+Z111+Z112+Z113+Z114+Z115+Z116+Z117, "NA")</f>
        <v>-4729.6000000000004</v>
      </c>
      <c r="AA118" s="15">
        <f>IFERROR(Z118/Z444, "NA")</f>
        <v>-7.1954551304891284E-2</v>
      </c>
      <c r="AB118" s="2"/>
      <c r="AC118" s="14">
        <f t="shared" si="27"/>
        <v>547.03000000000065</v>
      </c>
      <c r="AD118" s="15">
        <f>IFERROR(AC118/AC444, "NA")</f>
        <v>8.0671349379218688E-2</v>
      </c>
    </row>
    <row r="119" spans="1:30" ht="16.5" hidden="1" customHeight="1" x14ac:dyDescent="0.45">
      <c r="A119" s="6" t="s">
        <v>114</v>
      </c>
      <c r="B119" s="7">
        <v>0</v>
      </c>
      <c r="C119" s="8">
        <f>IFERROR(B119/B444, "NA")</f>
        <v>0</v>
      </c>
      <c r="D119" s="9"/>
      <c r="E119" s="7">
        <v>0</v>
      </c>
      <c r="F119" s="8">
        <f>IFERROR(E119/E444, "NA")</f>
        <v>0</v>
      </c>
      <c r="G119" s="9"/>
      <c r="H119" s="10">
        <f t="shared" si="24"/>
        <v>0</v>
      </c>
      <c r="I119" s="8">
        <f>IFERROR(H119/H444, "NA")</f>
        <v>0</v>
      </c>
      <c r="J119" s="9"/>
      <c r="K119" s="7">
        <v>0</v>
      </c>
      <c r="L119" s="8">
        <f>IFERROR(K119/K444, "NA")</f>
        <v>0</v>
      </c>
      <c r="M119" s="9"/>
      <c r="N119" s="10">
        <f t="shared" si="25"/>
        <v>0</v>
      </c>
      <c r="O119" s="8">
        <f>IFERROR(N119/N444, "NA")</f>
        <v>0</v>
      </c>
      <c r="P119" s="9"/>
      <c r="Q119" s="7">
        <v>0</v>
      </c>
      <c r="R119" s="8">
        <f>IFERROR(Q119/Q444, "NA")</f>
        <v>0</v>
      </c>
      <c r="S119" s="9"/>
      <c r="T119" s="7">
        <v>0</v>
      </c>
      <c r="U119" s="8">
        <f>IFERROR(T119/T444, "NA")</f>
        <v>0</v>
      </c>
      <c r="V119" s="9"/>
      <c r="W119" s="10">
        <f t="shared" si="26"/>
        <v>0</v>
      </c>
      <c r="X119" s="8">
        <f>IFERROR(W119/W444, "NA")</f>
        <v>0</v>
      </c>
      <c r="Y119" s="9"/>
      <c r="Z119" s="7">
        <v>0</v>
      </c>
      <c r="AA119" s="8">
        <f>IFERROR(Z119/Z444, "NA")</f>
        <v>0</v>
      </c>
      <c r="AB119" s="9"/>
      <c r="AC119" s="10">
        <f t="shared" si="27"/>
        <v>0</v>
      </c>
      <c r="AD119" s="8">
        <f>IFERROR(AC119/AC444, "NA")</f>
        <v>0</v>
      </c>
    </row>
    <row r="120" spans="1:30" ht="16.5" hidden="1" customHeight="1" x14ac:dyDescent="0.45">
      <c r="A120" s="6" t="s">
        <v>115</v>
      </c>
      <c r="B120" s="7">
        <v>0</v>
      </c>
      <c r="C120" s="8">
        <f>IFERROR(B120/B444, "NA")</f>
        <v>0</v>
      </c>
      <c r="D120" s="9"/>
      <c r="E120" s="7">
        <v>0</v>
      </c>
      <c r="F120" s="8">
        <f>IFERROR(E120/E444, "NA")</f>
        <v>0</v>
      </c>
      <c r="G120" s="9"/>
      <c r="H120" s="10">
        <f t="shared" si="24"/>
        <v>0</v>
      </c>
      <c r="I120" s="8">
        <f>IFERROR(H120/H444, "NA")</f>
        <v>0</v>
      </c>
      <c r="J120" s="9"/>
      <c r="K120" s="7">
        <v>0</v>
      </c>
      <c r="L120" s="8">
        <f>IFERROR(K120/K444, "NA")</f>
        <v>0</v>
      </c>
      <c r="M120" s="9"/>
      <c r="N120" s="10">
        <f t="shared" si="25"/>
        <v>0</v>
      </c>
      <c r="O120" s="8">
        <f>IFERROR(N120/N444, "NA")</f>
        <v>0</v>
      </c>
      <c r="P120" s="9"/>
      <c r="Q120" s="7">
        <v>0</v>
      </c>
      <c r="R120" s="8">
        <f>IFERROR(Q120/Q444, "NA")</f>
        <v>0</v>
      </c>
      <c r="S120" s="9"/>
      <c r="T120" s="7">
        <v>0</v>
      </c>
      <c r="U120" s="8">
        <f>IFERROR(T120/T444, "NA")</f>
        <v>0</v>
      </c>
      <c r="V120" s="9"/>
      <c r="W120" s="10">
        <f t="shared" si="26"/>
        <v>0</v>
      </c>
      <c r="X120" s="8">
        <f>IFERROR(W120/W444, "NA")</f>
        <v>0</v>
      </c>
      <c r="Y120" s="9"/>
      <c r="Z120" s="7">
        <v>0</v>
      </c>
      <c r="AA120" s="8">
        <f>IFERROR(Z120/Z444, "NA")</f>
        <v>0</v>
      </c>
      <c r="AB120" s="9"/>
      <c r="AC120" s="10">
        <f t="shared" si="27"/>
        <v>0</v>
      </c>
      <c r="AD120" s="8">
        <f>IFERROR(AC120/AC444, "NA")</f>
        <v>0</v>
      </c>
    </row>
    <row r="121" spans="1:30" ht="16.5" hidden="1" customHeight="1" x14ac:dyDescent="0.45">
      <c r="A121" s="6" t="s">
        <v>116</v>
      </c>
      <c r="B121" s="7">
        <v>0</v>
      </c>
      <c r="C121" s="8">
        <f>IFERROR(B121/B444, "NA")</f>
        <v>0</v>
      </c>
      <c r="D121" s="9"/>
      <c r="E121" s="7">
        <v>0</v>
      </c>
      <c r="F121" s="8">
        <f>IFERROR(E121/E444, "NA")</f>
        <v>0</v>
      </c>
      <c r="G121" s="9"/>
      <c r="H121" s="10">
        <f t="shared" si="24"/>
        <v>0</v>
      </c>
      <c r="I121" s="8">
        <f>IFERROR(H121/H444, "NA")</f>
        <v>0</v>
      </c>
      <c r="J121" s="9"/>
      <c r="K121" s="7">
        <v>0</v>
      </c>
      <c r="L121" s="8">
        <f>IFERROR(K121/K444, "NA")</f>
        <v>0</v>
      </c>
      <c r="M121" s="9"/>
      <c r="N121" s="10">
        <f t="shared" si="25"/>
        <v>0</v>
      </c>
      <c r="O121" s="8">
        <f>IFERROR(N121/N444, "NA")</f>
        <v>0</v>
      </c>
      <c r="P121" s="9"/>
      <c r="Q121" s="7">
        <v>0</v>
      </c>
      <c r="R121" s="8">
        <f>IFERROR(Q121/Q444, "NA")</f>
        <v>0</v>
      </c>
      <c r="S121" s="9"/>
      <c r="T121" s="7">
        <v>0</v>
      </c>
      <c r="U121" s="8">
        <f>IFERROR(T121/T444, "NA")</f>
        <v>0</v>
      </c>
      <c r="V121" s="9"/>
      <c r="W121" s="10">
        <f t="shared" si="26"/>
        <v>0</v>
      </c>
      <c r="X121" s="8">
        <f>IFERROR(W121/W444, "NA")</f>
        <v>0</v>
      </c>
      <c r="Y121" s="9"/>
      <c r="Z121" s="7">
        <v>0</v>
      </c>
      <c r="AA121" s="8">
        <f>IFERROR(Z121/Z444, "NA")</f>
        <v>0</v>
      </c>
      <c r="AB121" s="9"/>
      <c r="AC121" s="10">
        <f t="shared" si="27"/>
        <v>0</v>
      </c>
      <c r="AD121" s="8">
        <f>IFERROR(AC121/AC444, "NA")</f>
        <v>0</v>
      </c>
    </row>
    <row r="122" spans="1:30" ht="16.5" customHeight="1" x14ac:dyDescent="0.45">
      <c r="A122" s="19" t="s">
        <v>117</v>
      </c>
      <c r="B122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72511.349999999991</v>
      </c>
      <c r="C122" s="15">
        <f>IFERROR(B122/B444, "NA")</f>
        <v>0.99999999999999978</v>
      </c>
      <c r="D122" s="2"/>
      <c r="E122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68195.26999999999</v>
      </c>
      <c r="F122" s="15">
        <f>IFERROR(E122/E444, "NA")</f>
        <v>0.99999999999999978</v>
      </c>
      <c r="G122" s="2"/>
      <c r="H122" s="14">
        <f t="shared" si="24"/>
        <v>4316.0800000000017</v>
      </c>
      <c r="I122" s="15">
        <f>IFERROR(H122/H444, "NA")</f>
        <v>1</v>
      </c>
      <c r="J122" s="2"/>
      <c r="K122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65730.38</v>
      </c>
      <c r="L122" s="15">
        <f>IFERROR(K122/K444, "NA")</f>
        <v>1</v>
      </c>
      <c r="M122" s="2"/>
      <c r="N122" s="14">
        <f t="shared" si="25"/>
        <v>6780.9699999999866</v>
      </c>
      <c r="O122" s="15">
        <f>IFERROR(N122/N444, "NA")</f>
        <v>0.99999999999999789</v>
      </c>
      <c r="P122" s="2"/>
      <c r="Q122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72511.349999999991</v>
      </c>
      <c r="R122" s="15">
        <f>IFERROR(Q122/Q444, "NA")</f>
        <v>0.99999999999999978</v>
      </c>
      <c r="S122" s="2"/>
      <c r="T122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68195.26999999999</v>
      </c>
      <c r="U122" s="15">
        <f>IFERROR(T122/T444, "NA")</f>
        <v>0.99999999999999978</v>
      </c>
      <c r="V122" s="2"/>
      <c r="W122" s="14">
        <f t="shared" si="26"/>
        <v>4316.0800000000017</v>
      </c>
      <c r="X122" s="15">
        <f>IFERROR(W122/W444, "NA")</f>
        <v>1</v>
      </c>
      <c r="Y122" s="2"/>
      <c r="Z122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65730.38</v>
      </c>
      <c r="AA122" s="15">
        <f>IFERROR(Z122/Z444, "NA")</f>
        <v>1</v>
      </c>
      <c r="AB122" s="2"/>
      <c r="AC122" s="14">
        <f t="shared" si="27"/>
        <v>6780.9699999999866</v>
      </c>
      <c r="AD122" s="15">
        <f>IFERROR(AC122/AC444, "NA")</f>
        <v>0.99999999999999789</v>
      </c>
    </row>
    <row r="123" spans="1:30" ht="16.5" hidden="1" customHeight="1" x14ac:dyDescent="0.45">
      <c r="A123" s="20" t="s">
        <v>118</v>
      </c>
      <c r="B123" s="7">
        <v>0</v>
      </c>
      <c r="C123" s="8">
        <f>IFERROR(B123/B444, "NA")</f>
        <v>0</v>
      </c>
      <c r="D123" s="9"/>
      <c r="E123" s="7">
        <v>0</v>
      </c>
      <c r="F123" s="8">
        <f>IFERROR(E123/E444, "NA")</f>
        <v>0</v>
      </c>
      <c r="G123" s="9"/>
      <c r="H123" s="10">
        <f t="shared" si="24"/>
        <v>0</v>
      </c>
      <c r="I123" s="8">
        <f>IFERROR(H123/H444, "NA")</f>
        <v>0</v>
      </c>
      <c r="J123" s="9"/>
      <c r="K123" s="7">
        <v>0</v>
      </c>
      <c r="L123" s="8">
        <f>IFERROR(K123/K444, "NA")</f>
        <v>0</v>
      </c>
      <c r="M123" s="9"/>
      <c r="N123" s="10">
        <f t="shared" si="25"/>
        <v>0</v>
      </c>
      <c r="O123" s="8">
        <f>IFERROR(N123/N444, "NA")</f>
        <v>0</v>
      </c>
      <c r="P123" s="9"/>
      <c r="Q123" s="7">
        <v>0</v>
      </c>
      <c r="R123" s="8">
        <f>IFERROR(Q123/Q444, "NA")</f>
        <v>0</v>
      </c>
      <c r="S123" s="9"/>
      <c r="T123" s="7">
        <v>0</v>
      </c>
      <c r="U123" s="8">
        <f>IFERROR(T123/T444, "NA")</f>
        <v>0</v>
      </c>
      <c r="V123" s="9"/>
      <c r="W123" s="10">
        <f t="shared" si="26"/>
        <v>0</v>
      </c>
      <c r="X123" s="8">
        <f>IFERROR(W123/W444, "NA")</f>
        <v>0</v>
      </c>
      <c r="Y123" s="9"/>
      <c r="Z123" s="7">
        <v>0</v>
      </c>
      <c r="AA123" s="8">
        <f>IFERROR(Z123/Z444, "NA")</f>
        <v>0</v>
      </c>
      <c r="AB123" s="9"/>
      <c r="AC123" s="10">
        <f t="shared" si="27"/>
        <v>0</v>
      </c>
      <c r="AD123" s="8">
        <f>IFERROR(AC123/AC444, "NA")</f>
        <v>0</v>
      </c>
    </row>
    <row r="124" spans="1:30" ht="16.5" customHeight="1" x14ac:dyDescent="0.45">
      <c r="A124" s="21" t="s">
        <v>117</v>
      </c>
      <c r="B124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72511.349999999991</v>
      </c>
      <c r="C124" s="15">
        <f>IFERROR(B124/B444, "NA")</f>
        <v>0.99999999999999978</v>
      </c>
      <c r="D124" s="2"/>
      <c r="E124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68195.26999999999</v>
      </c>
      <c r="F124" s="15">
        <f>IFERROR(E124/E444, "NA")</f>
        <v>0.99999999999999978</v>
      </c>
      <c r="G124" s="2"/>
      <c r="H124" s="14">
        <f t="shared" si="24"/>
        <v>4316.0800000000017</v>
      </c>
      <c r="I124" s="15">
        <f>IFERROR(H124/H444, "NA")</f>
        <v>1</v>
      </c>
      <c r="J124" s="2"/>
      <c r="K124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65730.38</v>
      </c>
      <c r="L124" s="15">
        <f>IFERROR(K124/K444, "NA")</f>
        <v>1</v>
      </c>
      <c r="M124" s="2"/>
      <c r="N124" s="14">
        <f t="shared" si="25"/>
        <v>6780.9699999999866</v>
      </c>
      <c r="O124" s="15">
        <f>IFERROR(N124/N444, "NA")</f>
        <v>0.99999999999999789</v>
      </c>
      <c r="P124" s="2"/>
      <c r="Q124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72511.349999999991</v>
      </c>
      <c r="R124" s="15">
        <f>IFERROR(Q124/Q444, "NA")</f>
        <v>0.99999999999999978</v>
      </c>
      <c r="S124" s="2"/>
      <c r="T124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68195.26999999999</v>
      </c>
      <c r="U124" s="15">
        <f>IFERROR(T124/T444, "NA")</f>
        <v>0.99999999999999978</v>
      </c>
      <c r="V124" s="2"/>
      <c r="W124" s="14">
        <f t="shared" si="26"/>
        <v>4316.0800000000017</v>
      </c>
      <c r="X124" s="15">
        <f>IFERROR(W124/W444, "NA")</f>
        <v>1</v>
      </c>
      <c r="Y124" s="2"/>
      <c r="Z124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65730.38</v>
      </c>
      <c r="AA124" s="15">
        <f>IFERROR(Z124/Z444, "NA")</f>
        <v>1</v>
      </c>
      <c r="AB124" s="2"/>
      <c r="AC124" s="14">
        <f t="shared" si="27"/>
        <v>6780.9699999999866</v>
      </c>
      <c r="AD124" s="15">
        <f>IFERROR(AC124/AC444, "NA")</f>
        <v>0.99999999999999789</v>
      </c>
    </row>
    <row r="125" spans="1:30" ht="16.5" customHeight="1" x14ac:dyDescent="0.45">
      <c r="A125" s="1" t="s">
        <v>119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45">
      <c r="A126" s="5" t="s">
        <v>120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45">
      <c r="A127" s="6" t="s">
        <v>120</v>
      </c>
      <c r="B127" s="7">
        <v>0</v>
      </c>
      <c r="C127" s="8">
        <f>IFERROR(B127/B444, "NA")</f>
        <v>0</v>
      </c>
      <c r="D127" s="9"/>
      <c r="E127" s="7">
        <v>0</v>
      </c>
      <c r="F127" s="8">
        <f>IFERROR(E127/E444, "NA")</f>
        <v>0</v>
      </c>
      <c r="G127" s="9"/>
      <c r="H127" s="10">
        <f>IFERROR(-(B127-E127), "NA")</f>
        <v>0</v>
      </c>
      <c r="I127" s="8">
        <f>IFERROR(H127/H444, "NA")</f>
        <v>0</v>
      </c>
      <c r="J127" s="9"/>
      <c r="K127" s="7">
        <v>0</v>
      </c>
      <c r="L127" s="8">
        <f>IFERROR(K127/K444, "NA")</f>
        <v>0</v>
      </c>
      <c r="M127" s="9"/>
      <c r="N127" s="10">
        <f>IFERROR(-(B127-K127), "NA")</f>
        <v>0</v>
      </c>
      <c r="O127" s="8">
        <f>IFERROR(N127/N444, "NA")</f>
        <v>0</v>
      </c>
      <c r="P127" s="9"/>
      <c r="Q127" s="7">
        <v>0</v>
      </c>
      <c r="R127" s="8">
        <f>IFERROR(Q127/Q444, "NA")</f>
        <v>0</v>
      </c>
      <c r="S127" s="9"/>
      <c r="T127" s="7">
        <v>0</v>
      </c>
      <c r="U127" s="8">
        <f>IFERROR(T127/T444, "NA")</f>
        <v>0</v>
      </c>
      <c r="V127" s="9"/>
      <c r="W127" s="10">
        <f>IFERROR(-(Q127-T127), "NA")</f>
        <v>0</v>
      </c>
      <c r="X127" s="8">
        <f>IFERROR(W127/W444, "NA")</f>
        <v>0</v>
      </c>
      <c r="Y127" s="9"/>
      <c r="Z127" s="7">
        <v>0</v>
      </c>
      <c r="AA127" s="8">
        <f>IFERROR(Z127/Z444, "NA")</f>
        <v>0</v>
      </c>
      <c r="AB127" s="9"/>
      <c r="AC127" s="10">
        <f>IFERROR(-(Q127-Z127), "NA")</f>
        <v>0</v>
      </c>
      <c r="AD127" s="8">
        <f>IFERROR(AC127/AC444, "NA")</f>
        <v>0</v>
      </c>
    </row>
    <row r="128" spans="1:30" ht="16.5" customHeight="1" x14ac:dyDescent="0.45">
      <c r="A128" s="11" t="s">
        <v>121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45">
      <c r="A129" s="12" t="s">
        <v>121</v>
      </c>
      <c r="B129" s="7">
        <v>0</v>
      </c>
      <c r="C129" s="8">
        <f>IFERROR(B129/B444, "NA")</f>
        <v>0</v>
      </c>
      <c r="D129" s="9"/>
      <c r="E129" s="7">
        <v>14798.37</v>
      </c>
      <c r="F129" s="8">
        <f>IFERROR(E129/E444, "NA")</f>
        <v>0.21699994735705277</v>
      </c>
      <c r="G129" s="9"/>
      <c r="H129" s="10">
        <f t="shared" ref="H129:H141" si="28">IFERROR(-(B129-E129), "NA")</f>
        <v>14798.37</v>
      </c>
      <c r="I129" s="8">
        <f>IFERROR(H129/H444, "NA")</f>
        <v>3.4286598024132999</v>
      </c>
      <c r="J129" s="9"/>
      <c r="K129" s="7">
        <v>0</v>
      </c>
      <c r="L129" s="8">
        <f>IFERROR(K129/K444, "NA")</f>
        <v>0</v>
      </c>
      <c r="M129" s="9"/>
      <c r="N129" s="10">
        <f t="shared" ref="N129:N141" si="29">IFERROR(-(B129-K129), "NA")</f>
        <v>0</v>
      </c>
      <c r="O129" s="8">
        <f>IFERROR(N129/N444, "NA")</f>
        <v>0</v>
      </c>
      <c r="P129" s="9"/>
      <c r="Q129" s="7">
        <v>0</v>
      </c>
      <c r="R129" s="8">
        <f>IFERROR(Q129/Q444, "NA")</f>
        <v>0</v>
      </c>
      <c r="S129" s="9"/>
      <c r="T129" s="7">
        <v>14798.37</v>
      </c>
      <c r="U129" s="8">
        <f>IFERROR(T129/T444, "NA")</f>
        <v>0.21699994735705277</v>
      </c>
      <c r="V129" s="9"/>
      <c r="W129" s="10">
        <f t="shared" ref="W129:W141" si="30">IFERROR(-(Q129-T129), "NA")</f>
        <v>14798.37</v>
      </c>
      <c r="X129" s="8">
        <f>IFERROR(W129/W444, "NA")</f>
        <v>3.4286598024132999</v>
      </c>
      <c r="Y129" s="9"/>
      <c r="Z129" s="7">
        <v>0</v>
      </c>
      <c r="AA129" s="8">
        <f>IFERROR(Z129/Z444, "NA")</f>
        <v>0</v>
      </c>
      <c r="AB129" s="9"/>
      <c r="AC129" s="10">
        <f t="shared" ref="AC129:AC141" si="31">IFERROR(-(Q129-Z129), "NA")</f>
        <v>0</v>
      </c>
      <c r="AD129" s="8">
        <f>IFERROR(AC129/AC444, "NA")</f>
        <v>0</v>
      </c>
    </row>
    <row r="130" spans="1:30" ht="16.5" customHeight="1" x14ac:dyDescent="0.45">
      <c r="A130" s="12" t="s">
        <v>122</v>
      </c>
      <c r="B130" s="7">
        <v>3179.85</v>
      </c>
      <c r="C130" s="8">
        <f>IFERROR(B130/B444, "NA")</f>
        <v>4.3853134716151328E-2</v>
      </c>
      <c r="D130" s="9"/>
      <c r="E130" s="7">
        <v>0</v>
      </c>
      <c r="F130" s="8">
        <f>IFERROR(E130/E444, "NA")</f>
        <v>0</v>
      </c>
      <c r="G130" s="9"/>
      <c r="H130" s="10">
        <f t="shared" si="28"/>
        <v>-3179.85</v>
      </c>
      <c r="I130" s="8">
        <f>IFERROR(H130/H444, "NA")</f>
        <v>-0.73674491668365705</v>
      </c>
      <c r="J130" s="9"/>
      <c r="K130" s="7">
        <v>3831.62</v>
      </c>
      <c r="L130" s="8">
        <f>IFERROR(K130/K444, "NA")</f>
        <v>5.8292984157401792E-2</v>
      </c>
      <c r="M130" s="9"/>
      <c r="N130" s="10">
        <f t="shared" si="29"/>
        <v>651.77</v>
      </c>
      <c r="O130" s="8">
        <f>IFERROR(N130/N444, "NA")</f>
        <v>9.6117517110383896E-2</v>
      </c>
      <c r="P130" s="9"/>
      <c r="Q130" s="7">
        <v>3179.85</v>
      </c>
      <c r="R130" s="8">
        <f>IFERROR(Q130/Q444, "NA")</f>
        <v>4.3853134716151328E-2</v>
      </c>
      <c r="S130" s="9"/>
      <c r="T130" s="7">
        <v>0</v>
      </c>
      <c r="U130" s="8">
        <f>IFERROR(T130/T444, "NA")</f>
        <v>0</v>
      </c>
      <c r="V130" s="9"/>
      <c r="W130" s="10">
        <f t="shared" si="30"/>
        <v>-3179.85</v>
      </c>
      <c r="X130" s="8">
        <f>IFERROR(W130/W444, "NA")</f>
        <v>-0.73674491668365705</v>
      </c>
      <c r="Y130" s="9"/>
      <c r="Z130" s="7">
        <v>3831.62</v>
      </c>
      <c r="AA130" s="8">
        <f>IFERROR(Z130/Z444, "NA")</f>
        <v>5.8292984157401792E-2</v>
      </c>
      <c r="AB130" s="9"/>
      <c r="AC130" s="10">
        <f t="shared" si="31"/>
        <v>651.77</v>
      </c>
      <c r="AD130" s="8">
        <f>IFERROR(AC130/AC444, "NA")</f>
        <v>9.6117517110383896E-2</v>
      </c>
    </row>
    <row r="131" spans="1:30" ht="16.5" customHeight="1" x14ac:dyDescent="0.45">
      <c r="A131" s="12" t="s">
        <v>123</v>
      </c>
      <c r="B131" s="7">
        <v>1925.08</v>
      </c>
      <c r="C131" s="8">
        <f>IFERROR(B131/B444, "NA")</f>
        <v>2.6548671345934118E-2</v>
      </c>
      <c r="D131" s="9"/>
      <c r="E131" s="7">
        <v>0</v>
      </c>
      <c r="F131" s="8">
        <f>IFERROR(E131/E444, "NA")</f>
        <v>0</v>
      </c>
      <c r="G131" s="9"/>
      <c r="H131" s="10">
        <f t="shared" si="28"/>
        <v>-1925.08</v>
      </c>
      <c r="I131" s="8">
        <f>IFERROR(H131/H444, "NA")</f>
        <v>-0.44602509684713887</v>
      </c>
      <c r="J131" s="9"/>
      <c r="K131" s="7">
        <v>2017.83</v>
      </c>
      <c r="L131" s="8">
        <f>IFERROR(K131/K444, "NA")</f>
        <v>3.0698590210493228E-2</v>
      </c>
      <c r="M131" s="9"/>
      <c r="N131" s="10">
        <f t="shared" si="29"/>
        <v>92.75</v>
      </c>
      <c r="O131" s="8">
        <f>IFERROR(N131/N444, "NA")</f>
        <v>1.3677984123215407E-2</v>
      </c>
      <c r="P131" s="9"/>
      <c r="Q131" s="7">
        <v>1925.08</v>
      </c>
      <c r="R131" s="8">
        <f>IFERROR(Q131/Q444, "NA")</f>
        <v>2.6548671345934118E-2</v>
      </c>
      <c r="S131" s="9"/>
      <c r="T131" s="7">
        <v>0</v>
      </c>
      <c r="U131" s="8">
        <f>IFERROR(T131/T444, "NA")</f>
        <v>0</v>
      </c>
      <c r="V131" s="9"/>
      <c r="W131" s="10">
        <f t="shared" si="30"/>
        <v>-1925.08</v>
      </c>
      <c r="X131" s="8">
        <f>IFERROR(W131/W444, "NA")</f>
        <v>-0.44602509684713887</v>
      </c>
      <c r="Y131" s="9"/>
      <c r="Z131" s="7">
        <v>2017.83</v>
      </c>
      <c r="AA131" s="8">
        <f>IFERROR(Z131/Z444, "NA")</f>
        <v>3.0698590210493228E-2</v>
      </c>
      <c r="AB131" s="9"/>
      <c r="AC131" s="10">
        <f t="shared" si="31"/>
        <v>92.75</v>
      </c>
      <c r="AD131" s="8">
        <f>IFERROR(AC131/AC444, "NA")</f>
        <v>1.3677984123215407E-2</v>
      </c>
    </row>
    <row r="132" spans="1:30" ht="16.5" customHeight="1" x14ac:dyDescent="0.45">
      <c r="A132" s="12" t="s">
        <v>124</v>
      </c>
      <c r="B132" s="7">
        <v>1937.7</v>
      </c>
      <c r="C132" s="8">
        <f>IFERROR(B132/B444, "NA")</f>
        <v>2.6722713064920179E-2</v>
      </c>
      <c r="D132" s="9"/>
      <c r="E132" s="7">
        <v>0</v>
      </c>
      <c r="F132" s="8">
        <f>IFERROR(E132/E444, "NA")</f>
        <v>0</v>
      </c>
      <c r="G132" s="9"/>
      <c r="H132" s="10">
        <f t="shared" si="28"/>
        <v>-1937.7</v>
      </c>
      <c r="I132" s="8">
        <f>IFERROR(H132/H444, "NA")</f>
        <v>-0.44894904635687921</v>
      </c>
      <c r="J132" s="9"/>
      <c r="K132" s="7">
        <v>2422.54</v>
      </c>
      <c r="L132" s="8">
        <f>IFERROR(K132/K444, "NA")</f>
        <v>3.6855712685671373E-2</v>
      </c>
      <c r="M132" s="9"/>
      <c r="N132" s="10">
        <f t="shared" si="29"/>
        <v>484.83999999999992</v>
      </c>
      <c r="O132" s="8">
        <f>IFERROR(N132/N444, "NA")</f>
        <v>7.1500095119134854E-2</v>
      </c>
      <c r="P132" s="9"/>
      <c r="Q132" s="7">
        <v>1937.7</v>
      </c>
      <c r="R132" s="8">
        <f>IFERROR(Q132/Q444, "NA")</f>
        <v>2.6722713064920179E-2</v>
      </c>
      <c r="S132" s="9"/>
      <c r="T132" s="7">
        <v>0</v>
      </c>
      <c r="U132" s="8">
        <f>IFERROR(T132/T444, "NA")</f>
        <v>0</v>
      </c>
      <c r="V132" s="9"/>
      <c r="W132" s="10">
        <f t="shared" si="30"/>
        <v>-1937.7</v>
      </c>
      <c r="X132" s="8">
        <f>IFERROR(W132/W444, "NA")</f>
        <v>-0.44894904635687921</v>
      </c>
      <c r="Y132" s="9"/>
      <c r="Z132" s="7">
        <v>2422.54</v>
      </c>
      <c r="AA132" s="8">
        <f>IFERROR(Z132/Z444, "NA")</f>
        <v>3.6855712685671373E-2</v>
      </c>
      <c r="AB132" s="9"/>
      <c r="AC132" s="10">
        <f t="shared" si="31"/>
        <v>484.83999999999992</v>
      </c>
      <c r="AD132" s="8">
        <f>IFERROR(AC132/AC444, "NA")</f>
        <v>7.1500095119134854E-2</v>
      </c>
    </row>
    <row r="133" spans="1:30" ht="16.5" customHeight="1" x14ac:dyDescent="0.45">
      <c r="A133" s="12" t="s">
        <v>125</v>
      </c>
      <c r="B133" s="7">
        <v>1676.01</v>
      </c>
      <c r="C133" s="8">
        <f>IFERROR(B133/B444, "NA")</f>
        <v>2.3113760811238514E-2</v>
      </c>
      <c r="D133" s="9"/>
      <c r="E133" s="7">
        <v>0</v>
      </c>
      <c r="F133" s="8">
        <f>IFERROR(E133/E444, "NA")</f>
        <v>0</v>
      </c>
      <c r="G133" s="9"/>
      <c r="H133" s="10">
        <f t="shared" si="28"/>
        <v>-1676.01</v>
      </c>
      <c r="I133" s="8">
        <f>IFERROR(H133/H444, "NA")</f>
        <v>-0.38831764008081393</v>
      </c>
      <c r="J133" s="9"/>
      <c r="K133" s="7">
        <v>1583.78</v>
      </c>
      <c r="L133" s="8">
        <f>IFERROR(K133/K444, "NA")</f>
        <v>2.4095098796020956E-2</v>
      </c>
      <c r="M133" s="9"/>
      <c r="N133" s="10">
        <f t="shared" si="29"/>
        <v>-92.230000000000018</v>
      </c>
      <c r="O133" s="8">
        <f>IFERROR(N133/N444, "NA")</f>
        <v>-1.3601298929209244E-2</v>
      </c>
      <c r="P133" s="9"/>
      <c r="Q133" s="7">
        <v>1676.01</v>
      </c>
      <c r="R133" s="8">
        <f>IFERROR(Q133/Q444, "NA")</f>
        <v>2.3113760811238514E-2</v>
      </c>
      <c r="S133" s="9"/>
      <c r="T133" s="7">
        <v>0</v>
      </c>
      <c r="U133" s="8">
        <f>IFERROR(T133/T444, "NA")</f>
        <v>0</v>
      </c>
      <c r="V133" s="9"/>
      <c r="W133" s="10">
        <f t="shared" si="30"/>
        <v>-1676.01</v>
      </c>
      <c r="X133" s="8">
        <f>IFERROR(W133/W444, "NA")</f>
        <v>-0.38831764008081393</v>
      </c>
      <c r="Y133" s="9"/>
      <c r="Z133" s="7">
        <v>1583.78</v>
      </c>
      <c r="AA133" s="8">
        <f>IFERROR(Z133/Z444, "NA")</f>
        <v>2.4095098796020956E-2</v>
      </c>
      <c r="AB133" s="9"/>
      <c r="AC133" s="10">
        <f t="shared" si="31"/>
        <v>-92.230000000000018</v>
      </c>
      <c r="AD133" s="8">
        <f>IFERROR(AC133/AC444, "NA")</f>
        <v>-1.3601298929209244E-2</v>
      </c>
    </row>
    <row r="134" spans="1:30" ht="16.5" customHeight="1" x14ac:dyDescent="0.45">
      <c r="A134" s="12" t="s">
        <v>126</v>
      </c>
      <c r="B134" s="7">
        <v>834.47</v>
      </c>
      <c r="C134" s="8">
        <f>IFERROR(B134/B444, "NA")</f>
        <v>1.1508129416980928E-2</v>
      </c>
      <c r="D134" s="9"/>
      <c r="E134" s="7">
        <v>0</v>
      </c>
      <c r="F134" s="8">
        <f>IFERROR(E134/E444, "NA")</f>
        <v>0</v>
      </c>
      <c r="G134" s="9"/>
      <c r="H134" s="10">
        <f t="shared" si="28"/>
        <v>-834.47</v>
      </c>
      <c r="I134" s="8">
        <f>IFERROR(H134/H444, "NA")</f>
        <v>-0.1933397898092713</v>
      </c>
      <c r="J134" s="9"/>
      <c r="K134" s="7">
        <v>543.71</v>
      </c>
      <c r="L134" s="8">
        <f>IFERROR(K134/K444, "NA")</f>
        <v>8.2718219489983178E-3</v>
      </c>
      <c r="M134" s="9"/>
      <c r="N134" s="10">
        <f t="shared" si="29"/>
        <v>-290.76</v>
      </c>
      <c r="O134" s="8">
        <f>IFERROR(N134/N444, "NA")</f>
        <v>-4.2878821171602285E-2</v>
      </c>
      <c r="P134" s="9"/>
      <c r="Q134" s="7">
        <v>834.47</v>
      </c>
      <c r="R134" s="8">
        <f>IFERROR(Q134/Q444, "NA")</f>
        <v>1.1508129416980928E-2</v>
      </c>
      <c r="S134" s="9"/>
      <c r="T134" s="7">
        <v>0</v>
      </c>
      <c r="U134" s="8">
        <f>IFERROR(T134/T444, "NA")</f>
        <v>0</v>
      </c>
      <c r="V134" s="9"/>
      <c r="W134" s="10">
        <f t="shared" si="30"/>
        <v>-834.47</v>
      </c>
      <c r="X134" s="8">
        <f>IFERROR(W134/W444, "NA")</f>
        <v>-0.1933397898092713</v>
      </c>
      <c r="Y134" s="9"/>
      <c r="Z134" s="7">
        <v>543.71</v>
      </c>
      <c r="AA134" s="8">
        <f>IFERROR(Z134/Z444, "NA")</f>
        <v>8.2718219489983178E-3</v>
      </c>
      <c r="AB134" s="9"/>
      <c r="AC134" s="10">
        <f t="shared" si="31"/>
        <v>-290.76</v>
      </c>
      <c r="AD134" s="8">
        <f>IFERROR(AC134/AC444, "NA")</f>
        <v>-4.2878821171602285E-2</v>
      </c>
    </row>
    <row r="135" spans="1:30" ht="16.5" customHeight="1" x14ac:dyDescent="0.45">
      <c r="A135" s="12" t="s">
        <v>127</v>
      </c>
      <c r="B135" s="7">
        <v>564.91</v>
      </c>
      <c r="C135" s="8">
        <f>IFERROR(B135/B444, "NA")</f>
        <v>7.7906424304608852E-3</v>
      </c>
      <c r="D135" s="9"/>
      <c r="E135" s="7">
        <v>0</v>
      </c>
      <c r="F135" s="8">
        <f>IFERROR(E135/E444, "NA")</f>
        <v>0</v>
      </c>
      <c r="G135" s="9"/>
      <c r="H135" s="10">
        <f t="shared" si="28"/>
        <v>-564.91</v>
      </c>
      <c r="I135" s="8">
        <f>IFERROR(H135/H444, "NA")</f>
        <v>-0.13088496969472294</v>
      </c>
      <c r="J135" s="9"/>
      <c r="K135" s="7">
        <v>511.94</v>
      </c>
      <c r="L135" s="8">
        <f>IFERROR(K135/K444, "NA")</f>
        <v>7.7884838030755328E-3</v>
      </c>
      <c r="M135" s="9"/>
      <c r="N135" s="10">
        <f t="shared" si="29"/>
        <v>-52.96999999999997</v>
      </c>
      <c r="O135" s="8">
        <f>IFERROR(N135/N444, "NA")</f>
        <v>-7.8115667817436089E-3</v>
      </c>
      <c r="P135" s="9"/>
      <c r="Q135" s="7">
        <v>564.91</v>
      </c>
      <c r="R135" s="8">
        <f>IFERROR(Q135/Q444, "NA")</f>
        <v>7.7906424304608852E-3</v>
      </c>
      <c r="S135" s="9"/>
      <c r="T135" s="7">
        <v>0</v>
      </c>
      <c r="U135" s="8">
        <f>IFERROR(T135/T444, "NA")</f>
        <v>0</v>
      </c>
      <c r="V135" s="9"/>
      <c r="W135" s="10">
        <f t="shared" si="30"/>
        <v>-564.91</v>
      </c>
      <c r="X135" s="8">
        <f>IFERROR(W135/W444, "NA")</f>
        <v>-0.13088496969472294</v>
      </c>
      <c r="Y135" s="9"/>
      <c r="Z135" s="7">
        <v>511.94</v>
      </c>
      <c r="AA135" s="8">
        <f>IFERROR(Z135/Z444, "NA")</f>
        <v>7.7884838030755328E-3</v>
      </c>
      <c r="AB135" s="9"/>
      <c r="AC135" s="10">
        <f t="shared" si="31"/>
        <v>-52.96999999999997</v>
      </c>
      <c r="AD135" s="8">
        <f>IFERROR(AC135/AC444, "NA")</f>
        <v>-7.8115667817436089E-3</v>
      </c>
    </row>
    <row r="136" spans="1:30" ht="16.5" customHeight="1" x14ac:dyDescent="0.45">
      <c r="A136" s="12" t="s">
        <v>128</v>
      </c>
      <c r="B136" s="7">
        <v>0</v>
      </c>
      <c r="C136" s="8">
        <f>IFERROR(B136/B444, "NA")</f>
        <v>0</v>
      </c>
      <c r="D136" s="9"/>
      <c r="E136" s="7">
        <v>0</v>
      </c>
      <c r="F136" s="8">
        <f>IFERROR(E136/E444, "NA")</f>
        <v>0</v>
      </c>
      <c r="G136" s="9"/>
      <c r="H136" s="10">
        <f t="shared" si="28"/>
        <v>0</v>
      </c>
      <c r="I136" s="8">
        <f>IFERROR(H136/H444, "NA")</f>
        <v>0</v>
      </c>
      <c r="J136" s="9"/>
      <c r="K136" s="7">
        <v>427.7</v>
      </c>
      <c r="L136" s="8">
        <f>IFERROR(K136/K444, "NA")</f>
        <v>6.5068846399488327E-3</v>
      </c>
      <c r="M136" s="9"/>
      <c r="N136" s="10">
        <f t="shared" si="29"/>
        <v>427.7</v>
      </c>
      <c r="O136" s="8">
        <f>IFERROR(N136/N444, "NA")</f>
        <v>6.3073572070072553E-2</v>
      </c>
      <c r="P136" s="9"/>
      <c r="Q136" s="7">
        <v>0</v>
      </c>
      <c r="R136" s="8">
        <f>IFERROR(Q136/Q444, "NA")</f>
        <v>0</v>
      </c>
      <c r="S136" s="9"/>
      <c r="T136" s="7">
        <v>0</v>
      </c>
      <c r="U136" s="8">
        <f>IFERROR(T136/T444, "NA")</f>
        <v>0</v>
      </c>
      <c r="V136" s="9"/>
      <c r="W136" s="10">
        <f t="shared" si="30"/>
        <v>0</v>
      </c>
      <c r="X136" s="8">
        <f>IFERROR(W136/W444, "NA")</f>
        <v>0</v>
      </c>
      <c r="Y136" s="9"/>
      <c r="Z136" s="7">
        <v>427.7</v>
      </c>
      <c r="AA136" s="8">
        <f>IFERROR(Z136/Z444, "NA")</f>
        <v>6.5068846399488327E-3</v>
      </c>
      <c r="AB136" s="9"/>
      <c r="AC136" s="10">
        <f t="shared" si="31"/>
        <v>427.7</v>
      </c>
      <c r="AD136" s="8">
        <f>IFERROR(AC136/AC444, "NA")</f>
        <v>6.3073572070072553E-2</v>
      </c>
    </row>
    <row r="137" spans="1:30" ht="16.5" customHeight="1" x14ac:dyDescent="0.45">
      <c r="A137" s="12" t="s">
        <v>129</v>
      </c>
      <c r="B137" s="7">
        <v>591.63</v>
      </c>
      <c r="C137" s="8">
        <f>IFERROR(B137/B444, "NA")</f>
        <v>8.1591364662221832E-3</v>
      </c>
      <c r="D137" s="9"/>
      <c r="E137" s="7">
        <v>0</v>
      </c>
      <c r="F137" s="8">
        <f>IFERROR(E137/E444, "NA")</f>
        <v>0</v>
      </c>
      <c r="G137" s="9"/>
      <c r="H137" s="10">
        <f t="shared" si="28"/>
        <v>-591.63</v>
      </c>
      <c r="I137" s="8">
        <f>IFERROR(H137/H444, "NA")</f>
        <v>-0.13707577246019531</v>
      </c>
      <c r="J137" s="9"/>
      <c r="K137" s="7">
        <v>449.83</v>
      </c>
      <c r="L137" s="8">
        <f>IFERROR(K137/K444, "NA")</f>
        <v>6.8435630525793389E-3</v>
      </c>
      <c r="M137" s="9"/>
      <c r="N137" s="10">
        <f t="shared" si="29"/>
        <v>-141.80000000000001</v>
      </c>
      <c r="O137" s="8">
        <f>IFERROR(N137/N444, "NA")</f>
        <v>-2.091146251937407E-2</v>
      </c>
      <c r="P137" s="9"/>
      <c r="Q137" s="7">
        <v>591.63</v>
      </c>
      <c r="R137" s="8">
        <f>IFERROR(Q137/Q444, "NA")</f>
        <v>8.1591364662221832E-3</v>
      </c>
      <c r="S137" s="9"/>
      <c r="T137" s="7">
        <v>0</v>
      </c>
      <c r="U137" s="8">
        <f>IFERROR(T137/T444, "NA")</f>
        <v>0</v>
      </c>
      <c r="V137" s="9"/>
      <c r="W137" s="10">
        <f t="shared" si="30"/>
        <v>-591.63</v>
      </c>
      <c r="X137" s="8">
        <f>IFERROR(W137/W444, "NA")</f>
        <v>-0.13707577246019531</v>
      </c>
      <c r="Y137" s="9"/>
      <c r="Z137" s="7">
        <v>449.83</v>
      </c>
      <c r="AA137" s="8">
        <f>IFERROR(Z137/Z444, "NA")</f>
        <v>6.8435630525793389E-3</v>
      </c>
      <c r="AB137" s="9"/>
      <c r="AC137" s="10">
        <f t="shared" si="31"/>
        <v>-141.80000000000001</v>
      </c>
      <c r="AD137" s="8">
        <f>IFERROR(AC137/AC444, "NA")</f>
        <v>-2.091146251937407E-2</v>
      </c>
    </row>
    <row r="138" spans="1:30" ht="16.5" customHeight="1" x14ac:dyDescent="0.45">
      <c r="A138" s="12" t="s">
        <v>130</v>
      </c>
      <c r="B138" s="7">
        <v>5032.67</v>
      </c>
      <c r="C138" s="8">
        <f>IFERROR(B138/B444, "NA")</f>
        <v>6.9405272415973496E-2</v>
      </c>
      <c r="D138" s="9"/>
      <c r="E138" s="7">
        <v>0</v>
      </c>
      <c r="F138" s="8">
        <f>IFERROR(E138/E444, "NA")</f>
        <v>0</v>
      </c>
      <c r="G138" s="9"/>
      <c r="H138" s="10">
        <f t="shared" si="28"/>
        <v>-5032.67</v>
      </c>
      <c r="I138" s="8">
        <f>IFERROR(H138/H444, "NA")</f>
        <v>-1.16602796982447</v>
      </c>
      <c r="J138" s="9"/>
      <c r="K138" s="7">
        <v>3773.12</v>
      </c>
      <c r="L138" s="8">
        <f>IFERROR(K138/K444, "NA")</f>
        <v>5.7402984738563805E-2</v>
      </c>
      <c r="M138" s="9"/>
      <c r="N138" s="10">
        <f t="shared" si="29"/>
        <v>-1259.5500000000002</v>
      </c>
      <c r="O138" s="8">
        <f>IFERROR(N138/N444, "NA")</f>
        <v>-0.18574776175089994</v>
      </c>
      <c r="P138" s="9"/>
      <c r="Q138" s="7">
        <v>5032.67</v>
      </c>
      <c r="R138" s="8">
        <f>IFERROR(Q138/Q444, "NA")</f>
        <v>6.9405272415973496E-2</v>
      </c>
      <c r="S138" s="9"/>
      <c r="T138" s="7">
        <v>0</v>
      </c>
      <c r="U138" s="8">
        <f>IFERROR(T138/T444, "NA")</f>
        <v>0</v>
      </c>
      <c r="V138" s="9"/>
      <c r="W138" s="10">
        <f t="shared" si="30"/>
        <v>-5032.67</v>
      </c>
      <c r="X138" s="8">
        <f>IFERROR(W138/W444, "NA")</f>
        <v>-1.16602796982447</v>
      </c>
      <c r="Y138" s="9"/>
      <c r="Z138" s="7">
        <v>3773.12</v>
      </c>
      <c r="AA138" s="8">
        <f>IFERROR(Z138/Z444, "NA")</f>
        <v>5.7402984738563805E-2</v>
      </c>
      <c r="AB138" s="9"/>
      <c r="AC138" s="10">
        <f t="shared" si="31"/>
        <v>-1259.5500000000002</v>
      </c>
      <c r="AD138" s="8">
        <f>IFERROR(AC138/AC444, "NA")</f>
        <v>-0.18574776175089994</v>
      </c>
    </row>
    <row r="139" spans="1:30" ht="16.5" hidden="1" customHeight="1" x14ac:dyDescent="0.45">
      <c r="A139" s="12" t="s">
        <v>131</v>
      </c>
      <c r="B139" s="7">
        <v>0</v>
      </c>
      <c r="C139" s="8">
        <f>IFERROR(B139/B444, "NA")</f>
        <v>0</v>
      </c>
      <c r="D139" s="9"/>
      <c r="E139" s="7">
        <v>0</v>
      </c>
      <c r="F139" s="8">
        <f>IFERROR(E139/E444, "NA")</f>
        <v>0</v>
      </c>
      <c r="G139" s="9"/>
      <c r="H139" s="10">
        <f t="shared" si="28"/>
        <v>0</v>
      </c>
      <c r="I139" s="8">
        <f>IFERROR(H139/H444, "NA")</f>
        <v>0</v>
      </c>
      <c r="J139" s="9"/>
      <c r="K139" s="7">
        <v>0</v>
      </c>
      <c r="L139" s="8">
        <f>IFERROR(K139/K444, "NA")</f>
        <v>0</v>
      </c>
      <c r="M139" s="9"/>
      <c r="N139" s="10">
        <f t="shared" si="29"/>
        <v>0</v>
      </c>
      <c r="O139" s="8">
        <f>IFERROR(N139/N444, "NA")</f>
        <v>0</v>
      </c>
      <c r="P139" s="9"/>
      <c r="Q139" s="7">
        <v>0</v>
      </c>
      <c r="R139" s="8">
        <f>IFERROR(Q139/Q444, "NA")</f>
        <v>0</v>
      </c>
      <c r="S139" s="9"/>
      <c r="T139" s="7">
        <v>0</v>
      </c>
      <c r="U139" s="8">
        <f>IFERROR(T139/T444, "NA")</f>
        <v>0</v>
      </c>
      <c r="V139" s="9"/>
      <c r="W139" s="10">
        <f t="shared" si="30"/>
        <v>0</v>
      </c>
      <c r="X139" s="8">
        <f>IFERROR(W139/W444, "NA")</f>
        <v>0</v>
      </c>
      <c r="Y139" s="9"/>
      <c r="Z139" s="7">
        <v>0</v>
      </c>
      <c r="AA139" s="8">
        <f>IFERROR(Z139/Z444, "NA")</f>
        <v>0</v>
      </c>
      <c r="AB139" s="9"/>
      <c r="AC139" s="10">
        <f t="shared" si="31"/>
        <v>0</v>
      </c>
      <c r="AD139" s="8">
        <f>IFERROR(AC139/AC444, "NA")</f>
        <v>0</v>
      </c>
    </row>
    <row r="140" spans="1:30" ht="16.5" customHeight="1" x14ac:dyDescent="0.45">
      <c r="A140" s="12" t="s">
        <v>132</v>
      </c>
      <c r="B140" s="7">
        <v>0</v>
      </c>
      <c r="C140" s="8">
        <f>IFERROR(B140/B444, "NA")</f>
        <v>0</v>
      </c>
      <c r="D140" s="9"/>
      <c r="E140" s="7">
        <v>0</v>
      </c>
      <c r="F140" s="8">
        <f>IFERROR(E140/E444, "NA")</f>
        <v>0</v>
      </c>
      <c r="G140" s="9"/>
      <c r="H140" s="10">
        <f t="shared" si="28"/>
        <v>0</v>
      </c>
      <c r="I140" s="8">
        <f>IFERROR(H140/H444, "NA")</f>
        <v>0</v>
      </c>
      <c r="J140" s="9"/>
      <c r="K140" s="7">
        <v>20.079999999999998</v>
      </c>
      <c r="L140" s="8">
        <f>IFERROR(K140/K444, "NA")</f>
        <v>3.0549039880797883E-4</v>
      </c>
      <c r="M140" s="9"/>
      <c r="N140" s="10">
        <f t="shared" si="29"/>
        <v>20.079999999999998</v>
      </c>
      <c r="O140" s="8">
        <f>IFERROR(N140/N444, "NA")</f>
        <v>2.9612282608535347E-3</v>
      </c>
      <c r="P140" s="9"/>
      <c r="Q140" s="7">
        <v>0</v>
      </c>
      <c r="R140" s="8">
        <f>IFERROR(Q140/Q444, "NA")</f>
        <v>0</v>
      </c>
      <c r="S140" s="9"/>
      <c r="T140" s="7">
        <v>0</v>
      </c>
      <c r="U140" s="8">
        <f>IFERROR(T140/T444, "NA")</f>
        <v>0</v>
      </c>
      <c r="V140" s="9"/>
      <c r="W140" s="10">
        <f t="shared" si="30"/>
        <v>0</v>
      </c>
      <c r="X140" s="8">
        <f>IFERROR(W140/W444, "NA")</f>
        <v>0</v>
      </c>
      <c r="Y140" s="9"/>
      <c r="Z140" s="7">
        <v>20.079999999999998</v>
      </c>
      <c r="AA140" s="8">
        <f>IFERROR(Z140/Z444, "NA")</f>
        <v>3.0549039880797883E-4</v>
      </c>
      <c r="AB140" s="9"/>
      <c r="AC140" s="10">
        <f t="shared" si="31"/>
        <v>20.079999999999998</v>
      </c>
      <c r="AD140" s="8">
        <f>IFERROR(AC140/AC444, "NA")</f>
        <v>2.9612282608535347E-3</v>
      </c>
    </row>
    <row r="141" spans="1:30" ht="16.5" customHeight="1" x14ac:dyDescent="0.45">
      <c r="A141" s="13" t="s">
        <v>133</v>
      </c>
      <c r="B141" s="14">
        <f>IFERROR(B129+B130+B131+B132+B133+B134+B135+B136+B137+B138+B139+B140, "NA")</f>
        <v>15742.319999999998</v>
      </c>
      <c r="C141" s="15">
        <f>IFERROR(B141/B444, "NA")</f>
        <v>0.21710146066788161</v>
      </c>
      <c r="D141" s="2"/>
      <c r="E141" s="14">
        <f>IFERROR(E129+E130+E131+E132+E133+E134+E135+E136+E137+E138+E139+E140, "NA")</f>
        <v>14798.37</v>
      </c>
      <c r="F141" s="15">
        <f>IFERROR(E141/E444, "NA")</f>
        <v>0.21699994735705277</v>
      </c>
      <c r="G141" s="2"/>
      <c r="H141" s="14">
        <f t="shared" si="28"/>
        <v>-943.94999999999709</v>
      </c>
      <c r="I141" s="15">
        <f>IFERROR(H141/H444, "NA")</f>
        <v>-0.21870539934384828</v>
      </c>
      <c r="J141" s="2"/>
      <c r="K141" s="14">
        <f>IFERROR(K129+K130+K131+K132+K133+K134+K135+K136+K137+K138+K139+K140, "NA")</f>
        <v>15582.15</v>
      </c>
      <c r="L141" s="15">
        <f>IFERROR(K141/K444, "NA")</f>
        <v>0.23706161443156115</v>
      </c>
      <c r="M141" s="2"/>
      <c r="N141" s="14">
        <f t="shared" si="29"/>
        <v>-160.16999999999825</v>
      </c>
      <c r="O141" s="15">
        <f>IFERROR(N141/N444, "NA")</f>
        <v>-2.3620514469168602E-2</v>
      </c>
      <c r="P141" s="2"/>
      <c r="Q141" s="14">
        <f>IFERROR(Q129+Q130+Q131+Q132+Q133+Q134+Q135+Q136+Q137+Q138+Q139+Q140, "NA")</f>
        <v>15742.319999999998</v>
      </c>
      <c r="R141" s="15">
        <f>IFERROR(Q141/Q444, "NA")</f>
        <v>0.21710146066788161</v>
      </c>
      <c r="S141" s="2"/>
      <c r="T141" s="14">
        <f>IFERROR(T129+T130+T131+T132+T133+T134+T135+T136+T137+T138+T139+T140, "NA")</f>
        <v>14798.37</v>
      </c>
      <c r="U141" s="15">
        <f>IFERROR(T141/T444, "NA")</f>
        <v>0.21699994735705277</v>
      </c>
      <c r="V141" s="2"/>
      <c r="W141" s="14">
        <f t="shared" si="30"/>
        <v>-943.94999999999709</v>
      </c>
      <c r="X141" s="15">
        <f>IFERROR(W141/W444, "NA")</f>
        <v>-0.21870539934384828</v>
      </c>
      <c r="Y141" s="2"/>
      <c r="Z141" s="14">
        <f>IFERROR(Z129+Z130+Z131+Z132+Z133+Z134+Z135+Z136+Z137+Z138+Z139+Z140, "NA")</f>
        <v>15582.15</v>
      </c>
      <c r="AA141" s="15">
        <f>IFERROR(Z141/Z444, "NA")</f>
        <v>0.23706161443156115</v>
      </c>
      <c r="AB141" s="2"/>
      <c r="AC141" s="14">
        <f t="shared" si="31"/>
        <v>-160.16999999999825</v>
      </c>
      <c r="AD141" s="15">
        <f>IFERROR(AC141/AC444, "NA")</f>
        <v>-2.3620514469168602E-2</v>
      </c>
    </row>
    <row r="142" spans="1:30" ht="16.5" customHeight="1" x14ac:dyDescent="0.45">
      <c r="A142" s="11" t="s">
        <v>134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45">
      <c r="A143" s="12" t="s">
        <v>134</v>
      </c>
      <c r="B143" s="7">
        <v>0</v>
      </c>
      <c r="C143" s="8">
        <f>IFERROR(B143/B444, "NA")</f>
        <v>0</v>
      </c>
      <c r="D143" s="9"/>
      <c r="E143" s="7">
        <v>818.34</v>
      </c>
      <c r="F143" s="8">
        <f>IFERROR(E143/E444, "NA")</f>
        <v>1.1999952489373529E-2</v>
      </c>
      <c r="G143" s="9"/>
      <c r="H143" s="10">
        <f t="shared" ref="H143:H149" si="32">IFERROR(-(B143-E143), "NA")</f>
        <v>818.34</v>
      </c>
      <c r="I143" s="8">
        <f>IFERROR(H143/H444, "NA")</f>
        <v>0.18960260236140195</v>
      </c>
      <c r="J143" s="9"/>
      <c r="K143" s="7">
        <v>0</v>
      </c>
      <c r="L143" s="8">
        <f>IFERROR(K143/K444, "NA")</f>
        <v>0</v>
      </c>
      <c r="M143" s="9"/>
      <c r="N143" s="10">
        <f t="shared" ref="N143:N149" si="33">IFERROR(-(B143-K143), "NA")</f>
        <v>0</v>
      </c>
      <c r="O143" s="8">
        <f>IFERROR(N143/N444, "NA")</f>
        <v>0</v>
      </c>
      <c r="P143" s="9"/>
      <c r="Q143" s="7">
        <v>0</v>
      </c>
      <c r="R143" s="8">
        <f>IFERROR(Q143/Q444, "NA")</f>
        <v>0</v>
      </c>
      <c r="S143" s="9"/>
      <c r="T143" s="7">
        <v>818.34</v>
      </c>
      <c r="U143" s="8">
        <f>IFERROR(T143/T444, "NA")</f>
        <v>1.1999952489373529E-2</v>
      </c>
      <c r="V143" s="9"/>
      <c r="W143" s="10">
        <f t="shared" ref="W143:W149" si="34">IFERROR(-(Q143-T143), "NA")</f>
        <v>818.34</v>
      </c>
      <c r="X143" s="8">
        <f>IFERROR(W143/W444, "NA")</f>
        <v>0.18960260236140195</v>
      </c>
      <c r="Y143" s="9"/>
      <c r="Z143" s="7">
        <v>0</v>
      </c>
      <c r="AA143" s="8">
        <f>IFERROR(Z143/Z444, "NA")</f>
        <v>0</v>
      </c>
      <c r="AB143" s="9"/>
      <c r="AC143" s="10">
        <f t="shared" ref="AC143:AC149" si="35">IFERROR(-(Q143-Z143), "NA")</f>
        <v>0</v>
      </c>
      <c r="AD143" s="8">
        <f>IFERROR(AC143/AC444, "NA")</f>
        <v>0</v>
      </c>
    </row>
    <row r="144" spans="1:30" ht="16.5" customHeight="1" x14ac:dyDescent="0.45">
      <c r="A144" s="12" t="s">
        <v>135</v>
      </c>
      <c r="B144" s="7">
        <v>939.74</v>
      </c>
      <c r="C144" s="8">
        <f>IFERROR(B144/B444, "NA")</f>
        <v>1.2959902139458166E-2</v>
      </c>
      <c r="D144" s="9"/>
      <c r="E144" s="7">
        <v>0</v>
      </c>
      <c r="F144" s="8">
        <f>IFERROR(E144/E444, "NA")</f>
        <v>0</v>
      </c>
      <c r="G144" s="9"/>
      <c r="H144" s="10">
        <f t="shared" si="32"/>
        <v>-939.74</v>
      </c>
      <c r="I144" s="8">
        <f>IFERROR(H144/H444, "NA")</f>
        <v>-0.21772997720153464</v>
      </c>
      <c r="J144" s="9"/>
      <c r="K144" s="7">
        <v>693.68</v>
      </c>
      <c r="L144" s="8">
        <f>IFERROR(K144/K444, "NA")</f>
        <v>1.055341533093221E-2</v>
      </c>
      <c r="M144" s="9"/>
      <c r="N144" s="10">
        <f t="shared" si="33"/>
        <v>-246.06000000000006</v>
      </c>
      <c r="O144" s="8">
        <f>IFERROR(N144/N444, "NA")</f>
        <v>-3.6286843917610612E-2</v>
      </c>
      <c r="P144" s="9"/>
      <c r="Q144" s="7">
        <v>939.74</v>
      </c>
      <c r="R144" s="8">
        <f>IFERROR(Q144/Q444, "NA")</f>
        <v>1.2959902139458166E-2</v>
      </c>
      <c r="S144" s="9"/>
      <c r="T144" s="7">
        <v>0</v>
      </c>
      <c r="U144" s="8">
        <f>IFERROR(T144/T444, "NA")</f>
        <v>0</v>
      </c>
      <c r="V144" s="9"/>
      <c r="W144" s="10">
        <f t="shared" si="34"/>
        <v>-939.74</v>
      </c>
      <c r="X144" s="8">
        <f>IFERROR(W144/W444, "NA")</f>
        <v>-0.21772997720153464</v>
      </c>
      <c r="Y144" s="9"/>
      <c r="Z144" s="7">
        <v>693.68</v>
      </c>
      <c r="AA144" s="8">
        <f>IFERROR(Z144/Z444, "NA")</f>
        <v>1.055341533093221E-2</v>
      </c>
      <c r="AB144" s="9"/>
      <c r="AC144" s="10">
        <f t="shared" si="35"/>
        <v>-246.06000000000006</v>
      </c>
      <c r="AD144" s="8">
        <f>IFERROR(AC144/AC444, "NA")</f>
        <v>-3.6286843917610612E-2</v>
      </c>
    </row>
    <row r="145" spans="1:30" ht="16.5" customHeight="1" x14ac:dyDescent="0.45">
      <c r="A145" s="12" t="s">
        <v>136</v>
      </c>
      <c r="B145" s="7">
        <v>19.41</v>
      </c>
      <c r="C145" s="8">
        <f>IFERROR(B145/B444, "NA")</f>
        <v>2.6768223181612255E-4</v>
      </c>
      <c r="D145" s="9"/>
      <c r="E145" s="7">
        <v>0</v>
      </c>
      <c r="F145" s="8">
        <f>IFERROR(E145/E444, "NA")</f>
        <v>0</v>
      </c>
      <c r="G145" s="9"/>
      <c r="H145" s="10">
        <f t="shared" si="32"/>
        <v>-19.41</v>
      </c>
      <c r="I145" s="8">
        <f>IFERROR(H145/H444, "NA")</f>
        <v>-4.4971362903375271E-3</v>
      </c>
      <c r="J145" s="9"/>
      <c r="K145" s="7">
        <v>7.99</v>
      </c>
      <c r="L145" s="8">
        <f>IFERROR(K145/K444, "NA")</f>
        <v>1.2155718558146171E-4</v>
      </c>
      <c r="M145" s="9"/>
      <c r="N145" s="10">
        <f t="shared" si="33"/>
        <v>-11.42</v>
      </c>
      <c r="O145" s="8">
        <f>IFERROR(N145/N444, "NA")</f>
        <v>-1.6841248375969807E-3</v>
      </c>
      <c r="P145" s="9"/>
      <c r="Q145" s="7">
        <v>19.41</v>
      </c>
      <c r="R145" s="8">
        <f>IFERROR(Q145/Q444, "NA")</f>
        <v>2.6768223181612255E-4</v>
      </c>
      <c r="S145" s="9"/>
      <c r="T145" s="7">
        <v>0</v>
      </c>
      <c r="U145" s="8">
        <f>IFERROR(T145/T444, "NA")</f>
        <v>0</v>
      </c>
      <c r="V145" s="9"/>
      <c r="W145" s="10">
        <f t="shared" si="34"/>
        <v>-19.41</v>
      </c>
      <c r="X145" s="8">
        <f>IFERROR(W145/W444, "NA")</f>
        <v>-4.4971362903375271E-3</v>
      </c>
      <c r="Y145" s="9"/>
      <c r="Z145" s="7">
        <v>7.99</v>
      </c>
      <c r="AA145" s="8">
        <f>IFERROR(Z145/Z444, "NA")</f>
        <v>1.2155718558146171E-4</v>
      </c>
      <c r="AB145" s="9"/>
      <c r="AC145" s="10">
        <f t="shared" si="35"/>
        <v>-11.42</v>
      </c>
      <c r="AD145" s="8">
        <f>IFERROR(AC145/AC444, "NA")</f>
        <v>-1.6841248375969807E-3</v>
      </c>
    </row>
    <row r="146" spans="1:30" ht="16.5" customHeight="1" x14ac:dyDescent="0.45">
      <c r="A146" s="12" t="s">
        <v>137</v>
      </c>
      <c r="B146" s="7">
        <v>65.38</v>
      </c>
      <c r="C146" s="8">
        <f>IFERROR(B146/B444, "NA")</f>
        <v>9.0165194828119993E-4</v>
      </c>
      <c r="D146" s="9"/>
      <c r="E146" s="7">
        <v>0</v>
      </c>
      <c r="F146" s="8">
        <f>IFERROR(E146/E444, "NA")</f>
        <v>0</v>
      </c>
      <c r="G146" s="9"/>
      <c r="H146" s="10">
        <f t="shared" si="32"/>
        <v>-65.38</v>
      </c>
      <c r="I146" s="8">
        <f>IFERROR(H146/H444, "NA")</f>
        <v>-1.5148004670905074E-2</v>
      </c>
      <c r="J146" s="9"/>
      <c r="K146" s="7">
        <v>69.25</v>
      </c>
      <c r="L146" s="8">
        <f>IFERROR(K146/K444, "NA")</f>
        <v>1.0535463205902657E-3</v>
      </c>
      <c r="M146" s="9"/>
      <c r="N146" s="10">
        <f t="shared" si="33"/>
        <v>3.8700000000000045</v>
      </c>
      <c r="O146" s="8">
        <f>IFERROR(N146/N444, "NA")</f>
        <v>5.7071480923820688E-4</v>
      </c>
      <c r="P146" s="9"/>
      <c r="Q146" s="7">
        <v>65.38</v>
      </c>
      <c r="R146" s="8">
        <f>IFERROR(Q146/Q444, "NA")</f>
        <v>9.0165194828119993E-4</v>
      </c>
      <c r="S146" s="9"/>
      <c r="T146" s="7">
        <v>0</v>
      </c>
      <c r="U146" s="8">
        <f>IFERROR(T146/T444, "NA")</f>
        <v>0</v>
      </c>
      <c r="V146" s="9"/>
      <c r="W146" s="10">
        <f t="shared" si="34"/>
        <v>-65.38</v>
      </c>
      <c r="X146" s="8">
        <f>IFERROR(W146/W444, "NA")</f>
        <v>-1.5148004670905074E-2</v>
      </c>
      <c r="Y146" s="9"/>
      <c r="Z146" s="7">
        <v>69.25</v>
      </c>
      <c r="AA146" s="8">
        <f>IFERROR(Z146/Z444, "NA")</f>
        <v>1.0535463205902657E-3</v>
      </c>
      <c r="AB146" s="9"/>
      <c r="AC146" s="10">
        <f t="shared" si="35"/>
        <v>3.8700000000000045</v>
      </c>
      <c r="AD146" s="8">
        <f>IFERROR(AC146/AC444, "NA")</f>
        <v>5.7071480923820688E-4</v>
      </c>
    </row>
    <row r="147" spans="1:30" ht="16.5" customHeight="1" x14ac:dyDescent="0.45">
      <c r="A147" s="12" t="s">
        <v>138</v>
      </c>
      <c r="B147" s="7">
        <v>13.96</v>
      </c>
      <c r="C147" s="8">
        <f>IFERROR(B147/B444, "NA")</f>
        <v>1.9252158455193566E-4</v>
      </c>
      <c r="D147" s="9"/>
      <c r="E147" s="7">
        <v>0</v>
      </c>
      <c r="F147" s="8">
        <f>IFERROR(E147/E444, "NA")</f>
        <v>0</v>
      </c>
      <c r="G147" s="9"/>
      <c r="H147" s="10">
        <f t="shared" si="32"/>
        <v>-13.96</v>
      </c>
      <c r="I147" s="8">
        <f>IFERROR(H147/H444, "NA")</f>
        <v>-3.2344164148949963E-3</v>
      </c>
      <c r="J147" s="9"/>
      <c r="K147" s="7">
        <v>4.7699999999999996</v>
      </c>
      <c r="L147" s="8">
        <f>IFERROR(K147/K444, "NA")</f>
        <v>7.2569183382174262E-5</v>
      </c>
      <c r="M147" s="9"/>
      <c r="N147" s="10">
        <f t="shared" si="33"/>
        <v>-9.1900000000000013</v>
      </c>
      <c r="O147" s="8">
        <f>IFERROR(N147/N444, "NA")</f>
        <v>-1.3552633325320713E-3</v>
      </c>
      <c r="P147" s="9"/>
      <c r="Q147" s="7">
        <v>13.96</v>
      </c>
      <c r="R147" s="8">
        <f>IFERROR(Q147/Q444, "NA")</f>
        <v>1.9252158455193566E-4</v>
      </c>
      <c r="S147" s="9"/>
      <c r="T147" s="7">
        <v>0</v>
      </c>
      <c r="U147" s="8">
        <f>IFERROR(T147/T444, "NA")</f>
        <v>0</v>
      </c>
      <c r="V147" s="9"/>
      <c r="W147" s="10">
        <f t="shared" si="34"/>
        <v>-13.96</v>
      </c>
      <c r="X147" s="8">
        <f>IFERROR(W147/W444, "NA")</f>
        <v>-3.2344164148949963E-3</v>
      </c>
      <c r="Y147" s="9"/>
      <c r="Z147" s="7">
        <v>4.7699999999999996</v>
      </c>
      <c r="AA147" s="8">
        <f>IFERROR(Z147/Z444, "NA")</f>
        <v>7.2569183382174262E-5</v>
      </c>
      <c r="AB147" s="9"/>
      <c r="AC147" s="10">
        <f t="shared" si="35"/>
        <v>-9.1900000000000013</v>
      </c>
      <c r="AD147" s="8">
        <f>IFERROR(AC147/AC444, "NA")</f>
        <v>-1.3552633325320713E-3</v>
      </c>
    </row>
    <row r="148" spans="1:30" ht="16.5" customHeight="1" x14ac:dyDescent="0.45">
      <c r="A148" s="13" t="s">
        <v>139</v>
      </c>
      <c r="B148" s="14">
        <f>IFERROR(B143+B144+B145+B146+B147, "NA")</f>
        <v>1038.49</v>
      </c>
      <c r="C148" s="15">
        <f>IFERROR(B148/B444, "NA")</f>
        <v>1.4321757904107425E-2</v>
      </c>
      <c r="D148" s="2"/>
      <c r="E148" s="14">
        <f>IFERROR(E143+E144+E145+E146+E147, "NA")</f>
        <v>818.34</v>
      </c>
      <c r="F148" s="15">
        <f>IFERROR(E148/E444, "NA")</f>
        <v>1.1999952489373529E-2</v>
      </c>
      <c r="G148" s="2"/>
      <c r="H148" s="14">
        <f t="shared" si="32"/>
        <v>-220.14999999999998</v>
      </c>
      <c r="I148" s="15">
        <f>IFERROR(H148/H444, "NA")</f>
        <v>-5.1006932216270291E-2</v>
      </c>
      <c r="J148" s="2"/>
      <c r="K148" s="14">
        <f>IFERROR(K143+K144+K145+K146+K147, "NA")</f>
        <v>775.68999999999994</v>
      </c>
      <c r="L148" s="15">
        <f>IFERROR(K148/K444, "NA")</f>
        <v>1.1801088020486111E-2</v>
      </c>
      <c r="M148" s="2"/>
      <c r="N148" s="14">
        <f t="shared" si="33"/>
        <v>-262.80000000000007</v>
      </c>
      <c r="O148" s="15">
        <f>IFERROR(N148/N444, "NA")</f>
        <v>-3.8755517278501454E-2</v>
      </c>
      <c r="P148" s="2"/>
      <c r="Q148" s="14">
        <f>IFERROR(Q143+Q144+Q145+Q146+Q147, "NA")</f>
        <v>1038.49</v>
      </c>
      <c r="R148" s="15">
        <f>IFERROR(Q148/Q444, "NA")</f>
        <v>1.4321757904107425E-2</v>
      </c>
      <c r="S148" s="2"/>
      <c r="T148" s="14">
        <f>IFERROR(T143+T144+T145+T146+T147, "NA")</f>
        <v>818.34</v>
      </c>
      <c r="U148" s="15">
        <f>IFERROR(T148/T444, "NA")</f>
        <v>1.1999952489373529E-2</v>
      </c>
      <c r="V148" s="2"/>
      <c r="W148" s="14">
        <f t="shared" si="34"/>
        <v>-220.14999999999998</v>
      </c>
      <c r="X148" s="15">
        <f>IFERROR(W148/W444, "NA")</f>
        <v>-5.1006932216270291E-2</v>
      </c>
      <c r="Y148" s="2"/>
      <c r="Z148" s="14">
        <f>IFERROR(Z143+Z144+Z145+Z146+Z147, "NA")</f>
        <v>775.68999999999994</v>
      </c>
      <c r="AA148" s="15">
        <f>IFERROR(Z148/Z444, "NA")</f>
        <v>1.1801088020486111E-2</v>
      </c>
      <c r="AB148" s="2"/>
      <c r="AC148" s="14">
        <f t="shared" si="35"/>
        <v>-262.80000000000007</v>
      </c>
      <c r="AD148" s="15">
        <f>IFERROR(AC148/AC444, "NA")</f>
        <v>-3.8755517278501454E-2</v>
      </c>
    </row>
    <row r="149" spans="1:30" ht="16.5" customHeight="1" x14ac:dyDescent="0.45">
      <c r="A149" s="19" t="s">
        <v>140</v>
      </c>
      <c r="B149" s="14">
        <f>IFERROR(B127+B129+B130+B131+B132+B133+B134+B135+B136+B137+B138+B139+B140+B143+B144+B145+B146+B147, "NA")</f>
        <v>16780.809999999998</v>
      </c>
      <c r="C149" s="15">
        <f>IFERROR(B149/B444, "NA")</f>
        <v>0.23142321857198903</v>
      </c>
      <c r="D149" s="2"/>
      <c r="E149" s="14">
        <f>IFERROR(E127+E129+E130+E131+E132+E133+E134+E135+E136+E137+E138+E139+E140+E143+E144+E145+E146+E147, "NA")</f>
        <v>15616.710000000001</v>
      </c>
      <c r="F149" s="15">
        <f>IFERROR(E149/E444, "NA")</f>
        <v>0.2289998998464263</v>
      </c>
      <c r="G149" s="2"/>
      <c r="H149" s="14">
        <f t="shared" si="32"/>
        <v>-1164.0999999999967</v>
      </c>
      <c r="I149" s="15">
        <f>IFERROR(H149/H444, "NA")</f>
        <v>-0.26971233156011848</v>
      </c>
      <c r="J149" s="2"/>
      <c r="K149" s="14">
        <f>IFERROR(K127+K129+K130+K131+K132+K133+K134+K135+K136+K137+K138+K139+K140+K143+K144+K145+K146+K147, "NA")</f>
        <v>16357.84</v>
      </c>
      <c r="L149" s="15">
        <f>IFERROR(K149/K444, "NA")</f>
        <v>0.24886270245204728</v>
      </c>
      <c r="M149" s="2"/>
      <c r="N149" s="14">
        <f t="shared" si="33"/>
        <v>-422.96999999999753</v>
      </c>
      <c r="O149" s="15">
        <f>IFERROR(N149/N444, "NA")</f>
        <v>-6.2376031747669945E-2</v>
      </c>
      <c r="P149" s="2"/>
      <c r="Q149" s="14">
        <f>IFERROR(Q127+Q129+Q130+Q131+Q132+Q133+Q134+Q135+Q136+Q137+Q138+Q139+Q140+Q143+Q144+Q145+Q146+Q147, "NA")</f>
        <v>16780.809999999998</v>
      </c>
      <c r="R149" s="15">
        <f>IFERROR(Q149/Q444, "NA")</f>
        <v>0.23142321857198903</v>
      </c>
      <c r="S149" s="2"/>
      <c r="T149" s="14">
        <f>IFERROR(T127+T129+T130+T131+T132+T133+T134+T135+T136+T137+T138+T139+T140+T143+T144+T145+T146+T147, "NA")</f>
        <v>15616.710000000001</v>
      </c>
      <c r="U149" s="15">
        <f>IFERROR(T149/T444, "NA")</f>
        <v>0.2289998998464263</v>
      </c>
      <c r="V149" s="2"/>
      <c r="W149" s="14">
        <f t="shared" si="34"/>
        <v>-1164.0999999999967</v>
      </c>
      <c r="X149" s="15">
        <f>IFERROR(W149/W444, "NA")</f>
        <v>-0.26971233156011848</v>
      </c>
      <c r="Y149" s="2"/>
      <c r="Z149" s="14">
        <f>IFERROR(Z127+Z129+Z130+Z131+Z132+Z133+Z134+Z135+Z136+Z137+Z138+Z139+Z140+Z143+Z144+Z145+Z146+Z147, "NA")</f>
        <v>16357.84</v>
      </c>
      <c r="AA149" s="15">
        <f>IFERROR(Z149/Z444, "NA")</f>
        <v>0.24886270245204728</v>
      </c>
      <c r="AB149" s="2"/>
      <c r="AC149" s="14">
        <f t="shared" si="35"/>
        <v>-422.96999999999753</v>
      </c>
      <c r="AD149" s="15">
        <f>IFERROR(AC149/AC444, "NA")</f>
        <v>-6.2376031747669945E-2</v>
      </c>
    </row>
    <row r="150" spans="1:30" ht="16.5" customHeight="1" x14ac:dyDescent="0.45">
      <c r="A150" s="5" t="s">
        <v>141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45">
      <c r="A151" s="6" t="s">
        <v>141</v>
      </c>
      <c r="B151" s="7">
        <v>0</v>
      </c>
      <c r="C151" s="8">
        <f>IFERROR(B151/B444, "NA")</f>
        <v>0</v>
      </c>
      <c r="D151" s="9"/>
      <c r="E151" s="7">
        <v>0</v>
      </c>
      <c r="F151" s="8">
        <f>IFERROR(E151/E444, "NA")</f>
        <v>0</v>
      </c>
      <c r="G151" s="9"/>
      <c r="H151" s="10">
        <f>IFERROR(-(B151-E151), "NA")</f>
        <v>0</v>
      </c>
      <c r="I151" s="8">
        <f>IFERROR(H151/H444, "NA")</f>
        <v>0</v>
      </c>
      <c r="J151" s="9"/>
      <c r="K151" s="7">
        <v>0</v>
      </c>
      <c r="L151" s="8">
        <f>IFERROR(K151/K444, "NA")</f>
        <v>0</v>
      </c>
      <c r="M151" s="9"/>
      <c r="N151" s="10">
        <f>IFERROR(-(B151-K151), "NA")</f>
        <v>0</v>
      </c>
      <c r="O151" s="8">
        <f>IFERROR(N151/N444, "NA")</f>
        <v>0</v>
      </c>
      <c r="P151" s="9"/>
      <c r="Q151" s="7">
        <v>0</v>
      </c>
      <c r="R151" s="8">
        <f>IFERROR(Q151/Q444, "NA")</f>
        <v>0</v>
      </c>
      <c r="S151" s="9"/>
      <c r="T151" s="7">
        <v>0</v>
      </c>
      <c r="U151" s="8">
        <f>IFERROR(T151/T444, "NA")</f>
        <v>0</v>
      </c>
      <c r="V151" s="9"/>
      <c r="W151" s="10">
        <f>IFERROR(-(Q151-T151), "NA")</f>
        <v>0</v>
      </c>
      <c r="X151" s="8">
        <f>IFERROR(W151/W444, "NA")</f>
        <v>0</v>
      </c>
      <c r="Y151" s="9"/>
      <c r="Z151" s="7">
        <v>0</v>
      </c>
      <c r="AA151" s="8">
        <f>IFERROR(Z151/Z444, "NA")</f>
        <v>0</v>
      </c>
      <c r="AB151" s="9"/>
      <c r="AC151" s="10">
        <f>IFERROR(-(Q151-Z151), "NA")</f>
        <v>0</v>
      </c>
      <c r="AD151" s="8">
        <f>IFERROR(AC151/AC444, "NA")</f>
        <v>0</v>
      </c>
    </row>
    <row r="152" spans="1:30" ht="16.5" customHeight="1" x14ac:dyDescent="0.45">
      <c r="A152" s="11" t="s">
        <v>142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45">
      <c r="A153" s="12" t="s">
        <v>142</v>
      </c>
      <c r="B153" s="7">
        <v>0</v>
      </c>
      <c r="C153" s="8">
        <f>IFERROR(B153/B444, "NA")</f>
        <v>0</v>
      </c>
      <c r="D153" s="9"/>
      <c r="E153" s="7">
        <v>2796.01</v>
      </c>
      <c r="F153" s="8">
        <f>IFERROR(E153/E444, "NA")</f>
        <v>4.1000057628630258E-2</v>
      </c>
      <c r="G153" s="9"/>
      <c r="H153" s="10">
        <f t="shared" ref="H153:H158" si="36">IFERROR(-(B153-E153), "NA")</f>
        <v>2796.01</v>
      </c>
      <c r="I153" s="8">
        <f>IFERROR(H153/H444, "NA")</f>
        <v>0.64781236677726062</v>
      </c>
      <c r="J153" s="9"/>
      <c r="K153" s="7">
        <v>0</v>
      </c>
      <c r="L153" s="8">
        <f>IFERROR(K153/K444, "NA")</f>
        <v>0</v>
      </c>
      <c r="M153" s="9"/>
      <c r="N153" s="10">
        <f t="shared" ref="N153:N158" si="37">IFERROR(-(B153-K153), "NA")</f>
        <v>0</v>
      </c>
      <c r="O153" s="8">
        <f>IFERROR(N153/N444, "NA")</f>
        <v>0</v>
      </c>
      <c r="P153" s="9"/>
      <c r="Q153" s="7">
        <v>0</v>
      </c>
      <c r="R153" s="8">
        <f>IFERROR(Q153/Q444, "NA")</f>
        <v>0</v>
      </c>
      <c r="S153" s="9"/>
      <c r="T153" s="7">
        <v>2796.01</v>
      </c>
      <c r="U153" s="8">
        <f>IFERROR(T153/T444, "NA")</f>
        <v>4.1000057628630258E-2</v>
      </c>
      <c r="V153" s="9"/>
      <c r="W153" s="10">
        <f t="shared" ref="W153:W158" si="38">IFERROR(-(Q153-T153), "NA")</f>
        <v>2796.01</v>
      </c>
      <c r="X153" s="8">
        <f>IFERROR(W153/W444, "NA")</f>
        <v>0.64781236677726062</v>
      </c>
      <c r="Y153" s="9"/>
      <c r="Z153" s="7">
        <v>0</v>
      </c>
      <c r="AA153" s="8">
        <f>IFERROR(Z153/Z444, "NA")</f>
        <v>0</v>
      </c>
      <c r="AB153" s="9"/>
      <c r="AC153" s="10">
        <f t="shared" ref="AC153:AC158" si="39">IFERROR(-(Q153-Z153), "NA")</f>
        <v>0</v>
      </c>
      <c r="AD153" s="8">
        <f>IFERROR(AC153/AC444, "NA")</f>
        <v>0</v>
      </c>
    </row>
    <row r="154" spans="1:30" ht="16.5" customHeight="1" x14ac:dyDescent="0.45">
      <c r="A154" s="12" t="s">
        <v>143</v>
      </c>
      <c r="B154" s="7">
        <v>2265.41</v>
      </c>
      <c r="C154" s="8">
        <f>IFERROR(B154/B444, "NA")</f>
        <v>3.1242143471332414E-2</v>
      </c>
      <c r="D154" s="9"/>
      <c r="E154" s="7">
        <v>0</v>
      </c>
      <c r="F154" s="8">
        <f>IFERROR(E154/E444, "NA")</f>
        <v>0</v>
      </c>
      <c r="G154" s="9"/>
      <c r="H154" s="10">
        <f t="shared" si="36"/>
        <v>-2265.41</v>
      </c>
      <c r="I154" s="8">
        <f>IFERROR(H154/H444, "NA")</f>
        <v>-0.52487674000481899</v>
      </c>
      <c r="J154" s="9"/>
      <c r="K154" s="7">
        <v>2259.9699999999998</v>
      </c>
      <c r="L154" s="8">
        <f>IFERROR(K154/K444, "NA")</f>
        <v>3.4382427121218521E-2</v>
      </c>
      <c r="M154" s="9"/>
      <c r="N154" s="10">
        <f t="shared" si="37"/>
        <v>-5.4400000000000546</v>
      </c>
      <c r="O154" s="8">
        <f>IFERROR(N154/N444, "NA")</f>
        <v>-8.0224510652606535E-4</v>
      </c>
      <c r="P154" s="9"/>
      <c r="Q154" s="7">
        <v>2265.41</v>
      </c>
      <c r="R154" s="8">
        <f>IFERROR(Q154/Q444, "NA")</f>
        <v>3.1242143471332414E-2</v>
      </c>
      <c r="S154" s="9"/>
      <c r="T154" s="7">
        <v>0</v>
      </c>
      <c r="U154" s="8">
        <f>IFERROR(T154/T444, "NA")</f>
        <v>0</v>
      </c>
      <c r="V154" s="9"/>
      <c r="W154" s="10">
        <f t="shared" si="38"/>
        <v>-2265.41</v>
      </c>
      <c r="X154" s="8">
        <f>IFERROR(W154/W444, "NA")</f>
        <v>-0.52487674000481899</v>
      </c>
      <c r="Y154" s="9"/>
      <c r="Z154" s="7">
        <v>2259.9699999999998</v>
      </c>
      <c r="AA154" s="8">
        <f>IFERROR(Z154/Z444, "NA")</f>
        <v>3.4382427121218521E-2</v>
      </c>
      <c r="AB154" s="9"/>
      <c r="AC154" s="10">
        <f t="shared" si="39"/>
        <v>-5.4400000000000546</v>
      </c>
      <c r="AD154" s="8">
        <f>IFERROR(AC154/AC444, "NA")</f>
        <v>-8.0224510652606535E-4</v>
      </c>
    </row>
    <row r="155" spans="1:30" ht="16.5" customHeight="1" x14ac:dyDescent="0.45">
      <c r="A155" s="12" t="s">
        <v>144</v>
      </c>
      <c r="B155" s="7">
        <v>643.59</v>
      </c>
      <c r="C155" s="8">
        <f>IFERROR(B155/B444, "NA")</f>
        <v>8.8757139399556068E-3</v>
      </c>
      <c r="D155" s="9"/>
      <c r="E155" s="7">
        <v>0</v>
      </c>
      <c r="F155" s="8">
        <f>IFERROR(E155/E444, "NA")</f>
        <v>0</v>
      </c>
      <c r="G155" s="9"/>
      <c r="H155" s="10">
        <f t="shared" si="36"/>
        <v>-643.59</v>
      </c>
      <c r="I155" s="8">
        <f>IFERROR(H155/H444, "NA")</f>
        <v>-0.14911447424514832</v>
      </c>
      <c r="J155" s="9"/>
      <c r="K155" s="7">
        <v>473.21</v>
      </c>
      <c r="L155" s="8">
        <f>IFERROR(K155/K444, "NA")</f>
        <v>7.199258546808948E-3</v>
      </c>
      <c r="M155" s="9"/>
      <c r="N155" s="10">
        <f t="shared" si="37"/>
        <v>-170.38000000000005</v>
      </c>
      <c r="O155" s="8">
        <f>IFERROR(N155/N444, "NA")</f>
        <v>-2.5126198759174576E-2</v>
      </c>
      <c r="P155" s="9"/>
      <c r="Q155" s="7">
        <v>643.59</v>
      </c>
      <c r="R155" s="8">
        <f>IFERROR(Q155/Q444, "NA")</f>
        <v>8.8757139399556068E-3</v>
      </c>
      <c r="S155" s="9"/>
      <c r="T155" s="7">
        <v>0</v>
      </c>
      <c r="U155" s="8">
        <f>IFERROR(T155/T444, "NA")</f>
        <v>0</v>
      </c>
      <c r="V155" s="9"/>
      <c r="W155" s="10">
        <f t="shared" si="38"/>
        <v>-643.59</v>
      </c>
      <c r="X155" s="8">
        <f>IFERROR(W155/W444, "NA")</f>
        <v>-0.14911447424514832</v>
      </c>
      <c r="Y155" s="9"/>
      <c r="Z155" s="7">
        <v>473.21</v>
      </c>
      <c r="AA155" s="8">
        <f>IFERROR(Z155/Z444, "NA")</f>
        <v>7.199258546808948E-3</v>
      </c>
      <c r="AB155" s="9"/>
      <c r="AC155" s="10">
        <f t="shared" si="39"/>
        <v>-170.38000000000005</v>
      </c>
      <c r="AD155" s="8">
        <f>IFERROR(AC155/AC444, "NA")</f>
        <v>-2.5126198759174576E-2</v>
      </c>
    </row>
    <row r="156" spans="1:30" ht="16.5" hidden="1" customHeight="1" x14ac:dyDescent="0.45">
      <c r="A156" s="12" t="s">
        <v>145</v>
      </c>
      <c r="B156" s="7">
        <v>0</v>
      </c>
      <c r="C156" s="8">
        <f>IFERROR(B156/B444, "NA")</f>
        <v>0</v>
      </c>
      <c r="D156" s="9"/>
      <c r="E156" s="7">
        <v>0</v>
      </c>
      <c r="F156" s="8">
        <f>IFERROR(E156/E444, "NA")</f>
        <v>0</v>
      </c>
      <c r="G156" s="9"/>
      <c r="H156" s="10">
        <f t="shared" si="36"/>
        <v>0</v>
      </c>
      <c r="I156" s="8">
        <f>IFERROR(H156/H444, "NA")</f>
        <v>0</v>
      </c>
      <c r="J156" s="9"/>
      <c r="K156" s="7">
        <v>0</v>
      </c>
      <c r="L156" s="8">
        <f>IFERROR(K156/K444, "NA")</f>
        <v>0</v>
      </c>
      <c r="M156" s="9"/>
      <c r="N156" s="10">
        <f t="shared" si="37"/>
        <v>0</v>
      </c>
      <c r="O156" s="8">
        <f>IFERROR(N156/N444, "NA")</f>
        <v>0</v>
      </c>
      <c r="P156" s="9"/>
      <c r="Q156" s="7">
        <v>0</v>
      </c>
      <c r="R156" s="8">
        <f>IFERROR(Q156/Q444, "NA")</f>
        <v>0</v>
      </c>
      <c r="S156" s="9"/>
      <c r="T156" s="7">
        <v>0</v>
      </c>
      <c r="U156" s="8">
        <f>IFERROR(T156/T444, "NA")</f>
        <v>0</v>
      </c>
      <c r="V156" s="9"/>
      <c r="W156" s="10">
        <f t="shared" si="38"/>
        <v>0</v>
      </c>
      <c r="X156" s="8">
        <f>IFERROR(W156/W444, "NA")</f>
        <v>0</v>
      </c>
      <c r="Y156" s="9"/>
      <c r="Z156" s="7">
        <v>0</v>
      </c>
      <c r="AA156" s="8">
        <f>IFERROR(Z156/Z444, "NA")</f>
        <v>0</v>
      </c>
      <c r="AB156" s="9"/>
      <c r="AC156" s="10">
        <f t="shared" si="39"/>
        <v>0</v>
      </c>
      <c r="AD156" s="8">
        <f>IFERROR(AC156/AC444, "NA")</f>
        <v>0</v>
      </c>
    </row>
    <row r="157" spans="1:30" ht="16.5" hidden="1" customHeight="1" x14ac:dyDescent="0.45">
      <c r="A157" s="12" t="s">
        <v>146</v>
      </c>
      <c r="B157" s="7">
        <v>0</v>
      </c>
      <c r="C157" s="8">
        <f>IFERROR(B157/B444, "NA")</f>
        <v>0</v>
      </c>
      <c r="D157" s="9"/>
      <c r="E157" s="7">
        <v>0</v>
      </c>
      <c r="F157" s="8">
        <f>IFERROR(E157/E444, "NA")</f>
        <v>0</v>
      </c>
      <c r="G157" s="9"/>
      <c r="H157" s="10">
        <f t="shared" si="36"/>
        <v>0</v>
      </c>
      <c r="I157" s="8">
        <f>IFERROR(H157/H444, "NA")</f>
        <v>0</v>
      </c>
      <c r="J157" s="9"/>
      <c r="K157" s="7">
        <v>0</v>
      </c>
      <c r="L157" s="8">
        <f>IFERROR(K157/K444, "NA")</f>
        <v>0</v>
      </c>
      <c r="M157" s="9"/>
      <c r="N157" s="10">
        <f t="shared" si="37"/>
        <v>0</v>
      </c>
      <c r="O157" s="8">
        <f>IFERROR(N157/N444, "NA")</f>
        <v>0</v>
      </c>
      <c r="P157" s="9"/>
      <c r="Q157" s="7">
        <v>0</v>
      </c>
      <c r="R157" s="8">
        <f>IFERROR(Q157/Q444, "NA")</f>
        <v>0</v>
      </c>
      <c r="S157" s="9"/>
      <c r="T157" s="7">
        <v>0</v>
      </c>
      <c r="U157" s="8">
        <f>IFERROR(T157/T444, "NA")</f>
        <v>0</v>
      </c>
      <c r="V157" s="9"/>
      <c r="W157" s="10">
        <f t="shared" si="38"/>
        <v>0</v>
      </c>
      <c r="X157" s="8">
        <f>IFERROR(W157/W444, "NA")</f>
        <v>0</v>
      </c>
      <c r="Y157" s="9"/>
      <c r="Z157" s="7">
        <v>0</v>
      </c>
      <c r="AA157" s="8">
        <f>IFERROR(Z157/Z444, "NA")</f>
        <v>0</v>
      </c>
      <c r="AB157" s="9"/>
      <c r="AC157" s="10">
        <f t="shared" si="39"/>
        <v>0</v>
      </c>
      <c r="AD157" s="8">
        <f>IFERROR(AC157/AC444, "NA")</f>
        <v>0</v>
      </c>
    </row>
    <row r="158" spans="1:30" ht="16.5" customHeight="1" x14ac:dyDescent="0.45">
      <c r="A158" s="13" t="s">
        <v>147</v>
      </c>
      <c r="B158" s="14">
        <f>IFERROR(B153+B154+B155+B156+B157, "NA")</f>
        <v>2909</v>
      </c>
      <c r="C158" s="15">
        <f>IFERROR(B158/B444, "NA")</f>
        <v>4.0117857411288024E-2</v>
      </c>
      <c r="D158" s="2"/>
      <c r="E158" s="14">
        <f>IFERROR(E153+E154+E155+E156+E157, "NA")</f>
        <v>2796.01</v>
      </c>
      <c r="F158" s="15">
        <f>IFERROR(E158/E444, "NA")</f>
        <v>4.1000057628630258E-2</v>
      </c>
      <c r="G158" s="2"/>
      <c r="H158" s="14">
        <f t="shared" si="36"/>
        <v>-112.98999999999978</v>
      </c>
      <c r="I158" s="15">
        <f>IFERROR(H158/H444, "NA")</f>
        <v>-2.6178847472706653E-2</v>
      </c>
      <c r="J158" s="2"/>
      <c r="K158" s="14">
        <f>IFERROR(K153+K154+K155+K156+K157, "NA")</f>
        <v>2733.18</v>
      </c>
      <c r="L158" s="15">
        <f>IFERROR(K158/K444, "NA")</f>
        <v>4.1581685668027474E-2</v>
      </c>
      <c r="M158" s="2"/>
      <c r="N158" s="14">
        <f t="shared" si="37"/>
        <v>-175.82000000000016</v>
      </c>
      <c r="O158" s="15">
        <f>IFERROR(N158/N444, "NA")</f>
        <v>-2.5928443865700649E-2</v>
      </c>
      <c r="P158" s="2"/>
      <c r="Q158" s="14">
        <f>IFERROR(Q153+Q154+Q155+Q156+Q157, "NA")</f>
        <v>2909</v>
      </c>
      <c r="R158" s="15">
        <f>IFERROR(Q158/Q444, "NA")</f>
        <v>4.0117857411288024E-2</v>
      </c>
      <c r="S158" s="2"/>
      <c r="T158" s="14">
        <f>IFERROR(T153+T154+T155+T156+T157, "NA")</f>
        <v>2796.01</v>
      </c>
      <c r="U158" s="15">
        <f>IFERROR(T158/T444, "NA")</f>
        <v>4.1000057628630258E-2</v>
      </c>
      <c r="V158" s="2"/>
      <c r="W158" s="14">
        <f t="shared" si="38"/>
        <v>-112.98999999999978</v>
      </c>
      <c r="X158" s="15">
        <f>IFERROR(W158/W444, "NA")</f>
        <v>-2.6178847472706653E-2</v>
      </c>
      <c r="Y158" s="2"/>
      <c r="Z158" s="14">
        <f>IFERROR(Z153+Z154+Z155+Z156+Z157, "NA")</f>
        <v>2733.18</v>
      </c>
      <c r="AA158" s="15">
        <f>IFERROR(Z158/Z444, "NA")</f>
        <v>4.1581685668027474E-2</v>
      </c>
      <c r="AB158" s="2"/>
      <c r="AC158" s="14">
        <f t="shared" si="39"/>
        <v>-175.82000000000016</v>
      </c>
      <c r="AD158" s="15">
        <f>IFERROR(AC158/AC444, "NA")</f>
        <v>-2.5928443865700649E-2</v>
      </c>
    </row>
    <row r="159" spans="1:30" ht="16.5" customHeight="1" x14ac:dyDescent="0.45">
      <c r="A159" s="11" t="s">
        <v>148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45">
      <c r="A160" s="12" t="s">
        <v>148</v>
      </c>
      <c r="B160" s="7">
        <v>0</v>
      </c>
      <c r="C160" s="8">
        <f>IFERROR(B160/B444, "NA")</f>
        <v>0</v>
      </c>
      <c r="D160" s="9"/>
      <c r="E160" s="7">
        <v>0</v>
      </c>
      <c r="F160" s="8">
        <f>IFERROR(E160/E444, "NA")</f>
        <v>0</v>
      </c>
      <c r="G160" s="9"/>
      <c r="H160" s="10">
        <f t="shared" ref="H160:H171" si="40">IFERROR(-(B160-E160), "NA")</f>
        <v>0</v>
      </c>
      <c r="I160" s="8">
        <f>IFERROR(H160/H444, "NA")</f>
        <v>0</v>
      </c>
      <c r="J160" s="9"/>
      <c r="K160" s="7">
        <v>0</v>
      </c>
      <c r="L160" s="8">
        <f>IFERROR(K160/K444, "NA")</f>
        <v>0</v>
      </c>
      <c r="M160" s="9"/>
      <c r="N160" s="10">
        <f t="shared" ref="N160:N171" si="41">IFERROR(-(B160-K160), "NA")</f>
        <v>0</v>
      </c>
      <c r="O160" s="8">
        <f>IFERROR(N160/N444, "NA")</f>
        <v>0</v>
      </c>
      <c r="P160" s="9"/>
      <c r="Q160" s="7">
        <v>0</v>
      </c>
      <c r="R160" s="8">
        <f>IFERROR(Q160/Q444, "NA")</f>
        <v>0</v>
      </c>
      <c r="S160" s="9"/>
      <c r="T160" s="7">
        <v>0</v>
      </c>
      <c r="U160" s="8">
        <f>IFERROR(T160/T444, "NA")</f>
        <v>0</v>
      </c>
      <c r="V160" s="9"/>
      <c r="W160" s="10">
        <f t="shared" ref="W160:W171" si="42">IFERROR(-(Q160-T160), "NA")</f>
        <v>0</v>
      </c>
      <c r="X160" s="8">
        <f>IFERROR(W160/W444, "NA")</f>
        <v>0</v>
      </c>
      <c r="Y160" s="9"/>
      <c r="Z160" s="7">
        <v>0</v>
      </c>
      <c r="AA160" s="8">
        <f>IFERROR(Z160/Z444, "NA")</f>
        <v>0</v>
      </c>
      <c r="AB160" s="9"/>
      <c r="AC160" s="10">
        <f t="shared" ref="AC160:AC171" si="43">IFERROR(-(Q160-Z160), "NA")</f>
        <v>0</v>
      </c>
      <c r="AD160" s="8">
        <f>IFERROR(AC160/AC444, "NA")</f>
        <v>0</v>
      </c>
    </row>
    <row r="161" spans="1:30" ht="16.5" customHeight="1" x14ac:dyDescent="0.45">
      <c r="A161" s="12" t="s">
        <v>149</v>
      </c>
      <c r="B161" s="7">
        <v>194.91</v>
      </c>
      <c r="C161" s="8">
        <f>IFERROR(B161/B444, "NA")</f>
        <v>2.6879929831674625E-3</v>
      </c>
      <c r="D161" s="9"/>
      <c r="E161" s="7">
        <v>0</v>
      </c>
      <c r="F161" s="8">
        <f>IFERROR(E161/E444, "NA")</f>
        <v>0</v>
      </c>
      <c r="G161" s="9"/>
      <c r="H161" s="10">
        <f t="shared" si="40"/>
        <v>-194.91</v>
      </c>
      <c r="I161" s="8">
        <f>IFERROR(H161/H444, "NA")</f>
        <v>-4.5159033196789662E-2</v>
      </c>
      <c r="J161" s="9"/>
      <c r="K161" s="7">
        <v>260.7</v>
      </c>
      <c r="L161" s="8">
        <f>IFERROR(K161/K444, "NA")</f>
        <v>3.9662025383087694E-3</v>
      </c>
      <c r="M161" s="9"/>
      <c r="N161" s="10">
        <f t="shared" si="41"/>
        <v>65.789999999999992</v>
      </c>
      <c r="O161" s="8">
        <f>IFERROR(N161/N444, "NA")</f>
        <v>9.7021517570495056E-3</v>
      </c>
      <c r="P161" s="9"/>
      <c r="Q161" s="7">
        <v>194.91</v>
      </c>
      <c r="R161" s="8">
        <f>IFERROR(Q161/Q444, "NA")</f>
        <v>2.6879929831674625E-3</v>
      </c>
      <c r="S161" s="9"/>
      <c r="T161" s="7">
        <v>0</v>
      </c>
      <c r="U161" s="8">
        <f>IFERROR(T161/T444, "NA")</f>
        <v>0</v>
      </c>
      <c r="V161" s="9"/>
      <c r="W161" s="10">
        <f t="shared" si="42"/>
        <v>-194.91</v>
      </c>
      <c r="X161" s="8">
        <f>IFERROR(W161/W444, "NA")</f>
        <v>-4.5159033196789662E-2</v>
      </c>
      <c r="Y161" s="9"/>
      <c r="Z161" s="7">
        <v>260.7</v>
      </c>
      <c r="AA161" s="8">
        <f>IFERROR(Z161/Z444, "NA")</f>
        <v>3.9662025383087694E-3</v>
      </c>
      <c r="AB161" s="9"/>
      <c r="AC161" s="10">
        <f t="shared" si="43"/>
        <v>65.789999999999992</v>
      </c>
      <c r="AD161" s="8">
        <f>IFERROR(AC161/AC444, "NA")</f>
        <v>9.7021517570495056E-3</v>
      </c>
    </row>
    <row r="162" spans="1:30" ht="16.5" hidden="1" customHeight="1" x14ac:dyDescent="0.45">
      <c r="A162" s="12" t="s">
        <v>150</v>
      </c>
      <c r="B162" s="7">
        <v>0</v>
      </c>
      <c r="C162" s="8">
        <f>IFERROR(B162/B444, "NA")</f>
        <v>0</v>
      </c>
      <c r="D162" s="9"/>
      <c r="E162" s="7">
        <v>0</v>
      </c>
      <c r="F162" s="8">
        <f>IFERROR(E162/E444, "NA")</f>
        <v>0</v>
      </c>
      <c r="G162" s="9"/>
      <c r="H162" s="10">
        <f t="shared" si="40"/>
        <v>0</v>
      </c>
      <c r="I162" s="8">
        <f>IFERROR(H162/H444, "NA")</f>
        <v>0</v>
      </c>
      <c r="J162" s="9"/>
      <c r="K162" s="7">
        <v>0</v>
      </c>
      <c r="L162" s="8">
        <f>IFERROR(K162/K444, "NA")</f>
        <v>0</v>
      </c>
      <c r="M162" s="9"/>
      <c r="N162" s="10">
        <f t="shared" si="41"/>
        <v>0</v>
      </c>
      <c r="O162" s="8">
        <f>IFERROR(N162/N444, "NA")</f>
        <v>0</v>
      </c>
      <c r="P162" s="9"/>
      <c r="Q162" s="7">
        <v>0</v>
      </c>
      <c r="R162" s="8">
        <f>IFERROR(Q162/Q444, "NA")</f>
        <v>0</v>
      </c>
      <c r="S162" s="9"/>
      <c r="T162" s="7">
        <v>0</v>
      </c>
      <c r="U162" s="8">
        <f>IFERROR(T162/T444, "NA")</f>
        <v>0</v>
      </c>
      <c r="V162" s="9"/>
      <c r="W162" s="10">
        <f t="shared" si="42"/>
        <v>0</v>
      </c>
      <c r="X162" s="8">
        <f>IFERROR(W162/W444, "NA")</f>
        <v>0</v>
      </c>
      <c r="Y162" s="9"/>
      <c r="Z162" s="7">
        <v>0</v>
      </c>
      <c r="AA162" s="8">
        <f>IFERROR(Z162/Z444, "NA")</f>
        <v>0</v>
      </c>
      <c r="AB162" s="9"/>
      <c r="AC162" s="10">
        <f t="shared" si="43"/>
        <v>0</v>
      </c>
      <c r="AD162" s="8">
        <f>IFERROR(AC162/AC444, "NA")</f>
        <v>0</v>
      </c>
    </row>
    <row r="163" spans="1:30" ht="16.5" hidden="1" customHeight="1" x14ac:dyDescent="0.45">
      <c r="A163" s="12" t="s">
        <v>151</v>
      </c>
      <c r="B163" s="7">
        <v>0</v>
      </c>
      <c r="C163" s="8">
        <f>IFERROR(B163/B444, "NA")</f>
        <v>0</v>
      </c>
      <c r="D163" s="9"/>
      <c r="E163" s="7">
        <v>0</v>
      </c>
      <c r="F163" s="8">
        <f>IFERROR(E163/E444, "NA")</f>
        <v>0</v>
      </c>
      <c r="G163" s="9"/>
      <c r="H163" s="10">
        <f t="shared" si="40"/>
        <v>0</v>
      </c>
      <c r="I163" s="8">
        <f>IFERROR(H163/H444, "NA")</f>
        <v>0</v>
      </c>
      <c r="J163" s="9"/>
      <c r="K163" s="7">
        <v>0</v>
      </c>
      <c r="L163" s="8">
        <f>IFERROR(K163/K444, "NA")</f>
        <v>0</v>
      </c>
      <c r="M163" s="9"/>
      <c r="N163" s="10">
        <f t="shared" si="41"/>
        <v>0</v>
      </c>
      <c r="O163" s="8">
        <f>IFERROR(N163/N444, "NA")</f>
        <v>0</v>
      </c>
      <c r="P163" s="9"/>
      <c r="Q163" s="7">
        <v>0</v>
      </c>
      <c r="R163" s="8">
        <f>IFERROR(Q163/Q444, "NA")</f>
        <v>0</v>
      </c>
      <c r="S163" s="9"/>
      <c r="T163" s="7">
        <v>0</v>
      </c>
      <c r="U163" s="8">
        <f>IFERROR(T163/T444, "NA")</f>
        <v>0</v>
      </c>
      <c r="V163" s="9"/>
      <c r="W163" s="10">
        <f t="shared" si="42"/>
        <v>0</v>
      </c>
      <c r="X163" s="8">
        <f>IFERROR(W163/W444, "NA")</f>
        <v>0</v>
      </c>
      <c r="Y163" s="9"/>
      <c r="Z163" s="7">
        <v>0</v>
      </c>
      <c r="AA163" s="8">
        <f>IFERROR(Z163/Z444, "NA")</f>
        <v>0</v>
      </c>
      <c r="AB163" s="9"/>
      <c r="AC163" s="10">
        <f t="shared" si="43"/>
        <v>0</v>
      </c>
      <c r="AD163" s="8">
        <f>IFERROR(AC163/AC444, "NA")</f>
        <v>0</v>
      </c>
    </row>
    <row r="164" spans="1:30" ht="16.5" hidden="1" customHeight="1" x14ac:dyDescent="0.45">
      <c r="A164" s="12" t="s">
        <v>152</v>
      </c>
      <c r="B164" s="7">
        <v>0</v>
      </c>
      <c r="C164" s="8">
        <f>IFERROR(B164/B444, "NA")</f>
        <v>0</v>
      </c>
      <c r="D164" s="9"/>
      <c r="E164" s="7">
        <v>0</v>
      </c>
      <c r="F164" s="8">
        <f>IFERROR(E164/E444, "NA")</f>
        <v>0</v>
      </c>
      <c r="G164" s="9"/>
      <c r="H164" s="10">
        <f t="shared" si="40"/>
        <v>0</v>
      </c>
      <c r="I164" s="8">
        <f>IFERROR(H164/H444, "NA")</f>
        <v>0</v>
      </c>
      <c r="J164" s="9"/>
      <c r="K164" s="7">
        <v>0</v>
      </c>
      <c r="L164" s="8">
        <f>IFERROR(K164/K444, "NA")</f>
        <v>0</v>
      </c>
      <c r="M164" s="9"/>
      <c r="N164" s="10">
        <f t="shared" si="41"/>
        <v>0</v>
      </c>
      <c r="O164" s="8">
        <f>IFERROR(N164/N444, "NA")</f>
        <v>0</v>
      </c>
      <c r="P164" s="9"/>
      <c r="Q164" s="7">
        <v>0</v>
      </c>
      <c r="R164" s="8">
        <f>IFERROR(Q164/Q444, "NA")</f>
        <v>0</v>
      </c>
      <c r="S164" s="9"/>
      <c r="T164" s="7">
        <v>0</v>
      </c>
      <c r="U164" s="8">
        <f>IFERROR(T164/T444, "NA")</f>
        <v>0</v>
      </c>
      <c r="V164" s="9"/>
      <c r="W164" s="10">
        <f t="shared" si="42"/>
        <v>0</v>
      </c>
      <c r="X164" s="8">
        <f>IFERROR(W164/W444, "NA")</f>
        <v>0</v>
      </c>
      <c r="Y164" s="9"/>
      <c r="Z164" s="7">
        <v>0</v>
      </c>
      <c r="AA164" s="8">
        <f>IFERROR(Z164/Z444, "NA")</f>
        <v>0</v>
      </c>
      <c r="AB164" s="9"/>
      <c r="AC164" s="10">
        <f t="shared" si="43"/>
        <v>0</v>
      </c>
      <c r="AD164" s="8">
        <f>IFERROR(AC164/AC444, "NA")</f>
        <v>0</v>
      </c>
    </row>
    <row r="165" spans="1:30" ht="16.5" hidden="1" customHeight="1" x14ac:dyDescent="0.45">
      <c r="A165" s="12" t="s">
        <v>153</v>
      </c>
      <c r="B165" s="7">
        <v>0</v>
      </c>
      <c r="C165" s="8">
        <f>IFERROR(B165/B444, "NA")</f>
        <v>0</v>
      </c>
      <c r="D165" s="9"/>
      <c r="E165" s="7">
        <v>0</v>
      </c>
      <c r="F165" s="8">
        <f>IFERROR(E165/E444, "NA")</f>
        <v>0</v>
      </c>
      <c r="G165" s="9"/>
      <c r="H165" s="10">
        <f t="shared" si="40"/>
        <v>0</v>
      </c>
      <c r="I165" s="8">
        <f>IFERROR(H165/H444, "NA")</f>
        <v>0</v>
      </c>
      <c r="J165" s="9"/>
      <c r="K165" s="7">
        <v>0</v>
      </c>
      <c r="L165" s="8">
        <f>IFERROR(K165/K444, "NA")</f>
        <v>0</v>
      </c>
      <c r="M165" s="9"/>
      <c r="N165" s="10">
        <f t="shared" si="41"/>
        <v>0</v>
      </c>
      <c r="O165" s="8">
        <f>IFERROR(N165/N444, "NA")</f>
        <v>0</v>
      </c>
      <c r="P165" s="9"/>
      <c r="Q165" s="7">
        <v>0</v>
      </c>
      <c r="R165" s="8">
        <f>IFERROR(Q165/Q444, "NA")</f>
        <v>0</v>
      </c>
      <c r="S165" s="9"/>
      <c r="T165" s="7">
        <v>0</v>
      </c>
      <c r="U165" s="8">
        <f>IFERROR(T165/T444, "NA")</f>
        <v>0</v>
      </c>
      <c r="V165" s="9"/>
      <c r="W165" s="10">
        <f t="shared" si="42"/>
        <v>0</v>
      </c>
      <c r="X165" s="8">
        <f>IFERROR(W165/W444, "NA")</f>
        <v>0</v>
      </c>
      <c r="Y165" s="9"/>
      <c r="Z165" s="7">
        <v>0</v>
      </c>
      <c r="AA165" s="8">
        <f>IFERROR(Z165/Z444, "NA")</f>
        <v>0</v>
      </c>
      <c r="AB165" s="9"/>
      <c r="AC165" s="10">
        <f t="shared" si="43"/>
        <v>0</v>
      </c>
      <c r="AD165" s="8">
        <f>IFERROR(AC165/AC444, "NA")</f>
        <v>0</v>
      </c>
    </row>
    <row r="166" spans="1:30" ht="16.5" customHeight="1" x14ac:dyDescent="0.45">
      <c r="A166" s="13" t="s">
        <v>154</v>
      </c>
      <c r="B166" s="14">
        <f>IFERROR(B160+B161+B162+B163+B164+B165, "NA")</f>
        <v>194.91</v>
      </c>
      <c r="C166" s="15">
        <f>IFERROR(B166/B444, "NA")</f>
        <v>2.6879929831674625E-3</v>
      </c>
      <c r="D166" s="2"/>
      <c r="E166" s="14">
        <f>IFERROR(E160+E161+E162+E163+E164+E165, "NA")</f>
        <v>0</v>
      </c>
      <c r="F166" s="15">
        <f>IFERROR(E166/E444, "NA")</f>
        <v>0</v>
      </c>
      <c r="G166" s="2"/>
      <c r="H166" s="14">
        <f t="shared" si="40"/>
        <v>-194.91</v>
      </c>
      <c r="I166" s="15">
        <f>IFERROR(H166/H444, "NA")</f>
        <v>-4.5159033196789662E-2</v>
      </c>
      <c r="J166" s="2"/>
      <c r="K166" s="14">
        <f>IFERROR(K160+K161+K162+K163+K164+K165, "NA")</f>
        <v>260.7</v>
      </c>
      <c r="L166" s="15">
        <f>IFERROR(K166/K444, "NA")</f>
        <v>3.9662025383087694E-3</v>
      </c>
      <c r="M166" s="2"/>
      <c r="N166" s="14">
        <f t="shared" si="41"/>
        <v>65.789999999999992</v>
      </c>
      <c r="O166" s="15">
        <f>IFERROR(N166/N444, "NA")</f>
        <v>9.7021517570495056E-3</v>
      </c>
      <c r="P166" s="2"/>
      <c r="Q166" s="14">
        <f>IFERROR(Q160+Q161+Q162+Q163+Q164+Q165, "NA")</f>
        <v>194.91</v>
      </c>
      <c r="R166" s="15">
        <f>IFERROR(Q166/Q444, "NA")</f>
        <v>2.6879929831674625E-3</v>
      </c>
      <c r="S166" s="2"/>
      <c r="T166" s="14">
        <f>IFERROR(T160+T161+T162+T163+T164+T165, "NA")</f>
        <v>0</v>
      </c>
      <c r="U166" s="15">
        <f>IFERROR(T166/T444, "NA")</f>
        <v>0</v>
      </c>
      <c r="V166" s="2"/>
      <c r="W166" s="14">
        <f t="shared" si="42"/>
        <v>-194.91</v>
      </c>
      <c r="X166" s="15">
        <f>IFERROR(W166/W444, "NA")</f>
        <v>-4.5159033196789662E-2</v>
      </c>
      <c r="Y166" s="2"/>
      <c r="Z166" s="14">
        <f>IFERROR(Z160+Z161+Z162+Z163+Z164+Z165, "NA")</f>
        <v>260.7</v>
      </c>
      <c r="AA166" s="15">
        <f>IFERROR(Z166/Z444, "NA")</f>
        <v>3.9662025383087694E-3</v>
      </c>
      <c r="AB166" s="2"/>
      <c r="AC166" s="14">
        <f t="shared" si="43"/>
        <v>65.789999999999992</v>
      </c>
      <c r="AD166" s="15">
        <f>IFERROR(AC166/AC444, "NA")</f>
        <v>9.7021517570495056E-3</v>
      </c>
    </row>
    <row r="167" spans="1:30" ht="16.5" customHeight="1" x14ac:dyDescent="0.45">
      <c r="A167" s="6" t="s">
        <v>155</v>
      </c>
      <c r="B167" s="7">
        <v>252.58</v>
      </c>
      <c r="C167" s="8">
        <f>IFERROR(B167/B444, "NA")</f>
        <v>3.4833167497226297E-3</v>
      </c>
      <c r="D167" s="9"/>
      <c r="E167" s="7">
        <v>0</v>
      </c>
      <c r="F167" s="8">
        <f>IFERROR(E167/E444, "NA")</f>
        <v>0</v>
      </c>
      <c r="G167" s="9"/>
      <c r="H167" s="10">
        <f t="shared" si="40"/>
        <v>-252.58</v>
      </c>
      <c r="I167" s="8">
        <f>IFERROR(H167/H444, "NA")</f>
        <v>-5.8520694704454021E-2</v>
      </c>
      <c r="J167" s="9"/>
      <c r="K167" s="7">
        <v>266.56</v>
      </c>
      <c r="L167" s="8">
        <f>IFERROR(K167/K444, "NA")</f>
        <v>4.055354616845361E-3</v>
      </c>
      <c r="M167" s="9"/>
      <c r="N167" s="10">
        <f t="shared" si="41"/>
        <v>13.97999999999999</v>
      </c>
      <c r="O167" s="8">
        <f>IFERROR(N167/N444, "NA")</f>
        <v>2.0616519465504178E-3</v>
      </c>
      <c r="P167" s="9"/>
      <c r="Q167" s="7">
        <v>252.58</v>
      </c>
      <c r="R167" s="8">
        <f>IFERROR(Q167/Q444, "NA")</f>
        <v>3.4833167497226297E-3</v>
      </c>
      <c r="S167" s="9"/>
      <c r="T167" s="7">
        <v>0</v>
      </c>
      <c r="U167" s="8">
        <f>IFERROR(T167/T444, "NA")</f>
        <v>0</v>
      </c>
      <c r="V167" s="9"/>
      <c r="W167" s="10">
        <f t="shared" si="42"/>
        <v>-252.58</v>
      </c>
      <c r="X167" s="8">
        <f>IFERROR(W167/W444, "NA")</f>
        <v>-5.8520694704454021E-2</v>
      </c>
      <c r="Y167" s="9"/>
      <c r="Z167" s="7">
        <v>266.56</v>
      </c>
      <c r="AA167" s="8">
        <f>IFERROR(Z167/Z444, "NA")</f>
        <v>4.055354616845361E-3</v>
      </c>
      <c r="AB167" s="9"/>
      <c r="AC167" s="10">
        <f t="shared" si="43"/>
        <v>13.97999999999999</v>
      </c>
      <c r="AD167" s="8">
        <f>IFERROR(AC167/AC444, "NA")</f>
        <v>2.0616519465504178E-3</v>
      </c>
    </row>
    <row r="168" spans="1:30" ht="16.5" customHeight="1" x14ac:dyDescent="0.45">
      <c r="A168" s="6" t="s">
        <v>156</v>
      </c>
      <c r="B168" s="7">
        <v>30.31</v>
      </c>
      <c r="C168" s="8">
        <f>IFERROR(B168/B444, "NA")</f>
        <v>4.1800352634449638E-4</v>
      </c>
      <c r="D168" s="9"/>
      <c r="E168" s="7">
        <v>0</v>
      </c>
      <c r="F168" s="8">
        <f>IFERROR(E168/E444, "NA")</f>
        <v>0</v>
      </c>
      <c r="G168" s="9"/>
      <c r="H168" s="10">
        <f t="shared" si="40"/>
        <v>-30.31</v>
      </c>
      <c r="I168" s="8">
        <f>IFERROR(H168/H444, "NA")</f>
        <v>-7.0225760412225878E-3</v>
      </c>
      <c r="J168" s="9"/>
      <c r="K168" s="7">
        <v>29.8</v>
      </c>
      <c r="L168" s="8">
        <f>IFERROR(K168/K444, "NA")</f>
        <v>4.5336722532259813E-4</v>
      </c>
      <c r="M168" s="9"/>
      <c r="N168" s="10">
        <f t="shared" si="41"/>
        <v>-0.50999999999999801</v>
      </c>
      <c r="O168" s="8">
        <f>IFERROR(N168/N444, "NA")</f>
        <v>-7.5210478736817583E-5</v>
      </c>
      <c r="P168" s="9"/>
      <c r="Q168" s="7">
        <v>30.31</v>
      </c>
      <c r="R168" s="8">
        <f>IFERROR(Q168/Q444, "NA")</f>
        <v>4.1800352634449638E-4</v>
      </c>
      <c r="S168" s="9"/>
      <c r="T168" s="7">
        <v>0</v>
      </c>
      <c r="U168" s="8">
        <f>IFERROR(T168/T444, "NA")</f>
        <v>0</v>
      </c>
      <c r="V168" s="9"/>
      <c r="W168" s="10">
        <f t="shared" si="42"/>
        <v>-30.31</v>
      </c>
      <c r="X168" s="8">
        <f>IFERROR(W168/W444, "NA")</f>
        <v>-7.0225760412225878E-3</v>
      </c>
      <c r="Y168" s="9"/>
      <c r="Z168" s="7">
        <v>29.8</v>
      </c>
      <c r="AA168" s="8">
        <f>IFERROR(Z168/Z444, "NA")</f>
        <v>4.5336722532259813E-4</v>
      </c>
      <c r="AB168" s="9"/>
      <c r="AC168" s="10">
        <f t="shared" si="43"/>
        <v>-0.50999999999999801</v>
      </c>
      <c r="AD168" s="8">
        <f>IFERROR(AC168/AC444, "NA")</f>
        <v>-7.5210478736817583E-5</v>
      </c>
    </row>
    <row r="169" spans="1:30" ht="16.5" customHeight="1" x14ac:dyDescent="0.45">
      <c r="A169" s="6" t="s">
        <v>157</v>
      </c>
      <c r="B169" s="7">
        <v>-1028.24</v>
      </c>
      <c r="C169" s="8">
        <f>IFERROR(B169/B444, "NA")</f>
        <v>-1.4180400723472946E-2</v>
      </c>
      <c r="D169" s="9"/>
      <c r="E169" s="7">
        <v>0</v>
      </c>
      <c r="F169" s="8">
        <f>IFERROR(E169/E444, "NA")</f>
        <v>0</v>
      </c>
      <c r="G169" s="9"/>
      <c r="H169" s="10">
        <f t="shared" si="40"/>
        <v>1028.24</v>
      </c>
      <c r="I169" s="8">
        <f>IFERROR(H169/H444, "NA")</f>
        <v>0.23823469444495923</v>
      </c>
      <c r="J169" s="9"/>
      <c r="K169" s="7">
        <v>-2307.1799999999998</v>
      </c>
      <c r="L169" s="8">
        <f>IFERROR(K169/K444, "NA")</f>
        <v>-3.5100664259053421E-2</v>
      </c>
      <c r="M169" s="9"/>
      <c r="N169" s="10">
        <f t="shared" si="41"/>
        <v>-1278.9399999999998</v>
      </c>
      <c r="O169" s="8">
        <f>IFERROR(N169/N444, "NA")</f>
        <v>-0.18860723465816831</v>
      </c>
      <c r="P169" s="9"/>
      <c r="Q169" s="7">
        <v>-1028.24</v>
      </c>
      <c r="R169" s="8">
        <f>IFERROR(Q169/Q444, "NA")</f>
        <v>-1.4180400723472946E-2</v>
      </c>
      <c r="S169" s="9"/>
      <c r="T169" s="7">
        <v>0</v>
      </c>
      <c r="U169" s="8">
        <f>IFERROR(T169/T444, "NA")</f>
        <v>0</v>
      </c>
      <c r="V169" s="9"/>
      <c r="W169" s="10">
        <f t="shared" si="42"/>
        <v>1028.24</v>
      </c>
      <c r="X169" s="8">
        <f>IFERROR(W169/W444, "NA")</f>
        <v>0.23823469444495923</v>
      </c>
      <c r="Y169" s="9"/>
      <c r="Z169" s="7">
        <v>-2307.1799999999998</v>
      </c>
      <c r="AA169" s="8">
        <f>IFERROR(Z169/Z444, "NA")</f>
        <v>-3.5100664259053421E-2</v>
      </c>
      <c r="AB169" s="9"/>
      <c r="AC169" s="10">
        <f t="shared" si="43"/>
        <v>-1278.9399999999998</v>
      </c>
      <c r="AD169" s="8">
        <f>IFERROR(AC169/AC444, "NA")</f>
        <v>-0.18860723465816831</v>
      </c>
    </row>
    <row r="170" spans="1:30" ht="16.5" customHeight="1" x14ac:dyDescent="0.45">
      <c r="A170" s="19" t="s">
        <v>158</v>
      </c>
      <c r="B170" s="14">
        <f>IFERROR(B151+B153+B154+B155+B156+B157+B160+B161+B162+B163+B164+B165+B167+B168+B169, "NA")</f>
        <v>2358.5599999999995</v>
      </c>
      <c r="C170" s="15">
        <f>IFERROR(B170/B444, "NA")</f>
        <v>3.2526769947049658E-2</v>
      </c>
      <c r="D170" s="2"/>
      <c r="E170" s="14">
        <f>IFERROR(E151+E153+E154+E155+E156+E157+E160+E161+E162+E163+E164+E165+E167+E168+E169, "NA")</f>
        <v>2796.01</v>
      </c>
      <c r="F170" s="15">
        <f>IFERROR(E170/E444, "NA")</f>
        <v>4.1000057628630258E-2</v>
      </c>
      <c r="G170" s="2"/>
      <c r="H170" s="14">
        <f t="shared" si="40"/>
        <v>437.45000000000073</v>
      </c>
      <c r="I170" s="15">
        <f>IFERROR(H170/H444, "NA")</f>
        <v>0.10135354302978641</v>
      </c>
      <c r="J170" s="2"/>
      <c r="K170" s="14">
        <f>IFERROR(K151+K153+K154+K155+K156+K157+K160+K161+K162+K163+K164+K165+K167+K168+K169, "NA")</f>
        <v>983.06</v>
      </c>
      <c r="L170" s="15">
        <f>IFERROR(K170/K444, "NA")</f>
        <v>1.4955945789450783E-2</v>
      </c>
      <c r="M170" s="2"/>
      <c r="N170" s="14">
        <f t="shared" si="41"/>
        <v>-1375.4999999999995</v>
      </c>
      <c r="O170" s="15">
        <f>IFERROR(N170/N444, "NA")</f>
        <v>-0.2028470852990058</v>
      </c>
      <c r="P170" s="2"/>
      <c r="Q170" s="14">
        <f>IFERROR(Q151+Q153+Q154+Q155+Q156+Q157+Q160+Q161+Q162+Q163+Q164+Q165+Q167+Q168+Q169, "NA")</f>
        <v>2358.5599999999995</v>
      </c>
      <c r="R170" s="15">
        <f>IFERROR(Q170/Q444, "NA")</f>
        <v>3.2526769947049658E-2</v>
      </c>
      <c r="S170" s="2"/>
      <c r="T170" s="14">
        <f>IFERROR(T151+T153+T154+T155+T156+T157+T160+T161+T162+T163+T164+T165+T167+T168+T169, "NA")</f>
        <v>2796.01</v>
      </c>
      <c r="U170" s="15">
        <f>IFERROR(T170/T444, "NA")</f>
        <v>4.1000057628630258E-2</v>
      </c>
      <c r="V170" s="2"/>
      <c r="W170" s="14">
        <f t="shared" si="42"/>
        <v>437.45000000000073</v>
      </c>
      <c r="X170" s="15">
        <f>IFERROR(W170/W444, "NA")</f>
        <v>0.10135354302978641</v>
      </c>
      <c r="Y170" s="2"/>
      <c r="Z170" s="14">
        <f>IFERROR(Z151+Z153+Z154+Z155+Z156+Z157+Z160+Z161+Z162+Z163+Z164+Z165+Z167+Z168+Z169, "NA")</f>
        <v>983.06</v>
      </c>
      <c r="AA170" s="15">
        <f>IFERROR(Z170/Z444, "NA")</f>
        <v>1.4955945789450783E-2</v>
      </c>
      <c r="AB170" s="2"/>
      <c r="AC170" s="14">
        <f t="shared" si="43"/>
        <v>-1375.4999999999995</v>
      </c>
      <c r="AD170" s="15">
        <f>IFERROR(AC170/AC444, "NA")</f>
        <v>-0.2028470852990058</v>
      </c>
    </row>
    <row r="171" spans="1:30" ht="16.5" customHeight="1" x14ac:dyDescent="0.45">
      <c r="A171" s="21" t="s">
        <v>159</v>
      </c>
      <c r="B171" s="14">
        <f>IFERROR(B127+B129+B130+B131+B132+B133+B134+B135+B136+B137+B138+B139+B140+B143+B144+B145+B146+B147+B151+B153+B154+B155+B156+B157+B160+B161+B162+B163+B164+B165+B167+B168+B169, "NA")</f>
        <v>19139.37</v>
      </c>
      <c r="C171" s="15">
        <f>IFERROR(B171/B444, "NA")</f>
        <v>0.26394998851903873</v>
      </c>
      <c r="D171" s="2"/>
      <c r="E171" s="14">
        <f>IFERROR(E127+E129+E130+E131+E132+E133+E134+E135+E136+E137+E138+E139+E140+E143+E144+E145+E146+E147+E151+E153+E154+E155+E156+E157+E160+E161+E162+E163+E164+E165+E167+E168+E169, "NA")</f>
        <v>18412.72</v>
      </c>
      <c r="F171" s="15">
        <f>IFERROR(E171/E444, "NA")</f>
        <v>0.26999995747505656</v>
      </c>
      <c r="G171" s="2"/>
      <c r="H171" s="14">
        <f t="shared" si="40"/>
        <v>-726.64999999999782</v>
      </c>
      <c r="I171" s="15">
        <f>IFERROR(H171/H444, "NA")</f>
        <v>-0.16835878853033251</v>
      </c>
      <c r="J171" s="2"/>
      <c r="K171" s="14">
        <f>IFERROR(K127+K129+K130+K131+K132+K133+K134+K135+K136+K137+K138+K139+K140+K143+K144+K145+K146+K147+K151+K153+K154+K155+K156+K157+K160+K161+K162+K163+K164+K165+K167+K168+K169, "NA")</f>
        <v>17340.900000000001</v>
      </c>
      <c r="L171" s="15">
        <f>IFERROR(K171/K444, "NA")</f>
        <v>0.26381864824149809</v>
      </c>
      <c r="M171" s="2"/>
      <c r="N171" s="14">
        <f t="shared" si="41"/>
        <v>-1798.4699999999975</v>
      </c>
      <c r="O171" s="15">
        <f>IFERROR(N171/N444, "NA")</f>
        <v>-0.26522311704667578</v>
      </c>
      <c r="P171" s="2"/>
      <c r="Q171" s="14">
        <f>IFERROR(Q127+Q129+Q130+Q131+Q132+Q133+Q134+Q135+Q136+Q137+Q138+Q139+Q140+Q143+Q144+Q145+Q146+Q147+Q151+Q153+Q154+Q155+Q156+Q157+Q160+Q161+Q162+Q163+Q164+Q165+Q167+Q168+Q169, "NA")</f>
        <v>19139.37</v>
      </c>
      <c r="R171" s="15">
        <f>IFERROR(Q171/Q444, "NA")</f>
        <v>0.26394998851903873</v>
      </c>
      <c r="S171" s="2"/>
      <c r="T171" s="14">
        <f>IFERROR(T127+T129+T130+T131+T132+T133+T134+T135+T136+T137+T138+T139+T140+T143+T144+T145+T146+T147+T151+T153+T154+T155+T156+T157+T160+T161+T162+T163+T164+T165+T167+T168+T169, "NA")</f>
        <v>18412.72</v>
      </c>
      <c r="U171" s="15">
        <f>IFERROR(T171/T444, "NA")</f>
        <v>0.26999995747505656</v>
      </c>
      <c r="V171" s="2"/>
      <c r="W171" s="14">
        <f t="shared" si="42"/>
        <v>-726.64999999999782</v>
      </c>
      <c r="X171" s="15">
        <f>IFERROR(W171/W444, "NA")</f>
        <v>-0.16835878853033251</v>
      </c>
      <c r="Y171" s="2"/>
      <c r="Z171" s="14">
        <f>IFERROR(Z127+Z129+Z130+Z131+Z132+Z133+Z134+Z135+Z136+Z137+Z138+Z139+Z140+Z143+Z144+Z145+Z146+Z147+Z151+Z153+Z154+Z155+Z156+Z157+Z160+Z161+Z162+Z163+Z164+Z165+Z167+Z168+Z169, "NA")</f>
        <v>17340.900000000001</v>
      </c>
      <c r="AA171" s="15">
        <f>IFERROR(Z171/Z444, "NA")</f>
        <v>0.26381864824149809</v>
      </c>
      <c r="AB171" s="2"/>
      <c r="AC171" s="14">
        <f t="shared" si="43"/>
        <v>-1798.4699999999975</v>
      </c>
      <c r="AD171" s="15">
        <f>IFERROR(AC171/AC444, "NA")</f>
        <v>-0.26522311704667578</v>
      </c>
    </row>
    <row r="172" spans="1:30" ht="16.5" customHeight="1" x14ac:dyDescent="0.45">
      <c r="A172" s="22" t="s">
        <v>160</v>
      </c>
      <c r="B172" s="23">
        <f>IFERROR(B124-B171, "NA")</f>
        <v>53371.979999999996</v>
      </c>
      <c r="C172" s="24">
        <f>IFERROR(B172/B444, "NA")</f>
        <v>0.73605001148096116</v>
      </c>
      <c r="D172" s="25"/>
      <c r="E172" s="23">
        <f>IFERROR(E124-E171, "NA")</f>
        <v>49782.549999999988</v>
      </c>
      <c r="F172" s="24">
        <f>IFERROR(E172/E444, "NA")</f>
        <v>0.73000004252494322</v>
      </c>
      <c r="G172" s="25"/>
      <c r="H172" s="23">
        <f>IFERROR(B172-E172, "NA")</f>
        <v>3589.4300000000076</v>
      </c>
      <c r="I172" s="24">
        <f>IFERROR(H172/H444, "NA")</f>
        <v>0.8316412114696683</v>
      </c>
      <c r="J172" s="25"/>
      <c r="K172" s="23">
        <f>IFERROR(K124-K171, "NA")</f>
        <v>48389.48</v>
      </c>
      <c r="L172" s="24">
        <f>IFERROR(K172/K444, "NA")</f>
        <v>0.73618135175850197</v>
      </c>
      <c r="M172" s="25"/>
      <c r="N172" s="23">
        <f>IFERROR(B172-K172, "NA")</f>
        <v>4982.4999999999927</v>
      </c>
      <c r="O172" s="24">
        <f>IFERROR(N172/N444, "NA")</f>
        <v>0.73477688295332255</v>
      </c>
      <c r="P172" s="25"/>
      <c r="Q172" s="23">
        <f>IFERROR(Q124-Q171, "NA")</f>
        <v>53371.979999999996</v>
      </c>
      <c r="R172" s="24">
        <f>IFERROR(Q172/Q444, "NA")</f>
        <v>0.73605001148096116</v>
      </c>
      <c r="S172" s="25"/>
      <c r="T172" s="23">
        <f>IFERROR(T124-T171, "NA")</f>
        <v>49782.549999999988</v>
      </c>
      <c r="U172" s="24">
        <f>IFERROR(T172/T444, "NA")</f>
        <v>0.73000004252494322</v>
      </c>
      <c r="V172" s="25"/>
      <c r="W172" s="23">
        <f>IFERROR(Q172-T172, "NA")</f>
        <v>3589.4300000000076</v>
      </c>
      <c r="X172" s="24">
        <f>IFERROR(W172/W444, "NA")</f>
        <v>0.8316412114696683</v>
      </c>
      <c r="Y172" s="25"/>
      <c r="Z172" s="23">
        <f>IFERROR(Z124-Z171, "NA")</f>
        <v>48389.48</v>
      </c>
      <c r="AA172" s="24">
        <f>IFERROR(Z172/Z444, "NA")</f>
        <v>0.73618135175850197</v>
      </c>
      <c r="AB172" s="25"/>
      <c r="AC172" s="23">
        <f>IFERROR(Q172-Z172, "NA")</f>
        <v>4982.4999999999927</v>
      </c>
      <c r="AD172" s="24">
        <f>IFERROR(AC172/AC444, "NA")</f>
        <v>0.73477688295332255</v>
      </c>
    </row>
    <row r="173" spans="1:30" ht="16.5" customHeight="1" x14ac:dyDescent="0.45">
      <c r="A173" s="1" t="s">
        <v>161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45">
      <c r="A174" s="5" t="s">
        <v>161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45">
      <c r="A175" s="6" t="s">
        <v>161</v>
      </c>
      <c r="B175" s="7">
        <v>0</v>
      </c>
      <c r="C175" s="8">
        <f>IFERROR(B175/B444, "NA")</f>
        <v>0</v>
      </c>
      <c r="D175" s="9"/>
      <c r="E175" s="7">
        <v>0</v>
      </c>
      <c r="F175" s="8">
        <f>IFERROR(E175/E444, "NA")</f>
        <v>0</v>
      </c>
      <c r="G175" s="9"/>
      <c r="H175" s="10">
        <f>IFERROR(-(B175-E175), "NA")</f>
        <v>0</v>
      </c>
      <c r="I175" s="8">
        <f>IFERROR(H175/H444, "NA")</f>
        <v>0</v>
      </c>
      <c r="J175" s="9"/>
      <c r="K175" s="7">
        <v>0</v>
      </c>
      <c r="L175" s="8">
        <f>IFERROR(K175/K444, "NA")</f>
        <v>0</v>
      </c>
      <c r="M175" s="9"/>
      <c r="N175" s="10">
        <f>IFERROR(-(B175-K175), "NA")</f>
        <v>0</v>
      </c>
      <c r="O175" s="8">
        <f>IFERROR(N175/N444, "NA")</f>
        <v>0</v>
      </c>
      <c r="P175" s="9"/>
      <c r="Q175" s="7">
        <v>0</v>
      </c>
      <c r="R175" s="8">
        <f>IFERROR(Q175/Q444, "NA")</f>
        <v>0</v>
      </c>
      <c r="S175" s="9"/>
      <c r="T175" s="7">
        <v>0</v>
      </c>
      <c r="U175" s="8">
        <f>IFERROR(T175/T444, "NA")</f>
        <v>0</v>
      </c>
      <c r="V175" s="9"/>
      <c r="W175" s="10">
        <f>IFERROR(-(Q175-T175), "NA")</f>
        <v>0</v>
      </c>
      <c r="X175" s="8">
        <f>IFERROR(W175/W444, "NA")</f>
        <v>0</v>
      </c>
      <c r="Y175" s="9"/>
      <c r="Z175" s="7">
        <v>0</v>
      </c>
      <c r="AA175" s="8">
        <f>IFERROR(Z175/Z444, "NA")</f>
        <v>0</v>
      </c>
      <c r="AB175" s="9"/>
      <c r="AC175" s="10">
        <f>IFERROR(-(Q175-Z175), "NA")</f>
        <v>0</v>
      </c>
      <c r="AD175" s="8">
        <f>IFERROR(AC175/AC444, "NA")</f>
        <v>0</v>
      </c>
    </row>
    <row r="176" spans="1:30" ht="16.5" customHeight="1" x14ac:dyDescent="0.45">
      <c r="A176" s="11" t="s">
        <v>162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45">
      <c r="A177" s="12" t="s">
        <v>162</v>
      </c>
      <c r="B177" s="7">
        <v>0</v>
      </c>
      <c r="C177" s="8">
        <f>IFERROR(B177/B444, "NA")</f>
        <v>0</v>
      </c>
      <c r="D177" s="9"/>
      <c r="E177" s="7">
        <v>0</v>
      </c>
      <c r="F177" s="8">
        <f>IFERROR(E177/E444, "NA")</f>
        <v>0</v>
      </c>
      <c r="G177" s="9"/>
      <c r="H177" s="10">
        <f t="shared" ref="H177:H184" si="44">IFERROR(-(B177-E177), "NA")</f>
        <v>0</v>
      </c>
      <c r="I177" s="8">
        <f>IFERROR(H177/H444, "NA")</f>
        <v>0</v>
      </c>
      <c r="J177" s="9"/>
      <c r="K177" s="7">
        <v>0</v>
      </c>
      <c r="L177" s="8">
        <f>IFERROR(K177/K444, "NA")</f>
        <v>0</v>
      </c>
      <c r="M177" s="9"/>
      <c r="N177" s="10">
        <f t="shared" ref="N177:N184" si="45">IFERROR(-(B177-K177), "NA")</f>
        <v>0</v>
      </c>
      <c r="O177" s="8">
        <f>IFERROR(N177/N444, "NA")</f>
        <v>0</v>
      </c>
      <c r="P177" s="9"/>
      <c r="Q177" s="7">
        <v>0</v>
      </c>
      <c r="R177" s="8">
        <f>IFERROR(Q177/Q444, "NA")</f>
        <v>0</v>
      </c>
      <c r="S177" s="9"/>
      <c r="T177" s="7">
        <v>0</v>
      </c>
      <c r="U177" s="8">
        <f>IFERROR(T177/T444, "NA")</f>
        <v>0</v>
      </c>
      <c r="V177" s="9"/>
      <c r="W177" s="10">
        <f t="shared" ref="W177:W184" si="46">IFERROR(-(Q177-T177), "NA")</f>
        <v>0</v>
      </c>
      <c r="X177" s="8">
        <f>IFERROR(W177/W444, "NA")</f>
        <v>0</v>
      </c>
      <c r="Y177" s="9"/>
      <c r="Z177" s="7">
        <v>0</v>
      </c>
      <c r="AA177" s="8">
        <f>IFERROR(Z177/Z444, "NA")</f>
        <v>0</v>
      </c>
      <c r="AB177" s="9"/>
      <c r="AC177" s="10">
        <f t="shared" ref="AC177:AC184" si="47">IFERROR(-(Q177-Z177), "NA")</f>
        <v>0</v>
      </c>
      <c r="AD177" s="8">
        <f>IFERROR(AC177/AC444, "NA")</f>
        <v>0</v>
      </c>
    </row>
    <row r="178" spans="1:30" ht="16.5" customHeight="1" x14ac:dyDescent="0.45">
      <c r="A178" s="12" t="s">
        <v>163</v>
      </c>
      <c r="B178" s="7">
        <v>5640</v>
      </c>
      <c r="C178" s="8">
        <f>IFERROR(B178/B444, "NA")</f>
        <v>7.7780926710094345E-2</v>
      </c>
      <c r="D178" s="9"/>
      <c r="E178" s="7">
        <v>5640</v>
      </c>
      <c r="F178" s="8">
        <f>IFERROR(E178/E444, "NA")</f>
        <v>8.2703683114679349E-2</v>
      </c>
      <c r="G178" s="9"/>
      <c r="H178" s="10">
        <f t="shared" si="44"/>
        <v>0</v>
      </c>
      <c r="I178" s="8">
        <f>IFERROR(H178/H444, "NA")</f>
        <v>0</v>
      </c>
      <c r="J178" s="9"/>
      <c r="K178" s="7">
        <v>5640</v>
      </c>
      <c r="L178" s="8">
        <f>IFERROR(K178/K444, "NA")</f>
        <v>8.5805072175149447E-2</v>
      </c>
      <c r="M178" s="9"/>
      <c r="N178" s="10">
        <f t="shared" si="45"/>
        <v>0</v>
      </c>
      <c r="O178" s="8">
        <f>IFERROR(N178/N444, "NA")</f>
        <v>0</v>
      </c>
      <c r="P178" s="9"/>
      <c r="Q178" s="7">
        <v>5640</v>
      </c>
      <c r="R178" s="8">
        <f>IFERROR(Q178/Q444, "NA")</f>
        <v>7.7780926710094345E-2</v>
      </c>
      <c r="S178" s="9"/>
      <c r="T178" s="7">
        <v>5640</v>
      </c>
      <c r="U178" s="8">
        <f>IFERROR(T178/T444, "NA")</f>
        <v>8.2703683114679349E-2</v>
      </c>
      <c r="V178" s="9"/>
      <c r="W178" s="10">
        <f t="shared" si="46"/>
        <v>0</v>
      </c>
      <c r="X178" s="8">
        <f>IFERROR(W178/W444, "NA")</f>
        <v>0</v>
      </c>
      <c r="Y178" s="9"/>
      <c r="Z178" s="7">
        <v>5640</v>
      </c>
      <c r="AA178" s="8">
        <f>IFERROR(Z178/Z444, "NA")</f>
        <v>8.5805072175149447E-2</v>
      </c>
      <c r="AB178" s="9"/>
      <c r="AC178" s="10">
        <f t="shared" si="47"/>
        <v>0</v>
      </c>
      <c r="AD178" s="8">
        <f>IFERROR(AC178/AC444, "NA")</f>
        <v>0</v>
      </c>
    </row>
    <row r="179" spans="1:30" ht="16.5" hidden="1" customHeight="1" x14ac:dyDescent="0.45">
      <c r="A179" s="12" t="s">
        <v>164</v>
      </c>
      <c r="B179" s="7">
        <v>0</v>
      </c>
      <c r="C179" s="8">
        <f>IFERROR(B179/B444, "NA")</f>
        <v>0</v>
      </c>
      <c r="D179" s="9"/>
      <c r="E179" s="7">
        <v>0</v>
      </c>
      <c r="F179" s="8">
        <f>IFERROR(E179/E444, "NA")</f>
        <v>0</v>
      </c>
      <c r="G179" s="9"/>
      <c r="H179" s="10">
        <f t="shared" si="44"/>
        <v>0</v>
      </c>
      <c r="I179" s="8">
        <f>IFERROR(H179/H444, "NA")</f>
        <v>0</v>
      </c>
      <c r="J179" s="9"/>
      <c r="K179" s="7">
        <v>0</v>
      </c>
      <c r="L179" s="8">
        <f>IFERROR(K179/K444, "NA")</f>
        <v>0</v>
      </c>
      <c r="M179" s="9"/>
      <c r="N179" s="10">
        <f t="shared" si="45"/>
        <v>0</v>
      </c>
      <c r="O179" s="8">
        <f>IFERROR(N179/N444, "NA")</f>
        <v>0</v>
      </c>
      <c r="P179" s="9"/>
      <c r="Q179" s="7">
        <v>0</v>
      </c>
      <c r="R179" s="8">
        <f>IFERROR(Q179/Q444, "NA")</f>
        <v>0</v>
      </c>
      <c r="S179" s="9"/>
      <c r="T179" s="7">
        <v>0</v>
      </c>
      <c r="U179" s="8">
        <f>IFERROR(T179/T444, "NA")</f>
        <v>0</v>
      </c>
      <c r="V179" s="9"/>
      <c r="W179" s="10">
        <f t="shared" si="46"/>
        <v>0</v>
      </c>
      <c r="X179" s="8">
        <f>IFERROR(W179/W444, "NA")</f>
        <v>0</v>
      </c>
      <c r="Y179" s="9"/>
      <c r="Z179" s="7">
        <v>0</v>
      </c>
      <c r="AA179" s="8">
        <f>IFERROR(Z179/Z444, "NA")</f>
        <v>0</v>
      </c>
      <c r="AB179" s="9"/>
      <c r="AC179" s="10">
        <f t="shared" si="47"/>
        <v>0</v>
      </c>
      <c r="AD179" s="8">
        <f>IFERROR(AC179/AC444, "NA")</f>
        <v>0</v>
      </c>
    </row>
    <row r="180" spans="1:30" ht="16.5" customHeight="1" x14ac:dyDescent="0.45">
      <c r="A180" s="12" t="s">
        <v>165</v>
      </c>
      <c r="B180" s="7">
        <v>13459.83</v>
      </c>
      <c r="C180" s="8">
        <f>IFERROR(B180/B444, "NA")</f>
        <v>0.1856237678653066</v>
      </c>
      <c r="D180" s="9"/>
      <c r="E180" s="7">
        <v>14593.79</v>
      </c>
      <c r="F180" s="8">
        <f>IFERROR(E180/E444, "NA")</f>
        <v>0.21400003255357739</v>
      </c>
      <c r="G180" s="9"/>
      <c r="H180" s="10">
        <f t="shared" si="44"/>
        <v>1133.9600000000009</v>
      </c>
      <c r="I180" s="8">
        <f>IFERROR(H180/H444, "NA")</f>
        <v>0.26272914311134188</v>
      </c>
      <c r="J180" s="9"/>
      <c r="K180" s="7">
        <v>14187.56</v>
      </c>
      <c r="L180" s="8">
        <f>IFERROR(K180/K444, "NA")</f>
        <v>0.21584478896972753</v>
      </c>
      <c r="M180" s="9"/>
      <c r="N180" s="10">
        <f t="shared" si="45"/>
        <v>727.72999999999956</v>
      </c>
      <c r="O180" s="8">
        <f>IFERROR(N180/N444, "NA")</f>
        <v>0.10731945429636165</v>
      </c>
      <c r="P180" s="9"/>
      <c r="Q180" s="7">
        <v>13459.83</v>
      </c>
      <c r="R180" s="8">
        <f>IFERROR(Q180/Q444, "NA")</f>
        <v>0.1856237678653066</v>
      </c>
      <c r="S180" s="9"/>
      <c r="T180" s="7">
        <v>14593.79</v>
      </c>
      <c r="U180" s="8">
        <f>IFERROR(T180/T444, "NA")</f>
        <v>0.21400003255357739</v>
      </c>
      <c r="V180" s="9"/>
      <c r="W180" s="10">
        <f t="shared" si="46"/>
        <v>1133.9600000000009</v>
      </c>
      <c r="X180" s="8">
        <f>IFERROR(W180/W444, "NA")</f>
        <v>0.26272914311134188</v>
      </c>
      <c r="Y180" s="9"/>
      <c r="Z180" s="7">
        <v>14187.56</v>
      </c>
      <c r="AA180" s="8">
        <f>IFERROR(Z180/Z444, "NA")</f>
        <v>0.21584478896972753</v>
      </c>
      <c r="AB180" s="9"/>
      <c r="AC180" s="10">
        <f t="shared" si="47"/>
        <v>727.72999999999956</v>
      </c>
      <c r="AD180" s="8">
        <f>IFERROR(AC180/AC444, "NA")</f>
        <v>0.10731945429636165</v>
      </c>
    </row>
    <row r="181" spans="1:30" ht="16.5" hidden="1" customHeight="1" x14ac:dyDescent="0.45">
      <c r="A181" s="12" t="s">
        <v>166</v>
      </c>
      <c r="B181" s="7">
        <v>0</v>
      </c>
      <c r="C181" s="8">
        <f>IFERROR(B181/B444, "NA")</f>
        <v>0</v>
      </c>
      <c r="D181" s="9"/>
      <c r="E181" s="7">
        <v>0</v>
      </c>
      <c r="F181" s="8">
        <f>IFERROR(E181/E444, "NA")</f>
        <v>0</v>
      </c>
      <c r="G181" s="9"/>
      <c r="H181" s="10">
        <f t="shared" si="44"/>
        <v>0</v>
      </c>
      <c r="I181" s="8">
        <f>IFERROR(H181/H444, "NA")</f>
        <v>0</v>
      </c>
      <c r="J181" s="9"/>
      <c r="K181" s="7">
        <v>0</v>
      </c>
      <c r="L181" s="8">
        <f>IFERROR(K181/K444, "NA")</f>
        <v>0</v>
      </c>
      <c r="M181" s="9"/>
      <c r="N181" s="10">
        <f t="shared" si="45"/>
        <v>0</v>
      </c>
      <c r="O181" s="8">
        <f>IFERROR(N181/N444, "NA")</f>
        <v>0</v>
      </c>
      <c r="P181" s="9"/>
      <c r="Q181" s="7">
        <v>0</v>
      </c>
      <c r="R181" s="8">
        <f>IFERROR(Q181/Q444, "NA")</f>
        <v>0</v>
      </c>
      <c r="S181" s="9"/>
      <c r="T181" s="7">
        <v>0</v>
      </c>
      <c r="U181" s="8">
        <f>IFERROR(T181/T444, "NA")</f>
        <v>0</v>
      </c>
      <c r="V181" s="9"/>
      <c r="W181" s="10">
        <f t="shared" si="46"/>
        <v>0</v>
      </c>
      <c r="X181" s="8">
        <f>IFERROR(W181/W444, "NA")</f>
        <v>0</v>
      </c>
      <c r="Y181" s="9"/>
      <c r="Z181" s="7">
        <v>0</v>
      </c>
      <c r="AA181" s="8">
        <f>IFERROR(Z181/Z444, "NA")</f>
        <v>0</v>
      </c>
      <c r="AB181" s="9"/>
      <c r="AC181" s="10">
        <f t="shared" si="47"/>
        <v>0</v>
      </c>
      <c r="AD181" s="8">
        <f>IFERROR(AC181/AC444, "NA")</f>
        <v>0</v>
      </c>
    </row>
    <row r="182" spans="1:30" ht="16.5" customHeight="1" x14ac:dyDescent="0.45">
      <c r="A182" s="13" t="s">
        <v>167</v>
      </c>
      <c r="B182" s="14">
        <f>IFERROR(B177+B178+B179+B180+B181, "NA")</f>
        <v>19099.830000000002</v>
      </c>
      <c r="C182" s="15">
        <f>IFERROR(B182/B444, "NA")</f>
        <v>0.26340469457540094</v>
      </c>
      <c r="D182" s="2"/>
      <c r="E182" s="14">
        <f>IFERROR(E177+E178+E179+E180+E181, "NA")</f>
        <v>20233.79</v>
      </c>
      <c r="F182" s="15">
        <f>IFERROR(E182/E444, "NA")</f>
        <v>0.29670371566825676</v>
      </c>
      <c r="G182" s="2"/>
      <c r="H182" s="14">
        <f t="shared" si="44"/>
        <v>1133.9599999999991</v>
      </c>
      <c r="I182" s="15">
        <f>IFERROR(H182/H444, "NA")</f>
        <v>0.26272914311134149</v>
      </c>
      <c r="J182" s="2"/>
      <c r="K182" s="14">
        <f>IFERROR(K177+K178+K179+K180+K181, "NA")</f>
        <v>19827.559999999998</v>
      </c>
      <c r="L182" s="15">
        <f>IFERROR(K182/K444, "NA")</f>
        <v>0.30164986114487696</v>
      </c>
      <c r="M182" s="2"/>
      <c r="N182" s="14">
        <f t="shared" si="45"/>
        <v>727.72999999999593</v>
      </c>
      <c r="O182" s="15">
        <f>IFERROR(N182/N444, "NA")</f>
        <v>0.10731945429636111</v>
      </c>
      <c r="P182" s="2"/>
      <c r="Q182" s="14">
        <f>IFERROR(Q177+Q178+Q179+Q180+Q181, "NA")</f>
        <v>19099.830000000002</v>
      </c>
      <c r="R182" s="15">
        <f>IFERROR(Q182/Q444, "NA")</f>
        <v>0.26340469457540094</v>
      </c>
      <c r="S182" s="2"/>
      <c r="T182" s="14">
        <f>IFERROR(T177+T178+T179+T180+T181, "NA")</f>
        <v>20233.79</v>
      </c>
      <c r="U182" s="15">
        <f>IFERROR(T182/T444, "NA")</f>
        <v>0.29670371566825676</v>
      </c>
      <c r="V182" s="2"/>
      <c r="W182" s="14">
        <f t="shared" si="46"/>
        <v>1133.9599999999991</v>
      </c>
      <c r="X182" s="15">
        <f>IFERROR(W182/W444, "NA")</f>
        <v>0.26272914311134149</v>
      </c>
      <c r="Y182" s="2"/>
      <c r="Z182" s="14">
        <f>IFERROR(Z177+Z178+Z179+Z180+Z181, "NA")</f>
        <v>19827.559999999998</v>
      </c>
      <c r="AA182" s="15">
        <f>IFERROR(Z182/Z444, "NA")</f>
        <v>0.30164986114487696</v>
      </c>
      <c r="AB182" s="2"/>
      <c r="AC182" s="14">
        <f t="shared" si="47"/>
        <v>727.72999999999593</v>
      </c>
      <c r="AD182" s="15">
        <f>IFERROR(AC182/AC444, "NA")</f>
        <v>0.10731945429636111</v>
      </c>
    </row>
    <row r="183" spans="1:30" ht="16.5" hidden="1" customHeight="1" x14ac:dyDescent="0.45">
      <c r="A183" s="6" t="s">
        <v>168</v>
      </c>
      <c r="B183" s="7">
        <v>0</v>
      </c>
      <c r="C183" s="8">
        <f>IFERROR(B183/B444, "NA")</f>
        <v>0</v>
      </c>
      <c r="D183" s="9"/>
      <c r="E183" s="7">
        <v>0</v>
      </c>
      <c r="F183" s="8">
        <f>IFERROR(E183/E444, "NA")</f>
        <v>0</v>
      </c>
      <c r="G183" s="9"/>
      <c r="H183" s="10">
        <f t="shared" si="44"/>
        <v>0</v>
      </c>
      <c r="I183" s="8">
        <f>IFERROR(H183/H444, "NA")</f>
        <v>0</v>
      </c>
      <c r="J183" s="9"/>
      <c r="K183" s="7">
        <v>0</v>
      </c>
      <c r="L183" s="8">
        <f>IFERROR(K183/K444, "NA")</f>
        <v>0</v>
      </c>
      <c r="M183" s="9"/>
      <c r="N183" s="10">
        <f t="shared" si="45"/>
        <v>0</v>
      </c>
      <c r="O183" s="8">
        <f>IFERROR(N183/N444, "NA")</f>
        <v>0</v>
      </c>
      <c r="P183" s="9"/>
      <c r="Q183" s="7">
        <v>0</v>
      </c>
      <c r="R183" s="8">
        <f>IFERROR(Q183/Q444, "NA")</f>
        <v>0</v>
      </c>
      <c r="S183" s="9"/>
      <c r="T183" s="7">
        <v>0</v>
      </c>
      <c r="U183" s="8">
        <f>IFERROR(T183/T444, "NA")</f>
        <v>0</v>
      </c>
      <c r="V183" s="9"/>
      <c r="W183" s="10">
        <f t="shared" si="46"/>
        <v>0</v>
      </c>
      <c r="X183" s="8">
        <f>IFERROR(W183/W444, "NA")</f>
        <v>0</v>
      </c>
      <c r="Y183" s="9"/>
      <c r="Z183" s="7">
        <v>0</v>
      </c>
      <c r="AA183" s="8">
        <f>IFERROR(Z183/Z444, "NA")</f>
        <v>0</v>
      </c>
      <c r="AB183" s="9"/>
      <c r="AC183" s="10">
        <f t="shared" si="47"/>
        <v>0</v>
      </c>
      <c r="AD183" s="8">
        <f>IFERROR(AC183/AC444, "NA")</f>
        <v>0</v>
      </c>
    </row>
    <row r="184" spans="1:30" ht="16.5" customHeight="1" x14ac:dyDescent="0.45">
      <c r="A184" s="6" t="s">
        <v>169</v>
      </c>
      <c r="B184" s="7">
        <v>293</v>
      </c>
      <c r="C184" s="8">
        <f>IFERROR(B184/B444, "NA")</f>
        <v>4.0407467244783059E-3</v>
      </c>
      <c r="D184" s="9"/>
      <c r="E184" s="7">
        <v>292.5</v>
      </c>
      <c r="F184" s="8">
        <f>IFERROR(E184/E444, "NA")</f>
        <v>4.2891537785538494E-3</v>
      </c>
      <c r="G184" s="9"/>
      <c r="H184" s="10">
        <f t="shared" si="44"/>
        <v>-0.5</v>
      </c>
      <c r="I184" s="8">
        <f>IFERROR(H184/H444, "NA")</f>
        <v>-1.1584586013234226E-4</v>
      </c>
      <c r="J184" s="9"/>
      <c r="K184" s="7">
        <v>500</v>
      </c>
      <c r="L184" s="8">
        <f>IFERROR(K184/K444, "NA")</f>
        <v>7.606832639640908E-3</v>
      </c>
      <c r="M184" s="9"/>
      <c r="N184" s="10">
        <f t="shared" si="45"/>
        <v>207</v>
      </c>
      <c r="O184" s="8">
        <f>IFERROR(N184/N444, "NA")</f>
        <v>3.052660607553196E-2</v>
      </c>
      <c r="P184" s="9"/>
      <c r="Q184" s="7">
        <v>293</v>
      </c>
      <c r="R184" s="8">
        <f>IFERROR(Q184/Q444, "NA")</f>
        <v>4.0407467244783059E-3</v>
      </c>
      <c r="S184" s="9"/>
      <c r="T184" s="7">
        <v>292.5</v>
      </c>
      <c r="U184" s="8">
        <f>IFERROR(T184/T444, "NA")</f>
        <v>4.2891537785538494E-3</v>
      </c>
      <c r="V184" s="9"/>
      <c r="W184" s="10">
        <f t="shared" si="46"/>
        <v>-0.5</v>
      </c>
      <c r="X184" s="8">
        <f>IFERROR(W184/W444, "NA")</f>
        <v>-1.1584586013234226E-4</v>
      </c>
      <c r="Y184" s="9"/>
      <c r="Z184" s="7">
        <v>500</v>
      </c>
      <c r="AA184" s="8">
        <f>IFERROR(Z184/Z444, "NA")</f>
        <v>7.606832639640908E-3</v>
      </c>
      <c r="AB184" s="9"/>
      <c r="AC184" s="10">
        <f t="shared" si="47"/>
        <v>207</v>
      </c>
      <c r="AD184" s="8">
        <f>IFERROR(AC184/AC444, "NA")</f>
        <v>3.052660607553196E-2</v>
      </c>
    </row>
    <row r="185" spans="1:30" ht="16.5" customHeight="1" x14ac:dyDescent="0.45">
      <c r="A185" s="11" t="s">
        <v>170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45">
      <c r="A186" s="12" t="s">
        <v>170</v>
      </c>
      <c r="B186" s="7">
        <v>1783.53</v>
      </c>
      <c r="C186" s="8">
        <f>IFERROR(B186/B444, "NA")</f>
        <v>2.4596563158733077E-2</v>
      </c>
      <c r="D186" s="9"/>
      <c r="E186" s="7">
        <v>1890.64</v>
      </c>
      <c r="F186" s="8">
        <f>IFERROR(E186/E444, "NA")</f>
        <v>2.7723916922683934E-2</v>
      </c>
      <c r="G186" s="9"/>
      <c r="H186" s="10">
        <f t="shared" ref="H186:H197" si="48">IFERROR(-(B186-E186), "NA")</f>
        <v>107.11000000000013</v>
      </c>
      <c r="I186" s="8">
        <f>IFERROR(H186/H444, "NA")</f>
        <v>2.4816500157550388E-2</v>
      </c>
      <c r="J186" s="9"/>
      <c r="K186" s="7">
        <v>1822.3</v>
      </c>
      <c r="L186" s="8">
        <f>IFERROR(K186/K444, "NA")</f>
        <v>2.7723862238435253E-2</v>
      </c>
      <c r="M186" s="9"/>
      <c r="N186" s="10">
        <f t="shared" ref="N186:N197" si="49">IFERROR(-(B186-K186), "NA")</f>
        <v>38.769999999999982</v>
      </c>
      <c r="O186" s="8">
        <f>IFERROR(N186/N444, "NA")</f>
        <v>5.7174710992675057E-3</v>
      </c>
      <c r="P186" s="9"/>
      <c r="Q186" s="7">
        <v>1783.53</v>
      </c>
      <c r="R186" s="8">
        <f>IFERROR(Q186/Q444, "NA")</f>
        <v>2.4596563158733077E-2</v>
      </c>
      <c r="S186" s="9"/>
      <c r="T186" s="7">
        <v>1890.64</v>
      </c>
      <c r="U186" s="8">
        <f>IFERROR(T186/T444, "NA")</f>
        <v>2.7723916922683934E-2</v>
      </c>
      <c r="V186" s="9"/>
      <c r="W186" s="10">
        <f t="shared" ref="W186:W197" si="50">IFERROR(-(Q186-T186), "NA")</f>
        <v>107.11000000000013</v>
      </c>
      <c r="X186" s="8">
        <f>IFERROR(W186/W444, "NA")</f>
        <v>2.4816500157550388E-2</v>
      </c>
      <c r="Y186" s="9"/>
      <c r="Z186" s="7">
        <v>1822.3</v>
      </c>
      <c r="AA186" s="8">
        <f>IFERROR(Z186/Z444, "NA")</f>
        <v>2.7723862238435253E-2</v>
      </c>
      <c r="AB186" s="9"/>
      <c r="AC186" s="10">
        <f t="shared" ref="AC186:AC197" si="51">IFERROR(-(Q186-Z186), "NA")</f>
        <v>38.769999999999982</v>
      </c>
      <c r="AD186" s="8">
        <f>IFERROR(AC186/AC444, "NA")</f>
        <v>5.7174710992675057E-3</v>
      </c>
    </row>
    <row r="187" spans="1:30" ht="16.5" hidden="1" customHeight="1" x14ac:dyDescent="0.45">
      <c r="A187" s="12" t="s">
        <v>171</v>
      </c>
      <c r="B187" s="7">
        <v>0</v>
      </c>
      <c r="C187" s="8">
        <f>IFERROR(B187/B444, "NA")</f>
        <v>0</v>
      </c>
      <c r="D187" s="9"/>
      <c r="E187" s="7">
        <v>0</v>
      </c>
      <c r="F187" s="8">
        <f>IFERROR(E187/E444, "NA")</f>
        <v>0</v>
      </c>
      <c r="G187" s="9"/>
      <c r="H187" s="10">
        <f t="shared" si="48"/>
        <v>0</v>
      </c>
      <c r="I187" s="8">
        <f>IFERROR(H187/H444, "NA")</f>
        <v>0</v>
      </c>
      <c r="J187" s="9"/>
      <c r="K187" s="7">
        <v>0</v>
      </c>
      <c r="L187" s="8">
        <f>IFERROR(K187/K444, "NA")</f>
        <v>0</v>
      </c>
      <c r="M187" s="9"/>
      <c r="N187" s="10">
        <f t="shared" si="49"/>
        <v>0</v>
      </c>
      <c r="O187" s="8">
        <f>IFERROR(N187/N444, "NA")</f>
        <v>0</v>
      </c>
      <c r="P187" s="9"/>
      <c r="Q187" s="7">
        <v>0</v>
      </c>
      <c r="R187" s="8">
        <f>IFERROR(Q187/Q444, "NA")</f>
        <v>0</v>
      </c>
      <c r="S187" s="9"/>
      <c r="T187" s="7">
        <v>0</v>
      </c>
      <c r="U187" s="8">
        <f>IFERROR(T187/T444, "NA")</f>
        <v>0</v>
      </c>
      <c r="V187" s="9"/>
      <c r="W187" s="10">
        <f t="shared" si="50"/>
        <v>0</v>
      </c>
      <c r="X187" s="8">
        <f>IFERROR(W187/W444, "NA")</f>
        <v>0</v>
      </c>
      <c r="Y187" s="9"/>
      <c r="Z187" s="7">
        <v>0</v>
      </c>
      <c r="AA187" s="8">
        <f>IFERROR(Z187/Z444, "NA")</f>
        <v>0</v>
      </c>
      <c r="AB187" s="9"/>
      <c r="AC187" s="10">
        <f t="shared" si="51"/>
        <v>0</v>
      </c>
      <c r="AD187" s="8">
        <f>IFERROR(AC187/AC444, "NA")</f>
        <v>0</v>
      </c>
    </row>
    <row r="188" spans="1:30" ht="16.5" hidden="1" customHeight="1" x14ac:dyDescent="0.45">
      <c r="A188" s="12" t="s">
        <v>172</v>
      </c>
      <c r="B188" s="7">
        <v>0</v>
      </c>
      <c r="C188" s="8">
        <f>IFERROR(B188/B444, "NA")</f>
        <v>0</v>
      </c>
      <c r="D188" s="9"/>
      <c r="E188" s="7">
        <v>0</v>
      </c>
      <c r="F188" s="8">
        <f>IFERROR(E188/E444, "NA")</f>
        <v>0</v>
      </c>
      <c r="G188" s="9"/>
      <c r="H188" s="10">
        <f t="shared" si="48"/>
        <v>0</v>
      </c>
      <c r="I188" s="8">
        <f>IFERROR(H188/H444, "NA")</f>
        <v>0</v>
      </c>
      <c r="J188" s="9"/>
      <c r="K188" s="7">
        <v>0</v>
      </c>
      <c r="L188" s="8">
        <f>IFERROR(K188/K444, "NA")</f>
        <v>0</v>
      </c>
      <c r="M188" s="9"/>
      <c r="N188" s="10">
        <f t="shared" si="49"/>
        <v>0</v>
      </c>
      <c r="O188" s="8">
        <f>IFERROR(N188/N444, "NA")</f>
        <v>0</v>
      </c>
      <c r="P188" s="9"/>
      <c r="Q188" s="7">
        <v>0</v>
      </c>
      <c r="R188" s="8">
        <f>IFERROR(Q188/Q444, "NA")</f>
        <v>0</v>
      </c>
      <c r="S188" s="9"/>
      <c r="T188" s="7">
        <v>0</v>
      </c>
      <c r="U188" s="8">
        <f>IFERROR(T188/T444, "NA")</f>
        <v>0</v>
      </c>
      <c r="V188" s="9"/>
      <c r="W188" s="10">
        <f t="shared" si="50"/>
        <v>0</v>
      </c>
      <c r="X188" s="8">
        <f>IFERROR(W188/W444, "NA")</f>
        <v>0</v>
      </c>
      <c r="Y188" s="9"/>
      <c r="Z188" s="7">
        <v>0</v>
      </c>
      <c r="AA188" s="8">
        <f>IFERROR(Z188/Z444, "NA")</f>
        <v>0</v>
      </c>
      <c r="AB188" s="9"/>
      <c r="AC188" s="10">
        <f t="shared" si="51"/>
        <v>0</v>
      </c>
      <c r="AD188" s="8">
        <f>IFERROR(AC188/AC444, "NA")</f>
        <v>0</v>
      </c>
    </row>
    <row r="189" spans="1:30" ht="16.5" hidden="1" customHeight="1" x14ac:dyDescent="0.45">
      <c r="A189" s="12" t="s">
        <v>173</v>
      </c>
      <c r="B189" s="7">
        <v>0</v>
      </c>
      <c r="C189" s="8">
        <f>IFERROR(B189/B444, "NA")</f>
        <v>0</v>
      </c>
      <c r="D189" s="9"/>
      <c r="E189" s="7">
        <v>0</v>
      </c>
      <c r="F189" s="8">
        <f>IFERROR(E189/E444, "NA")</f>
        <v>0</v>
      </c>
      <c r="G189" s="9"/>
      <c r="H189" s="10">
        <f t="shared" si="48"/>
        <v>0</v>
      </c>
      <c r="I189" s="8">
        <f>IFERROR(H189/H444, "NA")</f>
        <v>0</v>
      </c>
      <c r="J189" s="9"/>
      <c r="K189" s="7">
        <v>0</v>
      </c>
      <c r="L189" s="8">
        <f>IFERROR(K189/K444, "NA")</f>
        <v>0</v>
      </c>
      <c r="M189" s="9"/>
      <c r="N189" s="10">
        <f t="shared" si="49"/>
        <v>0</v>
      </c>
      <c r="O189" s="8">
        <f>IFERROR(N189/N444, "NA")</f>
        <v>0</v>
      </c>
      <c r="P189" s="9"/>
      <c r="Q189" s="7">
        <v>0</v>
      </c>
      <c r="R189" s="8">
        <f>IFERROR(Q189/Q444, "NA")</f>
        <v>0</v>
      </c>
      <c r="S189" s="9"/>
      <c r="T189" s="7">
        <v>0</v>
      </c>
      <c r="U189" s="8">
        <f>IFERROR(T189/T444, "NA")</f>
        <v>0</v>
      </c>
      <c r="V189" s="9"/>
      <c r="W189" s="10">
        <f t="shared" si="50"/>
        <v>0</v>
      </c>
      <c r="X189" s="8">
        <f>IFERROR(W189/W444, "NA")</f>
        <v>0</v>
      </c>
      <c r="Y189" s="9"/>
      <c r="Z189" s="7">
        <v>0</v>
      </c>
      <c r="AA189" s="8">
        <f>IFERROR(Z189/Z444, "NA")</f>
        <v>0</v>
      </c>
      <c r="AB189" s="9"/>
      <c r="AC189" s="10">
        <f t="shared" si="51"/>
        <v>0</v>
      </c>
      <c r="AD189" s="8">
        <f>IFERROR(AC189/AC444, "NA")</f>
        <v>0</v>
      </c>
    </row>
    <row r="190" spans="1:30" ht="16.5" hidden="1" customHeight="1" x14ac:dyDescent="0.45">
      <c r="A190" s="12" t="s">
        <v>174</v>
      </c>
      <c r="B190" s="7">
        <v>0</v>
      </c>
      <c r="C190" s="8">
        <f>IFERROR(B190/B444, "NA")</f>
        <v>0</v>
      </c>
      <c r="D190" s="9"/>
      <c r="E190" s="7">
        <v>0</v>
      </c>
      <c r="F190" s="8">
        <f>IFERROR(E190/E444, "NA")</f>
        <v>0</v>
      </c>
      <c r="G190" s="9"/>
      <c r="H190" s="10">
        <f t="shared" si="48"/>
        <v>0</v>
      </c>
      <c r="I190" s="8">
        <f>IFERROR(H190/H444, "NA")</f>
        <v>0</v>
      </c>
      <c r="J190" s="9"/>
      <c r="K190" s="7">
        <v>0</v>
      </c>
      <c r="L190" s="8">
        <f>IFERROR(K190/K444, "NA")</f>
        <v>0</v>
      </c>
      <c r="M190" s="9"/>
      <c r="N190" s="10">
        <f t="shared" si="49"/>
        <v>0</v>
      </c>
      <c r="O190" s="8">
        <f>IFERROR(N190/N444, "NA")</f>
        <v>0</v>
      </c>
      <c r="P190" s="9"/>
      <c r="Q190" s="7">
        <v>0</v>
      </c>
      <c r="R190" s="8">
        <f>IFERROR(Q190/Q444, "NA")</f>
        <v>0</v>
      </c>
      <c r="S190" s="9"/>
      <c r="T190" s="7">
        <v>0</v>
      </c>
      <c r="U190" s="8">
        <f>IFERROR(T190/T444, "NA")</f>
        <v>0</v>
      </c>
      <c r="V190" s="9"/>
      <c r="W190" s="10">
        <f t="shared" si="50"/>
        <v>0</v>
      </c>
      <c r="X190" s="8">
        <f>IFERROR(W190/W444, "NA")</f>
        <v>0</v>
      </c>
      <c r="Y190" s="9"/>
      <c r="Z190" s="7">
        <v>0</v>
      </c>
      <c r="AA190" s="8">
        <f>IFERROR(Z190/Z444, "NA")</f>
        <v>0</v>
      </c>
      <c r="AB190" s="9"/>
      <c r="AC190" s="10">
        <f t="shared" si="51"/>
        <v>0</v>
      </c>
      <c r="AD190" s="8">
        <f>IFERROR(AC190/AC444, "NA")</f>
        <v>0</v>
      </c>
    </row>
    <row r="191" spans="1:30" ht="16.5" hidden="1" customHeight="1" x14ac:dyDescent="0.45">
      <c r="A191" s="12" t="s">
        <v>175</v>
      </c>
      <c r="B191" s="7">
        <v>0</v>
      </c>
      <c r="C191" s="8">
        <f>IFERROR(B191/B444, "NA")</f>
        <v>0</v>
      </c>
      <c r="D191" s="9"/>
      <c r="E191" s="7">
        <v>0</v>
      </c>
      <c r="F191" s="8">
        <f>IFERROR(E191/E444, "NA")</f>
        <v>0</v>
      </c>
      <c r="G191" s="9"/>
      <c r="H191" s="10">
        <f t="shared" si="48"/>
        <v>0</v>
      </c>
      <c r="I191" s="8">
        <f>IFERROR(H191/H444, "NA")</f>
        <v>0</v>
      </c>
      <c r="J191" s="9"/>
      <c r="K191" s="7">
        <v>0</v>
      </c>
      <c r="L191" s="8">
        <f>IFERROR(K191/K444, "NA")</f>
        <v>0</v>
      </c>
      <c r="M191" s="9"/>
      <c r="N191" s="10">
        <f t="shared" si="49"/>
        <v>0</v>
      </c>
      <c r="O191" s="8">
        <f>IFERROR(N191/N444, "NA")</f>
        <v>0</v>
      </c>
      <c r="P191" s="9"/>
      <c r="Q191" s="7">
        <v>0</v>
      </c>
      <c r="R191" s="8">
        <f>IFERROR(Q191/Q444, "NA")</f>
        <v>0</v>
      </c>
      <c r="S191" s="9"/>
      <c r="T191" s="7">
        <v>0</v>
      </c>
      <c r="U191" s="8">
        <f>IFERROR(T191/T444, "NA")</f>
        <v>0</v>
      </c>
      <c r="V191" s="9"/>
      <c r="W191" s="10">
        <f t="shared" si="50"/>
        <v>0</v>
      </c>
      <c r="X191" s="8">
        <f>IFERROR(W191/W444, "NA")</f>
        <v>0</v>
      </c>
      <c r="Y191" s="9"/>
      <c r="Z191" s="7">
        <v>0</v>
      </c>
      <c r="AA191" s="8">
        <f>IFERROR(Z191/Z444, "NA")</f>
        <v>0</v>
      </c>
      <c r="AB191" s="9"/>
      <c r="AC191" s="10">
        <f t="shared" si="51"/>
        <v>0</v>
      </c>
      <c r="AD191" s="8">
        <f>IFERROR(AC191/AC444, "NA")</f>
        <v>0</v>
      </c>
    </row>
    <row r="192" spans="1:30" ht="16.5" hidden="1" customHeight="1" x14ac:dyDescent="0.45">
      <c r="A192" s="12" t="s">
        <v>176</v>
      </c>
      <c r="B192" s="7">
        <v>0</v>
      </c>
      <c r="C192" s="8">
        <f>IFERROR(B192/B444, "NA")</f>
        <v>0</v>
      </c>
      <c r="D192" s="9"/>
      <c r="E192" s="7">
        <v>0</v>
      </c>
      <c r="F192" s="8">
        <f>IFERROR(E192/E444, "NA")</f>
        <v>0</v>
      </c>
      <c r="G192" s="9"/>
      <c r="H192" s="10">
        <f t="shared" si="48"/>
        <v>0</v>
      </c>
      <c r="I192" s="8">
        <f>IFERROR(H192/H444, "NA")</f>
        <v>0</v>
      </c>
      <c r="J192" s="9"/>
      <c r="K192" s="7">
        <v>0</v>
      </c>
      <c r="L192" s="8">
        <f>IFERROR(K192/K444, "NA")</f>
        <v>0</v>
      </c>
      <c r="M192" s="9"/>
      <c r="N192" s="10">
        <f t="shared" si="49"/>
        <v>0</v>
      </c>
      <c r="O192" s="8">
        <f>IFERROR(N192/N444, "NA")</f>
        <v>0</v>
      </c>
      <c r="P192" s="9"/>
      <c r="Q192" s="7">
        <v>0</v>
      </c>
      <c r="R192" s="8">
        <f>IFERROR(Q192/Q444, "NA")</f>
        <v>0</v>
      </c>
      <c r="S192" s="9"/>
      <c r="T192" s="7">
        <v>0</v>
      </c>
      <c r="U192" s="8">
        <f>IFERROR(T192/T444, "NA")</f>
        <v>0</v>
      </c>
      <c r="V192" s="9"/>
      <c r="W192" s="10">
        <f t="shared" si="50"/>
        <v>0</v>
      </c>
      <c r="X192" s="8">
        <f>IFERROR(W192/W444, "NA")</f>
        <v>0</v>
      </c>
      <c r="Y192" s="9"/>
      <c r="Z192" s="7">
        <v>0</v>
      </c>
      <c r="AA192" s="8">
        <f>IFERROR(Z192/Z444, "NA")</f>
        <v>0</v>
      </c>
      <c r="AB192" s="9"/>
      <c r="AC192" s="10">
        <f t="shared" si="51"/>
        <v>0</v>
      </c>
      <c r="AD192" s="8">
        <f>IFERROR(AC192/AC444, "NA")</f>
        <v>0</v>
      </c>
    </row>
    <row r="193" spans="1:30" ht="16.5" customHeight="1" x14ac:dyDescent="0.45">
      <c r="A193" s="13" t="s">
        <v>177</v>
      </c>
      <c r="B193" s="14">
        <f>IFERROR(B186+B187+B188+B189+B190+B191+B192, "NA")</f>
        <v>1783.53</v>
      </c>
      <c r="C193" s="15">
        <f>IFERROR(B193/B444, "NA")</f>
        <v>2.4596563158733077E-2</v>
      </c>
      <c r="D193" s="2"/>
      <c r="E193" s="14">
        <f>IFERROR(E186+E187+E188+E189+E190+E191+E192, "NA")</f>
        <v>1890.64</v>
      </c>
      <c r="F193" s="15">
        <f>IFERROR(E193/E444, "NA")</f>
        <v>2.7723916922683934E-2</v>
      </c>
      <c r="G193" s="2"/>
      <c r="H193" s="14">
        <f t="shared" si="48"/>
        <v>107.11000000000013</v>
      </c>
      <c r="I193" s="15">
        <f>IFERROR(H193/H444, "NA")</f>
        <v>2.4816500157550388E-2</v>
      </c>
      <c r="J193" s="2"/>
      <c r="K193" s="14">
        <f>IFERROR(K186+K187+K188+K189+K190+K191+K192, "NA")</f>
        <v>1822.3</v>
      </c>
      <c r="L193" s="15">
        <f>IFERROR(K193/K444, "NA")</f>
        <v>2.7723862238435253E-2</v>
      </c>
      <c r="M193" s="2"/>
      <c r="N193" s="14">
        <f t="shared" si="49"/>
        <v>38.769999999999982</v>
      </c>
      <c r="O193" s="15">
        <f>IFERROR(N193/N444, "NA")</f>
        <v>5.7174710992675057E-3</v>
      </c>
      <c r="P193" s="2"/>
      <c r="Q193" s="14">
        <f>IFERROR(Q186+Q187+Q188+Q189+Q190+Q191+Q192, "NA")</f>
        <v>1783.53</v>
      </c>
      <c r="R193" s="15">
        <f>IFERROR(Q193/Q444, "NA")</f>
        <v>2.4596563158733077E-2</v>
      </c>
      <c r="S193" s="2"/>
      <c r="T193" s="14">
        <f>IFERROR(T186+T187+T188+T189+T190+T191+T192, "NA")</f>
        <v>1890.64</v>
      </c>
      <c r="U193" s="15">
        <f>IFERROR(T193/T444, "NA")</f>
        <v>2.7723916922683934E-2</v>
      </c>
      <c r="V193" s="2"/>
      <c r="W193" s="14">
        <f t="shared" si="50"/>
        <v>107.11000000000013</v>
      </c>
      <c r="X193" s="15">
        <f>IFERROR(W193/W444, "NA")</f>
        <v>2.4816500157550388E-2</v>
      </c>
      <c r="Y193" s="2"/>
      <c r="Z193" s="14">
        <f>IFERROR(Z186+Z187+Z188+Z189+Z190+Z191+Z192, "NA")</f>
        <v>1822.3</v>
      </c>
      <c r="AA193" s="15">
        <f>IFERROR(Z193/Z444, "NA")</f>
        <v>2.7723862238435253E-2</v>
      </c>
      <c r="AB193" s="2"/>
      <c r="AC193" s="14">
        <f t="shared" si="51"/>
        <v>38.769999999999982</v>
      </c>
      <c r="AD193" s="15">
        <f>IFERROR(AC193/AC444, "NA")</f>
        <v>5.7174710992675057E-3</v>
      </c>
    </row>
    <row r="194" spans="1:30" ht="16.5" customHeight="1" x14ac:dyDescent="0.45">
      <c r="A194" s="6" t="s">
        <v>178</v>
      </c>
      <c r="B194" s="7">
        <v>248</v>
      </c>
      <c r="C194" s="8">
        <f>IFERROR(B194/B444, "NA")</f>
        <v>3.4201542241318081E-3</v>
      </c>
      <c r="D194" s="9"/>
      <c r="E194" s="7">
        <v>164.21</v>
      </c>
      <c r="F194" s="8">
        <f>IFERROR(E194/E444, "NA")</f>
        <v>2.4079382631669323E-3</v>
      </c>
      <c r="G194" s="9"/>
      <c r="H194" s="10">
        <f t="shared" si="48"/>
        <v>-83.789999999999992</v>
      </c>
      <c r="I194" s="8">
        <f>IFERROR(H194/H444, "NA")</f>
        <v>-1.9413449240977914E-2</v>
      </c>
      <c r="J194" s="9"/>
      <c r="K194" s="7">
        <v>248</v>
      </c>
      <c r="L194" s="8">
        <f>IFERROR(K194/K444, "NA")</f>
        <v>3.7729889892618904E-3</v>
      </c>
      <c r="M194" s="9"/>
      <c r="N194" s="10">
        <f t="shared" si="49"/>
        <v>0</v>
      </c>
      <c r="O194" s="8">
        <f>IFERROR(N194/N444, "NA")</f>
        <v>0</v>
      </c>
      <c r="P194" s="9"/>
      <c r="Q194" s="7">
        <v>248</v>
      </c>
      <c r="R194" s="8">
        <f>IFERROR(Q194/Q444, "NA")</f>
        <v>3.4201542241318081E-3</v>
      </c>
      <c r="S194" s="9"/>
      <c r="T194" s="7">
        <v>164.21</v>
      </c>
      <c r="U194" s="8">
        <f>IFERROR(T194/T444, "NA")</f>
        <v>2.4079382631669323E-3</v>
      </c>
      <c r="V194" s="9"/>
      <c r="W194" s="10">
        <f t="shared" si="50"/>
        <v>-83.789999999999992</v>
      </c>
      <c r="X194" s="8">
        <f>IFERROR(W194/W444, "NA")</f>
        <v>-1.9413449240977914E-2</v>
      </c>
      <c r="Y194" s="9"/>
      <c r="Z194" s="7">
        <v>248</v>
      </c>
      <c r="AA194" s="8">
        <f>IFERROR(Z194/Z444, "NA")</f>
        <v>3.7729889892618904E-3</v>
      </c>
      <c r="AB194" s="9"/>
      <c r="AC194" s="10">
        <f t="shared" si="51"/>
        <v>0</v>
      </c>
      <c r="AD194" s="8">
        <f>IFERROR(AC194/AC444, "NA")</f>
        <v>0</v>
      </c>
    </row>
    <row r="195" spans="1:30" ht="16.5" hidden="1" customHeight="1" x14ac:dyDescent="0.45">
      <c r="A195" s="6" t="s">
        <v>179</v>
      </c>
      <c r="B195" s="7">
        <v>0</v>
      </c>
      <c r="C195" s="8">
        <f>IFERROR(B195/B444, "NA")</f>
        <v>0</v>
      </c>
      <c r="D195" s="9"/>
      <c r="E195" s="7">
        <v>0</v>
      </c>
      <c r="F195" s="8">
        <f>IFERROR(E195/E444, "NA")</f>
        <v>0</v>
      </c>
      <c r="G195" s="9"/>
      <c r="H195" s="10">
        <f t="shared" si="48"/>
        <v>0</v>
      </c>
      <c r="I195" s="8">
        <f>IFERROR(H195/H444, "NA")</f>
        <v>0</v>
      </c>
      <c r="J195" s="9"/>
      <c r="K195" s="7">
        <v>0</v>
      </c>
      <c r="L195" s="8">
        <f>IFERROR(K195/K444, "NA")</f>
        <v>0</v>
      </c>
      <c r="M195" s="9"/>
      <c r="N195" s="10">
        <f t="shared" si="49"/>
        <v>0</v>
      </c>
      <c r="O195" s="8">
        <f>IFERROR(N195/N444, "NA")</f>
        <v>0</v>
      </c>
      <c r="P195" s="9"/>
      <c r="Q195" s="7">
        <v>0</v>
      </c>
      <c r="R195" s="8">
        <f>IFERROR(Q195/Q444, "NA")</f>
        <v>0</v>
      </c>
      <c r="S195" s="9"/>
      <c r="T195" s="7">
        <v>0</v>
      </c>
      <c r="U195" s="8">
        <f>IFERROR(T195/T444, "NA")</f>
        <v>0</v>
      </c>
      <c r="V195" s="9"/>
      <c r="W195" s="10">
        <f t="shared" si="50"/>
        <v>0</v>
      </c>
      <c r="X195" s="8">
        <f>IFERROR(W195/W444, "NA")</f>
        <v>0</v>
      </c>
      <c r="Y195" s="9"/>
      <c r="Z195" s="7">
        <v>0</v>
      </c>
      <c r="AA195" s="8">
        <f>IFERROR(Z195/Z444, "NA")</f>
        <v>0</v>
      </c>
      <c r="AB195" s="9"/>
      <c r="AC195" s="10">
        <f t="shared" si="51"/>
        <v>0</v>
      </c>
      <c r="AD195" s="8">
        <f>IFERROR(AC195/AC444, "NA")</f>
        <v>0</v>
      </c>
    </row>
    <row r="196" spans="1:30" ht="16.5" customHeight="1" x14ac:dyDescent="0.45">
      <c r="A196" s="19" t="s">
        <v>180</v>
      </c>
      <c r="B196" s="14">
        <f>IFERROR(B175+B177+B178+B179+B180+B181+B183+B184+B186+B187+B188+B189+B190+B191+B192+B194+B195, "NA")</f>
        <v>21424.36</v>
      </c>
      <c r="C196" s="15">
        <f>IFERROR(B196/B444, "NA")</f>
        <v>0.29546215868274411</v>
      </c>
      <c r="D196" s="2"/>
      <c r="E196" s="14">
        <f>IFERROR(E175+E177+E178+E179+E180+E181+E183+E184+E186+E187+E188+E189+E190+E191+E192+E194+E195, "NA")</f>
        <v>22581.14</v>
      </c>
      <c r="F196" s="15">
        <f>IFERROR(E196/E444, "NA")</f>
        <v>0.33112472463266146</v>
      </c>
      <c r="G196" s="2"/>
      <c r="H196" s="14">
        <f t="shared" si="48"/>
        <v>1156.7799999999988</v>
      </c>
      <c r="I196" s="15">
        <f>IFERROR(H196/H444, "NA")</f>
        <v>0.26801634816778147</v>
      </c>
      <c r="J196" s="2"/>
      <c r="K196" s="14">
        <f>IFERROR(K175+K177+K178+K179+K180+K181+K183+K184+K186+K187+K188+K189+K190+K191+K192+K194+K195, "NA")</f>
        <v>22397.859999999997</v>
      </c>
      <c r="L196" s="15">
        <f>IFERROR(K196/K444, "NA")</f>
        <v>0.340753545012215</v>
      </c>
      <c r="M196" s="2"/>
      <c r="N196" s="14">
        <f t="shared" si="49"/>
        <v>973.49999999999636</v>
      </c>
      <c r="O196" s="15">
        <f>IFERROR(N196/N444, "NA")</f>
        <v>0.14356353147116063</v>
      </c>
      <c r="P196" s="2"/>
      <c r="Q196" s="14">
        <f>IFERROR(Q175+Q177+Q178+Q179+Q180+Q181+Q183+Q184+Q186+Q187+Q188+Q189+Q190+Q191+Q192+Q194+Q195, "NA")</f>
        <v>21424.36</v>
      </c>
      <c r="R196" s="15">
        <f>IFERROR(Q196/Q444, "NA")</f>
        <v>0.29546215868274411</v>
      </c>
      <c r="S196" s="2"/>
      <c r="T196" s="14">
        <f>IFERROR(T175+T177+T178+T179+T180+T181+T183+T184+T186+T187+T188+T189+T190+T191+T192+T194+T195, "NA")</f>
        <v>22581.14</v>
      </c>
      <c r="U196" s="15">
        <f>IFERROR(T196/T444, "NA")</f>
        <v>0.33112472463266146</v>
      </c>
      <c r="V196" s="2"/>
      <c r="W196" s="14">
        <f t="shared" si="50"/>
        <v>1156.7799999999988</v>
      </c>
      <c r="X196" s="15">
        <f>IFERROR(W196/W444, "NA")</f>
        <v>0.26801634816778147</v>
      </c>
      <c r="Y196" s="2"/>
      <c r="Z196" s="14">
        <f>IFERROR(Z175+Z177+Z178+Z179+Z180+Z181+Z183+Z184+Z186+Z187+Z188+Z189+Z190+Z191+Z192+Z194+Z195, "NA")</f>
        <v>22397.859999999997</v>
      </c>
      <c r="AA196" s="15">
        <f>IFERROR(Z196/Z444, "NA")</f>
        <v>0.340753545012215</v>
      </c>
      <c r="AB196" s="2"/>
      <c r="AC196" s="14">
        <f t="shared" si="51"/>
        <v>973.49999999999636</v>
      </c>
      <c r="AD196" s="15">
        <f>IFERROR(AC196/AC444, "NA")</f>
        <v>0.14356353147116063</v>
      </c>
    </row>
    <row r="197" spans="1:30" ht="16.5" customHeight="1" x14ac:dyDescent="0.45">
      <c r="A197" s="21" t="s">
        <v>180</v>
      </c>
      <c r="B197" s="14">
        <f>IFERROR(B175+B177+B178+B179+B180+B181+B183+B184+B186+B187+B188+B189+B190+B191+B192+B194+B195, "NA")</f>
        <v>21424.36</v>
      </c>
      <c r="C197" s="15">
        <f>IFERROR(B197/B444, "NA")</f>
        <v>0.29546215868274411</v>
      </c>
      <c r="D197" s="2"/>
      <c r="E197" s="14">
        <f>IFERROR(E175+E177+E178+E179+E180+E181+E183+E184+E186+E187+E188+E189+E190+E191+E192+E194+E195, "NA")</f>
        <v>22581.14</v>
      </c>
      <c r="F197" s="15">
        <f>IFERROR(E197/E444, "NA")</f>
        <v>0.33112472463266146</v>
      </c>
      <c r="G197" s="2"/>
      <c r="H197" s="14">
        <f t="shared" si="48"/>
        <v>1156.7799999999988</v>
      </c>
      <c r="I197" s="15">
        <f>IFERROR(H197/H444, "NA")</f>
        <v>0.26801634816778147</v>
      </c>
      <c r="J197" s="2"/>
      <c r="K197" s="14">
        <f>IFERROR(K175+K177+K178+K179+K180+K181+K183+K184+K186+K187+K188+K189+K190+K191+K192+K194+K195, "NA")</f>
        <v>22397.859999999997</v>
      </c>
      <c r="L197" s="15">
        <f>IFERROR(K197/K444, "NA")</f>
        <v>0.340753545012215</v>
      </c>
      <c r="M197" s="2"/>
      <c r="N197" s="14">
        <f t="shared" si="49"/>
        <v>973.49999999999636</v>
      </c>
      <c r="O197" s="15">
        <f>IFERROR(N197/N444, "NA")</f>
        <v>0.14356353147116063</v>
      </c>
      <c r="P197" s="2"/>
      <c r="Q197" s="14">
        <f>IFERROR(Q175+Q177+Q178+Q179+Q180+Q181+Q183+Q184+Q186+Q187+Q188+Q189+Q190+Q191+Q192+Q194+Q195, "NA")</f>
        <v>21424.36</v>
      </c>
      <c r="R197" s="15">
        <f>IFERROR(Q197/Q444, "NA")</f>
        <v>0.29546215868274411</v>
      </c>
      <c r="S197" s="2"/>
      <c r="T197" s="14">
        <f>IFERROR(T175+T177+T178+T179+T180+T181+T183+T184+T186+T187+T188+T189+T190+T191+T192+T194+T195, "NA")</f>
        <v>22581.14</v>
      </c>
      <c r="U197" s="15">
        <f>IFERROR(T197/T444, "NA")</f>
        <v>0.33112472463266146</v>
      </c>
      <c r="V197" s="2"/>
      <c r="W197" s="14">
        <f t="shared" si="50"/>
        <v>1156.7799999999988</v>
      </c>
      <c r="X197" s="15">
        <f>IFERROR(W197/W444, "NA")</f>
        <v>0.26801634816778147</v>
      </c>
      <c r="Y197" s="2"/>
      <c r="Z197" s="14">
        <f>IFERROR(Z175+Z177+Z178+Z179+Z180+Z181+Z183+Z184+Z186+Z187+Z188+Z189+Z190+Z191+Z192+Z194+Z195, "NA")</f>
        <v>22397.859999999997</v>
      </c>
      <c r="AA197" s="15">
        <f>IFERROR(Z197/Z444, "NA")</f>
        <v>0.340753545012215</v>
      </c>
      <c r="AB197" s="2"/>
      <c r="AC197" s="14">
        <f t="shared" si="51"/>
        <v>973.49999999999636</v>
      </c>
      <c r="AD197" s="15">
        <f>IFERROR(AC197/AC444, "NA")</f>
        <v>0.14356353147116063</v>
      </c>
    </row>
    <row r="198" spans="1:30" ht="16.5" customHeight="1" x14ac:dyDescent="0.45">
      <c r="A198" s="22" t="s">
        <v>181</v>
      </c>
      <c r="B198" s="23">
        <f>IFERROR(B172-B197, "NA")</f>
        <v>31947.619999999995</v>
      </c>
      <c r="C198" s="24">
        <f>IFERROR(B198/B444, "NA")</f>
        <v>0.44058785279821699</v>
      </c>
      <c r="D198" s="25"/>
      <c r="E198" s="23">
        <f>IFERROR(E172-E197, "NA")</f>
        <v>27201.409999999989</v>
      </c>
      <c r="F198" s="24">
        <f>IFERROR(E198/E444, "NA")</f>
        <v>0.39887531789228181</v>
      </c>
      <c r="G198" s="25"/>
      <c r="H198" s="23">
        <f>IFERROR(B198-E198, "NA")</f>
        <v>4746.2100000000064</v>
      </c>
      <c r="I198" s="24">
        <f>IFERROR(H198/H444, "NA")</f>
        <v>1.0996575596374498</v>
      </c>
      <c r="J198" s="25"/>
      <c r="K198" s="23">
        <f>IFERROR(K172-K197, "NA")</f>
        <v>25991.620000000006</v>
      </c>
      <c r="L198" s="24">
        <f>IFERROR(K198/K444, "NA")</f>
        <v>0.39542780674628697</v>
      </c>
      <c r="M198" s="25"/>
      <c r="N198" s="23">
        <f>IFERROR(B198-K198, "NA")</f>
        <v>5955.9999999999891</v>
      </c>
      <c r="O198" s="24">
        <f>IFERROR(N198/N444, "NA")</f>
        <v>0.87834041442448318</v>
      </c>
      <c r="P198" s="25"/>
      <c r="Q198" s="23">
        <f>IFERROR(Q172-Q197, "NA")</f>
        <v>31947.619999999995</v>
      </c>
      <c r="R198" s="24">
        <f>IFERROR(Q198/Q444, "NA")</f>
        <v>0.44058785279821699</v>
      </c>
      <c r="S198" s="25"/>
      <c r="T198" s="23">
        <f>IFERROR(T172-T197, "NA")</f>
        <v>27201.409999999989</v>
      </c>
      <c r="U198" s="24">
        <f>IFERROR(T198/T444, "NA")</f>
        <v>0.39887531789228181</v>
      </c>
      <c r="V198" s="25"/>
      <c r="W198" s="23">
        <f>IFERROR(Q198-T198, "NA")</f>
        <v>4746.2100000000064</v>
      </c>
      <c r="X198" s="24">
        <f>IFERROR(W198/W444, "NA")</f>
        <v>1.0996575596374498</v>
      </c>
      <c r="Y198" s="25"/>
      <c r="Z198" s="23">
        <f>IFERROR(Z172-Z197, "NA")</f>
        <v>25991.620000000006</v>
      </c>
      <c r="AA198" s="24">
        <f>IFERROR(Z198/Z444, "NA")</f>
        <v>0.39542780674628697</v>
      </c>
      <c r="AB198" s="25"/>
      <c r="AC198" s="23">
        <f>IFERROR(Q198-Z198, "NA")</f>
        <v>5955.9999999999891</v>
      </c>
      <c r="AD198" s="24">
        <f>IFERROR(AC198/AC444, "NA")</f>
        <v>0.87834041442448318</v>
      </c>
    </row>
    <row r="199" spans="1:30" ht="16.5" customHeight="1" x14ac:dyDescent="0.45">
      <c r="A199" s="1" t="s">
        <v>182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45">
      <c r="A200" s="5" t="s">
        <v>183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45">
      <c r="A201" s="6" t="s">
        <v>183</v>
      </c>
      <c r="B201" s="7">
        <v>0</v>
      </c>
      <c r="C201" s="8">
        <f>IFERROR(B201/B444, "NA")</f>
        <v>0</v>
      </c>
      <c r="D201" s="9"/>
      <c r="E201" s="7">
        <v>0</v>
      </c>
      <c r="F201" s="8">
        <f>IFERROR(E201/E444, "NA")</f>
        <v>0</v>
      </c>
      <c r="G201" s="9"/>
      <c r="H201" s="10">
        <f t="shared" ref="H201:H209" si="52">IFERROR(-(B201-E201), "NA")</f>
        <v>0</v>
      </c>
      <c r="I201" s="8">
        <f>IFERROR(H201/H444, "NA")</f>
        <v>0</v>
      </c>
      <c r="J201" s="9"/>
      <c r="K201" s="7">
        <v>0</v>
      </c>
      <c r="L201" s="8">
        <f>IFERROR(K201/K444, "NA")</f>
        <v>0</v>
      </c>
      <c r="M201" s="9"/>
      <c r="N201" s="10">
        <f t="shared" ref="N201:N209" si="53">IFERROR(-(B201-K201), "NA")</f>
        <v>0</v>
      </c>
      <c r="O201" s="8">
        <f>IFERROR(N201/N444, "NA")</f>
        <v>0</v>
      </c>
      <c r="P201" s="9"/>
      <c r="Q201" s="7">
        <v>0</v>
      </c>
      <c r="R201" s="8">
        <f>IFERROR(Q201/Q444, "NA")</f>
        <v>0</v>
      </c>
      <c r="S201" s="9"/>
      <c r="T201" s="7">
        <v>0</v>
      </c>
      <c r="U201" s="8">
        <f>IFERROR(T201/T444, "NA")</f>
        <v>0</v>
      </c>
      <c r="V201" s="9"/>
      <c r="W201" s="10">
        <f t="shared" ref="W201:W209" si="54">IFERROR(-(Q201-T201), "NA")</f>
        <v>0</v>
      </c>
      <c r="X201" s="8">
        <f>IFERROR(W201/W444, "NA")</f>
        <v>0</v>
      </c>
      <c r="Y201" s="9"/>
      <c r="Z201" s="7">
        <v>0</v>
      </c>
      <c r="AA201" s="8">
        <f>IFERROR(Z201/Z444, "NA")</f>
        <v>0</v>
      </c>
      <c r="AB201" s="9"/>
      <c r="AC201" s="10">
        <f t="shared" ref="AC201:AC209" si="55">IFERROR(-(Q201-Z201), "NA")</f>
        <v>0</v>
      </c>
      <c r="AD201" s="8">
        <f>IFERROR(AC201/AC444, "NA")</f>
        <v>0</v>
      </c>
    </row>
    <row r="202" spans="1:30" ht="16.5" customHeight="1" x14ac:dyDescent="0.45">
      <c r="A202" s="6" t="s">
        <v>184</v>
      </c>
      <c r="B202" s="7">
        <v>771.68</v>
      </c>
      <c r="C202" s="8">
        <f>IFERROR(B202/B444, "NA")</f>
        <v>1.064219601483078E-2</v>
      </c>
      <c r="D202" s="9"/>
      <c r="E202" s="7">
        <v>613.76</v>
      </c>
      <c r="F202" s="8">
        <f>IFERROR(E202/E444, "NA")</f>
        <v>9.0000376858981566E-3</v>
      </c>
      <c r="G202" s="9"/>
      <c r="H202" s="10">
        <f t="shared" si="52"/>
        <v>-157.91999999999996</v>
      </c>
      <c r="I202" s="8">
        <f>IFERROR(H202/H444, "NA")</f>
        <v>-3.6588756464198971E-2</v>
      </c>
      <c r="J202" s="9"/>
      <c r="K202" s="7">
        <v>820.18</v>
      </c>
      <c r="L202" s="8">
        <f>IFERROR(K202/K444, "NA")</f>
        <v>1.2477943988761359E-2</v>
      </c>
      <c r="M202" s="9"/>
      <c r="N202" s="10">
        <f t="shared" si="53"/>
        <v>48.5</v>
      </c>
      <c r="O202" s="8">
        <f>IFERROR(N202/N444, "NA")</f>
        <v>7.1523690563444452E-3</v>
      </c>
      <c r="P202" s="9"/>
      <c r="Q202" s="7">
        <v>771.68</v>
      </c>
      <c r="R202" s="8">
        <f>IFERROR(Q202/Q444, "NA")</f>
        <v>1.064219601483078E-2</v>
      </c>
      <c r="S202" s="9"/>
      <c r="T202" s="7">
        <v>613.76</v>
      </c>
      <c r="U202" s="8">
        <f>IFERROR(T202/T444, "NA")</f>
        <v>9.0000376858981566E-3</v>
      </c>
      <c r="V202" s="9"/>
      <c r="W202" s="10">
        <f t="shared" si="54"/>
        <v>-157.91999999999996</v>
      </c>
      <c r="X202" s="8">
        <f>IFERROR(W202/W444, "NA")</f>
        <v>-3.6588756464198971E-2</v>
      </c>
      <c r="Y202" s="9"/>
      <c r="Z202" s="7">
        <v>820.18</v>
      </c>
      <c r="AA202" s="8">
        <f>IFERROR(Z202/Z444, "NA")</f>
        <v>1.2477943988761359E-2</v>
      </c>
      <c r="AB202" s="9"/>
      <c r="AC202" s="10">
        <f t="shared" si="55"/>
        <v>48.5</v>
      </c>
      <c r="AD202" s="8">
        <f>IFERROR(AC202/AC444, "NA")</f>
        <v>7.1523690563444452E-3</v>
      </c>
    </row>
    <row r="203" spans="1:30" ht="16.5" customHeight="1" x14ac:dyDescent="0.45">
      <c r="A203" s="6" t="s">
        <v>185</v>
      </c>
      <c r="B203" s="7">
        <v>639.45000000000005</v>
      </c>
      <c r="C203" s="8">
        <f>IFERROR(B203/B444, "NA")</f>
        <v>8.8186194299237283E-3</v>
      </c>
      <c r="D203" s="9"/>
      <c r="E203" s="7">
        <v>409.17</v>
      </c>
      <c r="F203" s="8">
        <f>IFERROR(E203/E444, "NA")</f>
        <v>5.9999762446867645E-3</v>
      </c>
      <c r="G203" s="9"/>
      <c r="H203" s="10">
        <f t="shared" si="52"/>
        <v>-230.28000000000003</v>
      </c>
      <c r="I203" s="8">
        <f>IFERROR(H203/H444, "NA")</f>
        <v>-5.3353969342551558E-2</v>
      </c>
      <c r="J203" s="9"/>
      <c r="K203" s="7">
        <v>396.46</v>
      </c>
      <c r="L203" s="8">
        <f>IFERROR(K203/K444, "NA")</f>
        <v>6.0316097366240684E-3</v>
      </c>
      <c r="M203" s="9"/>
      <c r="N203" s="10">
        <f t="shared" si="53"/>
        <v>-242.99000000000007</v>
      </c>
      <c r="O203" s="8">
        <f>IFERROR(N203/N444, "NA")</f>
        <v>-3.5834106329920352E-2</v>
      </c>
      <c r="P203" s="9"/>
      <c r="Q203" s="7">
        <v>639.45000000000005</v>
      </c>
      <c r="R203" s="8">
        <f>IFERROR(Q203/Q444, "NA")</f>
        <v>8.8186194299237283E-3</v>
      </c>
      <c r="S203" s="9"/>
      <c r="T203" s="7">
        <v>409.17</v>
      </c>
      <c r="U203" s="8">
        <f>IFERROR(T203/T444, "NA")</f>
        <v>5.9999762446867645E-3</v>
      </c>
      <c r="V203" s="9"/>
      <c r="W203" s="10">
        <f t="shared" si="54"/>
        <v>-230.28000000000003</v>
      </c>
      <c r="X203" s="8">
        <f>IFERROR(W203/W444, "NA")</f>
        <v>-5.3353969342551558E-2</v>
      </c>
      <c r="Y203" s="9"/>
      <c r="Z203" s="7">
        <v>396.46</v>
      </c>
      <c r="AA203" s="8">
        <f>IFERROR(Z203/Z444, "NA")</f>
        <v>6.0316097366240684E-3</v>
      </c>
      <c r="AB203" s="9"/>
      <c r="AC203" s="10">
        <f t="shared" si="55"/>
        <v>-242.99000000000007</v>
      </c>
      <c r="AD203" s="8">
        <f>IFERROR(AC203/AC444, "NA")</f>
        <v>-3.5834106329920352E-2</v>
      </c>
    </row>
    <row r="204" spans="1:30" ht="16.5" customHeight="1" x14ac:dyDescent="0.45">
      <c r="A204" s="6" t="s">
        <v>186</v>
      </c>
      <c r="B204" s="7">
        <v>22.8</v>
      </c>
      <c r="C204" s="8">
        <f>IFERROR(B204/B444, "NA")</f>
        <v>3.1443353350889204E-4</v>
      </c>
      <c r="D204" s="9"/>
      <c r="E204" s="7">
        <v>136.38999999999999</v>
      </c>
      <c r="F204" s="8">
        <f>IFERROR(E204/E444, "NA")</f>
        <v>1.9999920815622547E-3</v>
      </c>
      <c r="G204" s="9"/>
      <c r="H204" s="10">
        <f t="shared" si="52"/>
        <v>113.58999999999999</v>
      </c>
      <c r="I204" s="8">
        <f>IFERROR(H204/H444, "NA")</f>
        <v>2.6317862504865511E-2</v>
      </c>
      <c r="J204" s="9"/>
      <c r="K204" s="7">
        <v>8.43</v>
      </c>
      <c r="L204" s="8">
        <f>IFERROR(K204/K444, "NA")</f>
        <v>1.282511983043457E-4</v>
      </c>
      <c r="M204" s="9"/>
      <c r="N204" s="10">
        <f t="shared" si="53"/>
        <v>-14.370000000000001</v>
      </c>
      <c r="O204" s="8">
        <f>IFERROR(N204/N444, "NA")</f>
        <v>-2.1191658420550452E-3</v>
      </c>
      <c r="P204" s="9"/>
      <c r="Q204" s="7">
        <v>22.8</v>
      </c>
      <c r="R204" s="8">
        <f>IFERROR(Q204/Q444, "NA")</f>
        <v>3.1443353350889204E-4</v>
      </c>
      <c r="S204" s="9"/>
      <c r="T204" s="7">
        <v>136.38999999999999</v>
      </c>
      <c r="U204" s="8">
        <f>IFERROR(T204/T444, "NA")</f>
        <v>1.9999920815622547E-3</v>
      </c>
      <c r="V204" s="9"/>
      <c r="W204" s="10">
        <f t="shared" si="54"/>
        <v>113.58999999999999</v>
      </c>
      <c r="X204" s="8">
        <f>IFERROR(W204/W444, "NA")</f>
        <v>2.6317862504865511E-2</v>
      </c>
      <c r="Y204" s="9"/>
      <c r="Z204" s="7">
        <v>8.43</v>
      </c>
      <c r="AA204" s="8">
        <f>IFERROR(Z204/Z444, "NA")</f>
        <v>1.282511983043457E-4</v>
      </c>
      <c r="AB204" s="9"/>
      <c r="AC204" s="10">
        <f t="shared" si="55"/>
        <v>-14.370000000000001</v>
      </c>
      <c r="AD204" s="8">
        <f>IFERROR(AC204/AC444, "NA")</f>
        <v>-2.1191658420550452E-3</v>
      </c>
    </row>
    <row r="205" spans="1:30" ht="16.5" customHeight="1" x14ac:dyDescent="0.45">
      <c r="A205" s="6" t="s">
        <v>187</v>
      </c>
      <c r="B205" s="7">
        <v>454.52</v>
      </c>
      <c r="C205" s="8">
        <f>IFERROR(B205/B444, "NA")</f>
        <v>6.2682600723886666E-3</v>
      </c>
      <c r="D205" s="9"/>
      <c r="E205" s="7">
        <v>204.59</v>
      </c>
      <c r="F205" s="8">
        <f>IFERROR(E205/E444, "NA")</f>
        <v>3.0000614412113917E-3</v>
      </c>
      <c r="G205" s="9"/>
      <c r="H205" s="10">
        <f t="shared" si="52"/>
        <v>-249.92999999999998</v>
      </c>
      <c r="I205" s="8">
        <f>IFERROR(H205/H444, "NA")</f>
        <v>-5.7906711645752597E-2</v>
      </c>
      <c r="J205" s="9"/>
      <c r="K205" s="7">
        <v>344.02</v>
      </c>
      <c r="L205" s="8">
        <f>IFERROR(K205/K444, "NA")</f>
        <v>5.2338051293785307E-3</v>
      </c>
      <c r="M205" s="9"/>
      <c r="N205" s="10">
        <f t="shared" si="53"/>
        <v>-110.5</v>
      </c>
      <c r="O205" s="8">
        <f>IFERROR(N205/N444, "NA")</f>
        <v>-1.6295603726310538E-2</v>
      </c>
      <c r="P205" s="9"/>
      <c r="Q205" s="7">
        <v>454.52</v>
      </c>
      <c r="R205" s="8">
        <f>IFERROR(Q205/Q444, "NA")</f>
        <v>6.2682600723886666E-3</v>
      </c>
      <c r="S205" s="9"/>
      <c r="T205" s="7">
        <v>204.59</v>
      </c>
      <c r="U205" s="8">
        <f>IFERROR(T205/T444, "NA")</f>
        <v>3.0000614412113917E-3</v>
      </c>
      <c r="V205" s="9"/>
      <c r="W205" s="10">
        <f t="shared" si="54"/>
        <v>-249.92999999999998</v>
      </c>
      <c r="X205" s="8">
        <f>IFERROR(W205/W444, "NA")</f>
        <v>-5.7906711645752597E-2</v>
      </c>
      <c r="Y205" s="9"/>
      <c r="Z205" s="7">
        <v>344.02</v>
      </c>
      <c r="AA205" s="8">
        <f>IFERROR(Z205/Z444, "NA")</f>
        <v>5.2338051293785307E-3</v>
      </c>
      <c r="AB205" s="9"/>
      <c r="AC205" s="10">
        <f t="shared" si="55"/>
        <v>-110.5</v>
      </c>
      <c r="AD205" s="8">
        <f>IFERROR(AC205/AC444, "NA")</f>
        <v>-1.6295603726310538E-2</v>
      </c>
    </row>
    <row r="206" spans="1:30" ht="16.5" customHeight="1" x14ac:dyDescent="0.45">
      <c r="A206" s="6" t="s">
        <v>188</v>
      </c>
      <c r="B206" s="7">
        <v>65.680000000000007</v>
      </c>
      <c r="C206" s="8">
        <f>IFERROR(B206/B444, "NA")</f>
        <v>9.0578923161684349E-4</v>
      </c>
      <c r="D206" s="9"/>
      <c r="E206" s="7">
        <v>68.2</v>
      </c>
      <c r="F206" s="8">
        <f>IFERROR(E206/E444, "NA")</f>
        <v>1.000069359649137E-3</v>
      </c>
      <c r="G206" s="9"/>
      <c r="H206" s="10">
        <f t="shared" si="52"/>
        <v>2.519999999999996</v>
      </c>
      <c r="I206" s="8">
        <f>IFERROR(H206/H444, "NA")</f>
        <v>5.8386313506700413E-4</v>
      </c>
      <c r="J206" s="9"/>
      <c r="K206" s="7">
        <v>0</v>
      </c>
      <c r="L206" s="8">
        <f>IFERROR(K206/K444, "NA")</f>
        <v>0</v>
      </c>
      <c r="M206" s="9"/>
      <c r="N206" s="10">
        <f t="shared" si="53"/>
        <v>-65.680000000000007</v>
      </c>
      <c r="O206" s="8">
        <f>IFERROR(N206/N444, "NA")</f>
        <v>-9.6859298890866648E-3</v>
      </c>
      <c r="P206" s="9"/>
      <c r="Q206" s="7">
        <v>65.680000000000007</v>
      </c>
      <c r="R206" s="8">
        <f>IFERROR(Q206/Q444, "NA")</f>
        <v>9.0578923161684349E-4</v>
      </c>
      <c r="S206" s="9"/>
      <c r="T206" s="7">
        <v>68.2</v>
      </c>
      <c r="U206" s="8">
        <f>IFERROR(T206/T444, "NA")</f>
        <v>1.000069359649137E-3</v>
      </c>
      <c r="V206" s="9"/>
      <c r="W206" s="10">
        <f t="shared" si="54"/>
        <v>2.519999999999996</v>
      </c>
      <c r="X206" s="8">
        <f>IFERROR(W206/W444, "NA")</f>
        <v>5.8386313506700413E-4</v>
      </c>
      <c r="Y206" s="9"/>
      <c r="Z206" s="7">
        <v>0</v>
      </c>
      <c r="AA206" s="8">
        <f>IFERROR(Z206/Z444, "NA")</f>
        <v>0</v>
      </c>
      <c r="AB206" s="9"/>
      <c r="AC206" s="10">
        <f t="shared" si="55"/>
        <v>-65.680000000000007</v>
      </c>
      <c r="AD206" s="8">
        <f>IFERROR(AC206/AC444, "NA")</f>
        <v>-9.6859298890866648E-3</v>
      </c>
    </row>
    <row r="207" spans="1:30" ht="16.5" customHeight="1" x14ac:dyDescent="0.45">
      <c r="A207" s="6" t="s">
        <v>189</v>
      </c>
      <c r="B207" s="7">
        <v>145.07</v>
      </c>
      <c r="C207" s="8">
        <f>IFERROR(B207/B444, "NA")</f>
        <v>2.0006523116725861E-3</v>
      </c>
      <c r="D207" s="9"/>
      <c r="E207" s="7">
        <v>100</v>
      </c>
      <c r="F207" s="8">
        <f>IFERROR(E207/E444, "NA")</f>
        <v>1.4663773601893504E-3</v>
      </c>
      <c r="G207" s="9"/>
      <c r="H207" s="10">
        <f t="shared" si="52"/>
        <v>-45.069999999999993</v>
      </c>
      <c r="I207" s="8">
        <f>IFERROR(H207/H444, "NA")</f>
        <v>-1.0442345832329331E-2</v>
      </c>
      <c r="J207" s="9"/>
      <c r="K207" s="7">
        <v>99.6</v>
      </c>
      <c r="L207" s="8">
        <f>IFERROR(K207/K444, "NA")</f>
        <v>1.5152810618164689E-3</v>
      </c>
      <c r="M207" s="9"/>
      <c r="N207" s="10">
        <f t="shared" si="53"/>
        <v>-45.47</v>
      </c>
      <c r="O207" s="8">
        <f>IFERROR(N207/N444, "NA")</f>
        <v>-6.7055303297315861E-3</v>
      </c>
      <c r="P207" s="9"/>
      <c r="Q207" s="7">
        <v>145.07</v>
      </c>
      <c r="R207" s="8">
        <f>IFERROR(Q207/Q444, "NA")</f>
        <v>2.0006523116725861E-3</v>
      </c>
      <c r="S207" s="9"/>
      <c r="T207" s="7">
        <v>100</v>
      </c>
      <c r="U207" s="8">
        <f>IFERROR(T207/T444, "NA")</f>
        <v>1.4663773601893504E-3</v>
      </c>
      <c r="V207" s="9"/>
      <c r="W207" s="10">
        <f t="shared" si="54"/>
        <v>-45.069999999999993</v>
      </c>
      <c r="X207" s="8">
        <f>IFERROR(W207/W444, "NA")</f>
        <v>-1.0442345832329331E-2</v>
      </c>
      <c r="Y207" s="9"/>
      <c r="Z207" s="7">
        <v>99.6</v>
      </c>
      <c r="AA207" s="8">
        <f>IFERROR(Z207/Z444, "NA")</f>
        <v>1.5152810618164689E-3</v>
      </c>
      <c r="AB207" s="9"/>
      <c r="AC207" s="10">
        <f t="shared" si="55"/>
        <v>-45.47</v>
      </c>
      <c r="AD207" s="8">
        <f>IFERROR(AC207/AC444, "NA")</f>
        <v>-6.7055303297315861E-3</v>
      </c>
    </row>
    <row r="208" spans="1:30" ht="16.5" customHeight="1" x14ac:dyDescent="0.45">
      <c r="A208" s="6" t="s">
        <v>190</v>
      </c>
      <c r="B208" s="7">
        <v>6.81</v>
      </c>
      <c r="C208" s="8">
        <f>IFERROR(B208/B444, "NA")</f>
        <v>9.3916331719103276E-5</v>
      </c>
      <c r="D208" s="9"/>
      <c r="E208" s="7">
        <v>100</v>
      </c>
      <c r="F208" s="8">
        <f>IFERROR(E208/E444, "NA")</f>
        <v>1.4663773601893504E-3</v>
      </c>
      <c r="G208" s="9"/>
      <c r="H208" s="10">
        <f t="shared" si="52"/>
        <v>93.19</v>
      </c>
      <c r="I208" s="8">
        <f>IFERROR(H208/H444, "NA")</f>
        <v>2.159135141146595E-2</v>
      </c>
      <c r="J208" s="9"/>
      <c r="K208" s="7">
        <v>109.76</v>
      </c>
      <c r="L208" s="8">
        <f>IFERROR(K208/K444, "NA")</f>
        <v>1.6698519010539723E-3</v>
      </c>
      <c r="M208" s="9"/>
      <c r="N208" s="10">
        <f t="shared" si="53"/>
        <v>102.95</v>
      </c>
      <c r="O208" s="8">
        <f>IFERROR(N208/N444, "NA")</f>
        <v>1.5182193697951766E-2</v>
      </c>
      <c r="P208" s="9"/>
      <c r="Q208" s="7">
        <v>6.81</v>
      </c>
      <c r="R208" s="8">
        <f>IFERROR(Q208/Q444, "NA")</f>
        <v>9.3916331719103276E-5</v>
      </c>
      <c r="S208" s="9"/>
      <c r="T208" s="7">
        <v>100</v>
      </c>
      <c r="U208" s="8">
        <f>IFERROR(T208/T444, "NA")</f>
        <v>1.4663773601893504E-3</v>
      </c>
      <c r="V208" s="9"/>
      <c r="W208" s="10">
        <f t="shared" si="54"/>
        <v>93.19</v>
      </c>
      <c r="X208" s="8">
        <f>IFERROR(W208/W444, "NA")</f>
        <v>2.159135141146595E-2</v>
      </c>
      <c r="Y208" s="9"/>
      <c r="Z208" s="7">
        <v>109.76</v>
      </c>
      <c r="AA208" s="8">
        <f>IFERROR(Z208/Z444, "NA")</f>
        <v>1.6698519010539723E-3</v>
      </c>
      <c r="AB208" s="9"/>
      <c r="AC208" s="10">
        <f t="shared" si="55"/>
        <v>102.95</v>
      </c>
      <c r="AD208" s="8">
        <f>IFERROR(AC208/AC444, "NA")</f>
        <v>1.5182193697951766E-2</v>
      </c>
    </row>
    <row r="209" spans="1:30" ht="16.5" customHeight="1" x14ac:dyDescent="0.45">
      <c r="A209" s="19" t="s">
        <v>191</v>
      </c>
      <c r="B209" s="14">
        <f>IFERROR(B201+B202+B203+B204+B205+B206+B207+B208, "NA")</f>
        <v>2106.0100000000002</v>
      </c>
      <c r="C209" s="15">
        <f>IFERROR(B209/B444, "NA")</f>
        <v>2.9043866925660605E-2</v>
      </c>
      <c r="D209" s="2"/>
      <c r="E209" s="14">
        <f>IFERROR(E201+E202+E203+E204+E205+E206+E207+E208, "NA")</f>
        <v>1632.1100000000001</v>
      </c>
      <c r="F209" s="15">
        <f>IFERROR(E209/E444, "NA")</f>
        <v>2.3932891533386406E-2</v>
      </c>
      <c r="G209" s="2"/>
      <c r="H209" s="14">
        <f t="shared" si="52"/>
        <v>-473.90000000000009</v>
      </c>
      <c r="I209" s="15">
        <f>IFERROR(H209/H444, "NA")</f>
        <v>-0.10979870623343402</v>
      </c>
      <c r="J209" s="2"/>
      <c r="K209" s="14">
        <f>IFERROR(K201+K202+K203+K204+K205+K206+K207+K208, "NA")</f>
        <v>1778.4499999999998</v>
      </c>
      <c r="L209" s="15">
        <f>IFERROR(K209/K444, "NA")</f>
        <v>2.7056743015938745E-2</v>
      </c>
      <c r="M209" s="2"/>
      <c r="N209" s="14">
        <f t="shared" si="53"/>
        <v>-327.5600000000004</v>
      </c>
      <c r="O209" s="15">
        <f>IFERROR(N209/N444, "NA")</f>
        <v>-4.830577336280803E-2</v>
      </c>
      <c r="P209" s="2"/>
      <c r="Q209" s="14">
        <f>IFERROR(Q201+Q202+Q203+Q204+Q205+Q206+Q207+Q208, "NA")</f>
        <v>2106.0100000000002</v>
      </c>
      <c r="R209" s="15">
        <f>IFERROR(Q209/Q444, "NA")</f>
        <v>2.9043866925660605E-2</v>
      </c>
      <c r="S209" s="2"/>
      <c r="T209" s="14">
        <f>IFERROR(T201+T202+T203+T204+T205+T206+T207+T208, "NA")</f>
        <v>1632.1100000000001</v>
      </c>
      <c r="U209" s="15">
        <f>IFERROR(T209/T444, "NA")</f>
        <v>2.3932891533386406E-2</v>
      </c>
      <c r="V209" s="2"/>
      <c r="W209" s="14">
        <f t="shared" si="54"/>
        <v>-473.90000000000009</v>
      </c>
      <c r="X209" s="15">
        <f>IFERROR(W209/W444, "NA")</f>
        <v>-0.10979870623343402</v>
      </c>
      <c r="Y209" s="2"/>
      <c r="Z209" s="14">
        <f>IFERROR(Z201+Z202+Z203+Z204+Z205+Z206+Z207+Z208, "NA")</f>
        <v>1778.4499999999998</v>
      </c>
      <c r="AA209" s="15">
        <f>IFERROR(Z209/Z444, "NA")</f>
        <v>2.7056743015938745E-2</v>
      </c>
      <c r="AB209" s="2"/>
      <c r="AC209" s="14">
        <f t="shared" si="55"/>
        <v>-327.5600000000004</v>
      </c>
      <c r="AD209" s="15">
        <f>IFERROR(AC209/AC444, "NA")</f>
        <v>-4.830577336280803E-2</v>
      </c>
    </row>
    <row r="210" spans="1:30" ht="16.5" customHeight="1" x14ac:dyDescent="0.45">
      <c r="A210" s="5" t="s">
        <v>192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45">
      <c r="A211" s="6" t="s">
        <v>192</v>
      </c>
      <c r="B211" s="7">
        <v>0</v>
      </c>
      <c r="C211" s="8">
        <f>IFERROR(B211/B444, "NA")</f>
        <v>0</v>
      </c>
      <c r="D211" s="9"/>
      <c r="E211" s="7">
        <v>0</v>
      </c>
      <c r="F211" s="8">
        <f>IFERROR(E211/E444, "NA")</f>
        <v>0</v>
      </c>
      <c r="G211" s="9"/>
      <c r="H211" s="10">
        <f>IFERROR(-(B211-E211), "NA")</f>
        <v>0</v>
      </c>
      <c r="I211" s="8">
        <f>IFERROR(H211/H444, "NA")</f>
        <v>0</v>
      </c>
      <c r="J211" s="9"/>
      <c r="K211" s="7">
        <v>0</v>
      </c>
      <c r="L211" s="8">
        <f>IFERROR(K211/K444, "NA")</f>
        <v>0</v>
      </c>
      <c r="M211" s="9"/>
      <c r="N211" s="10">
        <f>IFERROR(-(B211-K211), "NA")</f>
        <v>0</v>
      </c>
      <c r="O211" s="8">
        <f>IFERROR(N211/N444, "NA")</f>
        <v>0</v>
      </c>
      <c r="P211" s="9"/>
      <c r="Q211" s="7">
        <v>0</v>
      </c>
      <c r="R211" s="8">
        <f>IFERROR(Q211/Q444, "NA")</f>
        <v>0</v>
      </c>
      <c r="S211" s="9"/>
      <c r="T211" s="7">
        <v>0</v>
      </c>
      <c r="U211" s="8">
        <f>IFERROR(T211/T444, "NA")</f>
        <v>0</v>
      </c>
      <c r="V211" s="9"/>
      <c r="W211" s="10">
        <f>IFERROR(-(Q211-T211), "NA")</f>
        <v>0</v>
      </c>
      <c r="X211" s="8">
        <f>IFERROR(W211/W444, "NA")</f>
        <v>0</v>
      </c>
      <c r="Y211" s="9"/>
      <c r="Z211" s="7">
        <v>0</v>
      </c>
      <c r="AA211" s="8">
        <f>IFERROR(Z211/Z444, "NA")</f>
        <v>0</v>
      </c>
      <c r="AB211" s="9"/>
      <c r="AC211" s="10">
        <f>IFERROR(-(Q211-Z211), "NA")</f>
        <v>0</v>
      </c>
      <c r="AD211" s="8">
        <f>IFERROR(AC211/AC444, "NA")</f>
        <v>0</v>
      </c>
    </row>
    <row r="212" spans="1:30" ht="16.5" customHeight="1" x14ac:dyDescent="0.45">
      <c r="A212" s="11" t="s">
        <v>193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45">
      <c r="A213" s="12" t="s">
        <v>193</v>
      </c>
      <c r="B213" s="7">
        <v>0</v>
      </c>
      <c r="C213" s="8">
        <f>IFERROR(B213/B444, "NA")</f>
        <v>0</v>
      </c>
      <c r="D213" s="9"/>
      <c r="E213" s="7">
        <v>2796.01</v>
      </c>
      <c r="F213" s="8">
        <f>IFERROR(E213/E444, "NA")</f>
        <v>4.1000057628630258E-2</v>
      </c>
      <c r="G213" s="9"/>
      <c r="H213" s="10">
        <f t="shared" ref="H213:H227" si="56">IFERROR(-(B213-E213), "NA")</f>
        <v>2796.01</v>
      </c>
      <c r="I213" s="8">
        <f>IFERROR(H213/H444, "NA")</f>
        <v>0.64781236677726062</v>
      </c>
      <c r="J213" s="9"/>
      <c r="K213" s="7">
        <v>0</v>
      </c>
      <c r="L213" s="8">
        <f>IFERROR(K213/K444, "NA")</f>
        <v>0</v>
      </c>
      <c r="M213" s="9"/>
      <c r="N213" s="10">
        <f t="shared" ref="N213:N227" si="57">IFERROR(-(B213-K213), "NA")</f>
        <v>0</v>
      </c>
      <c r="O213" s="8">
        <f>IFERROR(N213/N444, "NA")</f>
        <v>0</v>
      </c>
      <c r="P213" s="9"/>
      <c r="Q213" s="7">
        <v>0</v>
      </c>
      <c r="R213" s="8">
        <f>IFERROR(Q213/Q444, "NA")</f>
        <v>0</v>
      </c>
      <c r="S213" s="9"/>
      <c r="T213" s="7">
        <v>2796.01</v>
      </c>
      <c r="U213" s="8">
        <f>IFERROR(T213/T444, "NA")</f>
        <v>4.1000057628630258E-2</v>
      </c>
      <c r="V213" s="9"/>
      <c r="W213" s="10">
        <f t="shared" ref="W213:W227" si="58">IFERROR(-(Q213-T213), "NA")</f>
        <v>2796.01</v>
      </c>
      <c r="X213" s="8">
        <f>IFERROR(W213/W444, "NA")</f>
        <v>0.64781236677726062</v>
      </c>
      <c r="Y213" s="9"/>
      <c r="Z213" s="7">
        <v>0</v>
      </c>
      <c r="AA213" s="8">
        <f>IFERROR(Z213/Z444, "NA")</f>
        <v>0</v>
      </c>
      <c r="AB213" s="9"/>
      <c r="AC213" s="10">
        <f t="shared" ref="AC213:AC227" si="59">IFERROR(-(Q213-Z213), "NA")</f>
        <v>0</v>
      </c>
      <c r="AD213" s="8">
        <f>IFERROR(AC213/AC444, "NA")</f>
        <v>0</v>
      </c>
    </row>
    <row r="214" spans="1:30" ht="16.5" customHeight="1" x14ac:dyDescent="0.45">
      <c r="A214" s="12" t="s">
        <v>194</v>
      </c>
      <c r="B214" s="7">
        <v>1559.51</v>
      </c>
      <c r="C214" s="8">
        <f>IFERROR(B214/B444, "NA")</f>
        <v>2.1507115782563695E-2</v>
      </c>
      <c r="D214" s="9"/>
      <c r="E214" s="7">
        <v>0</v>
      </c>
      <c r="F214" s="8">
        <f>IFERROR(E214/E444, "NA")</f>
        <v>0</v>
      </c>
      <c r="G214" s="9"/>
      <c r="H214" s="10">
        <f t="shared" si="56"/>
        <v>-1559.51</v>
      </c>
      <c r="I214" s="8">
        <f>IFERROR(H214/H444, "NA")</f>
        <v>-0.36132555466997818</v>
      </c>
      <c r="J214" s="9"/>
      <c r="K214" s="7">
        <v>2527.11</v>
      </c>
      <c r="L214" s="8">
        <f>IFERROR(K214/K444, "NA")</f>
        <v>3.8446605663925874E-2</v>
      </c>
      <c r="M214" s="9"/>
      <c r="N214" s="10">
        <f t="shared" si="57"/>
        <v>967.60000000000014</v>
      </c>
      <c r="O214" s="8">
        <f>IFERROR(N214/N444, "NA")</f>
        <v>0.14269344946224508</v>
      </c>
      <c r="P214" s="9"/>
      <c r="Q214" s="7">
        <v>1559.51</v>
      </c>
      <c r="R214" s="8">
        <f>IFERROR(Q214/Q444, "NA")</f>
        <v>2.1507115782563695E-2</v>
      </c>
      <c r="S214" s="9"/>
      <c r="T214" s="7">
        <v>0</v>
      </c>
      <c r="U214" s="8">
        <f>IFERROR(T214/T444, "NA")</f>
        <v>0</v>
      </c>
      <c r="V214" s="9"/>
      <c r="W214" s="10">
        <f t="shared" si="58"/>
        <v>-1559.51</v>
      </c>
      <c r="X214" s="8">
        <f>IFERROR(W214/W444, "NA")</f>
        <v>-0.36132555466997818</v>
      </c>
      <c r="Y214" s="9"/>
      <c r="Z214" s="7">
        <v>2527.11</v>
      </c>
      <c r="AA214" s="8">
        <f>IFERROR(Z214/Z444, "NA")</f>
        <v>3.8446605663925874E-2</v>
      </c>
      <c r="AB214" s="9"/>
      <c r="AC214" s="10">
        <f t="shared" si="59"/>
        <v>967.60000000000014</v>
      </c>
      <c r="AD214" s="8">
        <f>IFERROR(AC214/AC444, "NA")</f>
        <v>0.14269344946224508</v>
      </c>
    </row>
    <row r="215" spans="1:30" ht="16.5" customHeight="1" x14ac:dyDescent="0.45">
      <c r="A215" s="12" t="s">
        <v>195</v>
      </c>
      <c r="B215" s="7">
        <v>502.73</v>
      </c>
      <c r="C215" s="8">
        <f>IFERROR(B215/B444, "NA")</f>
        <v>6.9331215044265478E-3</v>
      </c>
      <c r="D215" s="9"/>
      <c r="E215" s="7">
        <v>0</v>
      </c>
      <c r="F215" s="8">
        <f>IFERROR(E215/E444, "NA")</f>
        <v>0</v>
      </c>
      <c r="G215" s="9"/>
      <c r="H215" s="10">
        <f t="shared" si="56"/>
        <v>-502.73</v>
      </c>
      <c r="I215" s="8">
        <f>IFERROR(H215/H444, "NA")</f>
        <v>-0.11647837852866486</v>
      </c>
      <c r="J215" s="9"/>
      <c r="K215" s="7">
        <v>0</v>
      </c>
      <c r="L215" s="8">
        <f>IFERROR(K215/K444, "NA")</f>
        <v>0</v>
      </c>
      <c r="M215" s="9"/>
      <c r="N215" s="10">
        <f t="shared" si="57"/>
        <v>-502.73</v>
      </c>
      <c r="O215" s="8">
        <f>IFERROR(N215/N444, "NA")</f>
        <v>-7.4138360736000886E-2</v>
      </c>
      <c r="P215" s="9"/>
      <c r="Q215" s="7">
        <v>502.73</v>
      </c>
      <c r="R215" s="8">
        <f>IFERROR(Q215/Q444, "NA")</f>
        <v>6.9331215044265478E-3</v>
      </c>
      <c r="S215" s="9"/>
      <c r="T215" s="7">
        <v>0</v>
      </c>
      <c r="U215" s="8">
        <f>IFERROR(T215/T444, "NA")</f>
        <v>0</v>
      </c>
      <c r="V215" s="9"/>
      <c r="W215" s="10">
        <f t="shared" si="58"/>
        <v>-502.73</v>
      </c>
      <c r="X215" s="8">
        <f>IFERROR(W215/W444, "NA")</f>
        <v>-0.11647837852866486</v>
      </c>
      <c r="Y215" s="9"/>
      <c r="Z215" s="7">
        <v>0</v>
      </c>
      <c r="AA215" s="8">
        <f>IFERROR(Z215/Z444, "NA")</f>
        <v>0</v>
      </c>
      <c r="AB215" s="9"/>
      <c r="AC215" s="10">
        <f t="shared" si="59"/>
        <v>-502.73</v>
      </c>
      <c r="AD215" s="8">
        <f>IFERROR(AC215/AC444, "NA")</f>
        <v>-7.4138360736000886E-2</v>
      </c>
    </row>
    <row r="216" spans="1:30" ht="16.5" hidden="1" customHeight="1" x14ac:dyDescent="0.45">
      <c r="A216" s="12" t="s">
        <v>196</v>
      </c>
      <c r="B216" s="7">
        <v>0</v>
      </c>
      <c r="C216" s="8">
        <f>IFERROR(B216/B444, "NA")</f>
        <v>0</v>
      </c>
      <c r="D216" s="9"/>
      <c r="E216" s="7">
        <v>0</v>
      </c>
      <c r="F216" s="8">
        <f>IFERROR(E216/E444, "NA")</f>
        <v>0</v>
      </c>
      <c r="G216" s="9"/>
      <c r="H216" s="10">
        <f t="shared" si="56"/>
        <v>0</v>
      </c>
      <c r="I216" s="8">
        <f>IFERROR(H216/H444, "NA")</f>
        <v>0</v>
      </c>
      <c r="J216" s="9"/>
      <c r="K216" s="7">
        <v>0</v>
      </c>
      <c r="L216" s="8">
        <f>IFERROR(K216/K444, "NA")</f>
        <v>0</v>
      </c>
      <c r="M216" s="9"/>
      <c r="N216" s="10">
        <f t="shared" si="57"/>
        <v>0</v>
      </c>
      <c r="O216" s="8">
        <f>IFERROR(N216/N444, "NA")</f>
        <v>0</v>
      </c>
      <c r="P216" s="9"/>
      <c r="Q216" s="7">
        <v>0</v>
      </c>
      <c r="R216" s="8">
        <f>IFERROR(Q216/Q444, "NA")</f>
        <v>0</v>
      </c>
      <c r="S216" s="9"/>
      <c r="T216" s="7">
        <v>0</v>
      </c>
      <c r="U216" s="8">
        <f>IFERROR(T216/T444, "NA")</f>
        <v>0</v>
      </c>
      <c r="V216" s="9"/>
      <c r="W216" s="10">
        <f t="shared" si="58"/>
        <v>0</v>
      </c>
      <c r="X216" s="8">
        <f>IFERROR(W216/W444, "NA")</f>
        <v>0</v>
      </c>
      <c r="Y216" s="9"/>
      <c r="Z216" s="7">
        <v>0</v>
      </c>
      <c r="AA216" s="8">
        <f>IFERROR(Z216/Z444, "NA")</f>
        <v>0</v>
      </c>
      <c r="AB216" s="9"/>
      <c r="AC216" s="10">
        <f t="shared" si="59"/>
        <v>0</v>
      </c>
      <c r="AD216" s="8">
        <f>IFERROR(AC216/AC444, "NA")</f>
        <v>0</v>
      </c>
    </row>
    <row r="217" spans="1:30" ht="16.5" customHeight="1" x14ac:dyDescent="0.45">
      <c r="A217" s="12" t="s">
        <v>197</v>
      </c>
      <c r="B217" s="7">
        <v>854.31</v>
      </c>
      <c r="C217" s="8">
        <f>IFERROR(B217/B444, "NA")</f>
        <v>1.178174175491147E-2</v>
      </c>
      <c r="D217" s="9"/>
      <c r="E217" s="7">
        <v>0</v>
      </c>
      <c r="F217" s="8">
        <f>IFERROR(E217/E444, "NA")</f>
        <v>0</v>
      </c>
      <c r="G217" s="9"/>
      <c r="H217" s="10">
        <f t="shared" si="56"/>
        <v>-854.31</v>
      </c>
      <c r="I217" s="8">
        <f>IFERROR(H217/H444, "NA")</f>
        <v>-0.19793655353932263</v>
      </c>
      <c r="J217" s="9"/>
      <c r="K217" s="7">
        <v>2688</v>
      </c>
      <c r="L217" s="8">
        <f>IFERROR(K217/K444, "NA")</f>
        <v>4.0894332270709523E-2</v>
      </c>
      <c r="M217" s="9"/>
      <c r="N217" s="10">
        <f t="shared" si="57"/>
        <v>1833.69</v>
      </c>
      <c r="O217" s="8">
        <f>IFERROR(N217/N444, "NA")</f>
        <v>0.27041706422532463</v>
      </c>
      <c r="P217" s="9"/>
      <c r="Q217" s="7">
        <v>854.31</v>
      </c>
      <c r="R217" s="8">
        <f>IFERROR(Q217/Q444, "NA")</f>
        <v>1.178174175491147E-2</v>
      </c>
      <c r="S217" s="9"/>
      <c r="T217" s="7">
        <v>0</v>
      </c>
      <c r="U217" s="8">
        <f>IFERROR(T217/T444, "NA")</f>
        <v>0</v>
      </c>
      <c r="V217" s="9"/>
      <c r="W217" s="10">
        <f t="shared" si="58"/>
        <v>-854.31</v>
      </c>
      <c r="X217" s="8">
        <f>IFERROR(W217/W444, "NA")</f>
        <v>-0.19793655353932263</v>
      </c>
      <c r="Y217" s="9"/>
      <c r="Z217" s="7">
        <v>2688</v>
      </c>
      <c r="AA217" s="8">
        <f>IFERROR(Z217/Z444, "NA")</f>
        <v>4.0894332270709523E-2</v>
      </c>
      <c r="AB217" s="9"/>
      <c r="AC217" s="10">
        <f t="shared" si="59"/>
        <v>1833.69</v>
      </c>
      <c r="AD217" s="8">
        <f>IFERROR(AC217/AC444, "NA")</f>
        <v>0.27041706422532463</v>
      </c>
    </row>
    <row r="218" spans="1:30" ht="16.5" customHeight="1" x14ac:dyDescent="0.45">
      <c r="A218" s="13" t="s">
        <v>198</v>
      </c>
      <c r="B218" s="14">
        <f>IFERROR(B213+B214+B215+B216+B217, "NA")</f>
        <v>2916.5499999999997</v>
      </c>
      <c r="C218" s="15">
        <f>IFERROR(B218/B444, "NA")</f>
        <v>4.0221979041901709E-2</v>
      </c>
      <c r="D218" s="2"/>
      <c r="E218" s="14">
        <f>IFERROR(E213+E214+E215+E216+E217, "NA")</f>
        <v>2796.01</v>
      </c>
      <c r="F218" s="15">
        <f>IFERROR(E218/E444, "NA")</f>
        <v>4.1000057628630258E-2</v>
      </c>
      <c r="G218" s="2"/>
      <c r="H218" s="14">
        <f t="shared" si="56"/>
        <v>-120.53999999999951</v>
      </c>
      <c r="I218" s="15">
        <f>IFERROR(H218/H444, "NA")</f>
        <v>-2.7928119960704958E-2</v>
      </c>
      <c r="J218" s="2"/>
      <c r="K218" s="14">
        <f>IFERROR(K213+K214+K215+K216+K217, "NA")</f>
        <v>5215.1100000000006</v>
      </c>
      <c r="L218" s="15">
        <f>IFERROR(K218/K444, "NA")</f>
        <v>7.9340937934635397E-2</v>
      </c>
      <c r="M218" s="2"/>
      <c r="N218" s="14">
        <f t="shared" si="57"/>
        <v>2298.5600000000009</v>
      </c>
      <c r="O218" s="15">
        <f>IFERROR(N218/N444, "NA")</f>
        <v>0.33897215295156896</v>
      </c>
      <c r="P218" s="2"/>
      <c r="Q218" s="14">
        <f>IFERROR(Q213+Q214+Q215+Q216+Q217, "NA")</f>
        <v>2916.5499999999997</v>
      </c>
      <c r="R218" s="15">
        <f>IFERROR(Q218/Q444, "NA")</f>
        <v>4.0221979041901709E-2</v>
      </c>
      <c r="S218" s="2"/>
      <c r="T218" s="14">
        <f>IFERROR(T213+T214+T215+T216+T217, "NA")</f>
        <v>2796.01</v>
      </c>
      <c r="U218" s="15">
        <f>IFERROR(T218/T444, "NA")</f>
        <v>4.1000057628630258E-2</v>
      </c>
      <c r="V218" s="2"/>
      <c r="W218" s="14">
        <f t="shared" si="58"/>
        <v>-120.53999999999951</v>
      </c>
      <c r="X218" s="15">
        <f>IFERROR(W218/W444, "NA")</f>
        <v>-2.7928119960704958E-2</v>
      </c>
      <c r="Y218" s="2"/>
      <c r="Z218" s="14">
        <f>IFERROR(Z213+Z214+Z215+Z216+Z217, "NA")</f>
        <v>5215.1100000000006</v>
      </c>
      <c r="AA218" s="15">
        <f>IFERROR(Z218/Z444, "NA")</f>
        <v>7.9340937934635397E-2</v>
      </c>
      <c r="AB218" s="2"/>
      <c r="AC218" s="14">
        <f t="shared" si="59"/>
        <v>2298.5600000000009</v>
      </c>
      <c r="AD218" s="15">
        <f>IFERROR(AC218/AC444, "NA")</f>
        <v>0.33897215295156896</v>
      </c>
    </row>
    <row r="219" spans="1:30" ht="16.5" hidden="1" customHeight="1" x14ac:dyDescent="0.45">
      <c r="A219" s="6" t="s">
        <v>199</v>
      </c>
      <c r="B219" s="7">
        <v>0</v>
      </c>
      <c r="C219" s="8">
        <f>IFERROR(B219/B444, "NA")</f>
        <v>0</v>
      </c>
      <c r="D219" s="9"/>
      <c r="E219" s="7">
        <v>0</v>
      </c>
      <c r="F219" s="8">
        <f>IFERROR(E219/E444, "NA")</f>
        <v>0</v>
      </c>
      <c r="G219" s="9"/>
      <c r="H219" s="10">
        <f t="shared" si="56"/>
        <v>0</v>
      </c>
      <c r="I219" s="8">
        <f>IFERROR(H219/H444, "NA")</f>
        <v>0</v>
      </c>
      <c r="J219" s="9"/>
      <c r="K219" s="7">
        <v>0</v>
      </c>
      <c r="L219" s="8">
        <f>IFERROR(K219/K444, "NA")</f>
        <v>0</v>
      </c>
      <c r="M219" s="9"/>
      <c r="N219" s="10">
        <f t="shared" si="57"/>
        <v>0</v>
      </c>
      <c r="O219" s="8">
        <f>IFERROR(N219/N444, "NA")</f>
        <v>0</v>
      </c>
      <c r="P219" s="9"/>
      <c r="Q219" s="7">
        <v>0</v>
      </c>
      <c r="R219" s="8">
        <f>IFERROR(Q219/Q444, "NA")</f>
        <v>0</v>
      </c>
      <c r="S219" s="9"/>
      <c r="T219" s="7">
        <v>0</v>
      </c>
      <c r="U219" s="8">
        <f>IFERROR(T219/T444, "NA")</f>
        <v>0</v>
      </c>
      <c r="V219" s="9"/>
      <c r="W219" s="10">
        <f t="shared" si="58"/>
        <v>0</v>
      </c>
      <c r="X219" s="8">
        <f>IFERROR(W219/W444, "NA")</f>
        <v>0</v>
      </c>
      <c r="Y219" s="9"/>
      <c r="Z219" s="7">
        <v>0</v>
      </c>
      <c r="AA219" s="8">
        <f>IFERROR(Z219/Z444, "NA")</f>
        <v>0</v>
      </c>
      <c r="AB219" s="9"/>
      <c r="AC219" s="10">
        <f t="shared" si="59"/>
        <v>0</v>
      </c>
      <c r="AD219" s="8">
        <f>IFERROR(AC219/AC444, "NA")</f>
        <v>0</v>
      </c>
    </row>
    <row r="220" spans="1:30" ht="16.5" hidden="1" customHeight="1" x14ac:dyDescent="0.45">
      <c r="A220" s="6" t="s">
        <v>200</v>
      </c>
      <c r="B220" s="7">
        <v>0</v>
      </c>
      <c r="C220" s="8">
        <f>IFERROR(B220/B444, "NA")</f>
        <v>0</v>
      </c>
      <c r="D220" s="9"/>
      <c r="E220" s="7">
        <v>0</v>
      </c>
      <c r="F220" s="8">
        <f>IFERROR(E220/E444, "NA")</f>
        <v>0</v>
      </c>
      <c r="G220" s="9"/>
      <c r="H220" s="10">
        <f t="shared" si="56"/>
        <v>0</v>
      </c>
      <c r="I220" s="8">
        <f>IFERROR(H220/H444, "NA")</f>
        <v>0</v>
      </c>
      <c r="J220" s="9"/>
      <c r="K220" s="7">
        <v>0</v>
      </c>
      <c r="L220" s="8">
        <f>IFERROR(K220/K444, "NA")</f>
        <v>0</v>
      </c>
      <c r="M220" s="9"/>
      <c r="N220" s="10">
        <f t="shared" si="57"/>
        <v>0</v>
      </c>
      <c r="O220" s="8">
        <f>IFERROR(N220/N444, "NA")</f>
        <v>0</v>
      </c>
      <c r="P220" s="9"/>
      <c r="Q220" s="7">
        <v>0</v>
      </c>
      <c r="R220" s="8">
        <f>IFERROR(Q220/Q444, "NA")</f>
        <v>0</v>
      </c>
      <c r="S220" s="9"/>
      <c r="T220" s="7">
        <v>0</v>
      </c>
      <c r="U220" s="8">
        <f>IFERROR(T220/T444, "NA")</f>
        <v>0</v>
      </c>
      <c r="V220" s="9"/>
      <c r="W220" s="10">
        <f t="shared" si="58"/>
        <v>0</v>
      </c>
      <c r="X220" s="8">
        <f>IFERROR(W220/W444, "NA")</f>
        <v>0</v>
      </c>
      <c r="Y220" s="9"/>
      <c r="Z220" s="7">
        <v>0</v>
      </c>
      <c r="AA220" s="8">
        <f>IFERROR(Z220/Z444, "NA")</f>
        <v>0</v>
      </c>
      <c r="AB220" s="9"/>
      <c r="AC220" s="10">
        <f t="shared" si="59"/>
        <v>0</v>
      </c>
      <c r="AD220" s="8">
        <f>IFERROR(AC220/AC444, "NA")</f>
        <v>0</v>
      </c>
    </row>
    <row r="221" spans="1:30" ht="16.5" hidden="1" customHeight="1" x14ac:dyDescent="0.45">
      <c r="A221" s="6" t="s">
        <v>201</v>
      </c>
      <c r="B221" s="7">
        <v>0</v>
      </c>
      <c r="C221" s="8">
        <f>IFERROR(B221/B444, "NA")</f>
        <v>0</v>
      </c>
      <c r="D221" s="9"/>
      <c r="E221" s="7">
        <v>0</v>
      </c>
      <c r="F221" s="8">
        <f>IFERROR(E221/E444, "NA")</f>
        <v>0</v>
      </c>
      <c r="G221" s="9"/>
      <c r="H221" s="10">
        <f t="shared" si="56"/>
        <v>0</v>
      </c>
      <c r="I221" s="8">
        <f>IFERROR(H221/H444, "NA")</f>
        <v>0</v>
      </c>
      <c r="J221" s="9"/>
      <c r="K221" s="7">
        <v>0</v>
      </c>
      <c r="L221" s="8">
        <f>IFERROR(K221/K444, "NA")</f>
        <v>0</v>
      </c>
      <c r="M221" s="9"/>
      <c r="N221" s="10">
        <f t="shared" si="57"/>
        <v>0</v>
      </c>
      <c r="O221" s="8">
        <f>IFERROR(N221/N444, "NA")</f>
        <v>0</v>
      </c>
      <c r="P221" s="9"/>
      <c r="Q221" s="7">
        <v>0</v>
      </c>
      <c r="R221" s="8">
        <f>IFERROR(Q221/Q444, "NA")</f>
        <v>0</v>
      </c>
      <c r="S221" s="9"/>
      <c r="T221" s="7">
        <v>0</v>
      </c>
      <c r="U221" s="8">
        <f>IFERROR(T221/T444, "NA")</f>
        <v>0</v>
      </c>
      <c r="V221" s="9"/>
      <c r="W221" s="10">
        <f t="shared" si="58"/>
        <v>0</v>
      </c>
      <c r="X221" s="8">
        <f>IFERROR(W221/W444, "NA")</f>
        <v>0</v>
      </c>
      <c r="Y221" s="9"/>
      <c r="Z221" s="7">
        <v>0</v>
      </c>
      <c r="AA221" s="8">
        <f>IFERROR(Z221/Z444, "NA")</f>
        <v>0</v>
      </c>
      <c r="AB221" s="9"/>
      <c r="AC221" s="10">
        <f t="shared" si="59"/>
        <v>0</v>
      </c>
      <c r="AD221" s="8">
        <f>IFERROR(AC221/AC444, "NA")</f>
        <v>0</v>
      </c>
    </row>
    <row r="222" spans="1:30" ht="16.5" customHeight="1" x14ac:dyDescent="0.45">
      <c r="A222" s="6" t="s">
        <v>202</v>
      </c>
      <c r="B222" s="7">
        <v>0</v>
      </c>
      <c r="C222" s="8">
        <f>IFERROR(B222/B444, "NA")</f>
        <v>0</v>
      </c>
      <c r="D222" s="9"/>
      <c r="E222" s="7">
        <v>100</v>
      </c>
      <c r="F222" s="8">
        <f>IFERROR(E222/E444, "NA")</f>
        <v>1.4663773601893504E-3</v>
      </c>
      <c r="G222" s="9"/>
      <c r="H222" s="10">
        <f t="shared" si="56"/>
        <v>100</v>
      </c>
      <c r="I222" s="8">
        <f>IFERROR(H222/H444, "NA")</f>
        <v>2.3169172026468454E-2</v>
      </c>
      <c r="J222" s="9"/>
      <c r="K222" s="7">
        <v>0</v>
      </c>
      <c r="L222" s="8">
        <f>IFERROR(K222/K444, "NA")</f>
        <v>0</v>
      </c>
      <c r="M222" s="9"/>
      <c r="N222" s="10">
        <f t="shared" si="57"/>
        <v>0</v>
      </c>
      <c r="O222" s="8">
        <f>IFERROR(N222/N444, "NA")</f>
        <v>0</v>
      </c>
      <c r="P222" s="9"/>
      <c r="Q222" s="7">
        <v>0</v>
      </c>
      <c r="R222" s="8">
        <f>IFERROR(Q222/Q444, "NA")</f>
        <v>0</v>
      </c>
      <c r="S222" s="9"/>
      <c r="T222" s="7">
        <v>100</v>
      </c>
      <c r="U222" s="8">
        <f>IFERROR(T222/T444, "NA")</f>
        <v>1.4663773601893504E-3</v>
      </c>
      <c r="V222" s="9"/>
      <c r="W222" s="10">
        <f t="shared" si="58"/>
        <v>100</v>
      </c>
      <c r="X222" s="8">
        <f>IFERROR(W222/W444, "NA")</f>
        <v>2.3169172026468454E-2</v>
      </c>
      <c r="Y222" s="9"/>
      <c r="Z222" s="7">
        <v>0</v>
      </c>
      <c r="AA222" s="8">
        <f>IFERROR(Z222/Z444, "NA")</f>
        <v>0</v>
      </c>
      <c r="AB222" s="9"/>
      <c r="AC222" s="10">
        <f t="shared" si="59"/>
        <v>0</v>
      </c>
      <c r="AD222" s="8">
        <f>IFERROR(AC222/AC444, "NA")</f>
        <v>0</v>
      </c>
    </row>
    <row r="223" spans="1:30" ht="16.5" hidden="1" customHeight="1" x14ac:dyDescent="0.45">
      <c r="A223" s="6" t="s">
        <v>203</v>
      </c>
      <c r="B223" s="7">
        <v>0</v>
      </c>
      <c r="C223" s="8">
        <f>IFERROR(B223/B444, "NA")</f>
        <v>0</v>
      </c>
      <c r="D223" s="9"/>
      <c r="E223" s="7">
        <v>0</v>
      </c>
      <c r="F223" s="8">
        <f>IFERROR(E223/E444, "NA")</f>
        <v>0</v>
      </c>
      <c r="G223" s="9"/>
      <c r="H223" s="10">
        <f t="shared" si="56"/>
        <v>0</v>
      </c>
      <c r="I223" s="8">
        <f>IFERROR(H223/H444, "NA")</f>
        <v>0</v>
      </c>
      <c r="J223" s="9"/>
      <c r="K223" s="7">
        <v>0</v>
      </c>
      <c r="L223" s="8">
        <f>IFERROR(K223/K444, "NA")</f>
        <v>0</v>
      </c>
      <c r="M223" s="9"/>
      <c r="N223" s="10">
        <f t="shared" si="57"/>
        <v>0</v>
      </c>
      <c r="O223" s="8">
        <f>IFERROR(N223/N444, "NA")</f>
        <v>0</v>
      </c>
      <c r="P223" s="9"/>
      <c r="Q223" s="7">
        <v>0</v>
      </c>
      <c r="R223" s="8">
        <f>IFERROR(Q223/Q444, "NA")</f>
        <v>0</v>
      </c>
      <c r="S223" s="9"/>
      <c r="T223" s="7">
        <v>0</v>
      </c>
      <c r="U223" s="8">
        <f>IFERROR(T223/T444, "NA")</f>
        <v>0</v>
      </c>
      <c r="V223" s="9"/>
      <c r="W223" s="10">
        <f t="shared" si="58"/>
        <v>0</v>
      </c>
      <c r="X223" s="8">
        <f>IFERROR(W223/W444, "NA")</f>
        <v>0</v>
      </c>
      <c r="Y223" s="9"/>
      <c r="Z223" s="7">
        <v>0</v>
      </c>
      <c r="AA223" s="8">
        <f>IFERROR(Z223/Z444, "NA")</f>
        <v>0</v>
      </c>
      <c r="AB223" s="9"/>
      <c r="AC223" s="10">
        <f t="shared" si="59"/>
        <v>0</v>
      </c>
      <c r="AD223" s="8">
        <f>IFERROR(AC223/AC444, "NA")</f>
        <v>0</v>
      </c>
    </row>
    <row r="224" spans="1:30" ht="16.5" hidden="1" customHeight="1" x14ac:dyDescent="0.45">
      <c r="A224" s="6" t="s">
        <v>204</v>
      </c>
      <c r="B224" s="7">
        <v>0</v>
      </c>
      <c r="C224" s="8">
        <f>IFERROR(B224/B444, "NA")</f>
        <v>0</v>
      </c>
      <c r="D224" s="9"/>
      <c r="E224" s="7">
        <v>0</v>
      </c>
      <c r="F224" s="8">
        <f>IFERROR(E224/E444, "NA")</f>
        <v>0</v>
      </c>
      <c r="G224" s="9"/>
      <c r="H224" s="10">
        <f t="shared" si="56"/>
        <v>0</v>
      </c>
      <c r="I224" s="8">
        <f>IFERROR(H224/H444, "NA")</f>
        <v>0</v>
      </c>
      <c r="J224" s="9"/>
      <c r="K224" s="7">
        <v>0</v>
      </c>
      <c r="L224" s="8">
        <f>IFERROR(K224/K444, "NA")</f>
        <v>0</v>
      </c>
      <c r="M224" s="9"/>
      <c r="N224" s="10">
        <f t="shared" si="57"/>
        <v>0</v>
      </c>
      <c r="O224" s="8">
        <f>IFERROR(N224/N444, "NA")</f>
        <v>0</v>
      </c>
      <c r="P224" s="9"/>
      <c r="Q224" s="7">
        <v>0</v>
      </c>
      <c r="R224" s="8">
        <f>IFERROR(Q224/Q444, "NA")</f>
        <v>0</v>
      </c>
      <c r="S224" s="9"/>
      <c r="T224" s="7">
        <v>0</v>
      </c>
      <c r="U224" s="8">
        <f>IFERROR(T224/T444, "NA")</f>
        <v>0</v>
      </c>
      <c r="V224" s="9"/>
      <c r="W224" s="10">
        <f t="shared" si="58"/>
        <v>0</v>
      </c>
      <c r="X224" s="8">
        <f>IFERROR(W224/W444, "NA")</f>
        <v>0</v>
      </c>
      <c r="Y224" s="9"/>
      <c r="Z224" s="7">
        <v>0</v>
      </c>
      <c r="AA224" s="8">
        <f>IFERROR(Z224/Z444, "NA")</f>
        <v>0</v>
      </c>
      <c r="AB224" s="9"/>
      <c r="AC224" s="10">
        <f t="shared" si="59"/>
        <v>0</v>
      </c>
      <c r="AD224" s="8">
        <f>IFERROR(AC224/AC444, "NA")</f>
        <v>0</v>
      </c>
    </row>
    <row r="225" spans="1:30" ht="16.5" hidden="1" customHeight="1" x14ac:dyDescent="0.45">
      <c r="A225" s="6" t="s">
        <v>205</v>
      </c>
      <c r="B225" s="7">
        <v>0</v>
      </c>
      <c r="C225" s="8">
        <f>IFERROR(B225/B444, "NA")</f>
        <v>0</v>
      </c>
      <c r="D225" s="9"/>
      <c r="E225" s="7">
        <v>0</v>
      </c>
      <c r="F225" s="8">
        <f>IFERROR(E225/E444, "NA")</f>
        <v>0</v>
      </c>
      <c r="G225" s="9"/>
      <c r="H225" s="10">
        <f t="shared" si="56"/>
        <v>0</v>
      </c>
      <c r="I225" s="8">
        <f>IFERROR(H225/H444, "NA")</f>
        <v>0</v>
      </c>
      <c r="J225" s="9"/>
      <c r="K225" s="7">
        <v>0</v>
      </c>
      <c r="L225" s="8">
        <f>IFERROR(K225/K444, "NA")</f>
        <v>0</v>
      </c>
      <c r="M225" s="9"/>
      <c r="N225" s="10">
        <f t="shared" si="57"/>
        <v>0</v>
      </c>
      <c r="O225" s="8">
        <f>IFERROR(N225/N444, "NA")</f>
        <v>0</v>
      </c>
      <c r="P225" s="9"/>
      <c r="Q225" s="7">
        <v>0</v>
      </c>
      <c r="R225" s="8">
        <f>IFERROR(Q225/Q444, "NA")</f>
        <v>0</v>
      </c>
      <c r="S225" s="9"/>
      <c r="T225" s="7">
        <v>0</v>
      </c>
      <c r="U225" s="8">
        <f>IFERROR(T225/T444, "NA")</f>
        <v>0</v>
      </c>
      <c r="V225" s="9"/>
      <c r="W225" s="10">
        <f t="shared" si="58"/>
        <v>0</v>
      </c>
      <c r="X225" s="8">
        <f>IFERROR(W225/W444, "NA")</f>
        <v>0</v>
      </c>
      <c r="Y225" s="9"/>
      <c r="Z225" s="7">
        <v>0</v>
      </c>
      <c r="AA225" s="8">
        <f>IFERROR(Z225/Z444, "NA")</f>
        <v>0</v>
      </c>
      <c r="AB225" s="9"/>
      <c r="AC225" s="10">
        <f t="shared" si="59"/>
        <v>0</v>
      </c>
      <c r="AD225" s="8">
        <f>IFERROR(AC225/AC444, "NA")</f>
        <v>0</v>
      </c>
    </row>
    <row r="226" spans="1:30" ht="16.5" hidden="1" customHeight="1" x14ac:dyDescent="0.45">
      <c r="A226" s="6" t="s">
        <v>206</v>
      </c>
      <c r="B226" s="7">
        <v>0</v>
      </c>
      <c r="C226" s="8">
        <f>IFERROR(B226/B444, "NA")</f>
        <v>0</v>
      </c>
      <c r="D226" s="9"/>
      <c r="E226" s="7">
        <v>0</v>
      </c>
      <c r="F226" s="8">
        <f>IFERROR(E226/E444, "NA")</f>
        <v>0</v>
      </c>
      <c r="G226" s="9"/>
      <c r="H226" s="10">
        <f t="shared" si="56"/>
        <v>0</v>
      </c>
      <c r="I226" s="8">
        <f>IFERROR(H226/H444, "NA")</f>
        <v>0</v>
      </c>
      <c r="J226" s="9"/>
      <c r="K226" s="7">
        <v>0</v>
      </c>
      <c r="L226" s="8">
        <f>IFERROR(K226/K444, "NA")</f>
        <v>0</v>
      </c>
      <c r="M226" s="9"/>
      <c r="N226" s="10">
        <f t="shared" si="57"/>
        <v>0</v>
      </c>
      <c r="O226" s="8">
        <f>IFERROR(N226/N444, "NA")</f>
        <v>0</v>
      </c>
      <c r="P226" s="9"/>
      <c r="Q226" s="7">
        <v>0</v>
      </c>
      <c r="R226" s="8">
        <f>IFERROR(Q226/Q444, "NA")</f>
        <v>0</v>
      </c>
      <c r="S226" s="9"/>
      <c r="T226" s="7">
        <v>0</v>
      </c>
      <c r="U226" s="8">
        <f>IFERROR(T226/T444, "NA")</f>
        <v>0</v>
      </c>
      <c r="V226" s="9"/>
      <c r="W226" s="10">
        <f t="shared" si="58"/>
        <v>0</v>
      </c>
      <c r="X226" s="8">
        <f>IFERROR(W226/W444, "NA")</f>
        <v>0</v>
      </c>
      <c r="Y226" s="9"/>
      <c r="Z226" s="7">
        <v>0</v>
      </c>
      <c r="AA226" s="8">
        <f>IFERROR(Z226/Z444, "NA")</f>
        <v>0</v>
      </c>
      <c r="AB226" s="9"/>
      <c r="AC226" s="10">
        <f t="shared" si="59"/>
        <v>0</v>
      </c>
      <c r="AD226" s="8">
        <f>IFERROR(AC226/AC444, "NA")</f>
        <v>0</v>
      </c>
    </row>
    <row r="227" spans="1:30" ht="16.5" customHeight="1" x14ac:dyDescent="0.45">
      <c r="A227" s="19" t="s">
        <v>207</v>
      </c>
      <c r="B227" s="14">
        <f>IFERROR(B211+B213+B214+B215+B216+B217+B219+B220+B221+B222+B223+B224+B225+B226, "NA")</f>
        <v>2916.5499999999997</v>
      </c>
      <c r="C227" s="15">
        <f>IFERROR(B227/B444, "NA")</f>
        <v>4.0221979041901709E-2</v>
      </c>
      <c r="D227" s="2"/>
      <c r="E227" s="14">
        <f>IFERROR(E211+E213+E214+E215+E216+E217+E219+E220+E221+E222+E223+E224+E225+E226, "NA")</f>
        <v>2896.01</v>
      </c>
      <c r="F227" s="15">
        <f>IFERROR(E227/E444, "NA")</f>
        <v>4.2466434988819607E-2</v>
      </c>
      <c r="G227" s="2"/>
      <c r="H227" s="14">
        <f t="shared" si="56"/>
        <v>-20.539999999999509</v>
      </c>
      <c r="I227" s="15">
        <f>IFERROR(H227/H444, "NA")</f>
        <v>-4.7589479342365062E-3</v>
      </c>
      <c r="J227" s="2"/>
      <c r="K227" s="14">
        <f>IFERROR(K211+K213+K214+K215+K216+K217+K219+K220+K221+K222+K223+K224+K225+K226, "NA")</f>
        <v>5215.1100000000006</v>
      </c>
      <c r="L227" s="15">
        <f>IFERROR(K227/K444, "NA")</f>
        <v>7.9340937934635397E-2</v>
      </c>
      <c r="M227" s="2"/>
      <c r="N227" s="14">
        <f t="shared" si="57"/>
        <v>2298.5600000000009</v>
      </c>
      <c r="O227" s="15">
        <f>IFERROR(N227/N444, "NA")</f>
        <v>0.33897215295156896</v>
      </c>
      <c r="P227" s="2"/>
      <c r="Q227" s="14">
        <f>IFERROR(Q211+Q213+Q214+Q215+Q216+Q217+Q219+Q220+Q221+Q222+Q223+Q224+Q225+Q226, "NA")</f>
        <v>2916.5499999999997</v>
      </c>
      <c r="R227" s="15">
        <f>IFERROR(Q227/Q444, "NA")</f>
        <v>4.0221979041901709E-2</v>
      </c>
      <c r="S227" s="2"/>
      <c r="T227" s="14">
        <f>IFERROR(T211+T213+T214+T215+T216+T217+T219+T220+T221+T222+T223+T224+T225+T226, "NA")</f>
        <v>2896.01</v>
      </c>
      <c r="U227" s="15">
        <f>IFERROR(T227/T444, "NA")</f>
        <v>4.2466434988819607E-2</v>
      </c>
      <c r="V227" s="2"/>
      <c r="W227" s="14">
        <f t="shared" si="58"/>
        <v>-20.539999999999509</v>
      </c>
      <c r="X227" s="15">
        <f>IFERROR(W227/W444, "NA")</f>
        <v>-4.7589479342365062E-3</v>
      </c>
      <c r="Y227" s="2"/>
      <c r="Z227" s="14">
        <f>IFERROR(Z211+Z213+Z214+Z215+Z216+Z217+Z219+Z220+Z221+Z222+Z223+Z224+Z225+Z226, "NA")</f>
        <v>5215.1100000000006</v>
      </c>
      <c r="AA227" s="15">
        <f>IFERROR(Z227/Z444, "NA")</f>
        <v>7.9340937934635397E-2</v>
      </c>
      <c r="AB227" s="2"/>
      <c r="AC227" s="14">
        <f t="shared" si="59"/>
        <v>2298.5600000000009</v>
      </c>
      <c r="AD227" s="15">
        <f>IFERROR(AC227/AC444, "NA")</f>
        <v>0.33897215295156896</v>
      </c>
    </row>
    <row r="228" spans="1:30" ht="16.5" customHeight="1" x14ac:dyDescent="0.45">
      <c r="A228" s="5" t="s">
        <v>208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45">
      <c r="A229" s="6" t="s">
        <v>208</v>
      </c>
      <c r="B229" s="7">
        <v>0</v>
      </c>
      <c r="C229" s="8">
        <f>IFERROR(B229/B444, "NA")</f>
        <v>0</v>
      </c>
      <c r="D229" s="9"/>
      <c r="E229" s="7">
        <v>1022.93</v>
      </c>
      <c r="F229" s="8">
        <f>IFERROR(E229/E444, "NA")</f>
        <v>1.5000013930584919E-2</v>
      </c>
      <c r="G229" s="9"/>
      <c r="H229" s="10">
        <f t="shared" ref="H229:H236" si="60">IFERROR(-(B229-E229), "NA")</f>
        <v>1022.93</v>
      </c>
      <c r="I229" s="8">
        <f>IFERROR(H229/H444, "NA")</f>
        <v>0.23700441141035372</v>
      </c>
      <c r="J229" s="9"/>
      <c r="K229" s="7">
        <v>0</v>
      </c>
      <c r="L229" s="8">
        <f>IFERROR(K229/K444, "NA")</f>
        <v>0</v>
      </c>
      <c r="M229" s="9"/>
      <c r="N229" s="10">
        <f t="shared" ref="N229:N236" si="61">IFERROR(-(B229-K229), "NA")</f>
        <v>0</v>
      </c>
      <c r="O229" s="8">
        <f>IFERROR(N229/N444, "NA")</f>
        <v>0</v>
      </c>
      <c r="P229" s="9"/>
      <c r="Q229" s="7">
        <v>0</v>
      </c>
      <c r="R229" s="8">
        <f>IFERROR(Q229/Q444, "NA")</f>
        <v>0</v>
      </c>
      <c r="S229" s="9"/>
      <c r="T229" s="7">
        <v>1022.93</v>
      </c>
      <c r="U229" s="8">
        <f>IFERROR(T229/T444, "NA")</f>
        <v>1.5000013930584919E-2</v>
      </c>
      <c r="V229" s="9"/>
      <c r="W229" s="10">
        <f t="shared" ref="W229:W236" si="62">IFERROR(-(Q229-T229), "NA")</f>
        <v>1022.93</v>
      </c>
      <c r="X229" s="8">
        <f>IFERROR(W229/W444, "NA")</f>
        <v>0.23700441141035372</v>
      </c>
      <c r="Y229" s="9"/>
      <c r="Z229" s="7">
        <v>0</v>
      </c>
      <c r="AA229" s="8">
        <f>IFERROR(Z229/Z444, "NA")</f>
        <v>0</v>
      </c>
      <c r="AB229" s="9"/>
      <c r="AC229" s="10">
        <f t="shared" ref="AC229:AC236" si="63">IFERROR(-(Q229-Z229), "NA")</f>
        <v>0</v>
      </c>
      <c r="AD229" s="8">
        <f>IFERROR(AC229/AC444, "NA")</f>
        <v>0</v>
      </c>
    </row>
    <row r="230" spans="1:30" ht="16.5" hidden="1" customHeight="1" x14ac:dyDescent="0.45">
      <c r="A230" s="6" t="s">
        <v>209</v>
      </c>
      <c r="B230" s="7">
        <v>0</v>
      </c>
      <c r="C230" s="8">
        <f>IFERROR(B230/B444, "NA")</f>
        <v>0</v>
      </c>
      <c r="D230" s="9"/>
      <c r="E230" s="7">
        <v>0</v>
      </c>
      <c r="F230" s="8">
        <f>IFERROR(E230/E444, "NA")</f>
        <v>0</v>
      </c>
      <c r="G230" s="9"/>
      <c r="H230" s="10">
        <f t="shared" si="60"/>
        <v>0</v>
      </c>
      <c r="I230" s="8">
        <f>IFERROR(H230/H444, "NA")</f>
        <v>0</v>
      </c>
      <c r="J230" s="9"/>
      <c r="K230" s="7">
        <v>0</v>
      </c>
      <c r="L230" s="8">
        <f>IFERROR(K230/K444, "NA")</f>
        <v>0</v>
      </c>
      <c r="M230" s="9"/>
      <c r="N230" s="10">
        <f t="shared" si="61"/>
        <v>0</v>
      </c>
      <c r="O230" s="8">
        <f>IFERROR(N230/N444, "NA")</f>
        <v>0</v>
      </c>
      <c r="P230" s="9"/>
      <c r="Q230" s="7">
        <v>0</v>
      </c>
      <c r="R230" s="8">
        <f>IFERROR(Q230/Q444, "NA")</f>
        <v>0</v>
      </c>
      <c r="S230" s="9"/>
      <c r="T230" s="7">
        <v>0</v>
      </c>
      <c r="U230" s="8">
        <f>IFERROR(T230/T444, "NA")</f>
        <v>0</v>
      </c>
      <c r="V230" s="9"/>
      <c r="W230" s="10">
        <f t="shared" si="62"/>
        <v>0</v>
      </c>
      <c r="X230" s="8">
        <f>IFERROR(W230/W444, "NA")</f>
        <v>0</v>
      </c>
      <c r="Y230" s="9"/>
      <c r="Z230" s="7">
        <v>0</v>
      </c>
      <c r="AA230" s="8">
        <f>IFERROR(Z230/Z444, "NA")</f>
        <v>0</v>
      </c>
      <c r="AB230" s="9"/>
      <c r="AC230" s="10">
        <f t="shared" si="63"/>
        <v>0</v>
      </c>
      <c r="AD230" s="8">
        <f>IFERROR(AC230/AC444, "NA")</f>
        <v>0</v>
      </c>
    </row>
    <row r="231" spans="1:30" ht="16.5" customHeight="1" x14ac:dyDescent="0.45">
      <c r="A231" s="6" t="s">
        <v>210</v>
      </c>
      <c r="B231" s="7">
        <v>217</v>
      </c>
      <c r="C231" s="8">
        <f>IFERROR(B231/B444, "NA")</f>
        <v>2.992634946115332E-3</v>
      </c>
      <c r="D231" s="9"/>
      <c r="E231" s="7">
        <v>0</v>
      </c>
      <c r="F231" s="8">
        <f>IFERROR(E231/E444, "NA")</f>
        <v>0</v>
      </c>
      <c r="G231" s="9"/>
      <c r="H231" s="10">
        <f t="shared" si="60"/>
        <v>-217</v>
      </c>
      <c r="I231" s="8">
        <f>IFERROR(H231/H444, "NA")</f>
        <v>-5.0277103297436544E-2</v>
      </c>
      <c r="J231" s="9"/>
      <c r="K231" s="7">
        <v>184.25</v>
      </c>
      <c r="L231" s="8">
        <f>IFERROR(K231/K444, "NA")</f>
        <v>2.8031178277076749E-3</v>
      </c>
      <c r="M231" s="9"/>
      <c r="N231" s="10">
        <f t="shared" si="61"/>
        <v>-32.75</v>
      </c>
      <c r="O231" s="8">
        <f>IFERROR(N231/N444, "NA")</f>
        <v>-4.8296925071191869E-3</v>
      </c>
      <c r="P231" s="9"/>
      <c r="Q231" s="7">
        <v>217</v>
      </c>
      <c r="R231" s="8">
        <f>IFERROR(Q231/Q444, "NA")</f>
        <v>2.992634946115332E-3</v>
      </c>
      <c r="S231" s="9"/>
      <c r="T231" s="7">
        <v>0</v>
      </c>
      <c r="U231" s="8">
        <f>IFERROR(T231/T444, "NA")</f>
        <v>0</v>
      </c>
      <c r="V231" s="9"/>
      <c r="W231" s="10">
        <f t="shared" si="62"/>
        <v>-217</v>
      </c>
      <c r="X231" s="8">
        <f>IFERROR(W231/W444, "NA")</f>
        <v>-5.0277103297436544E-2</v>
      </c>
      <c r="Y231" s="9"/>
      <c r="Z231" s="7">
        <v>184.25</v>
      </c>
      <c r="AA231" s="8">
        <f>IFERROR(Z231/Z444, "NA")</f>
        <v>2.8031178277076749E-3</v>
      </c>
      <c r="AB231" s="9"/>
      <c r="AC231" s="10">
        <f t="shared" si="63"/>
        <v>-32.75</v>
      </c>
      <c r="AD231" s="8">
        <f>IFERROR(AC231/AC444, "NA")</f>
        <v>-4.8296925071191869E-3</v>
      </c>
    </row>
    <row r="232" spans="1:30" ht="16.5" hidden="1" customHeight="1" x14ac:dyDescent="0.45">
      <c r="A232" s="6" t="s">
        <v>211</v>
      </c>
      <c r="B232" s="7">
        <v>0</v>
      </c>
      <c r="C232" s="8">
        <f>IFERROR(B232/B444, "NA")</f>
        <v>0</v>
      </c>
      <c r="D232" s="9"/>
      <c r="E232" s="7">
        <v>0</v>
      </c>
      <c r="F232" s="8">
        <f>IFERROR(E232/E444, "NA")</f>
        <v>0</v>
      </c>
      <c r="G232" s="9"/>
      <c r="H232" s="10">
        <f t="shared" si="60"/>
        <v>0</v>
      </c>
      <c r="I232" s="8">
        <f>IFERROR(H232/H444, "NA")</f>
        <v>0</v>
      </c>
      <c r="J232" s="9"/>
      <c r="K232" s="7">
        <v>0</v>
      </c>
      <c r="L232" s="8">
        <f>IFERROR(K232/K444, "NA")</f>
        <v>0</v>
      </c>
      <c r="M232" s="9"/>
      <c r="N232" s="10">
        <f t="shared" si="61"/>
        <v>0</v>
      </c>
      <c r="O232" s="8">
        <f>IFERROR(N232/N444, "NA")</f>
        <v>0</v>
      </c>
      <c r="P232" s="9"/>
      <c r="Q232" s="7">
        <v>0</v>
      </c>
      <c r="R232" s="8">
        <f>IFERROR(Q232/Q444, "NA")</f>
        <v>0</v>
      </c>
      <c r="S232" s="9"/>
      <c r="T232" s="7">
        <v>0</v>
      </c>
      <c r="U232" s="8">
        <f>IFERROR(T232/T444, "NA")</f>
        <v>0</v>
      </c>
      <c r="V232" s="9"/>
      <c r="W232" s="10">
        <f t="shared" si="62"/>
        <v>0</v>
      </c>
      <c r="X232" s="8">
        <f>IFERROR(W232/W444, "NA")</f>
        <v>0</v>
      </c>
      <c r="Y232" s="9"/>
      <c r="Z232" s="7">
        <v>0</v>
      </c>
      <c r="AA232" s="8">
        <f>IFERROR(Z232/Z444, "NA")</f>
        <v>0</v>
      </c>
      <c r="AB232" s="9"/>
      <c r="AC232" s="10">
        <f t="shared" si="63"/>
        <v>0</v>
      </c>
      <c r="AD232" s="8">
        <f>IFERROR(AC232/AC444, "NA")</f>
        <v>0</v>
      </c>
    </row>
    <row r="233" spans="1:30" ht="16.5" hidden="1" customHeight="1" x14ac:dyDescent="0.45">
      <c r="A233" s="6" t="s">
        <v>212</v>
      </c>
      <c r="B233" s="7">
        <v>0</v>
      </c>
      <c r="C233" s="8">
        <f>IFERROR(B233/B444, "NA")</f>
        <v>0</v>
      </c>
      <c r="D233" s="9"/>
      <c r="E233" s="7">
        <v>0</v>
      </c>
      <c r="F233" s="8">
        <f>IFERROR(E233/E444, "NA")</f>
        <v>0</v>
      </c>
      <c r="G233" s="9"/>
      <c r="H233" s="10">
        <f t="shared" si="60"/>
        <v>0</v>
      </c>
      <c r="I233" s="8">
        <f>IFERROR(H233/H444, "NA")</f>
        <v>0</v>
      </c>
      <c r="J233" s="9"/>
      <c r="K233" s="7">
        <v>0</v>
      </c>
      <c r="L233" s="8">
        <f>IFERROR(K233/K444, "NA")</f>
        <v>0</v>
      </c>
      <c r="M233" s="9"/>
      <c r="N233" s="10">
        <f t="shared" si="61"/>
        <v>0</v>
      </c>
      <c r="O233" s="8">
        <f>IFERROR(N233/N444, "NA")</f>
        <v>0</v>
      </c>
      <c r="P233" s="9"/>
      <c r="Q233" s="7">
        <v>0</v>
      </c>
      <c r="R233" s="8">
        <f>IFERROR(Q233/Q444, "NA")</f>
        <v>0</v>
      </c>
      <c r="S233" s="9"/>
      <c r="T233" s="7">
        <v>0</v>
      </c>
      <c r="U233" s="8">
        <f>IFERROR(T233/T444, "NA")</f>
        <v>0</v>
      </c>
      <c r="V233" s="9"/>
      <c r="W233" s="10">
        <f t="shared" si="62"/>
        <v>0</v>
      </c>
      <c r="X233" s="8">
        <f>IFERROR(W233/W444, "NA")</f>
        <v>0</v>
      </c>
      <c r="Y233" s="9"/>
      <c r="Z233" s="7">
        <v>0</v>
      </c>
      <c r="AA233" s="8">
        <f>IFERROR(Z233/Z444, "NA")</f>
        <v>0</v>
      </c>
      <c r="AB233" s="9"/>
      <c r="AC233" s="10">
        <f t="shared" si="63"/>
        <v>0</v>
      </c>
      <c r="AD233" s="8">
        <f>IFERROR(AC233/AC444, "NA")</f>
        <v>0</v>
      </c>
    </row>
    <row r="234" spans="1:30" ht="16.5" customHeight="1" x14ac:dyDescent="0.45">
      <c r="A234" s="6" t="s">
        <v>213</v>
      </c>
      <c r="B234" s="7">
        <v>1356.21</v>
      </c>
      <c r="C234" s="8">
        <f>IFERROR(B234/B444, "NA")</f>
        <v>1.8703416775442742E-2</v>
      </c>
      <c r="D234" s="9"/>
      <c r="E234" s="7">
        <v>0</v>
      </c>
      <c r="F234" s="8">
        <f>IFERROR(E234/E444, "NA")</f>
        <v>0</v>
      </c>
      <c r="G234" s="9"/>
      <c r="H234" s="10">
        <f t="shared" si="60"/>
        <v>-1356.21</v>
      </c>
      <c r="I234" s="8">
        <f>IFERROR(H234/H444, "NA")</f>
        <v>-0.31422262794016781</v>
      </c>
      <c r="J234" s="9"/>
      <c r="K234" s="7">
        <v>713.74</v>
      </c>
      <c r="L234" s="8">
        <f>IFERROR(K234/K444, "NA")</f>
        <v>1.0858601456434604E-2</v>
      </c>
      <c r="M234" s="9"/>
      <c r="N234" s="10">
        <f t="shared" si="61"/>
        <v>-642.47</v>
      </c>
      <c r="O234" s="8">
        <f>IFERROR(N234/N444, "NA")</f>
        <v>-9.4746031909888992E-2</v>
      </c>
      <c r="P234" s="9"/>
      <c r="Q234" s="7">
        <v>1356.21</v>
      </c>
      <c r="R234" s="8">
        <f>IFERROR(Q234/Q444, "NA")</f>
        <v>1.8703416775442742E-2</v>
      </c>
      <c r="S234" s="9"/>
      <c r="T234" s="7">
        <v>0</v>
      </c>
      <c r="U234" s="8">
        <f>IFERROR(T234/T444, "NA")</f>
        <v>0</v>
      </c>
      <c r="V234" s="9"/>
      <c r="W234" s="10">
        <f t="shared" si="62"/>
        <v>-1356.21</v>
      </c>
      <c r="X234" s="8">
        <f>IFERROR(W234/W444, "NA")</f>
        <v>-0.31422262794016781</v>
      </c>
      <c r="Y234" s="9"/>
      <c r="Z234" s="7">
        <v>713.74</v>
      </c>
      <c r="AA234" s="8">
        <f>IFERROR(Z234/Z444, "NA")</f>
        <v>1.0858601456434604E-2</v>
      </c>
      <c r="AB234" s="9"/>
      <c r="AC234" s="10">
        <f t="shared" si="63"/>
        <v>-642.47</v>
      </c>
      <c r="AD234" s="8">
        <f>IFERROR(AC234/AC444, "NA")</f>
        <v>-9.4746031909888992E-2</v>
      </c>
    </row>
    <row r="235" spans="1:30" ht="16.5" customHeight="1" x14ac:dyDescent="0.45">
      <c r="A235" s="6" t="s">
        <v>214</v>
      </c>
      <c r="B235" s="7">
        <v>2.98</v>
      </c>
      <c r="C235" s="8">
        <f>IFERROR(B235/B444, "NA")</f>
        <v>4.1097014467390274E-5</v>
      </c>
      <c r="D235" s="9"/>
      <c r="E235" s="7">
        <v>0</v>
      </c>
      <c r="F235" s="8">
        <f>IFERROR(E235/E444, "NA")</f>
        <v>0</v>
      </c>
      <c r="G235" s="9"/>
      <c r="H235" s="10">
        <f t="shared" si="60"/>
        <v>-2.98</v>
      </c>
      <c r="I235" s="8">
        <f>IFERROR(H235/H444, "NA")</f>
        <v>-6.9044132638875985E-4</v>
      </c>
      <c r="J235" s="9"/>
      <c r="K235" s="7">
        <v>0</v>
      </c>
      <c r="L235" s="8">
        <f>IFERROR(K235/K444, "NA")</f>
        <v>0</v>
      </c>
      <c r="M235" s="9"/>
      <c r="N235" s="10">
        <f t="shared" si="61"/>
        <v>-2.98</v>
      </c>
      <c r="O235" s="8">
        <f>IFERROR(N235/N444, "NA")</f>
        <v>-4.3946515026611232E-4</v>
      </c>
      <c r="P235" s="9"/>
      <c r="Q235" s="7">
        <v>2.98</v>
      </c>
      <c r="R235" s="8">
        <f>IFERROR(Q235/Q444, "NA")</f>
        <v>4.1097014467390274E-5</v>
      </c>
      <c r="S235" s="9"/>
      <c r="T235" s="7">
        <v>0</v>
      </c>
      <c r="U235" s="8">
        <f>IFERROR(T235/T444, "NA")</f>
        <v>0</v>
      </c>
      <c r="V235" s="9"/>
      <c r="W235" s="10">
        <f t="shared" si="62"/>
        <v>-2.98</v>
      </c>
      <c r="X235" s="8">
        <f>IFERROR(W235/W444, "NA")</f>
        <v>-6.9044132638875985E-4</v>
      </c>
      <c r="Y235" s="9"/>
      <c r="Z235" s="7">
        <v>0</v>
      </c>
      <c r="AA235" s="8">
        <f>IFERROR(Z235/Z444, "NA")</f>
        <v>0</v>
      </c>
      <c r="AB235" s="9"/>
      <c r="AC235" s="10">
        <f t="shared" si="63"/>
        <v>-2.98</v>
      </c>
      <c r="AD235" s="8">
        <f>IFERROR(AC235/AC444, "NA")</f>
        <v>-4.3946515026611232E-4</v>
      </c>
    </row>
    <row r="236" spans="1:30" ht="16.5" customHeight="1" x14ac:dyDescent="0.45">
      <c r="A236" s="19" t="s">
        <v>215</v>
      </c>
      <c r="B236" s="14">
        <f>IFERROR(B229+B230+B231+B232+B233+B234+B235, "NA")</f>
        <v>1576.19</v>
      </c>
      <c r="C236" s="15">
        <f>IFERROR(B236/B444, "NA")</f>
        <v>2.1737148736025464E-2</v>
      </c>
      <c r="D236" s="2"/>
      <c r="E236" s="14">
        <f>IFERROR(E229+E230+E231+E232+E233+E234+E235, "NA")</f>
        <v>1022.93</v>
      </c>
      <c r="F236" s="15">
        <f>IFERROR(E236/E444, "NA")</f>
        <v>1.5000013930584919E-2</v>
      </c>
      <c r="G236" s="2"/>
      <c r="H236" s="14">
        <f t="shared" si="60"/>
        <v>-553.2600000000001</v>
      </c>
      <c r="I236" s="15">
        <f>IFERROR(H236/H444, "NA")</f>
        <v>-0.12818576115363939</v>
      </c>
      <c r="J236" s="2"/>
      <c r="K236" s="14">
        <f>IFERROR(K229+K230+K231+K232+K233+K234+K235, "NA")</f>
        <v>897.99</v>
      </c>
      <c r="L236" s="15">
        <f>IFERROR(K236/K444, "NA")</f>
        <v>1.3661719284142278E-2</v>
      </c>
      <c r="M236" s="2"/>
      <c r="N236" s="14">
        <f t="shared" si="61"/>
        <v>-678.2</v>
      </c>
      <c r="O236" s="15">
        <f>IFERROR(N236/N444, "NA")</f>
        <v>-0.10001518956727429</v>
      </c>
      <c r="P236" s="2"/>
      <c r="Q236" s="14">
        <f>IFERROR(Q229+Q230+Q231+Q232+Q233+Q234+Q235, "NA")</f>
        <v>1576.19</v>
      </c>
      <c r="R236" s="15">
        <f>IFERROR(Q236/Q444, "NA")</f>
        <v>2.1737148736025464E-2</v>
      </c>
      <c r="S236" s="2"/>
      <c r="T236" s="14">
        <f>IFERROR(T229+T230+T231+T232+T233+T234+T235, "NA")</f>
        <v>1022.93</v>
      </c>
      <c r="U236" s="15">
        <f>IFERROR(T236/T444, "NA")</f>
        <v>1.5000013930584919E-2</v>
      </c>
      <c r="V236" s="2"/>
      <c r="W236" s="14">
        <f t="shared" si="62"/>
        <v>-553.2600000000001</v>
      </c>
      <c r="X236" s="15">
        <f>IFERROR(W236/W444, "NA")</f>
        <v>-0.12818576115363939</v>
      </c>
      <c r="Y236" s="2"/>
      <c r="Z236" s="14">
        <f>IFERROR(Z229+Z230+Z231+Z232+Z233+Z234+Z235, "NA")</f>
        <v>897.99</v>
      </c>
      <c r="AA236" s="15">
        <f>IFERROR(Z236/Z444, "NA")</f>
        <v>1.3661719284142278E-2</v>
      </c>
      <c r="AB236" s="2"/>
      <c r="AC236" s="14">
        <f t="shared" si="63"/>
        <v>-678.2</v>
      </c>
      <c r="AD236" s="15">
        <f>IFERROR(AC236/AC444, "NA")</f>
        <v>-0.10001518956727429</v>
      </c>
    </row>
    <row r="237" spans="1:30" ht="16.5" customHeight="1" x14ac:dyDescent="0.45">
      <c r="A237" s="5" t="s">
        <v>216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45">
      <c r="A238" s="6" t="s">
        <v>216</v>
      </c>
      <c r="B238" s="7">
        <v>0</v>
      </c>
      <c r="C238" s="8">
        <f>IFERROR(B238/B444, "NA")</f>
        <v>0</v>
      </c>
      <c r="D238" s="9"/>
      <c r="E238" s="7">
        <v>0</v>
      </c>
      <c r="F238" s="8">
        <f>IFERROR(E238/E444, "NA")</f>
        <v>0</v>
      </c>
      <c r="G238" s="9"/>
      <c r="H238" s="10">
        <f>IFERROR(-(B238-E238), "NA")</f>
        <v>0</v>
      </c>
      <c r="I238" s="8">
        <f>IFERROR(H238/H444, "NA")</f>
        <v>0</v>
      </c>
      <c r="J238" s="9"/>
      <c r="K238" s="7">
        <v>0</v>
      </c>
      <c r="L238" s="8">
        <f>IFERROR(K238/K444, "NA")</f>
        <v>0</v>
      </c>
      <c r="M238" s="9"/>
      <c r="N238" s="10">
        <f>IFERROR(-(B238-K238), "NA")</f>
        <v>0</v>
      </c>
      <c r="O238" s="8">
        <f>IFERROR(N238/N444, "NA")</f>
        <v>0</v>
      </c>
      <c r="P238" s="9"/>
      <c r="Q238" s="7">
        <v>0</v>
      </c>
      <c r="R238" s="8">
        <f>IFERROR(Q238/Q444, "NA")</f>
        <v>0</v>
      </c>
      <c r="S238" s="9"/>
      <c r="T238" s="7">
        <v>0</v>
      </c>
      <c r="U238" s="8">
        <f>IFERROR(T238/T444, "NA")</f>
        <v>0</v>
      </c>
      <c r="V238" s="9"/>
      <c r="W238" s="10">
        <f>IFERROR(-(Q238-T238), "NA")</f>
        <v>0</v>
      </c>
      <c r="X238" s="8">
        <f>IFERROR(W238/W444, "NA")</f>
        <v>0</v>
      </c>
      <c r="Y238" s="9"/>
      <c r="Z238" s="7">
        <v>0</v>
      </c>
      <c r="AA238" s="8">
        <f>IFERROR(Z238/Z444, "NA")</f>
        <v>0</v>
      </c>
      <c r="AB238" s="9"/>
      <c r="AC238" s="10">
        <f>IFERROR(-(Q238-Z238), "NA")</f>
        <v>0</v>
      </c>
      <c r="AD238" s="8">
        <f>IFERROR(AC238/AC444, "NA")</f>
        <v>0</v>
      </c>
    </row>
    <row r="239" spans="1:30" ht="16.5" customHeight="1" x14ac:dyDescent="0.45">
      <c r="A239" s="11" t="s">
        <v>217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45">
      <c r="A240" s="12" t="s">
        <v>217</v>
      </c>
      <c r="B240" s="7">
        <v>0</v>
      </c>
      <c r="C240" s="8">
        <f>IFERROR(B240/B444, "NA")</f>
        <v>0</v>
      </c>
      <c r="D240" s="9"/>
      <c r="E240" s="7">
        <v>4432.6899999999996</v>
      </c>
      <c r="F240" s="8">
        <f>IFERROR(E240/E444, "NA")</f>
        <v>6.499996260737731E-2</v>
      </c>
      <c r="G240" s="9"/>
      <c r="H240" s="10">
        <f t="shared" ref="H240:H263" si="64">IFERROR(-(B240-E240), "NA")</f>
        <v>4432.6899999999996</v>
      </c>
      <c r="I240" s="8">
        <f>IFERROR(H240/H444, "NA")</f>
        <v>1.0270175715000645</v>
      </c>
      <c r="J240" s="9"/>
      <c r="K240" s="7">
        <v>0</v>
      </c>
      <c r="L240" s="8">
        <f>IFERROR(K240/K444, "NA")</f>
        <v>0</v>
      </c>
      <c r="M240" s="9"/>
      <c r="N240" s="10">
        <f t="shared" ref="N240:N263" si="65">IFERROR(-(B240-K240), "NA")</f>
        <v>0</v>
      </c>
      <c r="O240" s="8">
        <f>IFERROR(N240/N444, "NA")</f>
        <v>0</v>
      </c>
      <c r="P240" s="9"/>
      <c r="Q240" s="7">
        <v>0</v>
      </c>
      <c r="R240" s="8">
        <f>IFERROR(Q240/Q444, "NA")</f>
        <v>0</v>
      </c>
      <c r="S240" s="9"/>
      <c r="T240" s="7">
        <v>4432.6899999999996</v>
      </c>
      <c r="U240" s="8">
        <f>IFERROR(T240/T444, "NA")</f>
        <v>6.499996260737731E-2</v>
      </c>
      <c r="V240" s="9"/>
      <c r="W240" s="10">
        <f t="shared" ref="W240:W263" si="66">IFERROR(-(Q240-T240), "NA")</f>
        <v>4432.6899999999996</v>
      </c>
      <c r="X240" s="8">
        <f>IFERROR(W240/W444, "NA")</f>
        <v>1.0270175715000645</v>
      </c>
      <c r="Y240" s="9"/>
      <c r="Z240" s="7">
        <v>0</v>
      </c>
      <c r="AA240" s="8">
        <f>IFERROR(Z240/Z444, "NA")</f>
        <v>0</v>
      </c>
      <c r="AB240" s="9"/>
      <c r="AC240" s="10">
        <f t="shared" ref="AC240:AC263" si="67">IFERROR(-(Q240-Z240), "NA")</f>
        <v>0</v>
      </c>
      <c r="AD240" s="8">
        <f>IFERROR(AC240/AC444, "NA")</f>
        <v>0</v>
      </c>
    </row>
    <row r="241" spans="1:30" ht="16.5" hidden="1" customHeight="1" x14ac:dyDescent="0.45">
      <c r="A241" s="12" t="s">
        <v>218</v>
      </c>
      <c r="B241" s="7">
        <v>0</v>
      </c>
      <c r="C241" s="8">
        <f>IFERROR(B241/B444, "NA")</f>
        <v>0</v>
      </c>
      <c r="D241" s="9"/>
      <c r="E241" s="7">
        <v>0</v>
      </c>
      <c r="F241" s="8">
        <f>IFERROR(E241/E444, "NA")</f>
        <v>0</v>
      </c>
      <c r="G241" s="9"/>
      <c r="H241" s="10">
        <f t="shared" si="64"/>
        <v>0</v>
      </c>
      <c r="I241" s="8">
        <f>IFERROR(H241/H444, "NA")</f>
        <v>0</v>
      </c>
      <c r="J241" s="9"/>
      <c r="K241" s="7">
        <v>0</v>
      </c>
      <c r="L241" s="8">
        <f>IFERROR(K241/K444, "NA")</f>
        <v>0</v>
      </c>
      <c r="M241" s="9"/>
      <c r="N241" s="10">
        <f t="shared" si="65"/>
        <v>0</v>
      </c>
      <c r="O241" s="8">
        <f>IFERROR(N241/N444, "NA")</f>
        <v>0</v>
      </c>
      <c r="P241" s="9"/>
      <c r="Q241" s="7">
        <v>0</v>
      </c>
      <c r="R241" s="8">
        <f>IFERROR(Q241/Q444, "NA")</f>
        <v>0</v>
      </c>
      <c r="S241" s="9"/>
      <c r="T241" s="7">
        <v>0</v>
      </c>
      <c r="U241" s="8">
        <f>IFERROR(T241/T444, "NA")</f>
        <v>0</v>
      </c>
      <c r="V241" s="9"/>
      <c r="W241" s="10">
        <f t="shared" si="66"/>
        <v>0</v>
      </c>
      <c r="X241" s="8">
        <f>IFERROR(W241/W444, "NA")</f>
        <v>0</v>
      </c>
      <c r="Y241" s="9"/>
      <c r="Z241" s="7">
        <v>0</v>
      </c>
      <c r="AA241" s="8">
        <f>IFERROR(Z241/Z444, "NA")</f>
        <v>0</v>
      </c>
      <c r="AB241" s="9"/>
      <c r="AC241" s="10">
        <f t="shared" si="67"/>
        <v>0</v>
      </c>
      <c r="AD241" s="8">
        <f>IFERROR(AC241/AC444, "NA")</f>
        <v>0</v>
      </c>
    </row>
    <row r="242" spans="1:30" ht="16.5" customHeight="1" x14ac:dyDescent="0.45">
      <c r="A242" s="12" t="s">
        <v>219</v>
      </c>
      <c r="B242" s="7">
        <v>1738.5</v>
      </c>
      <c r="C242" s="8">
        <f>IFERROR(B242/B444, "NA")</f>
        <v>2.3975556930053016E-2</v>
      </c>
      <c r="D242" s="9"/>
      <c r="E242" s="7">
        <v>0</v>
      </c>
      <c r="F242" s="8">
        <f>IFERROR(E242/E444, "NA")</f>
        <v>0</v>
      </c>
      <c r="G242" s="9"/>
      <c r="H242" s="10">
        <f t="shared" si="64"/>
        <v>-1738.5</v>
      </c>
      <c r="I242" s="8">
        <f>IFERROR(H242/H444, "NA")</f>
        <v>-0.40279605568015403</v>
      </c>
      <c r="J242" s="9"/>
      <c r="K242" s="7">
        <v>1036</v>
      </c>
      <c r="L242" s="8">
        <f>IFERROR(K242/K444, "NA")</f>
        <v>1.5761357229335964E-2</v>
      </c>
      <c r="M242" s="9"/>
      <c r="N242" s="10">
        <f t="shared" si="65"/>
        <v>-702.5</v>
      </c>
      <c r="O242" s="8">
        <f>IFERROR(N242/N444, "NA")</f>
        <v>-0.10359874767179325</v>
      </c>
      <c r="P242" s="9"/>
      <c r="Q242" s="7">
        <v>1738.5</v>
      </c>
      <c r="R242" s="8">
        <f>IFERROR(Q242/Q444, "NA")</f>
        <v>2.3975556930053016E-2</v>
      </c>
      <c r="S242" s="9"/>
      <c r="T242" s="7">
        <v>0</v>
      </c>
      <c r="U242" s="8">
        <f>IFERROR(T242/T444, "NA")</f>
        <v>0</v>
      </c>
      <c r="V242" s="9"/>
      <c r="W242" s="10">
        <f t="shared" si="66"/>
        <v>-1738.5</v>
      </c>
      <c r="X242" s="8">
        <f>IFERROR(W242/W444, "NA")</f>
        <v>-0.40279605568015403</v>
      </c>
      <c r="Y242" s="9"/>
      <c r="Z242" s="7">
        <v>1036</v>
      </c>
      <c r="AA242" s="8">
        <f>IFERROR(Z242/Z444, "NA")</f>
        <v>1.5761357229335964E-2</v>
      </c>
      <c r="AB242" s="9"/>
      <c r="AC242" s="10">
        <f t="shared" si="67"/>
        <v>-702.5</v>
      </c>
      <c r="AD242" s="8">
        <f>IFERROR(AC242/AC444, "NA")</f>
        <v>-0.10359874767179325</v>
      </c>
    </row>
    <row r="243" spans="1:30" ht="16.5" customHeight="1" x14ac:dyDescent="0.45">
      <c r="A243" s="12" t="s">
        <v>220</v>
      </c>
      <c r="B243" s="7">
        <v>1656.38</v>
      </c>
      <c r="C243" s="8">
        <f>IFERROR(B243/B444, "NA")</f>
        <v>2.284304457164292E-2</v>
      </c>
      <c r="D243" s="9"/>
      <c r="E243" s="7">
        <v>0</v>
      </c>
      <c r="F243" s="8">
        <f>IFERROR(E243/E444, "NA")</f>
        <v>0</v>
      </c>
      <c r="G243" s="9"/>
      <c r="H243" s="10">
        <f t="shared" si="64"/>
        <v>-1656.38</v>
      </c>
      <c r="I243" s="8">
        <f>IFERROR(H243/H444, "NA")</f>
        <v>-0.38376953161201816</v>
      </c>
      <c r="J243" s="9"/>
      <c r="K243" s="7">
        <v>1072.78</v>
      </c>
      <c r="L243" s="8">
        <f>IFERROR(K243/K444, "NA")</f>
        <v>1.6320915838307946E-2</v>
      </c>
      <c r="M243" s="9"/>
      <c r="N243" s="10">
        <f t="shared" si="65"/>
        <v>-583.60000000000014</v>
      </c>
      <c r="O243" s="8">
        <f>IFERROR(N243/N444, "NA")</f>
        <v>-8.606438311922926E-2</v>
      </c>
      <c r="P243" s="9"/>
      <c r="Q243" s="7">
        <v>1656.38</v>
      </c>
      <c r="R243" s="8">
        <f>IFERROR(Q243/Q444, "NA")</f>
        <v>2.284304457164292E-2</v>
      </c>
      <c r="S243" s="9"/>
      <c r="T243" s="7">
        <v>0</v>
      </c>
      <c r="U243" s="8">
        <f>IFERROR(T243/T444, "NA")</f>
        <v>0</v>
      </c>
      <c r="V243" s="9"/>
      <c r="W243" s="10">
        <f t="shared" si="66"/>
        <v>-1656.38</v>
      </c>
      <c r="X243" s="8">
        <f>IFERROR(W243/W444, "NA")</f>
        <v>-0.38376953161201816</v>
      </c>
      <c r="Y243" s="9"/>
      <c r="Z243" s="7">
        <v>1072.78</v>
      </c>
      <c r="AA243" s="8">
        <f>IFERROR(Z243/Z444, "NA")</f>
        <v>1.6320915838307946E-2</v>
      </c>
      <c r="AB243" s="9"/>
      <c r="AC243" s="10">
        <f t="shared" si="67"/>
        <v>-583.60000000000014</v>
      </c>
      <c r="AD243" s="8">
        <f>IFERROR(AC243/AC444, "NA")</f>
        <v>-8.606438311922926E-2</v>
      </c>
    </row>
    <row r="244" spans="1:30" ht="16.5" customHeight="1" x14ac:dyDescent="0.45">
      <c r="A244" s="12" t="s">
        <v>221</v>
      </c>
      <c r="B244" s="7">
        <v>555.33000000000004</v>
      </c>
      <c r="C244" s="8">
        <f>IFERROR(B244/B444, "NA")</f>
        <v>7.6585251826093428E-3</v>
      </c>
      <c r="D244" s="9"/>
      <c r="E244" s="7">
        <v>0</v>
      </c>
      <c r="F244" s="8">
        <f>IFERROR(E244/E444, "NA")</f>
        <v>0</v>
      </c>
      <c r="G244" s="9"/>
      <c r="H244" s="10">
        <f t="shared" si="64"/>
        <v>-555.33000000000004</v>
      </c>
      <c r="I244" s="8">
        <f>IFERROR(H244/H444, "NA")</f>
        <v>-0.12866536301458728</v>
      </c>
      <c r="J244" s="9"/>
      <c r="K244" s="7">
        <v>396.63</v>
      </c>
      <c r="L244" s="8">
        <f>IFERROR(K244/K444, "NA")</f>
        <v>6.0341960597215466E-3</v>
      </c>
      <c r="M244" s="9"/>
      <c r="N244" s="10">
        <f t="shared" si="65"/>
        <v>-158.70000000000005</v>
      </c>
      <c r="O244" s="8">
        <f>IFERROR(N244/N444, "NA")</f>
        <v>-2.340373132457451E-2</v>
      </c>
      <c r="P244" s="9"/>
      <c r="Q244" s="7">
        <v>555.33000000000004</v>
      </c>
      <c r="R244" s="8">
        <f>IFERROR(Q244/Q444, "NA")</f>
        <v>7.6585251826093428E-3</v>
      </c>
      <c r="S244" s="9"/>
      <c r="T244" s="7">
        <v>0</v>
      </c>
      <c r="U244" s="8">
        <f>IFERROR(T244/T444, "NA")</f>
        <v>0</v>
      </c>
      <c r="V244" s="9"/>
      <c r="W244" s="10">
        <f t="shared" si="66"/>
        <v>-555.33000000000004</v>
      </c>
      <c r="X244" s="8">
        <f>IFERROR(W244/W444, "NA")</f>
        <v>-0.12866536301458728</v>
      </c>
      <c r="Y244" s="9"/>
      <c r="Z244" s="7">
        <v>396.63</v>
      </c>
      <c r="AA244" s="8">
        <f>IFERROR(Z244/Z444, "NA")</f>
        <v>6.0341960597215466E-3</v>
      </c>
      <c r="AB244" s="9"/>
      <c r="AC244" s="10">
        <f t="shared" si="67"/>
        <v>-158.70000000000005</v>
      </c>
      <c r="AD244" s="8">
        <f>IFERROR(AC244/AC444, "NA")</f>
        <v>-2.340373132457451E-2</v>
      </c>
    </row>
    <row r="245" spans="1:30" ht="16.5" hidden="1" customHeight="1" x14ac:dyDescent="0.45">
      <c r="A245" s="12" t="s">
        <v>222</v>
      </c>
      <c r="B245" s="7">
        <v>0</v>
      </c>
      <c r="C245" s="8">
        <f>IFERROR(B245/B444, "NA")</f>
        <v>0</v>
      </c>
      <c r="D245" s="9"/>
      <c r="E245" s="7">
        <v>0</v>
      </c>
      <c r="F245" s="8">
        <f>IFERROR(E245/E444, "NA")</f>
        <v>0</v>
      </c>
      <c r="G245" s="9"/>
      <c r="H245" s="10">
        <f t="shared" si="64"/>
        <v>0</v>
      </c>
      <c r="I245" s="8">
        <f>IFERROR(H245/H444, "NA")</f>
        <v>0</v>
      </c>
      <c r="J245" s="9"/>
      <c r="K245" s="7">
        <v>0</v>
      </c>
      <c r="L245" s="8">
        <f>IFERROR(K245/K444, "NA")</f>
        <v>0</v>
      </c>
      <c r="M245" s="9"/>
      <c r="N245" s="10">
        <f t="shared" si="65"/>
        <v>0</v>
      </c>
      <c r="O245" s="8">
        <f>IFERROR(N245/N444, "NA")</f>
        <v>0</v>
      </c>
      <c r="P245" s="9"/>
      <c r="Q245" s="7">
        <v>0</v>
      </c>
      <c r="R245" s="8">
        <f>IFERROR(Q245/Q444, "NA")</f>
        <v>0</v>
      </c>
      <c r="S245" s="9"/>
      <c r="T245" s="7">
        <v>0</v>
      </c>
      <c r="U245" s="8">
        <f>IFERROR(T245/T444, "NA")</f>
        <v>0</v>
      </c>
      <c r="V245" s="9"/>
      <c r="W245" s="10">
        <f t="shared" si="66"/>
        <v>0</v>
      </c>
      <c r="X245" s="8">
        <f>IFERROR(W245/W444, "NA")</f>
        <v>0</v>
      </c>
      <c r="Y245" s="9"/>
      <c r="Z245" s="7">
        <v>0</v>
      </c>
      <c r="AA245" s="8">
        <f>IFERROR(Z245/Z444, "NA")</f>
        <v>0</v>
      </c>
      <c r="AB245" s="9"/>
      <c r="AC245" s="10">
        <f t="shared" si="67"/>
        <v>0</v>
      </c>
      <c r="AD245" s="8">
        <f>IFERROR(AC245/AC444, "NA")</f>
        <v>0</v>
      </c>
    </row>
    <row r="246" spans="1:30" ht="16.5" customHeight="1" x14ac:dyDescent="0.45">
      <c r="A246" s="12" t="s">
        <v>223</v>
      </c>
      <c r="B246" s="7">
        <v>141.5</v>
      </c>
      <c r="C246" s="8">
        <f>IFERROR(B246/B444, "NA")</f>
        <v>1.9514186399784308E-3</v>
      </c>
      <c r="D246" s="9"/>
      <c r="E246" s="7">
        <v>0</v>
      </c>
      <c r="F246" s="8">
        <f>IFERROR(E246/E444, "NA")</f>
        <v>0</v>
      </c>
      <c r="G246" s="9"/>
      <c r="H246" s="10">
        <f t="shared" si="64"/>
        <v>-141.5</v>
      </c>
      <c r="I246" s="8">
        <f>IFERROR(H246/H444, "NA")</f>
        <v>-3.278437841745286E-2</v>
      </c>
      <c r="J246" s="9"/>
      <c r="K246" s="7">
        <v>312.3</v>
      </c>
      <c r="L246" s="8">
        <f>IFERROR(K246/K444, "NA")</f>
        <v>4.7512276667197118E-3</v>
      </c>
      <c r="M246" s="9"/>
      <c r="N246" s="10">
        <f t="shared" si="65"/>
        <v>170.8</v>
      </c>
      <c r="O246" s="8">
        <f>IFERROR(N246/N444, "NA")</f>
        <v>2.5188136800487242E-2</v>
      </c>
      <c r="P246" s="9"/>
      <c r="Q246" s="7">
        <v>141.5</v>
      </c>
      <c r="R246" s="8">
        <f>IFERROR(Q246/Q444, "NA")</f>
        <v>1.9514186399784308E-3</v>
      </c>
      <c r="S246" s="9"/>
      <c r="T246" s="7">
        <v>0</v>
      </c>
      <c r="U246" s="8">
        <f>IFERROR(T246/T444, "NA")</f>
        <v>0</v>
      </c>
      <c r="V246" s="9"/>
      <c r="W246" s="10">
        <f t="shared" si="66"/>
        <v>-141.5</v>
      </c>
      <c r="X246" s="8">
        <f>IFERROR(W246/W444, "NA")</f>
        <v>-3.278437841745286E-2</v>
      </c>
      <c r="Y246" s="9"/>
      <c r="Z246" s="7">
        <v>312.3</v>
      </c>
      <c r="AA246" s="8">
        <f>IFERROR(Z246/Z444, "NA")</f>
        <v>4.7512276667197118E-3</v>
      </c>
      <c r="AB246" s="9"/>
      <c r="AC246" s="10">
        <f t="shared" si="67"/>
        <v>170.8</v>
      </c>
      <c r="AD246" s="8">
        <f>IFERROR(AC246/AC444, "NA")</f>
        <v>2.5188136800487242E-2</v>
      </c>
    </row>
    <row r="247" spans="1:30" ht="16.5" hidden="1" customHeight="1" x14ac:dyDescent="0.45">
      <c r="A247" s="12" t="s">
        <v>224</v>
      </c>
      <c r="B247" s="7">
        <v>0</v>
      </c>
      <c r="C247" s="8">
        <f>IFERROR(B247/B444, "NA")</f>
        <v>0</v>
      </c>
      <c r="D247" s="9"/>
      <c r="E247" s="7">
        <v>0</v>
      </c>
      <c r="F247" s="8">
        <f>IFERROR(E247/E444, "NA")</f>
        <v>0</v>
      </c>
      <c r="G247" s="9"/>
      <c r="H247" s="10">
        <f t="shared" si="64"/>
        <v>0</v>
      </c>
      <c r="I247" s="8">
        <f>IFERROR(H247/H444, "NA")</f>
        <v>0</v>
      </c>
      <c r="J247" s="9"/>
      <c r="K247" s="7">
        <v>0</v>
      </c>
      <c r="L247" s="8">
        <f>IFERROR(K247/K444, "NA")</f>
        <v>0</v>
      </c>
      <c r="M247" s="9"/>
      <c r="N247" s="10">
        <f t="shared" si="65"/>
        <v>0</v>
      </c>
      <c r="O247" s="8">
        <f>IFERROR(N247/N444, "NA")</f>
        <v>0</v>
      </c>
      <c r="P247" s="9"/>
      <c r="Q247" s="7">
        <v>0</v>
      </c>
      <c r="R247" s="8">
        <f>IFERROR(Q247/Q444, "NA")</f>
        <v>0</v>
      </c>
      <c r="S247" s="9"/>
      <c r="T247" s="7">
        <v>0</v>
      </c>
      <c r="U247" s="8">
        <f>IFERROR(T247/T444, "NA")</f>
        <v>0</v>
      </c>
      <c r="V247" s="9"/>
      <c r="W247" s="10">
        <f t="shared" si="66"/>
        <v>0</v>
      </c>
      <c r="X247" s="8">
        <f>IFERROR(W247/W444, "NA")</f>
        <v>0</v>
      </c>
      <c r="Y247" s="9"/>
      <c r="Z247" s="7">
        <v>0</v>
      </c>
      <c r="AA247" s="8">
        <f>IFERROR(Z247/Z444, "NA")</f>
        <v>0</v>
      </c>
      <c r="AB247" s="9"/>
      <c r="AC247" s="10">
        <f t="shared" si="67"/>
        <v>0</v>
      </c>
      <c r="AD247" s="8">
        <f>IFERROR(AC247/AC444, "NA")</f>
        <v>0</v>
      </c>
    </row>
    <row r="248" spans="1:30" ht="16.5" customHeight="1" x14ac:dyDescent="0.45">
      <c r="A248" s="12" t="s">
        <v>225</v>
      </c>
      <c r="B248" s="7">
        <v>236.28</v>
      </c>
      <c r="C248" s="8">
        <f>IFERROR(B248/B444, "NA")</f>
        <v>3.258524355152676E-3</v>
      </c>
      <c r="D248" s="9"/>
      <c r="E248" s="7">
        <v>0</v>
      </c>
      <c r="F248" s="8">
        <f>IFERROR(E248/E444, "NA")</f>
        <v>0</v>
      </c>
      <c r="G248" s="9"/>
      <c r="H248" s="10">
        <f t="shared" si="64"/>
        <v>-236.28</v>
      </c>
      <c r="I248" s="8">
        <f>IFERROR(H248/H444, "NA")</f>
        <v>-5.4744119664139661E-2</v>
      </c>
      <c r="J248" s="9"/>
      <c r="K248" s="7">
        <v>239.86</v>
      </c>
      <c r="L248" s="8">
        <f>IFERROR(K248/K444, "NA")</f>
        <v>3.6491497538885366E-3</v>
      </c>
      <c r="M248" s="9"/>
      <c r="N248" s="10">
        <f t="shared" si="65"/>
        <v>3.5800000000000125</v>
      </c>
      <c r="O248" s="8">
        <f>IFERROR(N248/N444, "NA")</f>
        <v>5.2794806642707639E-4</v>
      </c>
      <c r="P248" s="9"/>
      <c r="Q248" s="7">
        <v>236.28</v>
      </c>
      <c r="R248" s="8">
        <f>IFERROR(Q248/Q444, "NA")</f>
        <v>3.258524355152676E-3</v>
      </c>
      <c r="S248" s="9"/>
      <c r="T248" s="7">
        <v>0</v>
      </c>
      <c r="U248" s="8">
        <f>IFERROR(T248/T444, "NA")</f>
        <v>0</v>
      </c>
      <c r="V248" s="9"/>
      <c r="W248" s="10">
        <f t="shared" si="66"/>
        <v>-236.28</v>
      </c>
      <c r="X248" s="8">
        <f>IFERROR(W248/W444, "NA")</f>
        <v>-5.4744119664139661E-2</v>
      </c>
      <c r="Y248" s="9"/>
      <c r="Z248" s="7">
        <v>239.86</v>
      </c>
      <c r="AA248" s="8">
        <f>IFERROR(Z248/Z444, "NA")</f>
        <v>3.6491497538885366E-3</v>
      </c>
      <c r="AB248" s="9"/>
      <c r="AC248" s="10">
        <f t="shared" si="67"/>
        <v>3.5800000000000125</v>
      </c>
      <c r="AD248" s="8">
        <f>IFERROR(AC248/AC444, "NA")</f>
        <v>5.2794806642707639E-4</v>
      </c>
    </row>
    <row r="249" spans="1:30" ht="16.5" customHeight="1" x14ac:dyDescent="0.45">
      <c r="A249" s="12" t="s">
        <v>226</v>
      </c>
      <c r="B249" s="7">
        <v>1378.84</v>
      </c>
      <c r="C249" s="8">
        <f>IFERROR(B249/B444, "NA")</f>
        <v>1.9015505848394766E-2</v>
      </c>
      <c r="D249" s="9"/>
      <c r="E249" s="7">
        <v>0</v>
      </c>
      <c r="F249" s="8">
        <f>IFERROR(E249/E444, "NA")</f>
        <v>0</v>
      </c>
      <c r="G249" s="9"/>
      <c r="H249" s="10">
        <f t="shared" si="64"/>
        <v>-1378.84</v>
      </c>
      <c r="I249" s="8">
        <f>IFERROR(H249/H444, "NA")</f>
        <v>-0.31946581156975762</v>
      </c>
      <c r="J249" s="9"/>
      <c r="K249" s="7">
        <v>1457.2</v>
      </c>
      <c r="L249" s="8">
        <f>IFERROR(K249/K444, "NA")</f>
        <v>2.2169353044969465E-2</v>
      </c>
      <c r="M249" s="9"/>
      <c r="N249" s="10">
        <f t="shared" si="65"/>
        <v>78.360000000000127</v>
      </c>
      <c r="O249" s="8">
        <f>IFERROR(N249/N444, "NA")</f>
        <v>1.1555868850621683E-2</v>
      </c>
      <c r="P249" s="9"/>
      <c r="Q249" s="7">
        <v>1378.84</v>
      </c>
      <c r="R249" s="8">
        <f>IFERROR(Q249/Q444, "NA")</f>
        <v>1.9015505848394766E-2</v>
      </c>
      <c r="S249" s="9"/>
      <c r="T249" s="7">
        <v>0</v>
      </c>
      <c r="U249" s="8">
        <f>IFERROR(T249/T444, "NA")</f>
        <v>0</v>
      </c>
      <c r="V249" s="9"/>
      <c r="W249" s="10">
        <f t="shared" si="66"/>
        <v>-1378.84</v>
      </c>
      <c r="X249" s="8">
        <f>IFERROR(W249/W444, "NA")</f>
        <v>-0.31946581156975762</v>
      </c>
      <c r="Y249" s="9"/>
      <c r="Z249" s="7">
        <v>1457.2</v>
      </c>
      <c r="AA249" s="8">
        <f>IFERROR(Z249/Z444, "NA")</f>
        <v>2.2169353044969465E-2</v>
      </c>
      <c r="AB249" s="9"/>
      <c r="AC249" s="10">
        <f t="shared" si="67"/>
        <v>78.360000000000127</v>
      </c>
      <c r="AD249" s="8">
        <f>IFERROR(AC249/AC444, "NA")</f>
        <v>1.1555868850621683E-2</v>
      </c>
    </row>
    <row r="250" spans="1:30" ht="16.5" hidden="1" customHeight="1" x14ac:dyDescent="0.45">
      <c r="A250" s="12" t="s">
        <v>227</v>
      </c>
      <c r="B250" s="7">
        <v>0</v>
      </c>
      <c r="C250" s="8">
        <f>IFERROR(B250/B444, "NA")</f>
        <v>0</v>
      </c>
      <c r="D250" s="9"/>
      <c r="E250" s="7">
        <v>0</v>
      </c>
      <c r="F250" s="8">
        <f>IFERROR(E250/E444, "NA")</f>
        <v>0</v>
      </c>
      <c r="G250" s="9"/>
      <c r="H250" s="10">
        <f t="shared" si="64"/>
        <v>0</v>
      </c>
      <c r="I250" s="8">
        <f>IFERROR(H250/H444, "NA")</f>
        <v>0</v>
      </c>
      <c r="J250" s="9"/>
      <c r="K250" s="7">
        <v>0</v>
      </c>
      <c r="L250" s="8">
        <f>IFERROR(K250/K444, "NA")</f>
        <v>0</v>
      </c>
      <c r="M250" s="9"/>
      <c r="N250" s="10">
        <f t="shared" si="65"/>
        <v>0</v>
      </c>
      <c r="O250" s="8">
        <f>IFERROR(N250/N444, "NA")</f>
        <v>0</v>
      </c>
      <c r="P250" s="9"/>
      <c r="Q250" s="7">
        <v>0</v>
      </c>
      <c r="R250" s="8">
        <f>IFERROR(Q250/Q444, "NA")</f>
        <v>0</v>
      </c>
      <c r="S250" s="9"/>
      <c r="T250" s="7">
        <v>0</v>
      </c>
      <c r="U250" s="8">
        <f>IFERROR(T250/T444, "NA")</f>
        <v>0</v>
      </c>
      <c r="V250" s="9"/>
      <c r="W250" s="10">
        <f t="shared" si="66"/>
        <v>0</v>
      </c>
      <c r="X250" s="8">
        <f>IFERROR(W250/W444, "NA")</f>
        <v>0</v>
      </c>
      <c r="Y250" s="9"/>
      <c r="Z250" s="7">
        <v>0</v>
      </c>
      <c r="AA250" s="8">
        <f>IFERROR(Z250/Z444, "NA")</f>
        <v>0</v>
      </c>
      <c r="AB250" s="9"/>
      <c r="AC250" s="10">
        <f t="shared" si="67"/>
        <v>0</v>
      </c>
      <c r="AD250" s="8">
        <f>IFERROR(AC250/AC444, "NA")</f>
        <v>0</v>
      </c>
    </row>
    <row r="251" spans="1:30" ht="16.5" customHeight="1" x14ac:dyDescent="0.45">
      <c r="A251" s="12" t="s">
        <v>228</v>
      </c>
      <c r="B251" s="7">
        <v>33.29</v>
      </c>
      <c r="C251" s="8">
        <f>IFERROR(B251/B444, "NA")</f>
        <v>4.5910054081188664E-4</v>
      </c>
      <c r="D251" s="9"/>
      <c r="E251" s="7">
        <v>0</v>
      </c>
      <c r="F251" s="8">
        <f>IFERROR(E251/E444, "NA")</f>
        <v>0</v>
      </c>
      <c r="G251" s="9"/>
      <c r="H251" s="10">
        <f t="shared" si="64"/>
        <v>-33.29</v>
      </c>
      <c r="I251" s="8">
        <f>IFERROR(H251/H444, "NA")</f>
        <v>-7.7130173676113476E-3</v>
      </c>
      <c r="J251" s="9"/>
      <c r="K251" s="7">
        <v>36.97</v>
      </c>
      <c r="L251" s="8">
        <f>IFERROR(K251/K444, "NA")</f>
        <v>5.624492053750487E-4</v>
      </c>
      <c r="M251" s="9"/>
      <c r="N251" s="10">
        <f t="shared" si="65"/>
        <v>3.6799999999999997</v>
      </c>
      <c r="O251" s="8">
        <f>IFERROR(N251/N444, "NA")</f>
        <v>5.426952191205682E-4</v>
      </c>
      <c r="P251" s="9"/>
      <c r="Q251" s="7">
        <v>33.29</v>
      </c>
      <c r="R251" s="8">
        <f>IFERROR(Q251/Q444, "NA")</f>
        <v>4.5910054081188664E-4</v>
      </c>
      <c r="S251" s="9"/>
      <c r="T251" s="7">
        <v>0</v>
      </c>
      <c r="U251" s="8">
        <f>IFERROR(T251/T444, "NA")</f>
        <v>0</v>
      </c>
      <c r="V251" s="9"/>
      <c r="W251" s="10">
        <f t="shared" si="66"/>
        <v>-33.29</v>
      </c>
      <c r="X251" s="8">
        <f>IFERROR(W251/W444, "NA")</f>
        <v>-7.7130173676113476E-3</v>
      </c>
      <c r="Y251" s="9"/>
      <c r="Z251" s="7">
        <v>36.97</v>
      </c>
      <c r="AA251" s="8">
        <f>IFERROR(Z251/Z444, "NA")</f>
        <v>5.624492053750487E-4</v>
      </c>
      <c r="AB251" s="9"/>
      <c r="AC251" s="10">
        <f t="shared" si="67"/>
        <v>3.6799999999999997</v>
      </c>
      <c r="AD251" s="8">
        <f>IFERROR(AC251/AC444, "NA")</f>
        <v>5.426952191205682E-4</v>
      </c>
    </row>
    <row r="252" spans="1:30" ht="16.5" hidden="1" customHeight="1" x14ac:dyDescent="0.45">
      <c r="A252" s="12" t="s">
        <v>229</v>
      </c>
      <c r="B252" s="7">
        <v>0</v>
      </c>
      <c r="C252" s="8">
        <f>IFERROR(B252/B444, "NA")</f>
        <v>0</v>
      </c>
      <c r="D252" s="9"/>
      <c r="E252" s="7">
        <v>0</v>
      </c>
      <c r="F252" s="8">
        <f>IFERROR(E252/E444, "NA")</f>
        <v>0</v>
      </c>
      <c r="G252" s="9"/>
      <c r="H252" s="10">
        <f t="shared" si="64"/>
        <v>0</v>
      </c>
      <c r="I252" s="8">
        <f>IFERROR(H252/H444, "NA")</f>
        <v>0</v>
      </c>
      <c r="J252" s="9"/>
      <c r="K252" s="7">
        <v>0</v>
      </c>
      <c r="L252" s="8">
        <f>IFERROR(K252/K444, "NA")</f>
        <v>0</v>
      </c>
      <c r="M252" s="9"/>
      <c r="N252" s="10">
        <f t="shared" si="65"/>
        <v>0</v>
      </c>
      <c r="O252" s="8">
        <f>IFERROR(N252/N444, "NA")</f>
        <v>0</v>
      </c>
      <c r="P252" s="9"/>
      <c r="Q252" s="7">
        <v>0</v>
      </c>
      <c r="R252" s="8">
        <f>IFERROR(Q252/Q444, "NA")</f>
        <v>0</v>
      </c>
      <c r="S252" s="9"/>
      <c r="T252" s="7">
        <v>0</v>
      </c>
      <c r="U252" s="8">
        <f>IFERROR(T252/T444, "NA")</f>
        <v>0</v>
      </c>
      <c r="V252" s="9"/>
      <c r="W252" s="10">
        <f t="shared" si="66"/>
        <v>0</v>
      </c>
      <c r="X252" s="8">
        <f>IFERROR(W252/W444, "NA")</f>
        <v>0</v>
      </c>
      <c r="Y252" s="9"/>
      <c r="Z252" s="7">
        <v>0</v>
      </c>
      <c r="AA252" s="8">
        <f>IFERROR(Z252/Z444, "NA")</f>
        <v>0</v>
      </c>
      <c r="AB252" s="9"/>
      <c r="AC252" s="10">
        <f t="shared" si="67"/>
        <v>0</v>
      </c>
      <c r="AD252" s="8">
        <f>IFERROR(AC252/AC444, "NA")</f>
        <v>0</v>
      </c>
    </row>
    <row r="253" spans="1:30" ht="16.5" hidden="1" customHeight="1" x14ac:dyDescent="0.45">
      <c r="A253" s="12" t="s">
        <v>230</v>
      </c>
      <c r="B253" s="7">
        <v>0</v>
      </c>
      <c r="C253" s="8">
        <f>IFERROR(B253/B444, "NA")</f>
        <v>0</v>
      </c>
      <c r="D253" s="9"/>
      <c r="E253" s="7">
        <v>0</v>
      </c>
      <c r="F253" s="8">
        <f>IFERROR(E253/E444, "NA")</f>
        <v>0</v>
      </c>
      <c r="G253" s="9"/>
      <c r="H253" s="10">
        <f t="shared" si="64"/>
        <v>0</v>
      </c>
      <c r="I253" s="8">
        <f>IFERROR(H253/H444, "NA")</f>
        <v>0</v>
      </c>
      <c r="J253" s="9"/>
      <c r="K253" s="7">
        <v>0</v>
      </c>
      <c r="L253" s="8">
        <f>IFERROR(K253/K444, "NA")</f>
        <v>0</v>
      </c>
      <c r="M253" s="9"/>
      <c r="N253" s="10">
        <f t="shared" si="65"/>
        <v>0</v>
      </c>
      <c r="O253" s="8">
        <f>IFERROR(N253/N444, "NA")</f>
        <v>0</v>
      </c>
      <c r="P253" s="9"/>
      <c r="Q253" s="7">
        <v>0</v>
      </c>
      <c r="R253" s="8">
        <f>IFERROR(Q253/Q444, "NA")</f>
        <v>0</v>
      </c>
      <c r="S253" s="9"/>
      <c r="T253" s="7">
        <v>0</v>
      </c>
      <c r="U253" s="8">
        <f>IFERROR(T253/T444, "NA")</f>
        <v>0</v>
      </c>
      <c r="V253" s="9"/>
      <c r="W253" s="10">
        <f t="shared" si="66"/>
        <v>0</v>
      </c>
      <c r="X253" s="8">
        <f>IFERROR(W253/W444, "NA")</f>
        <v>0</v>
      </c>
      <c r="Y253" s="9"/>
      <c r="Z253" s="7">
        <v>0</v>
      </c>
      <c r="AA253" s="8">
        <f>IFERROR(Z253/Z444, "NA")</f>
        <v>0</v>
      </c>
      <c r="AB253" s="9"/>
      <c r="AC253" s="10">
        <f t="shared" si="67"/>
        <v>0</v>
      </c>
      <c r="AD253" s="8">
        <f>IFERROR(AC253/AC444, "NA")</f>
        <v>0</v>
      </c>
    </row>
    <row r="254" spans="1:30" ht="16.5" hidden="1" customHeight="1" x14ac:dyDescent="0.45">
      <c r="A254" s="12" t="s">
        <v>231</v>
      </c>
      <c r="B254" s="7">
        <v>0</v>
      </c>
      <c r="C254" s="8">
        <f>IFERROR(B254/B444, "NA")</f>
        <v>0</v>
      </c>
      <c r="D254" s="9"/>
      <c r="E254" s="7">
        <v>0</v>
      </c>
      <c r="F254" s="8">
        <f>IFERROR(E254/E444, "NA")</f>
        <v>0</v>
      </c>
      <c r="G254" s="9"/>
      <c r="H254" s="10">
        <f t="shared" si="64"/>
        <v>0</v>
      </c>
      <c r="I254" s="8">
        <f>IFERROR(H254/H444, "NA")</f>
        <v>0</v>
      </c>
      <c r="J254" s="9"/>
      <c r="K254" s="7">
        <v>0</v>
      </c>
      <c r="L254" s="8">
        <f>IFERROR(K254/K444, "NA")</f>
        <v>0</v>
      </c>
      <c r="M254" s="9"/>
      <c r="N254" s="10">
        <f t="shared" si="65"/>
        <v>0</v>
      </c>
      <c r="O254" s="8">
        <f>IFERROR(N254/N444, "NA")</f>
        <v>0</v>
      </c>
      <c r="P254" s="9"/>
      <c r="Q254" s="7">
        <v>0</v>
      </c>
      <c r="R254" s="8">
        <f>IFERROR(Q254/Q444, "NA")</f>
        <v>0</v>
      </c>
      <c r="S254" s="9"/>
      <c r="T254" s="7">
        <v>0</v>
      </c>
      <c r="U254" s="8">
        <f>IFERROR(T254/T444, "NA")</f>
        <v>0</v>
      </c>
      <c r="V254" s="9"/>
      <c r="W254" s="10">
        <f t="shared" si="66"/>
        <v>0</v>
      </c>
      <c r="X254" s="8">
        <f>IFERROR(W254/W444, "NA")</f>
        <v>0</v>
      </c>
      <c r="Y254" s="9"/>
      <c r="Z254" s="7">
        <v>0</v>
      </c>
      <c r="AA254" s="8">
        <f>IFERROR(Z254/Z444, "NA")</f>
        <v>0</v>
      </c>
      <c r="AB254" s="9"/>
      <c r="AC254" s="10">
        <f t="shared" si="67"/>
        <v>0</v>
      </c>
      <c r="AD254" s="8">
        <f>IFERROR(AC254/AC444, "NA")</f>
        <v>0</v>
      </c>
    </row>
    <row r="255" spans="1:30" ht="16.5" hidden="1" customHeight="1" x14ac:dyDescent="0.45">
      <c r="A255" s="12" t="s">
        <v>232</v>
      </c>
      <c r="B255" s="7">
        <v>0</v>
      </c>
      <c r="C255" s="8">
        <f>IFERROR(B255/B444, "NA")</f>
        <v>0</v>
      </c>
      <c r="D255" s="9"/>
      <c r="E255" s="7">
        <v>0</v>
      </c>
      <c r="F255" s="8">
        <f>IFERROR(E255/E444, "NA")</f>
        <v>0</v>
      </c>
      <c r="G255" s="9"/>
      <c r="H255" s="10">
        <f t="shared" si="64"/>
        <v>0</v>
      </c>
      <c r="I255" s="8">
        <f>IFERROR(H255/H444, "NA")</f>
        <v>0</v>
      </c>
      <c r="J255" s="9"/>
      <c r="K255" s="7">
        <v>0</v>
      </c>
      <c r="L255" s="8">
        <f>IFERROR(K255/K444, "NA")</f>
        <v>0</v>
      </c>
      <c r="M255" s="9"/>
      <c r="N255" s="10">
        <f t="shared" si="65"/>
        <v>0</v>
      </c>
      <c r="O255" s="8">
        <f>IFERROR(N255/N444, "NA")</f>
        <v>0</v>
      </c>
      <c r="P255" s="9"/>
      <c r="Q255" s="7">
        <v>0</v>
      </c>
      <c r="R255" s="8">
        <f>IFERROR(Q255/Q444, "NA")</f>
        <v>0</v>
      </c>
      <c r="S255" s="9"/>
      <c r="T255" s="7">
        <v>0</v>
      </c>
      <c r="U255" s="8">
        <f>IFERROR(T255/T444, "NA")</f>
        <v>0</v>
      </c>
      <c r="V255" s="9"/>
      <c r="W255" s="10">
        <f t="shared" si="66"/>
        <v>0</v>
      </c>
      <c r="X255" s="8">
        <f>IFERROR(W255/W444, "NA")</f>
        <v>0</v>
      </c>
      <c r="Y255" s="9"/>
      <c r="Z255" s="7">
        <v>0</v>
      </c>
      <c r="AA255" s="8">
        <f>IFERROR(Z255/Z444, "NA")</f>
        <v>0</v>
      </c>
      <c r="AB255" s="9"/>
      <c r="AC255" s="10">
        <f t="shared" si="67"/>
        <v>0</v>
      </c>
      <c r="AD255" s="8">
        <f>IFERROR(AC255/AC444, "NA")</f>
        <v>0</v>
      </c>
    </row>
    <row r="256" spans="1:30" ht="16.5" hidden="1" customHeight="1" x14ac:dyDescent="0.45">
      <c r="A256" s="12" t="s">
        <v>233</v>
      </c>
      <c r="B256" s="7">
        <v>0</v>
      </c>
      <c r="C256" s="8">
        <f>IFERROR(B256/B444, "NA")</f>
        <v>0</v>
      </c>
      <c r="D256" s="9"/>
      <c r="E256" s="7">
        <v>0</v>
      </c>
      <c r="F256" s="8">
        <f>IFERROR(E256/E444, "NA")</f>
        <v>0</v>
      </c>
      <c r="G256" s="9"/>
      <c r="H256" s="10">
        <f t="shared" si="64"/>
        <v>0</v>
      </c>
      <c r="I256" s="8">
        <f>IFERROR(H256/H444, "NA")</f>
        <v>0</v>
      </c>
      <c r="J256" s="9"/>
      <c r="K256" s="7">
        <v>0</v>
      </c>
      <c r="L256" s="8">
        <f>IFERROR(K256/K444, "NA")</f>
        <v>0</v>
      </c>
      <c r="M256" s="9"/>
      <c r="N256" s="10">
        <f t="shared" si="65"/>
        <v>0</v>
      </c>
      <c r="O256" s="8">
        <f>IFERROR(N256/N444, "NA")</f>
        <v>0</v>
      </c>
      <c r="P256" s="9"/>
      <c r="Q256" s="7">
        <v>0</v>
      </c>
      <c r="R256" s="8">
        <f>IFERROR(Q256/Q444, "NA")</f>
        <v>0</v>
      </c>
      <c r="S256" s="9"/>
      <c r="T256" s="7">
        <v>0</v>
      </c>
      <c r="U256" s="8">
        <f>IFERROR(T256/T444, "NA")</f>
        <v>0</v>
      </c>
      <c r="V256" s="9"/>
      <c r="W256" s="10">
        <f t="shared" si="66"/>
        <v>0</v>
      </c>
      <c r="X256" s="8">
        <f>IFERROR(W256/W444, "NA")</f>
        <v>0</v>
      </c>
      <c r="Y256" s="9"/>
      <c r="Z256" s="7">
        <v>0</v>
      </c>
      <c r="AA256" s="8">
        <f>IFERROR(Z256/Z444, "NA")</f>
        <v>0</v>
      </c>
      <c r="AB256" s="9"/>
      <c r="AC256" s="10">
        <f t="shared" si="67"/>
        <v>0</v>
      </c>
      <c r="AD256" s="8">
        <f>IFERROR(AC256/AC444, "NA")</f>
        <v>0</v>
      </c>
    </row>
    <row r="257" spans="1:30" ht="16.5" hidden="1" customHeight="1" x14ac:dyDescent="0.45">
      <c r="A257" s="12" t="s">
        <v>234</v>
      </c>
      <c r="B257" s="7">
        <v>0</v>
      </c>
      <c r="C257" s="8">
        <f>IFERROR(B257/B444, "NA")</f>
        <v>0</v>
      </c>
      <c r="D257" s="9"/>
      <c r="E257" s="7">
        <v>0</v>
      </c>
      <c r="F257" s="8">
        <f>IFERROR(E257/E444, "NA")</f>
        <v>0</v>
      </c>
      <c r="G257" s="9"/>
      <c r="H257" s="10">
        <f t="shared" si="64"/>
        <v>0</v>
      </c>
      <c r="I257" s="8">
        <f>IFERROR(H257/H444, "NA")</f>
        <v>0</v>
      </c>
      <c r="J257" s="9"/>
      <c r="K257" s="7">
        <v>0</v>
      </c>
      <c r="L257" s="8">
        <f>IFERROR(K257/K444, "NA")</f>
        <v>0</v>
      </c>
      <c r="M257" s="9"/>
      <c r="N257" s="10">
        <f t="shared" si="65"/>
        <v>0</v>
      </c>
      <c r="O257" s="8">
        <f>IFERROR(N257/N444, "NA")</f>
        <v>0</v>
      </c>
      <c r="P257" s="9"/>
      <c r="Q257" s="7">
        <v>0</v>
      </c>
      <c r="R257" s="8">
        <f>IFERROR(Q257/Q444, "NA")</f>
        <v>0</v>
      </c>
      <c r="S257" s="9"/>
      <c r="T257" s="7">
        <v>0</v>
      </c>
      <c r="U257" s="8">
        <f>IFERROR(T257/T444, "NA")</f>
        <v>0</v>
      </c>
      <c r="V257" s="9"/>
      <c r="W257" s="10">
        <f t="shared" si="66"/>
        <v>0</v>
      </c>
      <c r="X257" s="8">
        <f>IFERROR(W257/W444, "NA")</f>
        <v>0</v>
      </c>
      <c r="Y257" s="9"/>
      <c r="Z257" s="7">
        <v>0</v>
      </c>
      <c r="AA257" s="8">
        <f>IFERROR(Z257/Z444, "NA")</f>
        <v>0</v>
      </c>
      <c r="AB257" s="9"/>
      <c r="AC257" s="10">
        <f t="shared" si="67"/>
        <v>0</v>
      </c>
      <c r="AD257" s="8">
        <f>IFERROR(AC257/AC444, "NA")</f>
        <v>0</v>
      </c>
    </row>
    <row r="258" spans="1:30" ht="16.5" hidden="1" customHeight="1" x14ac:dyDescent="0.45">
      <c r="A258" s="12" t="s">
        <v>235</v>
      </c>
      <c r="B258" s="7">
        <v>0</v>
      </c>
      <c r="C258" s="8">
        <f>IFERROR(B258/B444, "NA")</f>
        <v>0</v>
      </c>
      <c r="D258" s="9"/>
      <c r="E258" s="7">
        <v>0</v>
      </c>
      <c r="F258" s="8">
        <f>IFERROR(E258/E444, "NA")</f>
        <v>0</v>
      </c>
      <c r="G258" s="9"/>
      <c r="H258" s="10">
        <f t="shared" si="64"/>
        <v>0</v>
      </c>
      <c r="I258" s="8">
        <f>IFERROR(H258/H444, "NA")</f>
        <v>0</v>
      </c>
      <c r="J258" s="9"/>
      <c r="K258" s="7">
        <v>0</v>
      </c>
      <c r="L258" s="8">
        <f>IFERROR(K258/K444, "NA")</f>
        <v>0</v>
      </c>
      <c r="M258" s="9"/>
      <c r="N258" s="10">
        <f t="shared" si="65"/>
        <v>0</v>
      </c>
      <c r="O258" s="8">
        <f>IFERROR(N258/N444, "NA")</f>
        <v>0</v>
      </c>
      <c r="P258" s="9"/>
      <c r="Q258" s="7">
        <v>0</v>
      </c>
      <c r="R258" s="8">
        <f>IFERROR(Q258/Q444, "NA")</f>
        <v>0</v>
      </c>
      <c r="S258" s="9"/>
      <c r="T258" s="7">
        <v>0</v>
      </c>
      <c r="U258" s="8">
        <f>IFERROR(T258/T444, "NA")</f>
        <v>0</v>
      </c>
      <c r="V258" s="9"/>
      <c r="W258" s="10">
        <f t="shared" si="66"/>
        <v>0</v>
      </c>
      <c r="X258" s="8">
        <f>IFERROR(W258/W444, "NA")</f>
        <v>0</v>
      </c>
      <c r="Y258" s="9"/>
      <c r="Z258" s="7">
        <v>0</v>
      </c>
      <c r="AA258" s="8">
        <f>IFERROR(Z258/Z444, "NA")</f>
        <v>0</v>
      </c>
      <c r="AB258" s="9"/>
      <c r="AC258" s="10">
        <f t="shared" si="67"/>
        <v>0</v>
      </c>
      <c r="AD258" s="8">
        <f>IFERROR(AC258/AC444, "NA")</f>
        <v>0</v>
      </c>
    </row>
    <row r="259" spans="1:30" ht="16.5" hidden="1" customHeight="1" x14ac:dyDescent="0.45">
      <c r="A259" s="12" t="s">
        <v>236</v>
      </c>
      <c r="B259" s="7">
        <v>0</v>
      </c>
      <c r="C259" s="8">
        <f>IFERROR(B259/B444, "NA")</f>
        <v>0</v>
      </c>
      <c r="D259" s="9"/>
      <c r="E259" s="7">
        <v>0</v>
      </c>
      <c r="F259" s="8">
        <f>IFERROR(E259/E444, "NA")</f>
        <v>0</v>
      </c>
      <c r="G259" s="9"/>
      <c r="H259" s="10">
        <f t="shared" si="64"/>
        <v>0</v>
      </c>
      <c r="I259" s="8">
        <f>IFERROR(H259/H444, "NA")</f>
        <v>0</v>
      </c>
      <c r="J259" s="9"/>
      <c r="K259" s="7">
        <v>0</v>
      </c>
      <c r="L259" s="8">
        <f>IFERROR(K259/K444, "NA")</f>
        <v>0</v>
      </c>
      <c r="M259" s="9"/>
      <c r="N259" s="10">
        <f t="shared" si="65"/>
        <v>0</v>
      </c>
      <c r="O259" s="8">
        <f>IFERROR(N259/N444, "NA")</f>
        <v>0</v>
      </c>
      <c r="P259" s="9"/>
      <c r="Q259" s="7">
        <v>0</v>
      </c>
      <c r="R259" s="8">
        <f>IFERROR(Q259/Q444, "NA")</f>
        <v>0</v>
      </c>
      <c r="S259" s="9"/>
      <c r="T259" s="7">
        <v>0</v>
      </c>
      <c r="U259" s="8">
        <f>IFERROR(T259/T444, "NA")</f>
        <v>0</v>
      </c>
      <c r="V259" s="9"/>
      <c r="W259" s="10">
        <f t="shared" si="66"/>
        <v>0</v>
      </c>
      <c r="X259" s="8">
        <f>IFERROR(W259/W444, "NA")</f>
        <v>0</v>
      </c>
      <c r="Y259" s="9"/>
      <c r="Z259" s="7">
        <v>0</v>
      </c>
      <c r="AA259" s="8">
        <f>IFERROR(Z259/Z444, "NA")</f>
        <v>0</v>
      </c>
      <c r="AB259" s="9"/>
      <c r="AC259" s="10">
        <f t="shared" si="67"/>
        <v>0</v>
      </c>
      <c r="AD259" s="8">
        <f>IFERROR(AC259/AC444, "NA")</f>
        <v>0</v>
      </c>
    </row>
    <row r="260" spans="1:30" ht="16.5" hidden="1" customHeight="1" x14ac:dyDescent="0.45">
      <c r="A260" s="12" t="s">
        <v>237</v>
      </c>
      <c r="B260" s="7">
        <v>0</v>
      </c>
      <c r="C260" s="8">
        <f>IFERROR(B260/B444, "NA")</f>
        <v>0</v>
      </c>
      <c r="D260" s="9"/>
      <c r="E260" s="7">
        <v>0</v>
      </c>
      <c r="F260" s="8">
        <f>IFERROR(E260/E444, "NA")</f>
        <v>0</v>
      </c>
      <c r="G260" s="9"/>
      <c r="H260" s="10">
        <f t="shared" si="64"/>
        <v>0</v>
      </c>
      <c r="I260" s="8">
        <f>IFERROR(H260/H444, "NA")</f>
        <v>0</v>
      </c>
      <c r="J260" s="9"/>
      <c r="K260" s="7">
        <v>0</v>
      </c>
      <c r="L260" s="8">
        <f>IFERROR(K260/K444, "NA")</f>
        <v>0</v>
      </c>
      <c r="M260" s="9"/>
      <c r="N260" s="10">
        <f t="shared" si="65"/>
        <v>0</v>
      </c>
      <c r="O260" s="8">
        <f>IFERROR(N260/N444, "NA")</f>
        <v>0</v>
      </c>
      <c r="P260" s="9"/>
      <c r="Q260" s="7">
        <v>0</v>
      </c>
      <c r="R260" s="8">
        <f>IFERROR(Q260/Q444, "NA")</f>
        <v>0</v>
      </c>
      <c r="S260" s="9"/>
      <c r="T260" s="7">
        <v>0</v>
      </c>
      <c r="U260" s="8">
        <f>IFERROR(T260/T444, "NA")</f>
        <v>0</v>
      </c>
      <c r="V260" s="9"/>
      <c r="W260" s="10">
        <f t="shared" si="66"/>
        <v>0</v>
      </c>
      <c r="X260" s="8">
        <f>IFERROR(W260/W444, "NA")</f>
        <v>0</v>
      </c>
      <c r="Y260" s="9"/>
      <c r="Z260" s="7">
        <v>0</v>
      </c>
      <c r="AA260" s="8">
        <f>IFERROR(Z260/Z444, "NA")</f>
        <v>0</v>
      </c>
      <c r="AB260" s="9"/>
      <c r="AC260" s="10">
        <f t="shared" si="67"/>
        <v>0</v>
      </c>
      <c r="AD260" s="8">
        <f>IFERROR(AC260/AC444, "NA")</f>
        <v>0</v>
      </c>
    </row>
    <row r="261" spans="1:30" ht="16.5" hidden="1" customHeight="1" x14ac:dyDescent="0.45">
      <c r="A261" s="12" t="s">
        <v>238</v>
      </c>
      <c r="B261" s="7">
        <v>0</v>
      </c>
      <c r="C261" s="8">
        <f>IFERROR(B261/B444, "NA")</f>
        <v>0</v>
      </c>
      <c r="D261" s="9"/>
      <c r="E261" s="7">
        <v>0</v>
      </c>
      <c r="F261" s="8">
        <f>IFERROR(E261/E444, "NA")</f>
        <v>0</v>
      </c>
      <c r="G261" s="9"/>
      <c r="H261" s="10">
        <f t="shared" si="64"/>
        <v>0</v>
      </c>
      <c r="I261" s="8">
        <f>IFERROR(H261/H444, "NA")</f>
        <v>0</v>
      </c>
      <c r="J261" s="9"/>
      <c r="K261" s="7">
        <v>0</v>
      </c>
      <c r="L261" s="8">
        <f>IFERROR(K261/K444, "NA")</f>
        <v>0</v>
      </c>
      <c r="M261" s="9"/>
      <c r="N261" s="10">
        <f t="shared" si="65"/>
        <v>0</v>
      </c>
      <c r="O261" s="8">
        <f>IFERROR(N261/N444, "NA")</f>
        <v>0</v>
      </c>
      <c r="P261" s="9"/>
      <c r="Q261" s="7">
        <v>0</v>
      </c>
      <c r="R261" s="8">
        <f>IFERROR(Q261/Q444, "NA")</f>
        <v>0</v>
      </c>
      <c r="S261" s="9"/>
      <c r="T261" s="7">
        <v>0</v>
      </c>
      <c r="U261" s="8">
        <f>IFERROR(T261/T444, "NA")</f>
        <v>0</v>
      </c>
      <c r="V261" s="9"/>
      <c r="W261" s="10">
        <f t="shared" si="66"/>
        <v>0</v>
      </c>
      <c r="X261" s="8">
        <f>IFERROR(W261/W444, "NA")</f>
        <v>0</v>
      </c>
      <c r="Y261" s="9"/>
      <c r="Z261" s="7">
        <v>0</v>
      </c>
      <c r="AA261" s="8">
        <f>IFERROR(Z261/Z444, "NA")</f>
        <v>0</v>
      </c>
      <c r="AB261" s="9"/>
      <c r="AC261" s="10">
        <f t="shared" si="67"/>
        <v>0</v>
      </c>
      <c r="AD261" s="8">
        <f>IFERROR(AC261/AC444, "NA")</f>
        <v>0</v>
      </c>
    </row>
    <row r="262" spans="1:30" ht="16.5" customHeight="1" x14ac:dyDescent="0.45">
      <c r="A262" s="13" t="s">
        <v>239</v>
      </c>
      <c r="B262" s="14">
        <f>IFERROR(B240+B241+B242+B243+B244+B245+B246+B247+B248+B249+B250+B251+B252+B253+B254+B255+B256+B257+B258+B259+B260+B261, "NA")</f>
        <v>5740.12</v>
      </c>
      <c r="C262" s="15">
        <f>IFERROR(B262/B444, "NA")</f>
        <v>7.9161676068643036E-2</v>
      </c>
      <c r="D262" s="2"/>
      <c r="E262" s="14">
        <f>IFERROR(E240+E241+E242+E243+E244+E245+E246+E247+E248+E249+E250+E251+E252+E253+E254+E255+E256+E257+E258+E259+E260+E261, "NA")</f>
        <v>4432.6899999999996</v>
      </c>
      <c r="F262" s="15">
        <f>IFERROR(E262/E444, "NA")</f>
        <v>6.499996260737731E-2</v>
      </c>
      <c r="G262" s="2"/>
      <c r="H262" s="14">
        <f t="shared" si="64"/>
        <v>-1307.4300000000003</v>
      </c>
      <c r="I262" s="15">
        <f>IFERROR(H262/H444, "NA")</f>
        <v>-0.30292070582565656</v>
      </c>
      <c r="J262" s="2"/>
      <c r="K262" s="14">
        <f>IFERROR(K240+K241+K242+K243+K244+K245+K246+K247+K248+K249+K250+K251+K252+K253+K254+K255+K256+K257+K258+K259+K260+K261, "NA")</f>
        <v>4551.7400000000007</v>
      </c>
      <c r="L262" s="15">
        <f>IFERROR(K262/K444, "NA")</f>
        <v>6.9248648798318227E-2</v>
      </c>
      <c r="M262" s="2"/>
      <c r="N262" s="14">
        <f t="shared" si="65"/>
        <v>-1188.3799999999992</v>
      </c>
      <c r="O262" s="15">
        <f>IFERROR(N262/N444, "NA")</f>
        <v>-0.17525221317894032</v>
      </c>
      <c r="P262" s="2"/>
      <c r="Q262" s="14">
        <f>IFERROR(Q240+Q241+Q242+Q243+Q244+Q245+Q246+Q247+Q248+Q249+Q250+Q251+Q252+Q253+Q254+Q255+Q256+Q257+Q258+Q259+Q260+Q261, "NA")</f>
        <v>5740.12</v>
      </c>
      <c r="R262" s="15">
        <f>IFERROR(Q262/Q444, "NA")</f>
        <v>7.9161676068643036E-2</v>
      </c>
      <c r="S262" s="2"/>
      <c r="T262" s="14">
        <f>IFERROR(T240+T241+T242+T243+T244+T245+T246+T247+T248+T249+T250+T251+T252+T253+T254+T255+T256+T257+T258+T259+T260+T261, "NA")</f>
        <v>4432.6899999999996</v>
      </c>
      <c r="U262" s="15">
        <f>IFERROR(T262/T444, "NA")</f>
        <v>6.499996260737731E-2</v>
      </c>
      <c r="V262" s="2"/>
      <c r="W262" s="14">
        <f t="shared" si="66"/>
        <v>-1307.4300000000003</v>
      </c>
      <c r="X262" s="15">
        <f>IFERROR(W262/W444, "NA")</f>
        <v>-0.30292070582565656</v>
      </c>
      <c r="Y262" s="2"/>
      <c r="Z262" s="14">
        <f>IFERROR(Z240+Z241+Z242+Z243+Z244+Z245+Z246+Z247+Z248+Z249+Z250+Z251+Z252+Z253+Z254+Z255+Z256+Z257+Z258+Z259+Z260+Z261, "NA")</f>
        <v>4551.7400000000007</v>
      </c>
      <c r="AA262" s="15">
        <f>IFERROR(Z262/Z444, "NA")</f>
        <v>6.9248648798318227E-2</v>
      </c>
      <c r="AB262" s="2"/>
      <c r="AC262" s="14">
        <f t="shared" si="67"/>
        <v>-1188.3799999999992</v>
      </c>
      <c r="AD262" s="15">
        <f>IFERROR(AC262/AC444, "NA")</f>
        <v>-0.17525221317894032</v>
      </c>
    </row>
    <row r="263" spans="1:30" ht="16.5" customHeight="1" x14ac:dyDescent="0.45">
      <c r="A263" s="19" t="s">
        <v>240</v>
      </c>
      <c r="B263" s="14">
        <f>IFERROR(B238+B240+B241+B242+B243+B244+B245+B246+B247+B248+B249+B250+B251+B252+B253+B254+B255+B256+B257+B258+B259+B260+B261, "NA")</f>
        <v>5740.12</v>
      </c>
      <c r="C263" s="15">
        <f>IFERROR(B263/B444, "NA")</f>
        <v>7.9161676068643036E-2</v>
      </c>
      <c r="D263" s="2"/>
      <c r="E263" s="14">
        <f>IFERROR(E238+E240+E241+E242+E243+E244+E245+E246+E247+E248+E249+E250+E251+E252+E253+E254+E255+E256+E257+E258+E259+E260+E261, "NA")</f>
        <v>4432.6899999999996</v>
      </c>
      <c r="F263" s="15">
        <f>IFERROR(E263/E444, "NA")</f>
        <v>6.499996260737731E-2</v>
      </c>
      <c r="G263" s="2"/>
      <c r="H263" s="14">
        <f t="shared" si="64"/>
        <v>-1307.4300000000003</v>
      </c>
      <c r="I263" s="15">
        <f>IFERROR(H263/H444, "NA")</f>
        <v>-0.30292070582565656</v>
      </c>
      <c r="J263" s="2"/>
      <c r="K263" s="14">
        <f>IFERROR(K238+K240+K241+K242+K243+K244+K245+K246+K247+K248+K249+K250+K251+K252+K253+K254+K255+K256+K257+K258+K259+K260+K261, "NA")</f>
        <v>4551.7400000000007</v>
      </c>
      <c r="L263" s="15">
        <f>IFERROR(K263/K444, "NA")</f>
        <v>6.9248648798318227E-2</v>
      </c>
      <c r="M263" s="2"/>
      <c r="N263" s="14">
        <f t="shared" si="65"/>
        <v>-1188.3799999999992</v>
      </c>
      <c r="O263" s="15">
        <f>IFERROR(N263/N444, "NA")</f>
        <v>-0.17525221317894032</v>
      </c>
      <c r="P263" s="2"/>
      <c r="Q263" s="14">
        <f>IFERROR(Q238+Q240+Q241+Q242+Q243+Q244+Q245+Q246+Q247+Q248+Q249+Q250+Q251+Q252+Q253+Q254+Q255+Q256+Q257+Q258+Q259+Q260+Q261, "NA")</f>
        <v>5740.12</v>
      </c>
      <c r="R263" s="15">
        <f>IFERROR(Q263/Q444, "NA")</f>
        <v>7.9161676068643036E-2</v>
      </c>
      <c r="S263" s="2"/>
      <c r="T263" s="14">
        <f>IFERROR(T238+T240+T241+T242+T243+T244+T245+T246+T247+T248+T249+T250+T251+T252+T253+T254+T255+T256+T257+T258+T259+T260+T261, "NA")</f>
        <v>4432.6899999999996</v>
      </c>
      <c r="U263" s="15">
        <f>IFERROR(T263/T444, "NA")</f>
        <v>6.499996260737731E-2</v>
      </c>
      <c r="V263" s="2"/>
      <c r="W263" s="14">
        <f t="shared" si="66"/>
        <v>-1307.4300000000003</v>
      </c>
      <c r="X263" s="15">
        <f>IFERROR(W263/W444, "NA")</f>
        <v>-0.30292070582565656</v>
      </c>
      <c r="Y263" s="2"/>
      <c r="Z263" s="14">
        <f>IFERROR(Z238+Z240+Z241+Z242+Z243+Z244+Z245+Z246+Z247+Z248+Z249+Z250+Z251+Z252+Z253+Z254+Z255+Z256+Z257+Z258+Z259+Z260+Z261, "NA")</f>
        <v>4551.7400000000007</v>
      </c>
      <c r="AA263" s="15">
        <f>IFERROR(Z263/Z444, "NA")</f>
        <v>6.9248648798318227E-2</v>
      </c>
      <c r="AB263" s="2"/>
      <c r="AC263" s="14">
        <f t="shared" si="67"/>
        <v>-1188.3799999999992</v>
      </c>
      <c r="AD263" s="15">
        <f>IFERROR(AC263/AC444, "NA")</f>
        <v>-0.17525221317894032</v>
      </c>
    </row>
    <row r="264" spans="1:30" ht="16.5" customHeight="1" x14ac:dyDescent="0.45">
      <c r="A264" s="5" t="s">
        <v>241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  <c r="Y264" s="4"/>
      <c r="Z264" s="2"/>
      <c r="AA264" s="3"/>
      <c r="AB264" s="4"/>
      <c r="AC264" s="2"/>
      <c r="AD264" s="3"/>
    </row>
    <row r="265" spans="1:30" ht="16.5" customHeight="1" x14ac:dyDescent="0.45">
      <c r="A265" s="6" t="s">
        <v>241</v>
      </c>
      <c r="B265" s="7">
        <v>1739.6</v>
      </c>
      <c r="C265" s="8">
        <f>IFERROR(B265/B444, "NA")</f>
        <v>2.3990726968950375E-2</v>
      </c>
      <c r="D265" s="9"/>
      <c r="E265" s="7">
        <v>1636.69</v>
      </c>
      <c r="F265" s="8">
        <f>IFERROR(E265/E444, "NA")</f>
        <v>2.4000051616483078E-2</v>
      </c>
      <c r="G265" s="9"/>
      <c r="H265" s="10">
        <f>IFERROR(-(B265-E265), "NA")</f>
        <v>-102.90999999999985</v>
      </c>
      <c r="I265" s="8">
        <f>IFERROR(H265/H444, "NA")</f>
        <v>-2.3843394932438651E-2</v>
      </c>
      <c r="J265" s="9"/>
      <c r="K265" s="7">
        <v>1480.19</v>
      </c>
      <c r="L265" s="8">
        <f>IFERROR(K265/K444, "NA")</f>
        <v>2.2519115209740152E-2</v>
      </c>
      <c r="M265" s="9"/>
      <c r="N265" s="10">
        <f>IFERROR(-(B265-K265), "NA")</f>
        <v>-259.40999999999985</v>
      </c>
      <c r="O265" s="8">
        <f>IFERROR(N265/N444, "NA")</f>
        <v>-3.8255588802191987E-2</v>
      </c>
      <c r="P265" s="9"/>
      <c r="Q265" s="7">
        <v>1739.6</v>
      </c>
      <c r="R265" s="8">
        <f>IFERROR(Q265/Q444, "NA")</f>
        <v>2.3990726968950375E-2</v>
      </c>
      <c r="S265" s="9"/>
      <c r="T265" s="7">
        <v>1636.69</v>
      </c>
      <c r="U265" s="8">
        <f>IFERROR(T265/T444, "NA")</f>
        <v>2.4000051616483078E-2</v>
      </c>
      <c r="V265" s="9"/>
      <c r="W265" s="10">
        <f>IFERROR(-(Q265-T265), "NA")</f>
        <v>-102.90999999999985</v>
      </c>
      <c r="X265" s="8">
        <f>IFERROR(W265/W444, "NA")</f>
        <v>-2.3843394932438651E-2</v>
      </c>
      <c r="Y265" s="9"/>
      <c r="Z265" s="7">
        <v>1480.19</v>
      </c>
      <c r="AA265" s="8">
        <f>IFERROR(Z265/Z444, "NA")</f>
        <v>2.2519115209740152E-2</v>
      </c>
      <c r="AB265" s="9"/>
      <c r="AC265" s="10">
        <f>IFERROR(-(Q265-Z265), "NA")</f>
        <v>-259.40999999999985</v>
      </c>
      <c r="AD265" s="8">
        <f>IFERROR(AC265/AC444, "NA")</f>
        <v>-3.8255588802191987E-2</v>
      </c>
    </row>
    <row r="266" spans="1:30" ht="16.5" hidden="1" customHeight="1" x14ac:dyDescent="0.45">
      <c r="A266" s="6" t="s">
        <v>242</v>
      </c>
      <c r="B266" s="7">
        <v>0</v>
      </c>
      <c r="C266" s="8">
        <f>IFERROR(B266/B444, "NA")</f>
        <v>0</v>
      </c>
      <c r="D266" s="9"/>
      <c r="E266" s="7">
        <v>0</v>
      </c>
      <c r="F266" s="8">
        <f>IFERROR(E266/E444, "NA")</f>
        <v>0</v>
      </c>
      <c r="G266" s="9"/>
      <c r="H266" s="10">
        <f>IFERROR(-(B266-E266), "NA")</f>
        <v>0</v>
      </c>
      <c r="I266" s="8">
        <f>IFERROR(H266/H444, "NA")</f>
        <v>0</v>
      </c>
      <c r="J266" s="9"/>
      <c r="K266" s="7">
        <v>0</v>
      </c>
      <c r="L266" s="8">
        <f>IFERROR(K266/K444, "NA")</f>
        <v>0</v>
      </c>
      <c r="M266" s="9"/>
      <c r="N266" s="10">
        <f>IFERROR(-(B266-K266), "NA")</f>
        <v>0</v>
      </c>
      <c r="O266" s="8">
        <f>IFERROR(N266/N444, "NA")</f>
        <v>0</v>
      </c>
      <c r="P266" s="9"/>
      <c r="Q266" s="7">
        <v>0</v>
      </c>
      <c r="R266" s="8">
        <f>IFERROR(Q266/Q444, "NA")</f>
        <v>0</v>
      </c>
      <c r="S266" s="9"/>
      <c r="T266" s="7">
        <v>0</v>
      </c>
      <c r="U266" s="8">
        <f>IFERROR(T266/T444, "NA")</f>
        <v>0</v>
      </c>
      <c r="V266" s="9"/>
      <c r="W266" s="10">
        <f>IFERROR(-(Q266-T266), "NA")</f>
        <v>0</v>
      </c>
      <c r="X266" s="8">
        <f>IFERROR(W266/W444, "NA")</f>
        <v>0</v>
      </c>
      <c r="Y266" s="9"/>
      <c r="Z266" s="7">
        <v>0</v>
      </c>
      <c r="AA266" s="8">
        <f>IFERROR(Z266/Z444, "NA")</f>
        <v>0</v>
      </c>
      <c r="AB266" s="9"/>
      <c r="AC266" s="10">
        <f>IFERROR(-(Q266-Z266), "NA")</f>
        <v>0</v>
      </c>
      <c r="AD266" s="8">
        <f>IFERROR(AC266/AC444, "NA")</f>
        <v>0</v>
      </c>
    </row>
    <row r="267" spans="1:30" ht="16.5" customHeight="1" x14ac:dyDescent="0.45">
      <c r="A267" s="19" t="s">
        <v>243</v>
      </c>
      <c r="B267" s="14">
        <f>IFERROR(B265+B266, "NA")</f>
        <v>1739.6</v>
      </c>
      <c r="C267" s="15">
        <f>IFERROR(B267/B444, "NA")</f>
        <v>2.3990726968950375E-2</v>
      </c>
      <c r="D267" s="2"/>
      <c r="E267" s="14">
        <f>IFERROR(E265+E266, "NA")</f>
        <v>1636.69</v>
      </c>
      <c r="F267" s="15">
        <f>IFERROR(E267/E444, "NA")</f>
        <v>2.4000051616483078E-2</v>
      </c>
      <c r="G267" s="2"/>
      <c r="H267" s="14">
        <f>IFERROR(-(B267-E267), "NA")</f>
        <v>-102.90999999999985</v>
      </c>
      <c r="I267" s="15">
        <f>IFERROR(H267/H444, "NA")</f>
        <v>-2.3843394932438651E-2</v>
      </c>
      <c r="J267" s="2"/>
      <c r="K267" s="14">
        <f>IFERROR(K265+K266, "NA")</f>
        <v>1480.19</v>
      </c>
      <c r="L267" s="15">
        <f>IFERROR(K267/K444, "NA")</f>
        <v>2.2519115209740152E-2</v>
      </c>
      <c r="M267" s="2"/>
      <c r="N267" s="14">
        <f>IFERROR(-(B267-K267), "NA")</f>
        <v>-259.40999999999985</v>
      </c>
      <c r="O267" s="15">
        <f>IFERROR(N267/N444, "NA")</f>
        <v>-3.8255588802191987E-2</v>
      </c>
      <c r="P267" s="2"/>
      <c r="Q267" s="14">
        <f>IFERROR(Q265+Q266, "NA")</f>
        <v>1739.6</v>
      </c>
      <c r="R267" s="15">
        <f>IFERROR(Q267/Q444, "NA")</f>
        <v>2.3990726968950375E-2</v>
      </c>
      <c r="S267" s="2"/>
      <c r="T267" s="14">
        <f>IFERROR(T265+T266, "NA")</f>
        <v>1636.69</v>
      </c>
      <c r="U267" s="15">
        <f>IFERROR(T267/T444, "NA")</f>
        <v>2.4000051616483078E-2</v>
      </c>
      <c r="V267" s="2"/>
      <c r="W267" s="14">
        <f>IFERROR(-(Q267-T267), "NA")</f>
        <v>-102.90999999999985</v>
      </c>
      <c r="X267" s="15">
        <f>IFERROR(W267/W444, "NA")</f>
        <v>-2.3843394932438651E-2</v>
      </c>
      <c r="Y267" s="2"/>
      <c r="Z267" s="14">
        <f>IFERROR(Z265+Z266, "NA")</f>
        <v>1480.19</v>
      </c>
      <c r="AA267" s="15">
        <f>IFERROR(Z267/Z444, "NA")</f>
        <v>2.2519115209740152E-2</v>
      </c>
      <c r="AB267" s="2"/>
      <c r="AC267" s="14">
        <f>IFERROR(-(Q267-Z267), "NA")</f>
        <v>-259.40999999999985</v>
      </c>
      <c r="AD267" s="15">
        <f>IFERROR(AC267/AC444, "NA")</f>
        <v>-3.8255588802191987E-2</v>
      </c>
    </row>
    <row r="268" spans="1:30" ht="16.5" customHeight="1" x14ac:dyDescent="0.45">
      <c r="A268" s="5" t="s">
        <v>244</v>
      </c>
      <c r="B268" s="2"/>
      <c r="C268" s="3"/>
      <c r="D268" s="4"/>
      <c r="E268" s="2"/>
      <c r="F268" s="3"/>
      <c r="G268" s="4"/>
      <c r="H268" s="2"/>
      <c r="I268" s="3"/>
      <c r="J268" s="4"/>
      <c r="K268" s="2"/>
      <c r="L268" s="3"/>
      <c r="M268" s="4"/>
      <c r="N268" s="2"/>
      <c r="O268" s="3"/>
      <c r="P268" s="4"/>
      <c r="Q268" s="2"/>
      <c r="R268" s="3"/>
      <c r="S268" s="4"/>
      <c r="T268" s="2"/>
      <c r="U268" s="3"/>
      <c r="V268" s="4"/>
      <c r="W268" s="2"/>
      <c r="X268" s="3"/>
      <c r="Y268" s="4"/>
      <c r="Z268" s="2"/>
      <c r="AA268" s="3"/>
      <c r="AB268" s="4"/>
      <c r="AC268" s="2"/>
      <c r="AD268" s="3"/>
    </row>
    <row r="269" spans="1:30" ht="16.5" hidden="1" customHeight="1" x14ac:dyDescent="0.45">
      <c r="A269" s="6" t="s">
        <v>244</v>
      </c>
      <c r="B269" s="7">
        <v>0</v>
      </c>
      <c r="C269" s="8">
        <f>IFERROR(B269/B444, "NA")</f>
        <v>0</v>
      </c>
      <c r="D269" s="9"/>
      <c r="E269" s="7">
        <v>0</v>
      </c>
      <c r="F269" s="8">
        <f>IFERROR(E269/E444, "NA")</f>
        <v>0</v>
      </c>
      <c r="G269" s="9"/>
      <c r="H269" s="10">
        <f>IFERROR(-(B269-E269), "NA")</f>
        <v>0</v>
      </c>
      <c r="I269" s="8">
        <f>IFERROR(H269/H444, "NA")</f>
        <v>0</v>
      </c>
      <c r="J269" s="9"/>
      <c r="K269" s="7">
        <v>0</v>
      </c>
      <c r="L269" s="8">
        <f>IFERROR(K269/K444, "NA")</f>
        <v>0</v>
      </c>
      <c r="M269" s="9"/>
      <c r="N269" s="10">
        <f>IFERROR(-(B269-K269), "NA")</f>
        <v>0</v>
      </c>
      <c r="O269" s="8">
        <f>IFERROR(N269/N444, "NA")</f>
        <v>0</v>
      </c>
      <c r="P269" s="9"/>
      <c r="Q269" s="7">
        <v>0</v>
      </c>
      <c r="R269" s="8">
        <f>IFERROR(Q269/Q444, "NA")</f>
        <v>0</v>
      </c>
      <c r="S269" s="9"/>
      <c r="T269" s="7">
        <v>0</v>
      </c>
      <c r="U269" s="8">
        <f>IFERROR(T269/T444, "NA")</f>
        <v>0</v>
      </c>
      <c r="V269" s="9"/>
      <c r="W269" s="10">
        <f>IFERROR(-(Q269-T269), "NA")</f>
        <v>0</v>
      </c>
      <c r="X269" s="8">
        <f>IFERROR(W269/W444, "NA")</f>
        <v>0</v>
      </c>
      <c r="Y269" s="9"/>
      <c r="Z269" s="7">
        <v>0</v>
      </c>
      <c r="AA269" s="8">
        <f>IFERROR(Z269/Z444, "NA")</f>
        <v>0</v>
      </c>
      <c r="AB269" s="9"/>
      <c r="AC269" s="10">
        <f>IFERROR(-(Q269-Z269), "NA")</f>
        <v>0</v>
      </c>
      <c r="AD269" s="8">
        <f>IFERROR(AC269/AC444, "NA")</f>
        <v>0</v>
      </c>
    </row>
    <row r="270" spans="1:30" ht="16.5" customHeight="1" x14ac:dyDescent="0.45">
      <c r="A270" s="6" t="s">
        <v>245</v>
      </c>
      <c r="B270" s="7">
        <v>307.92</v>
      </c>
      <c r="C270" s="8">
        <f>IFERROR(B270/B444, "NA")</f>
        <v>4.2465076157043001E-3</v>
      </c>
      <c r="D270" s="9"/>
      <c r="E270" s="7">
        <v>354.13</v>
      </c>
      <c r="F270" s="8">
        <f>IFERROR(E270/E444, "NA")</f>
        <v>5.1928821456385457E-3</v>
      </c>
      <c r="G270" s="9"/>
      <c r="H270" s="10">
        <f>IFERROR(-(B270-E270), "NA")</f>
        <v>46.20999999999998</v>
      </c>
      <c r="I270" s="8">
        <f>IFERROR(H270/H444, "NA")</f>
        <v>1.0706474393431068E-2</v>
      </c>
      <c r="J270" s="9"/>
      <c r="K270" s="7">
        <v>342.25</v>
      </c>
      <c r="L270" s="8">
        <f>IFERROR(K270/K444, "NA")</f>
        <v>5.2068769418342018E-3</v>
      </c>
      <c r="M270" s="9"/>
      <c r="N270" s="10">
        <f>IFERROR(-(B270-K270), "NA")</f>
        <v>34.329999999999984</v>
      </c>
      <c r="O270" s="8">
        <f>IFERROR(N270/N444, "NA")</f>
        <v>5.0626975196763849E-3</v>
      </c>
      <c r="P270" s="9"/>
      <c r="Q270" s="7">
        <v>307.92</v>
      </c>
      <c r="R270" s="8">
        <f>IFERROR(Q270/Q444, "NA")</f>
        <v>4.2465076157043001E-3</v>
      </c>
      <c r="S270" s="9"/>
      <c r="T270" s="7">
        <v>354.13</v>
      </c>
      <c r="U270" s="8">
        <f>IFERROR(T270/T444, "NA")</f>
        <v>5.1928821456385457E-3</v>
      </c>
      <c r="V270" s="9"/>
      <c r="W270" s="10">
        <f>IFERROR(-(Q270-T270), "NA")</f>
        <v>46.20999999999998</v>
      </c>
      <c r="X270" s="8">
        <f>IFERROR(W270/W444, "NA")</f>
        <v>1.0706474393431068E-2</v>
      </c>
      <c r="Y270" s="9"/>
      <c r="Z270" s="7">
        <v>342.25</v>
      </c>
      <c r="AA270" s="8">
        <f>IFERROR(Z270/Z444, "NA")</f>
        <v>5.2068769418342018E-3</v>
      </c>
      <c r="AB270" s="9"/>
      <c r="AC270" s="10">
        <f>IFERROR(-(Q270-Z270), "NA")</f>
        <v>34.329999999999984</v>
      </c>
      <c r="AD270" s="8">
        <f>IFERROR(AC270/AC444, "NA")</f>
        <v>5.0626975196763849E-3</v>
      </c>
    </row>
    <row r="271" spans="1:30" ht="16.5" customHeight="1" x14ac:dyDescent="0.45">
      <c r="A271" s="6" t="s">
        <v>246</v>
      </c>
      <c r="B271" s="7">
        <v>795.91</v>
      </c>
      <c r="C271" s="8">
        <f>IFERROR(B271/B444, "NA")</f>
        <v>1.0976350598906238E-2</v>
      </c>
      <c r="D271" s="9"/>
      <c r="E271" s="7">
        <v>905.41</v>
      </c>
      <c r="F271" s="8">
        <f>IFERROR(E271/E444, "NA")</f>
        <v>1.3276727256890396E-2</v>
      </c>
      <c r="G271" s="9"/>
      <c r="H271" s="10">
        <f>IFERROR(-(B271-E271), "NA")</f>
        <v>109.5</v>
      </c>
      <c r="I271" s="8">
        <f>IFERROR(H271/H444, "NA")</f>
        <v>2.5370243368982956E-2</v>
      </c>
      <c r="J271" s="9"/>
      <c r="K271" s="7">
        <v>952.74</v>
      </c>
      <c r="L271" s="8">
        <f>IFERROR(K271/K444, "NA")</f>
        <v>1.4494667458182958E-2</v>
      </c>
      <c r="M271" s="9"/>
      <c r="N271" s="10">
        <f>IFERROR(-(B271-K271), "NA")</f>
        <v>156.83000000000004</v>
      </c>
      <c r="O271" s="8">
        <f>IFERROR(N271/N444, "NA")</f>
        <v>2.3127959569206179E-2</v>
      </c>
      <c r="P271" s="9"/>
      <c r="Q271" s="7">
        <v>795.91</v>
      </c>
      <c r="R271" s="8">
        <f>IFERROR(Q271/Q444, "NA")</f>
        <v>1.0976350598906238E-2</v>
      </c>
      <c r="S271" s="9"/>
      <c r="T271" s="7">
        <v>905.41</v>
      </c>
      <c r="U271" s="8">
        <f>IFERROR(T271/T444, "NA")</f>
        <v>1.3276727256890396E-2</v>
      </c>
      <c r="V271" s="9"/>
      <c r="W271" s="10">
        <f>IFERROR(-(Q271-T271), "NA")</f>
        <v>109.5</v>
      </c>
      <c r="X271" s="8">
        <f>IFERROR(W271/W444, "NA")</f>
        <v>2.5370243368982956E-2</v>
      </c>
      <c r="Y271" s="9"/>
      <c r="Z271" s="7">
        <v>952.74</v>
      </c>
      <c r="AA271" s="8">
        <f>IFERROR(Z271/Z444, "NA")</f>
        <v>1.4494667458182958E-2</v>
      </c>
      <c r="AB271" s="9"/>
      <c r="AC271" s="10">
        <f>IFERROR(-(Q271-Z271), "NA")</f>
        <v>156.83000000000004</v>
      </c>
      <c r="AD271" s="8">
        <f>IFERROR(AC271/AC444, "NA")</f>
        <v>2.3127959569206179E-2</v>
      </c>
    </row>
    <row r="272" spans="1:30" ht="16.5" hidden="1" customHeight="1" x14ac:dyDescent="0.45">
      <c r="A272" s="6" t="s">
        <v>247</v>
      </c>
      <c r="B272" s="7">
        <v>0</v>
      </c>
      <c r="C272" s="8">
        <f>IFERROR(B272/B444, "NA")</f>
        <v>0</v>
      </c>
      <c r="D272" s="9"/>
      <c r="E272" s="7">
        <v>0</v>
      </c>
      <c r="F272" s="8">
        <f>IFERROR(E272/E444, "NA")</f>
        <v>0</v>
      </c>
      <c r="G272" s="9"/>
      <c r="H272" s="10">
        <f>IFERROR(-(B272-E272), "NA")</f>
        <v>0</v>
      </c>
      <c r="I272" s="8">
        <f>IFERROR(H272/H444, "NA")</f>
        <v>0</v>
      </c>
      <c r="J272" s="9"/>
      <c r="K272" s="7">
        <v>0</v>
      </c>
      <c r="L272" s="8">
        <f>IFERROR(K272/K444, "NA")</f>
        <v>0</v>
      </c>
      <c r="M272" s="9"/>
      <c r="N272" s="10">
        <f>IFERROR(-(B272-K272), "NA")</f>
        <v>0</v>
      </c>
      <c r="O272" s="8">
        <f>IFERROR(N272/N444, "NA")</f>
        <v>0</v>
      </c>
      <c r="P272" s="9"/>
      <c r="Q272" s="7">
        <v>0</v>
      </c>
      <c r="R272" s="8">
        <f>IFERROR(Q272/Q444, "NA")</f>
        <v>0</v>
      </c>
      <c r="S272" s="9"/>
      <c r="T272" s="7">
        <v>0</v>
      </c>
      <c r="U272" s="8">
        <f>IFERROR(T272/T444, "NA")</f>
        <v>0</v>
      </c>
      <c r="V272" s="9"/>
      <c r="W272" s="10">
        <f>IFERROR(-(Q272-T272), "NA")</f>
        <v>0</v>
      </c>
      <c r="X272" s="8">
        <f>IFERROR(W272/W444, "NA")</f>
        <v>0</v>
      </c>
      <c r="Y272" s="9"/>
      <c r="Z272" s="7">
        <v>0</v>
      </c>
      <c r="AA272" s="8">
        <f>IFERROR(Z272/Z444, "NA")</f>
        <v>0</v>
      </c>
      <c r="AB272" s="9"/>
      <c r="AC272" s="10">
        <f>IFERROR(-(Q272-Z272), "NA")</f>
        <v>0</v>
      </c>
      <c r="AD272" s="8">
        <f>IFERROR(AC272/AC444, "NA")</f>
        <v>0</v>
      </c>
    </row>
    <row r="273" spans="1:30" ht="16.5" customHeight="1" x14ac:dyDescent="0.45">
      <c r="A273" s="19" t="s">
        <v>248</v>
      </c>
      <c r="B273" s="14">
        <f>IFERROR(B269+B270+B271+B272, "NA")</f>
        <v>1103.83</v>
      </c>
      <c r="C273" s="15">
        <f>IFERROR(B273/B444, "NA")</f>
        <v>1.5222858214610538E-2</v>
      </c>
      <c r="D273" s="2"/>
      <c r="E273" s="14">
        <f>IFERROR(E269+E270+E271+E272, "NA")</f>
        <v>1259.54</v>
      </c>
      <c r="F273" s="15">
        <f>IFERROR(E273/E444, "NA")</f>
        <v>1.8469609402528942E-2</v>
      </c>
      <c r="G273" s="2"/>
      <c r="H273" s="14">
        <f>IFERROR(-(B273-E273), "NA")</f>
        <v>155.71000000000004</v>
      </c>
      <c r="I273" s="15">
        <f>IFERROR(H273/H444, "NA")</f>
        <v>3.6076717762414036E-2</v>
      </c>
      <c r="J273" s="2"/>
      <c r="K273" s="14">
        <f>IFERROR(K269+K270+K271+K272, "NA")</f>
        <v>1294.99</v>
      </c>
      <c r="L273" s="15">
        <f>IFERROR(K273/K444, "NA")</f>
        <v>1.970154440001716E-2</v>
      </c>
      <c r="M273" s="2"/>
      <c r="N273" s="14">
        <f>IFERROR(-(B273-K273), "NA")</f>
        <v>191.16000000000008</v>
      </c>
      <c r="O273" s="15">
        <f>IFERROR(N273/N444, "NA")</f>
        <v>2.8190657088882572E-2</v>
      </c>
      <c r="P273" s="2"/>
      <c r="Q273" s="14">
        <f>IFERROR(Q269+Q270+Q271+Q272, "NA")</f>
        <v>1103.83</v>
      </c>
      <c r="R273" s="15">
        <f>IFERROR(Q273/Q444, "NA")</f>
        <v>1.5222858214610538E-2</v>
      </c>
      <c r="S273" s="2"/>
      <c r="T273" s="14">
        <f>IFERROR(T269+T270+T271+T272, "NA")</f>
        <v>1259.54</v>
      </c>
      <c r="U273" s="15">
        <f>IFERROR(T273/T444, "NA")</f>
        <v>1.8469609402528942E-2</v>
      </c>
      <c r="V273" s="2"/>
      <c r="W273" s="14">
        <f>IFERROR(-(Q273-T273), "NA")</f>
        <v>155.71000000000004</v>
      </c>
      <c r="X273" s="15">
        <f>IFERROR(W273/W444, "NA")</f>
        <v>3.6076717762414036E-2</v>
      </c>
      <c r="Y273" s="2"/>
      <c r="Z273" s="14">
        <f>IFERROR(Z269+Z270+Z271+Z272, "NA")</f>
        <v>1294.99</v>
      </c>
      <c r="AA273" s="15">
        <f>IFERROR(Z273/Z444, "NA")</f>
        <v>1.970154440001716E-2</v>
      </c>
      <c r="AB273" s="2"/>
      <c r="AC273" s="14">
        <f>IFERROR(-(Q273-Z273), "NA")</f>
        <v>191.16000000000008</v>
      </c>
      <c r="AD273" s="15">
        <f>IFERROR(AC273/AC444, "NA")</f>
        <v>2.8190657088882572E-2</v>
      </c>
    </row>
    <row r="274" spans="1:30" ht="16.5" customHeight="1" x14ac:dyDescent="0.45">
      <c r="A274" s="5" t="s">
        <v>249</v>
      </c>
      <c r="B274" s="2"/>
      <c r="C274" s="3"/>
      <c r="D274" s="4"/>
      <c r="E274" s="2"/>
      <c r="F274" s="3"/>
      <c r="G274" s="4"/>
      <c r="H274" s="2"/>
      <c r="I274" s="3"/>
      <c r="J274" s="4"/>
      <c r="K274" s="2"/>
      <c r="L274" s="3"/>
      <c r="M274" s="4"/>
      <c r="N274" s="2"/>
      <c r="O274" s="3"/>
      <c r="P274" s="4"/>
      <c r="Q274" s="2"/>
      <c r="R274" s="3"/>
      <c r="S274" s="4"/>
      <c r="T274" s="2"/>
      <c r="U274" s="3"/>
      <c r="V274" s="4"/>
      <c r="W274" s="2"/>
      <c r="X274" s="3"/>
      <c r="Y274" s="4"/>
      <c r="Z274" s="2"/>
      <c r="AA274" s="3"/>
      <c r="AB274" s="4"/>
      <c r="AC274" s="2"/>
      <c r="AD274" s="3"/>
    </row>
    <row r="275" spans="1:30" ht="16.5" hidden="1" customHeight="1" x14ac:dyDescent="0.45">
      <c r="A275" s="6" t="s">
        <v>249</v>
      </c>
      <c r="B275" s="7">
        <v>0</v>
      </c>
      <c r="C275" s="8">
        <f>IFERROR(B275/B444, "NA")</f>
        <v>0</v>
      </c>
      <c r="D275" s="9"/>
      <c r="E275" s="7">
        <v>0</v>
      </c>
      <c r="F275" s="8">
        <f>IFERROR(E275/E444, "NA")</f>
        <v>0</v>
      </c>
      <c r="G275" s="9"/>
      <c r="H275" s="10">
        <f t="shared" ref="H275:H284" si="68">IFERROR(-(B275-E275), "NA")</f>
        <v>0</v>
      </c>
      <c r="I275" s="8">
        <f>IFERROR(H275/H444, "NA")</f>
        <v>0</v>
      </c>
      <c r="J275" s="9"/>
      <c r="K275" s="7">
        <v>0</v>
      </c>
      <c r="L275" s="8">
        <f>IFERROR(K275/K444, "NA")</f>
        <v>0</v>
      </c>
      <c r="M275" s="9"/>
      <c r="N275" s="10">
        <f t="shared" ref="N275:N284" si="69">IFERROR(-(B275-K275), "NA")</f>
        <v>0</v>
      </c>
      <c r="O275" s="8">
        <f>IFERROR(N275/N444, "NA")</f>
        <v>0</v>
      </c>
      <c r="P275" s="9"/>
      <c r="Q275" s="7">
        <v>0</v>
      </c>
      <c r="R275" s="8">
        <f>IFERROR(Q275/Q444, "NA")</f>
        <v>0</v>
      </c>
      <c r="S275" s="9"/>
      <c r="T275" s="7">
        <v>0</v>
      </c>
      <c r="U275" s="8">
        <f>IFERROR(T275/T444, "NA")</f>
        <v>0</v>
      </c>
      <c r="V275" s="9"/>
      <c r="W275" s="10">
        <f t="shared" ref="W275:W284" si="70">IFERROR(-(Q275-T275), "NA")</f>
        <v>0</v>
      </c>
      <c r="X275" s="8">
        <f>IFERROR(W275/W444, "NA")</f>
        <v>0</v>
      </c>
      <c r="Y275" s="9"/>
      <c r="Z275" s="7">
        <v>0</v>
      </c>
      <c r="AA275" s="8">
        <f>IFERROR(Z275/Z444, "NA")</f>
        <v>0</v>
      </c>
      <c r="AB275" s="9"/>
      <c r="AC275" s="10">
        <f t="shared" ref="AC275:AC284" si="71">IFERROR(-(Q275-Z275), "NA")</f>
        <v>0</v>
      </c>
      <c r="AD275" s="8">
        <f>IFERROR(AC275/AC444, "NA")</f>
        <v>0</v>
      </c>
    </row>
    <row r="276" spans="1:30" ht="16.5" hidden="1" customHeight="1" x14ac:dyDescent="0.45">
      <c r="A276" s="6" t="s">
        <v>250</v>
      </c>
      <c r="B276" s="7">
        <v>0</v>
      </c>
      <c r="C276" s="8">
        <f>IFERROR(B276/B444, "NA")</f>
        <v>0</v>
      </c>
      <c r="D276" s="9"/>
      <c r="E276" s="7">
        <v>0</v>
      </c>
      <c r="F276" s="8">
        <f>IFERROR(E276/E444, "NA")</f>
        <v>0</v>
      </c>
      <c r="G276" s="9"/>
      <c r="H276" s="10">
        <f t="shared" si="68"/>
        <v>0</v>
      </c>
      <c r="I276" s="8">
        <f>IFERROR(H276/H444, "NA")</f>
        <v>0</v>
      </c>
      <c r="J276" s="9"/>
      <c r="K276" s="7">
        <v>0</v>
      </c>
      <c r="L276" s="8">
        <f>IFERROR(K276/K444, "NA")</f>
        <v>0</v>
      </c>
      <c r="M276" s="9"/>
      <c r="N276" s="10">
        <f t="shared" si="69"/>
        <v>0</v>
      </c>
      <c r="O276" s="8">
        <f>IFERROR(N276/N444, "NA")</f>
        <v>0</v>
      </c>
      <c r="P276" s="9"/>
      <c r="Q276" s="7">
        <v>0</v>
      </c>
      <c r="R276" s="8">
        <f>IFERROR(Q276/Q444, "NA")</f>
        <v>0</v>
      </c>
      <c r="S276" s="9"/>
      <c r="T276" s="7">
        <v>0</v>
      </c>
      <c r="U276" s="8">
        <f>IFERROR(T276/T444, "NA")</f>
        <v>0</v>
      </c>
      <c r="V276" s="9"/>
      <c r="W276" s="10">
        <f t="shared" si="70"/>
        <v>0</v>
      </c>
      <c r="X276" s="8">
        <f>IFERROR(W276/W444, "NA")</f>
        <v>0</v>
      </c>
      <c r="Y276" s="9"/>
      <c r="Z276" s="7">
        <v>0</v>
      </c>
      <c r="AA276" s="8">
        <f>IFERROR(Z276/Z444, "NA")</f>
        <v>0</v>
      </c>
      <c r="AB276" s="9"/>
      <c r="AC276" s="10">
        <f t="shared" si="71"/>
        <v>0</v>
      </c>
      <c r="AD276" s="8">
        <f>IFERROR(AC276/AC444, "NA")</f>
        <v>0</v>
      </c>
    </row>
    <row r="277" spans="1:30" ht="16.5" hidden="1" customHeight="1" x14ac:dyDescent="0.45">
      <c r="A277" s="6" t="s">
        <v>251</v>
      </c>
      <c r="B277" s="7">
        <v>0</v>
      </c>
      <c r="C277" s="8">
        <f>IFERROR(B277/B444, "NA")</f>
        <v>0</v>
      </c>
      <c r="D277" s="9"/>
      <c r="E277" s="7">
        <v>0</v>
      </c>
      <c r="F277" s="8">
        <f>IFERROR(E277/E444, "NA")</f>
        <v>0</v>
      </c>
      <c r="G277" s="9"/>
      <c r="H277" s="10">
        <f t="shared" si="68"/>
        <v>0</v>
      </c>
      <c r="I277" s="8">
        <f>IFERROR(H277/H444, "NA")</f>
        <v>0</v>
      </c>
      <c r="J277" s="9"/>
      <c r="K277" s="7">
        <v>0</v>
      </c>
      <c r="L277" s="8">
        <f>IFERROR(K277/K444, "NA")</f>
        <v>0</v>
      </c>
      <c r="M277" s="9"/>
      <c r="N277" s="10">
        <f t="shared" si="69"/>
        <v>0</v>
      </c>
      <c r="O277" s="8">
        <f>IFERROR(N277/N444, "NA")</f>
        <v>0</v>
      </c>
      <c r="P277" s="9"/>
      <c r="Q277" s="7">
        <v>0</v>
      </c>
      <c r="R277" s="8">
        <f>IFERROR(Q277/Q444, "NA")</f>
        <v>0</v>
      </c>
      <c r="S277" s="9"/>
      <c r="T277" s="7">
        <v>0</v>
      </c>
      <c r="U277" s="8">
        <f>IFERROR(T277/T444, "NA")</f>
        <v>0</v>
      </c>
      <c r="V277" s="9"/>
      <c r="W277" s="10">
        <f t="shared" si="70"/>
        <v>0</v>
      </c>
      <c r="X277" s="8">
        <f>IFERROR(W277/W444, "NA")</f>
        <v>0</v>
      </c>
      <c r="Y277" s="9"/>
      <c r="Z277" s="7">
        <v>0</v>
      </c>
      <c r="AA277" s="8">
        <f>IFERROR(Z277/Z444, "NA")</f>
        <v>0</v>
      </c>
      <c r="AB277" s="9"/>
      <c r="AC277" s="10">
        <f t="shared" si="71"/>
        <v>0</v>
      </c>
      <c r="AD277" s="8">
        <f>IFERROR(AC277/AC444, "NA")</f>
        <v>0</v>
      </c>
    </row>
    <row r="278" spans="1:30" ht="16.5" hidden="1" customHeight="1" x14ac:dyDescent="0.45">
      <c r="A278" s="6" t="s">
        <v>252</v>
      </c>
      <c r="B278" s="7">
        <v>0</v>
      </c>
      <c r="C278" s="8">
        <f>IFERROR(B278/B444, "NA")</f>
        <v>0</v>
      </c>
      <c r="D278" s="9"/>
      <c r="E278" s="7">
        <v>0</v>
      </c>
      <c r="F278" s="8">
        <f>IFERROR(E278/E444, "NA")</f>
        <v>0</v>
      </c>
      <c r="G278" s="9"/>
      <c r="H278" s="10">
        <f t="shared" si="68"/>
        <v>0</v>
      </c>
      <c r="I278" s="8">
        <f>IFERROR(H278/H444, "NA")</f>
        <v>0</v>
      </c>
      <c r="J278" s="9"/>
      <c r="K278" s="7">
        <v>0</v>
      </c>
      <c r="L278" s="8">
        <f>IFERROR(K278/K444, "NA")</f>
        <v>0</v>
      </c>
      <c r="M278" s="9"/>
      <c r="N278" s="10">
        <f t="shared" si="69"/>
        <v>0</v>
      </c>
      <c r="O278" s="8">
        <f>IFERROR(N278/N444, "NA")</f>
        <v>0</v>
      </c>
      <c r="P278" s="9"/>
      <c r="Q278" s="7">
        <v>0</v>
      </c>
      <c r="R278" s="8">
        <f>IFERROR(Q278/Q444, "NA")</f>
        <v>0</v>
      </c>
      <c r="S278" s="9"/>
      <c r="T278" s="7">
        <v>0</v>
      </c>
      <c r="U278" s="8">
        <f>IFERROR(T278/T444, "NA")</f>
        <v>0</v>
      </c>
      <c r="V278" s="9"/>
      <c r="W278" s="10">
        <f t="shared" si="70"/>
        <v>0</v>
      </c>
      <c r="X278" s="8">
        <f>IFERROR(W278/W444, "NA")</f>
        <v>0</v>
      </c>
      <c r="Y278" s="9"/>
      <c r="Z278" s="7">
        <v>0</v>
      </c>
      <c r="AA278" s="8">
        <f>IFERROR(Z278/Z444, "NA")</f>
        <v>0</v>
      </c>
      <c r="AB278" s="9"/>
      <c r="AC278" s="10">
        <f t="shared" si="71"/>
        <v>0</v>
      </c>
      <c r="AD278" s="8">
        <f>IFERROR(AC278/AC444, "NA")</f>
        <v>0</v>
      </c>
    </row>
    <row r="279" spans="1:30" ht="16.5" hidden="1" customHeight="1" x14ac:dyDescent="0.45">
      <c r="A279" s="6" t="s">
        <v>253</v>
      </c>
      <c r="B279" s="7">
        <v>0</v>
      </c>
      <c r="C279" s="8">
        <f>IFERROR(B279/B444, "NA")</f>
        <v>0</v>
      </c>
      <c r="D279" s="9"/>
      <c r="E279" s="7">
        <v>0</v>
      </c>
      <c r="F279" s="8">
        <f>IFERROR(E279/E444, "NA")</f>
        <v>0</v>
      </c>
      <c r="G279" s="9"/>
      <c r="H279" s="10">
        <f t="shared" si="68"/>
        <v>0</v>
      </c>
      <c r="I279" s="8">
        <f>IFERROR(H279/H444, "NA")</f>
        <v>0</v>
      </c>
      <c r="J279" s="9"/>
      <c r="K279" s="7">
        <v>0</v>
      </c>
      <c r="L279" s="8">
        <f>IFERROR(K279/K444, "NA")</f>
        <v>0</v>
      </c>
      <c r="M279" s="9"/>
      <c r="N279" s="10">
        <f t="shared" si="69"/>
        <v>0</v>
      </c>
      <c r="O279" s="8">
        <f>IFERROR(N279/N444, "NA")</f>
        <v>0</v>
      </c>
      <c r="P279" s="9"/>
      <c r="Q279" s="7">
        <v>0</v>
      </c>
      <c r="R279" s="8">
        <f>IFERROR(Q279/Q444, "NA")</f>
        <v>0</v>
      </c>
      <c r="S279" s="9"/>
      <c r="T279" s="7">
        <v>0</v>
      </c>
      <c r="U279" s="8">
        <f>IFERROR(T279/T444, "NA")</f>
        <v>0</v>
      </c>
      <c r="V279" s="9"/>
      <c r="W279" s="10">
        <f t="shared" si="70"/>
        <v>0</v>
      </c>
      <c r="X279" s="8">
        <f>IFERROR(W279/W444, "NA")</f>
        <v>0</v>
      </c>
      <c r="Y279" s="9"/>
      <c r="Z279" s="7">
        <v>0</v>
      </c>
      <c r="AA279" s="8">
        <f>IFERROR(Z279/Z444, "NA")</f>
        <v>0</v>
      </c>
      <c r="AB279" s="9"/>
      <c r="AC279" s="10">
        <f t="shared" si="71"/>
        <v>0</v>
      </c>
      <c r="AD279" s="8">
        <f>IFERROR(AC279/AC444, "NA")</f>
        <v>0</v>
      </c>
    </row>
    <row r="280" spans="1:30" ht="16.5" hidden="1" customHeight="1" x14ac:dyDescent="0.45">
      <c r="A280" s="6" t="s">
        <v>254</v>
      </c>
      <c r="B280" s="7">
        <v>0</v>
      </c>
      <c r="C280" s="8">
        <f>IFERROR(B280/B444, "NA")</f>
        <v>0</v>
      </c>
      <c r="D280" s="9"/>
      <c r="E280" s="7">
        <v>0</v>
      </c>
      <c r="F280" s="8">
        <f>IFERROR(E280/E444, "NA")</f>
        <v>0</v>
      </c>
      <c r="G280" s="9"/>
      <c r="H280" s="10">
        <f t="shared" si="68"/>
        <v>0</v>
      </c>
      <c r="I280" s="8">
        <f>IFERROR(H280/H444, "NA")</f>
        <v>0</v>
      </c>
      <c r="J280" s="9"/>
      <c r="K280" s="7">
        <v>0</v>
      </c>
      <c r="L280" s="8">
        <f>IFERROR(K280/K444, "NA")</f>
        <v>0</v>
      </c>
      <c r="M280" s="9"/>
      <c r="N280" s="10">
        <f t="shared" si="69"/>
        <v>0</v>
      </c>
      <c r="O280" s="8">
        <f>IFERROR(N280/N444, "NA")</f>
        <v>0</v>
      </c>
      <c r="P280" s="9"/>
      <c r="Q280" s="7">
        <v>0</v>
      </c>
      <c r="R280" s="8">
        <f>IFERROR(Q280/Q444, "NA")</f>
        <v>0</v>
      </c>
      <c r="S280" s="9"/>
      <c r="T280" s="7">
        <v>0</v>
      </c>
      <c r="U280" s="8">
        <f>IFERROR(T280/T444, "NA")</f>
        <v>0</v>
      </c>
      <c r="V280" s="9"/>
      <c r="W280" s="10">
        <f t="shared" si="70"/>
        <v>0</v>
      </c>
      <c r="X280" s="8">
        <f>IFERROR(W280/W444, "NA")</f>
        <v>0</v>
      </c>
      <c r="Y280" s="9"/>
      <c r="Z280" s="7">
        <v>0</v>
      </c>
      <c r="AA280" s="8">
        <f>IFERROR(Z280/Z444, "NA")</f>
        <v>0</v>
      </c>
      <c r="AB280" s="9"/>
      <c r="AC280" s="10">
        <f t="shared" si="71"/>
        <v>0</v>
      </c>
      <c r="AD280" s="8">
        <f>IFERROR(AC280/AC444, "NA")</f>
        <v>0</v>
      </c>
    </row>
    <row r="281" spans="1:30" ht="16.5" hidden="1" customHeight="1" x14ac:dyDescent="0.45">
      <c r="A281" s="6" t="s">
        <v>255</v>
      </c>
      <c r="B281" s="7">
        <v>0</v>
      </c>
      <c r="C281" s="8">
        <f>IFERROR(B281/B444, "NA")</f>
        <v>0</v>
      </c>
      <c r="D281" s="9"/>
      <c r="E281" s="7">
        <v>0</v>
      </c>
      <c r="F281" s="8">
        <f>IFERROR(E281/E444, "NA")</f>
        <v>0</v>
      </c>
      <c r="G281" s="9"/>
      <c r="H281" s="10">
        <f t="shared" si="68"/>
        <v>0</v>
      </c>
      <c r="I281" s="8">
        <f>IFERROR(H281/H444, "NA")</f>
        <v>0</v>
      </c>
      <c r="J281" s="9"/>
      <c r="K281" s="7">
        <v>0</v>
      </c>
      <c r="L281" s="8">
        <f>IFERROR(K281/K444, "NA")</f>
        <v>0</v>
      </c>
      <c r="M281" s="9"/>
      <c r="N281" s="10">
        <f t="shared" si="69"/>
        <v>0</v>
      </c>
      <c r="O281" s="8">
        <f>IFERROR(N281/N444, "NA")</f>
        <v>0</v>
      </c>
      <c r="P281" s="9"/>
      <c r="Q281" s="7">
        <v>0</v>
      </c>
      <c r="R281" s="8">
        <f>IFERROR(Q281/Q444, "NA")</f>
        <v>0</v>
      </c>
      <c r="S281" s="9"/>
      <c r="T281" s="7">
        <v>0</v>
      </c>
      <c r="U281" s="8">
        <f>IFERROR(T281/T444, "NA")</f>
        <v>0</v>
      </c>
      <c r="V281" s="9"/>
      <c r="W281" s="10">
        <f t="shared" si="70"/>
        <v>0</v>
      </c>
      <c r="X281" s="8">
        <f>IFERROR(W281/W444, "NA")</f>
        <v>0</v>
      </c>
      <c r="Y281" s="9"/>
      <c r="Z281" s="7">
        <v>0</v>
      </c>
      <c r="AA281" s="8">
        <f>IFERROR(Z281/Z444, "NA")</f>
        <v>0</v>
      </c>
      <c r="AB281" s="9"/>
      <c r="AC281" s="10">
        <f t="shared" si="71"/>
        <v>0</v>
      </c>
      <c r="AD281" s="8">
        <f>IFERROR(AC281/AC444, "NA")</f>
        <v>0</v>
      </c>
    </row>
    <row r="282" spans="1:30" ht="16.5" hidden="1" customHeight="1" x14ac:dyDescent="0.45">
      <c r="A282" s="6" t="s">
        <v>256</v>
      </c>
      <c r="B282" s="7">
        <v>0</v>
      </c>
      <c r="C282" s="8">
        <f>IFERROR(B282/B444, "NA")</f>
        <v>0</v>
      </c>
      <c r="D282" s="9"/>
      <c r="E282" s="7">
        <v>0</v>
      </c>
      <c r="F282" s="8">
        <f>IFERROR(E282/E444, "NA")</f>
        <v>0</v>
      </c>
      <c r="G282" s="9"/>
      <c r="H282" s="10">
        <f t="shared" si="68"/>
        <v>0</v>
      </c>
      <c r="I282" s="8">
        <f>IFERROR(H282/H444, "NA")</f>
        <v>0</v>
      </c>
      <c r="J282" s="9"/>
      <c r="K282" s="7">
        <v>0</v>
      </c>
      <c r="L282" s="8">
        <f>IFERROR(K282/K444, "NA")</f>
        <v>0</v>
      </c>
      <c r="M282" s="9"/>
      <c r="N282" s="10">
        <f t="shared" si="69"/>
        <v>0</v>
      </c>
      <c r="O282" s="8">
        <f>IFERROR(N282/N444, "NA")</f>
        <v>0</v>
      </c>
      <c r="P282" s="9"/>
      <c r="Q282" s="7">
        <v>0</v>
      </c>
      <c r="R282" s="8">
        <f>IFERROR(Q282/Q444, "NA")</f>
        <v>0</v>
      </c>
      <c r="S282" s="9"/>
      <c r="T282" s="7">
        <v>0</v>
      </c>
      <c r="U282" s="8">
        <f>IFERROR(T282/T444, "NA")</f>
        <v>0</v>
      </c>
      <c r="V282" s="9"/>
      <c r="W282" s="10">
        <f t="shared" si="70"/>
        <v>0</v>
      </c>
      <c r="X282" s="8">
        <f>IFERROR(W282/W444, "NA")</f>
        <v>0</v>
      </c>
      <c r="Y282" s="9"/>
      <c r="Z282" s="7">
        <v>0</v>
      </c>
      <c r="AA282" s="8">
        <f>IFERROR(Z282/Z444, "NA")</f>
        <v>0</v>
      </c>
      <c r="AB282" s="9"/>
      <c r="AC282" s="10">
        <f t="shared" si="71"/>
        <v>0</v>
      </c>
      <c r="AD282" s="8">
        <f>IFERROR(AC282/AC444, "NA")</f>
        <v>0</v>
      </c>
    </row>
    <row r="283" spans="1:30" ht="16.5" hidden="1" customHeight="1" x14ac:dyDescent="0.45">
      <c r="A283" s="6" t="s">
        <v>257</v>
      </c>
      <c r="B283" s="7">
        <v>0</v>
      </c>
      <c r="C283" s="8">
        <f>IFERROR(B283/B444, "NA")</f>
        <v>0</v>
      </c>
      <c r="D283" s="9"/>
      <c r="E283" s="7">
        <v>0</v>
      </c>
      <c r="F283" s="8">
        <f>IFERROR(E283/E444, "NA")</f>
        <v>0</v>
      </c>
      <c r="G283" s="9"/>
      <c r="H283" s="10">
        <f t="shared" si="68"/>
        <v>0</v>
      </c>
      <c r="I283" s="8">
        <f>IFERROR(H283/H444, "NA")</f>
        <v>0</v>
      </c>
      <c r="J283" s="9"/>
      <c r="K283" s="7">
        <v>0</v>
      </c>
      <c r="L283" s="8">
        <f>IFERROR(K283/K444, "NA")</f>
        <v>0</v>
      </c>
      <c r="M283" s="9"/>
      <c r="N283" s="10">
        <f t="shared" si="69"/>
        <v>0</v>
      </c>
      <c r="O283" s="8">
        <f>IFERROR(N283/N444, "NA")</f>
        <v>0</v>
      </c>
      <c r="P283" s="9"/>
      <c r="Q283" s="7">
        <v>0</v>
      </c>
      <c r="R283" s="8">
        <f>IFERROR(Q283/Q444, "NA")</f>
        <v>0</v>
      </c>
      <c r="S283" s="9"/>
      <c r="T283" s="7">
        <v>0</v>
      </c>
      <c r="U283" s="8">
        <f>IFERROR(T283/T444, "NA")</f>
        <v>0</v>
      </c>
      <c r="V283" s="9"/>
      <c r="W283" s="10">
        <f t="shared" si="70"/>
        <v>0</v>
      </c>
      <c r="X283" s="8">
        <f>IFERROR(W283/W444, "NA")</f>
        <v>0</v>
      </c>
      <c r="Y283" s="9"/>
      <c r="Z283" s="7">
        <v>0</v>
      </c>
      <c r="AA283" s="8">
        <f>IFERROR(Z283/Z444, "NA")</f>
        <v>0</v>
      </c>
      <c r="AB283" s="9"/>
      <c r="AC283" s="10">
        <f t="shared" si="71"/>
        <v>0</v>
      </c>
      <c r="AD283" s="8">
        <f>IFERROR(AC283/AC444, "NA")</f>
        <v>0</v>
      </c>
    </row>
    <row r="284" spans="1:30" ht="16.5" customHeight="1" x14ac:dyDescent="0.45">
      <c r="A284" s="19" t="s">
        <v>258</v>
      </c>
      <c r="B284" s="14">
        <f>IFERROR(B275+B276+B277+B278+B279+B280+B281+B282+B283, "NA")</f>
        <v>0</v>
      </c>
      <c r="C284" s="15">
        <f>IFERROR(B284/B444, "NA")</f>
        <v>0</v>
      </c>
      <c r="D284" s="2"/>
      <c r="E284" s="14">
        <f>IFERROR(E275+E276+E277+E278+E279+E280+E281+E282+E283, "NA")</f>
        <v>0</v>
      </c>
      <c r="F284" s="15">
        <f>IFERROR(E284/E444, "NA")</f>
        <v>0</v>
      </c>
      <c r="G284" s="2"/>
      <c r="H284" s="14">
        <f t="shared" si="68"/>
        <v>0</v>
      </c>
      <c r="I284" s="15">
        <f>IFERROR(H284/H444, "NA")</f>
        <v>0</v>
      </c>
      <c r="J284" s="2"/>
      <c r="K284" s="14">
        <f>IFERROR(K275+K276+K277+K278+K279+K280+K281+K282+K283, "NA")</f>
        <v>0</v>
      </c>
      <c r="L284" s="15">
        <f>IFERROR(K284/K444, "NA")</f>
        <v>0</v>
      </c>
      <c r="M284" s="2"/>
      <c r="N284" s="14">
        <f t="shared" si="69"/>
        <v>0</v>
      </c>
      <c r="O284" s="15">
        <f>IFERROR(N284/N444, "NA")</f>
        <v>0</v>
      </c>
      <c r="P284" s="2"/>
      <c r="Q284" s="14">
        <f>IFERROR(Q275+Q276+Q277+Q278+Q279+Q280+Q281+Q282+Q283, "NA")</f>
        <v>0</v>
      </c>
      <c r="R284" s="15">
        <f>IFERROR(Q284/Q444, "NA")</f>
        <v>0</v>
      </c>
      <c r="S284" s="2"/>
      <c r="T284" s="14">
        <f>IFERROR(T275+T276+T277+T278+T279+T280+T281+T282+T283, "NA")</f>
        <v>0</v>
      </c>
      <c r="U284" s="15">
        <f>IFERROR(T284/T444, "NA")</f>
        <v>0</v>
      </c>
      <c r="V284" s="2"/>
      <c r="W284" s="14">
        <f t="shared" si="70"/>
        <v>0</v>
      </c>
      <c r="X284" s="15">
        <f>IFERROR(W284/W444, "NA")</f>
        <v>0</v>
      </c>
      <c r="Y284" s="2"/>
      <c r="Z284" s="14">
        <f>IFERROR(Z275+Z276+Z277+Z278+Z279+Z280+Z281+Z282+Z283, "NA")</f>
        <v>0</v>
      </c>
      <c r="AA284" s="15">
        <f>IFERROR(Z284/Z444, "NA")</f>
        <v>0</v>
      </c>
      <c r="AB284" s="2"/>
      <c r="AC284" s="14">
        <f t="shared" si="71"/>
        <v>0</v>
      </c>
      <c r="AD284" s="15">
        <f>IFERROR(AC284/AC444, "NA")</f>
        <v>0</v>
      </c>
    </row>
    <row r="285" spans="1:30" ht="16.5" customHeight="1" x14ac:dyDescent="0.45">
      <c r="A285" s="5" t="s">
        <v>259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  <c r="Y285" s="4"/>
      <c r="Z285" s="2"/>
      <c r="AA285" s="3"/>
      <c r="AB285" s="4"/>
      <c r="AC285" s="2"/>
      <c r="AD285" s="3"/>
    </row>
    <row r="286" spans="1:30" ht="16.5" hidden="1" customHeight="1" x14ac:dyDescent="0.45">
      <c r="A286" s="6" t="s">
        <v>259</v>
      </c>
      <c r="B286" s="7">
        <v>0</v>
      </c>
      <c r="C286" s="8">
        <f>IFERROR(B286/B444, "NA")</f>
        <v>0</v>
      </c>
      <c r="D286" s="9"/>
      <c r="E286" s="7">
        <v>0</v>
      </c>
      <c r="F286" s="8">
        <f>IFERROR(E286/E444, "NA")</f>
        <v>0</v>
      </c>
      <c r="G286" s="9"/>
      <c r="H286" s="10">
        <f t="shared" ref="H286:H295" si="72">IFERROR(-(B286-E286), "NA")</f>
        <v>0</v>
      </c>
      <c r="I286" s="8">
        <f>IFERROR(H286/H444, "NA")</f>
        <v>0</v>
      </c>
      <c r="J286" s="9"/>
      <c r="K286" s="7">
        <v>0</v>
      </c>
      <c r="L286" s="8">
        <f>IFERROR(K286/K444, "NA")</f>
        <v>0</v>
      </c>
      <c r="M286" s="9"/>
      <c r="N286" s="10">
        <f t="shared" ref="N286:N295" si="73">IFERROR(-(B286-K286), "NA")</f>
        <v>0</v>
      </c>
      <c r="O286" s="8">
        <f>IFERROR(N286/N444, "NA")</f>
        <v>0</v>
      </c>
      <c r="P286" s="9"/>
      <c r="Q286" s="7">
        <v>0</v>
      </c>
      <c r="R286" s="8">
        <f>IFERROR(Q286/Q444, "NA")</f>
        <v>0</v>
      </c>
      <c r="S286" s="9"/>
      <c r="T286" s="7">
        <v>0</v>
      </c>
      <c r="U286" s="8">
        <f>IFERROR(T286/T444, "NA")</f>
        <v>0</v>
      </c>
      <c r="V286" s="9"/>
      <c r="W286" s="10">
        <f t="shared" ref="W286:W295" si="74">IFERROR(-(Q286-T286), "NA")</f>
        <v>0</v>
      </c>
      <c r="X286" s="8">
        <f>IFERROR(W286/W444, "NA")</f>
        <v>0</v>
      </c>
      <c r="Y286" s="9"/>
      <c r="Z286" s="7">
        <v>0</v>
      </c>
      <c r="AA286" s="8">
        <f>IFERROR(Z286/Z444, "NA")</f>
        <v>0</v>
      </c>
      <c r="AB286" s="9"/>
      <c r="AC286" s="10">
        <f t="shared" ref="AC286:AC295" si="75">IFERROR(-(Q286-Z286), "NA")</f>
        <v>0</v>
      </c>
      <c r="AD286" s="8">
        <f>IFERROR(AC286/AC444, "NA")</f>
        <v>0</v>
      </c>
    </row>
    <row r="287" spans="1:30" ht="16.5" hidden="1" customHeight="1" x14ac:dyDescent="0.45">
      <c r="A287" s="6" t="s">
        <v>260</v>
      </c>
      <c r="B287" s="7">
        <v>0</v>
      </c>
      <c r="C287" s="8">
        <f>IFERROR(B287/B444, "NA")</f>
        <v>0</v>
      </c>
      <c r="D287" s="9"/>
      <c r="E287" s="7">
        <v>0</v>
      </c>
      <c r="F287" s="8">
        <f>IFERROR(E287/E444, "NA")</f>
        <v>0</v>
      </c>
      <c r="G287" s="9"/>
      <c r="H287" s="10">
        <f t="shared" si="72"/>
        <v>0</v>
      </c>
      <c r="I287" s="8">
        <f>IFERROR(H287/H444, "NA")</f>
        <v>0</v>
      </c>
      <c r="J287" s="9"/>
      <c r="K287" s="7">
        <v>0</v>
      </c>
      <c r="L287" s="8">
        <f>IFERROR(K287/K444, "NA")</f>
        <v>0</v>
      </c>
      <c r="M287" s="9"/>
      <c r="N287" s="10">
        <f t="shared" si="73"/>
        <v>0</v>
      </c>
      <c r="O287" s="8">
        <f>IFERROR(N287/N444, "NA")</f>
        <v>0</v>
      </c>
      <c r="P287" s="9"/>
      <c r="Q287" s="7">
        <v>0</v>
      </c>
      <c r="R287" s="8">
        <f>IFERROR(Q287/Q444, "NA")</f>
        <v>0</v>
      </c>
      <c r="S287" s="9"/>
      <c r="T287" s="7">
        <v>0</v>
      </c>
      <c r="U287" s="8">
        <f>IFERROR(T287/T444, "NA")</f>
        <v>0</v>
      </c>
      <c r="V287" s="9"/>
      <c r="W287" s="10">
        <f t="shared" si="74"/>
        <v>0</v>
      </c>
      <c r="X287" s="8">
        <f>IFERROR(W287/W444, "NA")</f>
        <v>0</v>
      </c>
      <c r="Y287" s="9"/>
      <c r="Z287" s="7">
        <v>0</v>
      </c>
      <c r="AA287" s="8">
        <f>IFERROR(Z287/Z444, "NA")</f>
        <v>0</v>
      </c>
      <c r="AB287" s="9"/>
      <c r="AC287" s="10">
        <f t="shared" si="75"/>
        <v>0</v>
      </c>
      <c r="AD287" s="8">
        <f>IFERROR(AC287/AC444, "NA")</f>
        <v>0</v>
      </c>
    </row>
    <row r="288" spans="1:30" ht="16.5" customHeight="1" x14ac:dyDescent="0.45">
      <c r="A288" s="6" t="s">
        <v>261</v>
      </c>
      <c r="B288" s="7">
        <v>137.5</v>
      </c>
      <c r="C288" s="8">
        <f>IFERROR(B288/B444, "NA")</f>
        <v>1.8962548621698533E-3</v>
      </c>
      <c r="D288" s="9"/>
      <c r="E288" s="7">
        <v>138</v>
      </c>
      <c r="F288" s="8">
        <f>IFERROR(E288/E444, "NA")</f>
        <v>2.0236007570613034E-3</v>
      </c>
      <c r="G288" s="9"/>
      <c r="H288" s="10">
        <f t="shared" si="72"/>
        <v>0.5</v>
      </c>
      <c r="I288" s="8">
        <f>IFERROR(H288/H444, "NA")</f>
        <v>1.1584586013234226E-4</v>
      </c>
      <c r="J288" s="9"/>
      <c r="K288" s="7">
        <v>137.5</v>
      </c>
      <c r="L288" s="8">
        <f>IFERROR(K288/K444, "NA")</f>
        <v>2.0918789759012497E-3</v>
      </c>
      <c r="M288" s="9"/>
      <c r="N288" s="10">
        <f t="shared" si="73"/>
        <v>0</v>
      </c>
      <c r="O288" s="8">
        <f>IFERROR(N288/N444, "NA")</f>
        <v>0</v>
      </c>
      <c r="P288" s="9"/>
      <c r="Q288" s="7">
        <v>137.5</v>
      </c>
      <c r="R288" s="8">
        <f>IFERROR(Q288/Q444, "NA")</f>
        <v>1.8962548621698533E-3</v>
      </c>
      <c r="S288" s="9"/>
      <c r="T288" s="7">
        <v>138</v>
      </c>
      <c r="U288" s="8">
        <f>IFERROR(T288/T444, "NA")</f>
        <v>2.0236007570613034E-3</v>
      </c>
      <c r="V288" s="9"/>
      <c r="W288" s="10">
        <f t="shared" si="74"/>
        <v>0.5</v>
      </c>
      <c r="X288" s="8">
        <f>IFERROR(W288/W444, "NA")</f>
        <v>1.1584586013234226E-4</v>
      </c>
      <c r="Y288" s="9"/>
      <c r="Z288" s="7">
        <v>137.5</v>
      </c>
      <c r="AA288" s="8">
        <f>IFERROR(Z288/Z444, "NA")</f>
        <v>2.0918789759012497E-3</v>
      </c>
      <c r="AB288" s="9"/>
      <c r="AC288" s="10">
        <f t="shared" si="75"/>
        <v>0</v>
      </c>
      <c r="AD288" s="8">
        <f>IFERROR(AC288/AC444, "NA")</f>
        <v>0</v>
      </c>
    </row>
    <row r="289" spans="1:30" ht="16.5" customHeight="1" x14ac:dyDescent="0.45">
      <c r="A289" s="6" t="s">
        <v>262</v>
      </c>
      <c r="B289" s="7">
        <v>247.84</v>
      </c>
      <c r="C289" s="8">
        <f>IFERROR(B289/B444, "NA")</f>
        <v>3.417947673019465E-3</v>
      </c>
      <c r="D289" s="9"/>
      <c r="E289" s="7">
        <v>234</v>
      </c>
      <c r="F289" s="8">
        <f>IFERROR(E289/E444, "NA")</f>
        <v>3.4313230228430799E-3</v>
      </c>
      <c r="G289" s="9"/>
      <c r="H289" s="10">
        <f t="shared" si="72"/>
        <v>-13.840000000000003</v>
      </c>
      <c r="I289" s="8">
        <f>IFERROR(H289/H444, "NA")</f>
        <v>-3.2066134084632347E-3</v>
      </c>
      <c r="J289" s="9"/>
      <c r="K289" s="7">
        <v>217.97</v>
      </c>
      <c r="L289" s="8">
        <f>IFERROR(K289/K444, "NA")</f>
        <v>3.3161226209250574E-3</v>
      </c>
      <c r="M289" s="9"/>
      <c r="N289" s="10">
        <f t="shared" si="73"/>
        <v>-29.870000000000005</v>
      </c>
      <c r="O289" s="8">
        <f>IFERROR(N289/N444, "NA")</f>
        <v>-4.4049745095465689E-3</v>
      </c>
      <c r="P289" s="9"/>
      <c r="Q289" s="7">
        <v>247.84</v>
      </c>
      <c r="R289" s="8">
        <f>IFERROR(Q289/Q444, "NA")</f>
        <v>3.417947673019465E-3</v>
      </c>
      <c r="S289" s="9"/>
      <c r="T289" s="7">
        <v>234</v>
      </c>
      <c r="U289" s="8">
        <f>IFERROR(T289/T444, "NA")</f>
        <v>3.4313230228430799E-3</v>
      </c>
      <c r="V289" s="9"/>
      <c r="W289" s="10">
        <f t="shared" si="74"/>
        <v>-13.840000000000003</v>
      </c>
      <c r="X289" s="8">
        <f>IFERROR(W289/W444, "NA")</f>
        <v>-3.2066134084632347E-3</v>
      </c>
      <c r="Y289" s="9"/>
      <c r="Z289" s="7">
        <v>217.97</v>
      </c>
      <c r="AA289" s="8">
        <f>IFERROR(Z289/Z444, "NA")</f>
        <v>3.3161226209250574E-3</v>
      </c>
      <c r="AB289" s="9"/>
      <c r="AC289" s="10">
        <f t="shared" si="75"/>
        <v>-29.870000000000005</v>
      </c>
      <c r="AD289" s="8">
        <f>IFERROR(AC289/AC444, "NA")</f>
        <v>-4.4049745095465689E-3</v>
      </c>
    </row>
    <row r="290" spans="1:30" ht="16.5" customHeight="1" x14ac:dyDescent="0.45">
      <c r="A290" s="6" t="s">
        <v>263</v>
      </c>
      <c r="B290" s="7">
        <v>1598.08</v>
      </c>
      <c r="C290" s="8">
        <f>IFERROR(B290/B444, "NA")</f>
        <v>2.2039032510082903E-2</v>
      </c>
      <c r="D290" s="9"/>
      <c r="E290" s="7">
        <v>477.37</v>
      </c>
      <c r="F290" s="8">
        <f>IFERROR(E290/E444, "NA")</f>
        <v>7.0000456043359015E-3</v>
      </c>
      <c r="G290" s="9"/>
      <c r="H290" s="10">
        <f t="shared" si="72"/>
        <v>-1120.71</v>
      </c>
      <c r="I290" s="8">
        <f>IFERROR(H290/H444, "NA")</f>
        <v>-0.25965922781783463</v>
      </c>
      <c r="J290" s="9"/>
      <c r="K290" s="7">
        <v>477.43</v>
      </c>
      <c r="L290" s="8">
        <f>IFERROR(K290/K444, "NA")</f>
        <v>7.2634602142875176E-3</v>
      </c>
      <c r="M290" s="9"/>
      <c r="N290" s="10">
        <f t="shared" si="73"/>
        <v>-1120.6499999999999</v>
      </c>
      <c r="O290" s="8">
        <f>IFERROR(N290/N444, "NA")</f>
        <v>-0.16526396665963713</v>
      </c>
      <c r="P290" s="9"/>
      <c r="Q290" s="7">
        <v>1598.08</v>
      </c>
      <c r="R290" s="8">
        <f>IFERROR(Q290/Q444, "NA")</f>
        <v>2.2039032510082903E-2</v>
      </c>
      <c r="S290" s="9"/>
      <c r="T290" s="7">
        <v>477.37</v>
      </c>
      <c r="U290" s="8">
        <f>IFERROR(T290/T444, "NA")</f>
        <v>7.0000456043359015E-3</v>
      </c>
      <c r="V290" s="9"/>
      <c r="W290" s="10">
        <f t="shared" si="74"/>
        <v>-1120.71</v>
      </c>
      <c r="X290" s="8">
        <f>IFERROR(W290/W444, "NA")</f>
        <v>-0.25965922781783463</v>
      </c>
      <c r="Y290" s="9"/>
      <c r="Z290" s="7">
        <v>477.43</v>
      </c>
      <c r="AA290" s="8">
        <f>IFERROR(Z290/Z444, "NA")</f>
        <v>7.2634602142875176E-3</v>
      </c>
      <c r="AB290" s="9"/>
      <c r="AC290" s="10">
        <f t="shared" si="75"/>
        <v>-1120.6499999999999</v>
      </c>
      <c r="AD290" s="8">
        <f>IFERROR(AC290/AC444, "NA")</f>
        <v>-0.16526396665963713</v>
      </c>
    </row>
    <row r="291" spans="1:30" ht="16.5" customHeight="1" x14ac:dyDescent="0.45">
      <c r="A291" s="6" t="s">
        <v>264</v>
      </c>
      <c r="B291" s="7">
        <v>1326.66</v>
      </c>
      <c r="C291" s="8">
        <f>IFERROR(B291/B444, "NA")</f>
        <v>1.8295894366881876E-2</v>
      </c>
      <c r="D291" s="9"/>
      <c r="E291" s="7">
        <v>681.95</v>
      </c>
      <c r="F291" s="8">
        <f>IFERROR(E291/E444, "NA")</f>
        <v>9.9999604078112748E-3</v>
      </c>
      <c r="G291" s="9"/>
      <c r="H291" s="10">
        <f t="shared" si="72"/>
        <v>-644.71</v>
      </c>
      <c r="I291" s="8">
        <f>IFERROR(H291/H444, "NA")</f>
        <v>-0.14937396897184477</v>
      </c>
      <c r="J291" s="9"/>
      <c r="K291" s="7">
        <v>1744.79</v>
      </c>
      <c r="L291" s="8">
        <f>IFERROR(K291/K444, "NA")</f>
        <v>2.6544651042638121E-2</v>
      </c>
      <c r="M291" s="9"/>
      <c r="N291" s="10">
        <f t="shared" si="73"/>
        <v>418.12999999999988</v>
      </c>
      <c r="O291" s="8">
        <f>IFERROR(N291/N444, "NA")</f>
        <v>6.1662269557305194E-2</v>
      </c>
      <c r="P291" s="9"/>
      <c r="Q291" s="7">
        <v>1326.66</v>
      </c>
      <c r="R291" s="8">
        <f>IFERROR(Q291/Q444, "NA")</f>
        <v>1.8295894366881876E-2</v>
      </c>
      <c r="S291" s="9"/>
      <c r="T291" s="7">
        <v>681.95</v>
      </c>
      <c r="U291" s="8">
        <f>IFERROR(T291/T444, "NA")</f>
        <v>9.9999604078112748E-3</v>
      </c>
      <c r="V291" s="9"/>
      <c r="W291" s="10">
        <f t="shared" si="74"/>
        <v>-644.71</v>
      </c>
      <c r="X291" s="8">
        <f>IFERROR(W291/W444, "NA")</f>
        <v>-0.14937396897184477</v>
      </c>
      <c r="Y291" s="9"/>
      <c r="Z291" s="7">
        <v>1744.79</v>
      </c>
      <c r="AA291" s="8">
        <f>IFERROR(Z291/Z444, "NA")</f>
        <v>2.6544651042638121E-2</v>
      </c>
      <c r="AB291" s="9"/>
      <c r="AC291" s="10">
        <f t="shared" si="75"/>
        <v>418.12999999999988</v>
      </c>
      <c r="AD291" s="8">
        <f>IFERROR(AC291/AC444, "NA")</f>
        <v>6.1662269557305194E-2</v>
      </c>
    </row>
    <row r="292" spans="1:30" ht="16.5" customHeight="1" x14ac:dyDescent="0.45">
      <c r="A292" s="6" t="s">
        <v>265</v>
      </c>
      <c r="B292" s="7">
        <v>0</v>
      </c>
      <c r="C292" s="8">
        <f>IFERROR(B292/B444, "NA")</f>
        <v>0</v>
      </c>
      <c r="D292" s="9"/>
      <c r="E292" s="7">
        <v>136.38999999999999</v>
      </c>
      <c r="F292" s="8">
        <f>IFERROR(E292/E444, "NA")</f>
        <v>1.9999920815622547E-3</v>
      </c>
      <c r="G292" s="9"/>
      <c r="H292" s="10">
        <f t="shared" si="72"/>
        <v>136.38999999999999</v>
      </c>
      <c r="I292" s="8">
        <f>IFERROR(H292/H444, "NA")</f>
        <v>3.1600433726900322E-2</v>
      </c>
      <c r="J292" s="9"/>
      <c r="K292" s="7">
        <v>0</v>
      </c>
      <c r="L292" s="8">
        <f>IFERROR(K292/K444, "NA")</f>
        <v>0</v>
      </c>
      <c r="M292" s="9"/>
      <c r="N292" s="10">
        <f t="shared" si="73"/>
        <v>0</v>
      </c>
      <c r="O292" s="8">
        <f>IFERROR(N292/N444, "NA")</f>
        <v>0</v>
      </c>
      <c r="P292" s="9"/>
      <c r="Q292" s="7">
        <v>0</v>
      </c>
      <c r="R292" s="8">
        <f>IFERROR(Q292/Q444, "NA")</f>
        <v>0</v>
      </c>
      <c r="S292" s="9"/>
      <c r="T292" s="7">
        <v>136.38999999999999</v>
      </c>
      <c r="U292" s="8">
        <f>IFERROR(T292/T444, "NA")</f>
        <v>1.9999920815622547E-3</v>
      </c>
      <c r="V292" s="9"/>
      <c r="W292" s="10">
        <f t="shared" si="74"/>
        <v>136.38999999999999</v>
      </c>
      <c r="X292" s="8">
        <f>IFERROR(W292/W444, "NA")</f>
        <v>3.1600433726900322E-2</v>
      </c>
      <c r="Y292" s="9"/>
      <c r="Z292" s="7">
        <v>0</v>
      </c>
      <c r="AA292" s="8">
        <f>IFERROR(Z292/Z444, "NA")</f>
        <v>0</v>
      </c>
      <c r="AB292" s="9"/>
      <c r="AC292" s="10">
        <f t="shared" si="75"/>
        <v>0</v>
      </c>
      <c r="AD292" s="8">
        <f>IFERROR(AC292/AC444, "NA")</f>
        <v>0</v>
      </c>
    </row>
    <row r="293" spans="1:30" ht="16.5" customHeight="1" x14ac:dyDescent="0.45">
      <c r="A293" s="6" t="s">
        <v>266</v>
      </c>
      <c r="B293" s="7">
        <v>0</v>
      </c>
      <c r="C293" s="8">
        <f>IFERROR(B293/B444, "NA")</f>
        <v>0</v>
      </c>
      <c r="D293" s="9"/>
      <c r="E293" s="7">
        <v>136.38999999999999</v>
      </c>
      <c r="F293" s="8">
        <f>IFERROR(E293/E444, "NA")</f>
        <v>1.9999920815622547E-3</v>
      </c>
      <c r="G293" s="9"/>
      <c r="H293" s="10">
        <f t="shared" si="72"/>
        <v>136.38999999999999</v>
      </c>
      <c r="I293" s="8">
        <f>IFERROR(H293/H444, "NA")</f>
        <v>3.1600433726900322E-2</v>
      </c>
      <c r="J293" s="9"/>
      <c r="K293" s="7">
        <v>0</v>
      </c>
      <c r="L293" s="8">
        <f>IFERROR(K293/K444, "NA")</f>
        <v>0</v>
      </c>
      <c r="M293" s="9"/>
      <c r="N293" s="10">
        <f t="shared" si="73"/>
        <v>0</v>
      </c>
      <c r="O293" s="8">
        <f>IFERROR(N293/N444, "NA")</f>
        <v>0</v>
      </c>
      <c r="P293" s="9"/>
      <c r="Q293" s="7">
        <v>0</v>
      </c>
      <c r="R293" s="8">
        <f>IFERROR(Q293/Q444, "NA")</f>
        <v>0</v>
      </c>
      <c r="S293" s="9"/>
      <c r="T293" s="7">
        <v>136.38999999999999</v>
      </c>
      <c r="U293" s="8">
        <f>IFERROR(T293/T444, "NA")</f>
        <v>1.9999920815622547E-3</v>
      </c>
      <c r="V293" s="9"/>
      <c r="W293" s="10">
        <f t="shared" si="74"/>
        <v>136.38999999999999</v>
      </c>
      <c r="X293" s="8">
        <f>IFERROR(W293/W444, "NA")</f>
        <v>3.1600433726900322E-2</v>
      </c>
      <c r="Y293" s="9"/>
      <c r="Z293" s="7">
        <v>0</v>
      </c>
      <c r="AA293" s="8">
        <f>IFERROR(Z293/Z444, "NA")</f>
        <v>0</v>
      </c>
      <c r="AB293" s="9"/>
      <c r="AC293" s="10">
        <f t="shared" si="75"/>
        <v>0</v>
      </c>
      <c r="AD293" s="8">
        <f>IFERROR(AC293/AC444, "NA")</f>
        <v>0</v>
      </c>
    </row>
    <row r="294" spans="1:30" ht="16.5" customHeight="1" x14ac:dyDescent="0.45">
      <c r="A294" s="6" t="s">
        <v>267</v>
      </c>
      <c r="B294" s="7">
        <v>380.48</v>
      </c>
      <c r="C294" s="8">
        <f>IFERROR(B294/B444, "NA")</f>
        <v>5.2471785451518966E-3</v>
      </c>
      <c r="D294" s="9"/>
      <c r="E294" s="7">
        <v>365</v>
      </c>
      <c r="F294" s="8">
        <f>IFERROR(E294/E444, "NA")</f>
        <v>5.3522773646911288E-3</v>
      </c>
      <c r="G294" s="9"/>
      <c r="H294" s="10">
        <f t="shared" si="72"/>
        <v>-15.480000000000018</v>
      </c>
      <c r="I294" s="8">
        <f>IFERROR(H294/H444, "NA")</f>
        <v>-3.5865878296973209E-3</v>
      </c>
      <c r="J294" s="9"/>
      <c r="K294" s="7">
        <v>324.99</v>
      </c>
      <c r="L294" s="8">
        <f>IFERROR(K294/K444, "NA")</f>
        <v>4.9442890791137981E-3</v>
      </c>
      <c r="M294" s="9"/>
      <c r="N294" s="10">
        <f t="shared" si="73"/>
        <v>-55.490000000000009</v>
      </c>
      <c r="O294" s="8">
        <f>IFERROR(N294/N444, "NA")</f>
        <v>-8.1831950296196564E-3</v>
      </c>
      <c r="P294" s="9"/>
      <c r="Q294" s="7">
        <v>380.48</v>
      </c>
      <c r="R294" s="8">
        <f>IFERROR(Q294/Q444, "NA")</f>
        <v>5.2471785451518966E-3</v>
      </c>
      <c r="S294" s="9"/>
      <c r="T294" s="7">
        <v>365</v>
      </c>
      <c r="U294" s="8">
        <f>IFERROR(T294/T444, "NA")</f>
        <v>5.3522773646911288E-3</v>
      </c>
      <c r="V294" s="9"/>
      <c r="W294" s="10">
        <f t="shared" si="74"/>
        <v>-15.480000000000018</v>
      </c>
      <c r="X294" s="8">
        <f>IFERROR(W294/W444, "NA")</f>
        <v>-3.5865878296973209E-3</v>
      </c>
      <c r="Y294" s="9"/>
      <c r="Z294" s="7">
        <v>324.99</v>
      </c>
      <c r="AA294" s="8">
        <f>IFERROR(Z294/Z444, "NA")</f>
        <v>4.9442890791137981E-3</v>
      </c>
      <c r="AB294" s="9"/>
      <c r="AC294" s="10">
        <f t="shared" si="75"/>
        <v>-55.490000000000009</v>
      </c>
      <c r="AD294" s="8">
        <f>IFERROR(AC294/AC444, "NA")</f>
        <v>-8.1831950296196564E-3</v>
      </c>
    </row>
    <row r="295" spans="1:30" ht="16.5" customHeight="1" x14ac:dyDescent="0.45">
      <c r="A295" s="19" t="s">
        <v>268</v>
      </c>
      <c r="B295" s="14">
        <f>IFERROR(B286+B287+B288+B289+B290+B291+B292+B293+B294, "NA")</f>
        <v>3690.56</v>
      </c>
      <c r="C295" s="15">
        <f>IFERROR(B295/B444, "NA")</f>
        <v>5.0896307957305986E-2</v>
      </c>
      <c r="D295" s="2"/>
      <c r="E295" s="14">
        <f>IFERROR(E286+E287+E288+E289+E290+E291+E292+E293+E294, "NA")</f>
        <v>2169.1</v>
      </c>
      <c r="F295" s="15">
        <f>IFERROR(E295/E444, "NA")</f>
        <v>3.1807191319867194E-2</v>
      </c>
      <c r="G295" s="2"/>
      <c r="H295" s="14">
        <f t="shared" si="72"/>
        <v>-1521.46</v>
      </c>
      <c r="I295" s="15">
        <f>IFERROR(H295/H444, "NA")</f>
        <v>-0.35250968471390692</v>
      </c>
      <c r="J295" s="2"/>
      <c r="K295" s="14">
        <f>IFERROR(K286+K287+K288+K289+K290+K291+K292+K293+K294, "NA")</f>
        <v>2902.6800000000003</v>
      </c>
      <c r="L295" s="15">
        <f>IFERROR(K295/K444, "NA")</f>
        <v>4.4160401932865745E-2</v>
      </c>
      <c r="M295" s="2"/>
      <c r="N295" s="14">
        <f t="shared" si="73"/>
        <v>-787.87999999999965</v>
      </c>
      <c r="O295" s="15">
        <f>IFERROR(N295/N444, "NA")</f>
        <v>-0.11618986664149812</v>
      </c>
      <c r="P295" s="2"/>
      <c r="Q295" s="14">
        <f>IFERROR(Q286+Q287+Q288+Q289+Q290+Q291+Q292+Q293+Q294, "NA")</f>
        <v>3690.56</v>
      </c>
      <c r="R295" s="15">
        <f>IFERROR(Q295/Q444, "NA")</f>
        <v>5.0896307957305986E-2</v>
      </c>
      <c r="S295" s="2"/>
      <c r="T295" s="14">
        <f>IFERROR(T286+T287+T288+T289+T290+T291+T292+T293+T294, "NA")</f>
        <v>2169.1</v>
      </c>
      <c r="U295" s="15">
        <f>IFERROR(T295/T444, "NA")</f>
        <v>3.1807191319867194E-2</v>
      </c>
      <c r="V295" s="2"/>
      <c r="W295" s="14">
        <f t="shared" si="74"/>
        <v>-1521.46</v>
      </c>
      <c r="X295" s="15">
        <f>IFERROR(W295/W444, "NA")</f>
        <v>-0.35250968471390692</v>
      </c>
      <c r="Y295" s="2"/>
      <c r="Z295" s="14">
        <f>IFERROR(Z286+Z287+Z288+Z289+Z290+Z291+Z292+Z293+Z294, "NA")</f>
        <v>2902.6800000000003</v>
      </c>
      <c r="AA295" s="15">
        <f>IFERROR(Z295/Z444, "NA")</f>
        <v>4.4160401932865745E-2</v>
      </c>
      <c r="AB295" s="2"/>
      <c r="AC295" s="14">
        <f t="shared" si="75"/>
        <v>-787.87999999999965</v>
      </c>
      <c r="AD295" s="15">
        <f>IFERROR(AC295/AC444, "NA")</f>
        <v>-0.11618986664149812</v>
      </c>
    </row>
    <row r="296" spans="1:30" ht="16.5" customHeight="1" x14ac:dyDescent="0.45">
      <c r="A296" s="5" t="s">
        <v>269</v>
      </c>
      <c r="B296" s="2"/>
      <c r="C296" s="3"/>
      <c r="D296" s="4"/>
      <c r="E296" s="2"/>
      <c r="F296" s="3"/>
      <c r="G296" s="4"/>
      <c r="H296" s="2"/>
      <c r="I296" s="3"/>
      <c r="J296" s="4"/>
      <c r="K296" s="2"/>
      <c r="L296" s="3"/>
      <c r="M296" s="4"/>
      <c r="N296" s="2"/>
      <c r="O296" s="3"/>
      <c r="P296" s="4"/>
      <c r="Q296" s="2"/>
      <c r="R296" s="3"/>
      <c r="S296" s="4"/>
      <c r="T296" s="2"/>
      <c r="U296" s="3"/>
      <c r="V296" s="4"/>
      <c r="W296" s="2"/>
      <c r="X296" s="3"/>
      <c r="Y296" s="4"/>
      <c r="Z296" s="2"/>
      <c r="AA296" s="3"/>
      <c r="AB296" s="4"/>
      <c r="AC296" s="2"/>
      <c r="AD296" s="3"/>
    </row>
    <row r="297" spans="1:30" ht="16.5" hidden="1" customHeight="1" x14ac:dyDescent="0.45">
      <c r="A297" s="6" t="s">
        <v>269</v>
      </c>
      <c r="B297" s="7">
        <v>0</v>
      </c>
      <c r="C297" s="8">
        <f>IFERROR(B297/B444, "NA")</f>
        <v>0</v>
      </c>
      <c r="D297" s="9"/>
      <c r="E297" s="7">
        <v>0</v>
      </c>
      <c r="F297" s="8">
        <f>IFERROR(E297/E444, "NA")</f>
        <v>0</v>
      </c>
      <c r="G297" s="9"/>
      <c r="H297" s="10">
        <f t="shared" ref="H297:H325" si="76">IFERROR(-(B297-E297), "NA")</f>
        <v>0</v>
      </c>
      <c r="I297" s="8">
        <f>IFERROR(H297/H444, "NA")</f>
        <v>0</v>
      </c>
      <c r="J297" s="9"/>
      <c r="K297" s="7">
        <v>0</v>
      </c>
      <c r="L297" s="8">
        <f>IFERROR(K297/K444, "NA")</f>
        <v>0</v>
      </c>
      <c r="M297" s="9"/>
      <c r="N297" s="10">
        <f t="shared" ref="N297:N325" si="77">IFERROR(-(B297-K297), "NA")</f>
        <v>0</v>
      </c>
      <c r="O297" s="8">
        <f>IFERROR(N297/N444, "NA")</f>
        <v>0</v>
      </c>
      <c r="P297" s="9"/>
      <c r="Q297" s="7">
        <v>0</v>
      </c>
      <c r="R297" s="8">
        <f>IFERROR(Q297/Q444, "NA")</f>
        <v>0</v>
      </c>
      <c r="S297" s="9"/>
      <c r="T297" s="7">
        <v>0</v>
      </c>
      <c r="U297" s="8">
        <f>IFERROR(T297/T444, "NA")</f>
        <v>0</v>
      </c>
      <c r="V297" s="9"/>
      <c r="W297" s="10">
        <f t="shared" ref="W297:W325" si="78">IFERROR(-(Q297-T297), "NA")</f>
        <v>0</v>
      </c>
      <c r="X297" s="8">
        <f>IFERROR(W297/W444, "NA")</f>
        <v>0</v>
      </c>
      <c r="Y297" s="9"/>
      <c r="Z297" s="7">
        <v>0</v>
      </c>
      <c r="AA297" s="8">
        <f>IFERROR(Z297/Z444, "NA")</f>
        <v>0</v>
      </c>
      <c r="AB297" s="9"/>
      <c r="AC297" s="10">
        <f t="shared" ref="AC297:AC325" si="79">IFERROR(-(Q297-Z297), "NA")</f>
        <v>0</v>
      </c>
      <c r="AD297" s="8">
        <f>IFERROR(AC297/AC444, "NA")</f>
        <v>0</v>
      </c>
    </row>
    <row r="298" spans="1:30" ht="16.5" hidden="1" customHeight="1" x14ac:dyDescent="0.45">
      <c r="A298" s="6" t="s">
        <v>270</v>
      </c>
      <c r="B298" s="7">
        <v>0</v>
      </c>
      <c r="C298" s="8">
        <f>IFERROR(B298/B444, "NA")</f>
        <v>0</v>
      </c>
      <c r="D298" s="9"/>
      <c r="E298" s="7">
        <v>0</v>
      </c>
      <c r="F298" s="8">
        <f>IFERROR(E298/E444, "NA")</f>
        <v>0</v>
      </c>
      <c r="G298" s="9"/>
      <c r="H298" s="10">
        <f t="shared" si="76"/>
        <v>0</v>
      </c>
      <c r="I298" s="8">
        <f>IFERROR(H298/H444, "NA")</f>
        <v>0</v>
      </c>
      <c r="J298" s="9"/>
      <c r="K298" s="7">
        <v>0</v>
      </c>
      <c r="L298" s="8">
        <f>IFERROR(K298/K444, "NA")</f>
        <v>0</v>
      </c>
      <c r="M298" s="9"/>
      <c r="N298" s="10">
        <f t="shared" si="77"/>
        <v>0</v>
      </c>
      <c r="O298" s="8">
        <f>IFERROR(N298/N444, "NA")</f>
        <v>0</v>
      </c>
      <c r="P298" s="9"/>
      <c r="Q298" s="7">
        <v>0</v>
      </c>
      <c r="R298" s="8">
        <f>IFERROR(Q298/Q444, "NA")</f>
        <v>0</v>
      </c>
      <c r="S298" s="9"/>
      <c r="T298" s="7">
        <v>0</v>
      </c>
      <c r="U298" s="8">
        <f>IFERROR(T298/T444, "NA")</f>
        <v>0</v>
      </c>
      <c r="V298" s="9"/>
      <c r="W298" s="10">
        <f t="shared" si="78"/>
        <v>0</v>
      </c>
      <c r="X298" s="8">
        <f>IFERROR(W298/W444, "NA")</f>
        <v>0</v>
      </c>
      <c r="Y298" s="9"/>
      <c r="Z298" s="7">
        <v>0</v>
      </c>
      <c r="AA298" s="8">
        <f>IFERROR(Z298/Z444, "NA")</f>
        <v>0</v>
      </c>
      <c r="AB298" s="9"/>
      <c r="AC298" s="10">
        <f t="shared" si="79"/>
        <v>0</v>
      </c>
      <c r="AD298" s="8">
        <f>IFERROR(AC298/AC444, "NA")</f>
        <v>0</v>
      </c>
    </row>
    <row r="299" spans="1:30" ht="16.5" customHeight="1" x14ac:dyDescent="0.45">
      <c r="A299" s="6" t="s">
        <v>271</v>
      </c>
      <c r="B299" s="7">
        <v>159</v>
      </c>
      <c r="C299" s="8">
        <f>IFERROR(B299/B444, "NA")</f>
        <v>2.1927601678909574E-3</v>
      </c>
      <c r="D299" s="9"/>
      <c r="E299" s="7">
        <v>159</v>
      </c>
      <c r="F299" s="8">
        <f>IFERROR(E299/E444, "NA")</f>
        <v>2.3315400027010668E-3</v>
      </c>
      <c r="G299" s="9"/>
      <c r="H299" s="10">
        <f t="shared" si="76"/>
        <v>0</v>
      </c>
      <c r="I299" s="8">
        <f>IFERROR(H299/H444, "NA")</f>
        <v>0</v>
      </c>
      <c r="J299" s="9"/>
      <c r="K299" s="7">
        <v>0</v>
      </c>
      <c r="L299" s="8">
        <f>IFERROR(K299/K444, "NA")</f>
        <v>0</v>
      </c>
      <c r="M299" s="9"/>
      <c r="N299" s="10">
        <f t="shared" si="77"/>
        <v>-159</v>
      </c>
      <c r="O299" s="8">
        <f>IFERROR(N299/N444, "NA")</f>
        <v>-2.3447972782654983E-2</v>
      </c>
      <c r="P299" s="9"/>
      <c r="Q299" s="7">
        <v>159</v>
      </c>
      <c r="R299" s="8">
        <f>IFERROR(Q299/Q444, "NA")</f>
        <v>2.1927601678909574E-3</v>
      </c>
      <c r="S299" s="9"/>
      <c r="T299" s="7">
        <v>159</v>
      </c>
      <c r="U299" s="8">
        <f>IFERROR(T299/T444, "NA")</f>
        <v>2.3315400027010668E-3</v>
      </c>
      <c r="V299" s="9"/>
      <c r="W299" s="10">
        <f t="shared" si="78"/>
        <v>0</v>
      </c>
      <c r="X299" s="8">
        <f>IFERROR(W299/W444, "NA")</f>
        <v>0</v>
      </c>
      <c r="Y299" s="9"/>
      <c r="Z299" s="7">
        <v>0</v>
      </c>
      <c r="AA299" s="8">
        <f>IFERROR(Z299/Z444, "NA")</f>
        <v>0</v>
      </c>
      <c r="AB299" s="9"/>
      <c r="AC299" s="10">
        <f t="shared" si="79"/>
        <v>-159</v>
      </c>
      <c r="AD299" s="8">
        <f>IFERROR(AC299/AC444, "NA")</f>
        <v>-2.3447972782654983E-2</v>
      </c>
    </row>
    <row r="300" spans="1:30" ht="16.5" hidden="1" customHeight="1" x14ac:dyDescent="0.45">
      <c r="A300" s="6" t="s">
        <v>272</v>
      </c>
      <c r="B300" s="7">
        <v>0</v>
      </c>
      <c r="C300" s="8">
        <f>IFERROR(B300/B444, "NA")</f>
        <v>0</v>
      </c>
      <c r="D300" s="9"/>
      <c r="E300" s="7">
        <v>0</v>
      </c>
      <c r="F300" s="8">
        <f>IFERROR(E300/E444, "NA")</f>
        <v>0</v>
      </c>
      <c r="G300" s="9"/>
      <c r="H300" s="10">
        <f t="shared" si="76"/>
        <v>0</v>
      </c>
      <c r="I300" s="8">
        <f>IFERROR(H300/H444, "NA")</f>
        <v>0</v>
      </c>
      <c r="J300" s="9"/>
      <c r="K300" s="7">
        <v>0</v>
      </c>
      <c r="L300" s="8">
        <f>IFERROR(K300/K444, "NA")</f>
        <v>0</v>
      </c>
      <c r="M300" s="9"/>
      <c r="N300" s="10">
        <f t="shared" si="77"/>
        <v>0</v>
      </c>
      <c r="O300" s="8">
        <f>IFERROR(N300/N444, "NA")</f>
        <v>0</v>
      </c>
      <c r="P300" s="9"/>
      <c r="Q300" s="7">
        <v>0</v>
      </c>
      <c r="R300" s="8">
        <f>IFERROR(Q300/Q444, "NA")</f>
        <v>0</v>
      </c>
      <c r="S300" s="9"/>
      <c r="T300" s="7">
        <v>0</v>
      </c>
      <c r="U300" s="8">
        <f>IFERROR(T300/T444, "NA")</f>
        <v>0</v>
      </c>
      <c r="V300" s="9"/>
      <c r="W300" s="10">
        <f t="shared" si="78"/>
        <v>0</v>
      </c>
      <c r="X300" s="8">
        <f>IFERROR(W300/W444, "NA")</f>
        <v>0</v>
      </c>
      <c r="Y300" s="9"/>
      <c r="Z300" s="7">
        <v>0</v>
      </c>
      <c r="AA300" s="8">
        <f>IFERROR(Z300/Z444, "NA")</f>
        <v>0</v>
      </c>
      <c r="AB300" s="9"/>
      <c r="AC300" s="10">
        <f t="shared" si="79"/>
        <v>0</v>
      </c>
      <c r="AD300" s="8">
        <f>IFERROR(AC300/AC444, "NA")</f>
        <v>0</v>
      </c>
    </row>
    <row r="301" spans="1:30" ht="16.5" hidden="1" customHeight="1" x14ac:dyDescent="0.45">
      <c r="A301" s="6" t="s">
        <v>273</v>
      </c>
      <c r="B301" s="7">
        <v>0</v>
      </c>
      <c r="C301" s="8">
        <f>IFERROR(B301/B444, "NA")</f>
        <v>0</v>
      </c>
      <c r="D301" s="9"/>
      <c r="E301" s="7">
        <v>0</v>
      </c>
      <c r="F301" s="8">
        <f>IFERROR(E301/E444, "NA")</f>
        <v>0</v>
      </c>
      <c r="G301" s="9"/>
      <c r="H301" s="10">
        <f t="shared" si="76"/>
        <v>0</v>
      </c>
      <c r="I301" s="8">
        <f>IFERROR(H301/H444, "NA")</f>
        <v>0</v>
      </c>
      <c r="J301" s="9"/>
      <c r="K301" s="7">
        <v>0</v>
      </c>
      <c r="L301" s="8">
        <f>IFERROR(K301/K444, "NA")</f>
        <v>0</v>
      </c>
      <c r="M301" s="9"/>
      <c r="N301" s="10">
        <f t="shared" si="77"/>
        <v>0</v>
      </c>
      <c r="O301" s="8">
        <f>IFERROR(N301/N444, "NA")</f>
        <v>0</v>
      </c>
      <c r="P301" s="9"/>
      <c r="Q301" s="7">
        <v>0</v>
      </c>
      <c r="R301" s="8">
        <f>IFERROR(Q301/Q444, "NA")</f>
        <v>0</v>
      </c>
      <c r="S301" s="9"/>
      <c r="T301" s="7">
        <v>0</v>
      </c>
      <c r="U301" s="8">
        <f>IFERROR(T301/T444, "NA")</f>
        <v>0</v>
      </c>
      <c r="V301" s="9"/>
      <c r="W301" s="10">
        <f t="shared" si="78"/>
        <v>0</v>
      </c>
      <c r="X301" s="8">
        <f>IFERROR(W301/W444, "NA")</f>
        <v>0</v>
      </c>
      <c r="Y301" s="9"/>
      <c r="Z301" s="7">
        <v>0</v>
      </c>
      <c r="AA301" s="8">
        <f>IFERROR(Z301/Z444, "NA")</f>
        <v>0</v>
      </c>
      <c r="AB301" s="9"/>
      <c r="AC301" s="10">
        <f t="shared" si="79"/>
        <v>0</v>
      </c>
      <c r="AD301" s="8">
        <f>IFERROR(AC301/AC444, "NA")</f>
        <v>0</v>
      </c>
    </row>
    <row r="302" spans="1:30" ht="16.5" hidden="1" customHeight="1" x14ac:dyDescent="0.45">
      <c r="A302" s="6" t="s">
        <v>274</v>
      </c>
      <c r="B302" s="7">
        <v>0</v>
      </c>
      <c r="C302" s="8">
        <f>IFERROR(B302/B444, "NA")</f>
        <v>0</v>
      </c>
      <c r="D302" s="9"/>
      <c r="E302" s="7">
        <v>0</v>
      </c>
      <c r="F302" s="8">
        <f>IFERROR(E302/E444, "NA")</f>
        <v>0</v>
      </c>
      <c r="G302" s="9"/>
      <c r="H302" s="10">
        <f t="shared" si="76"/>
        <v>0</v>
      </c>
      <c r="I302" s="8">
        <f>IFERROR(H302/H444, "NA")</f>
        <v>0</v>
      </c>
      <c r="J302" s="9"/>
      <c r="K302" s="7">
        <v>0</v>
      </c>
      <c r="L302" s="8">
        <f>IFERROR(K302/K444, "NA")</f>
        <v>0</v>
      </c>
      <c r="M302" s="9"/>
      <c r="N302" s="10">
        <f t="shared" si="77"/>
        <v>0</v>
      </c>
      <c r="O302" s="8">
        <f>IFERROR(N302/N444, "NA")</f>
        <v>0</v>
      </c>
      <c r="P302" s="9"/>
      <c r="Q302" s="7">
        <v>0</v>
      </c>
      <c r="R302" s="8">
        <f>IFERROR(Q302/Q444, "NA")</f>
        <v>0</v>
      </c>
      <c r="S302" s="9"/>
      <c r="T302" s="7">
        <v>0</v>
      </c>
      <c r="U302" s="8">
        <f>IFERROR(T302/T444, "NA")</f>
        <v>0</v>
      </c>
      <c r="V302" s="9"/>
      <c r="W302" s="10">
        <f t="shared" si="78"/>
        <v>0</v>
      </c>
      <c r="X302" s="8">
        <f>IFERROR(W302/W444, "NA")</f>
        <v>0</v>
      </c>
      <c r="Y302" s="9"/>
      <c r="Z302" s="7">
        <v>0</v>
      </c>
      <c r="AA302" s="8">
        <f>IFERROR(Z302/Z444, "NA")</f>
        <v>0</v>
      </c>
      <c r="AB302" s="9"/>
      <c r="AC302" s="10">
        <f t="shared" si="79"/>
        <v>0</v>
      </c>
      <c r="AD302" s="8">
        <f>IFERROR(AC302/AC444, "NA")</f>
        <v>0</v>
      </c>
    </row>
    <row r="303" spans="1:30" ht="16.5" hidden="1" customHeight="1" x14ac:dyDescent="0.45">
      <c r="A303" s="6" t="s">
        <v>275</v>
      </c>
      <c r="B303" s="7">
        <v>0</v>
      </c>
      <c r="C303" s="8">
        <f>IFERROR(B303/B444, "NA")</f>
        <v>0</v>
      </c>
      <c r="D303" s="9"/>
      <c r="E303" s="7">
        <v>0</v>
      </c>
      <c r="F303" s="8">
        <f>IFERROR(E303/E444, "NA")</f>
        <v>0</v>
      </c>
      <c r="G303" s="9"/>
      <c r="H303" s="10">
        <f t="shared" si="76"/>
        <v>0</v>
      </c>
      <c r="I303" s="8">
        <f>IFERROR(H303/H444, "NA")</f>
        <v>0</v>
      </c>
      <c r="J303" s="9"/>
      <c r="K303" s="7">
        <v>0</v>
      </c>
      <c r="L303" s="8">
        <f>IFERROR(K303/K444, "NA")</f>
        <v>0</v>
      </c>
      <c r="M303" s="9"/>
      <c r="N303" s="10">
        <f t="shared" si="77"/>
        <v>0</v>
      </c>
      <c r="O303" s="8">
        <f>IFERROR(N303/N444, "NA")</f>
        <v>0</v>
      </c>
      <c r="P303" s="9"/>
      <c r="Q303" s="7">
        <v>0</v>
      </c>
      <c r="R303" s="8">
        <f>IFERROR(Q303/Q444, "NA")</f>
        <v>0</v>
      </c>
      <c r="S303" s="9"/>
      <c r="T303" s="7">
        <v>0</v>
      </c>
      <c r="U303" s="8">
        <f>IFERROR(T303/T444, "NA")</f>
        <v>0</v>
      </c>
      <c r="V303" s="9"/>
      <c r="W303" s="10">
        <f t="shared" si="78"/>
        <v>0</v>
      </c>
      <c r="X303" s="8">
        <f>IFERROR(W303/W444, "NA")</f>
        <v>0</v>
      </c>
      <c r="Y303" s="9"/>
      <c r="Z303" s="7">
        <v>0</v>
      </c>
      <c r="AA303" s="8">
        <f>IFERROR(Z303/Z444, "NA")</f>
        <v>0</v>
      </c>
      <c r="AB303" s="9"/>
      <c r="AC303" s="10">
        <f t="shared" si="79"/>
        <v>0</v>
      </c>
      <c r="AD303" s="8">
        <f>IFERROR(AC303/AC444, "NA")</f>
        <v>0</v>
      </c>
    </row>
    <row r="304" spans="1:30" ht="16.5" hidden="1" customHeight="1" x14ac:dyDescent="0.45">
      <c r="A304" s="6" t="s">
        <v>276</v>
      </c>
      <c r="B304" s="7">
        <v>0</v>
      </c>
      <c r="C304" s="8">
        <f>IFERROR(B304/B444, "NA")</f>
        <v>0</v>
      </c>
      <c r="D304" s="9"/>
      <c r="E304" s="7">
        <v>0</v>
      </c>
      <c r="F304" s="8">
        <f>IFERROR(E304/E444, "NA")</f>
        <v>0</v>
      </c>
      <c r="G304" s="9"/>
      <c r="H304" s="10">
        <f t="shared" si="76"/>
        <v>0</v>
      </c>
      <c r="I304" s="8">
        <f>IFERROR(H304/H444, "NA")</f>
        <v>0</v>
      </c>
      <c r="J304" s="9"/>
      <c r="K304" s="7">
        <v>0</v>
      </c>
      <c r="L304" s="8">
        <f>IFERROR(K304/K444, "NA")</f>
        <v>0</v>
      </c>
      <c r="M304" s="9"/>
      <c r="N304" s="10">
        <f t="shared" si="77"/>
        <v>0</v>
      </c>
      <c r="O304" s="8">
        <f>IFERROR(N304/N444, "NA")</f>
        <v>0</v>
      </c>
      <c r="P304" s="9"/>
      <c r="Q304" s="7">
        <v>0</v>
      </c>
      <c r="R304" s="8">
        <f>IFERROR(Q304/Q444, "NA")</f>
        <v>0</v>
      </c>
      <c r="S304" s="9"/>
      <c r="T304" s="7">
        <v>0</v>
      </c>
      <c r="U304" s="8">
        <f>IFERROR(T304/T444, "NA")</f>
        <v>0</v>
      </c>
      <c r="V304" s="9"/>
      <c r="W304" s="10">
        <f t="shared" si="78"/>
        <v>0</v>
      </c>
      <c r="X304" s="8">
        <f>IFERROR(W304/W444, "NA")</f>
        <v>0</v>
      </c>
      <c r="Y304" s="9"/>
      <c r="Z304" s="7">
        <v>0</v>
      </c>
      <c r="AA304" s="8">
        <f>IFERROR(Z304/Z444, "NA")</f>
        <v>0</v>
      </c>
      <c r="AB304" s="9"/>
      <c r="AC304" s="10">
        <f t="shared" si="79"/>
        <v>0</v>
      </c>
      <c r="AD304" s="8">
        <f>IFERROR(AC304/AC444, "NA")</f>
        <v>0</v>
      </c>
    </row>
    <row r="305" spans="1:30" ht="16.5" hidden="1" customHeight="1" x14ac:dyDescent="0.45">
      <c r="A305" s="6" t="s">
        <v>277</v>
      </c>
      <c r="B305" s="7">
        <v>0</v>
      </c>
      <c r="C305" s="8">
        <f>IFERROR(B305/B444, "NA")</f>
        <v>0</v>
      </c>
      <c r="D305" s="9"/>
      <c r="E305" s="7">
        <v>0</v>
      </c>
      <c r="F305" s="8">
        <f>IFERROR(E305/E444, "NA")</f>
        <v>0</v>
      </c>
      <c r="G305" s="9"/>
      <c r="H305" s="10">
        <f t="shared" si="76"/>
        <v>0</v>
      </c>
      <c r="I305" s="8">
        <f>IFERROR(H305/H444, "NA")</f>
        <v>0</v>
      </c>
      <c r="J305" s="9"/>
      <c r="K305" s="7">
        <v>0</v>
      </c>
      <c r="L305" s="8">
        <f>IFERROR(K305/K444, "NA")</f>
        <v>0</v>
      </c>
      <c r="M305" s="9"/>
      <c r="N305" s="10">
        <f t="shared" si="77"/>
        <v>0</v>
      </c>
      <c r="O305" s="8">
        <f>IFERROR(N305/N444, "NA")</f>
        <v>0</v>
      </c>
      <c r="P305" s="9"/>
      <c r="Q305" s="7">
        <v>0</v>
      </c>
      <c r="R305" s="8">
        <f>IFERROR(Q305/Q444, "NA")</f>
        <v>0</v>
      </c>
      <c r="S305" s="9"/>
      <c r="T305" s="7">
        <v>0</v>
      </c>
      <c r="U305" s="8">
        <f>IFERROR(T305/T444, "NA")</f>
        <v>0</v>
      </c>
      <c r="V305" s="9"/>
      <c r="W305" s="10">
        <f t="shared" si="78"/>
        <v>0</v>
      </c>
      <c r="X305" s="8">
        <f>IFERROR(W305/W444, "NA")</f>
        <v>0</v>
      </c>
      <c r="Y305" s="9"/>
      <c r="Z305" s="7">
        <v>0</v>
      </c>
      <c r="AA305" s="8">
        <f>IFERROR(Z305/Z444, "NA")</f>
        <v>0</v>
      </c>
      <c r="AB305" s="9"/>
      <c r="AC305" s="10">
        <f t="shared" si="79"/>
        <v>0</v>
      </c>
      <c r="AD305" s="8">
        <f>IFERROR(AC305/AC444, "NA")</f>
        <v>0</v>
      </c>
    </row>
    <row r="306" spans="1:30" ht="16.5" hidden="1" customHeight="1" x14ac:dyDescent="0.45">
      <c r="A306" s="6" t="s">
        <v>278</v>
      </c>
      <c r="B306" s="7">
        <v>0</v>
      </c>
      <c r="C306" s="8">
        <f>IFERROR(B306/B444, "NA")</f>
        <v>0</v>
      </c>
      <c r="D306" s="9"/>
      <c r="E306" s="7">
        <v>0</v>
      </c>
      <c r="F306" s="8">
        <f>IFERROR(E306/E444, "NA")</f>
        <v>0</v>
      </c>
      <c r="G306" s="9"/>
      <c r="H306" s="10">
        <f t="shared" si="76"/>
        <v>0</v>
      </c>
      <c r="I306" s="8">
        <f>IFERROR(H306/H444, "NA")</f>
        <v>0</v>
      </c>
      <c r="J306" s="9"/>
      <c r="K306" s="7">
        <v>0</v>
      </c>
      <c r="L306" s="8">
        <f>IFERROR(K306/K444, "NA")</f>
        <v>0</v>
      </c>
      <c r="M306" s="9"/>
      <c r="N306" s="10">
        <f t="shared" si="77"/>
        <v>0</v>
      </c>
      <c r="O306" s="8">
        <f>IFERROR(N306/N444, "NA")</f>
        <v>0</v>
      </c>
      <c r="P306" s="9"/>
      <c r="Q306" s="7">
        <v>0</v>
      </c>
      <c r="R306" s="8">
        <f>IFERROR(Q306/Q444, "NA")</f>
        <v>0</v>
      </c>
      <c r="S306" s="9"/>
      <c r="T306" s="7">
        <v>0</v>
      </c>
      <c r="U306" s="8">
        <f>IFERROR(T306/T444, "NA")</f>
        <v>0</v>
      </c>
      <c r="V306" s="9"/>
      <c r="W306" s="10">
        <f t="shared" si="78"/>
        <v>0</v>
      </c>
      <c r="X306" s="8">
        <f>IFERROR(W306/W444, "NA")</f>
        <v>0</v>
      </c>
      <c r="Y306" s="9"/>
      <c r="Z306" s="7">
        <v>0</v>
      </c>
      <c r="AA306" s="8">
        <f>IFERROR(Z306/Z444, "NA")</f>
        <v>0</v>
      </c>
      <c r="AB306" s="9"/>
      <c r="AC306" s="10">
        <f t="shared" si="79"/>
        <v>0</v>
      </c>
      <c r="AD306" s="8">
        <f>IFERROR(AC306/AC444, "NA")</f>
        <v>0</v>
      </c>
    </row>
    <row r="307" spans="1:30" ht="16.5" hidden="1" customHeight="1" x14ac:dyDescent="0.45">
      <c r="A307" s="6" t="s">
        <v>279</v>
      </c>
      <c r="B307" s="7">
        <v>0</v>
      </c>
      <c r="C307" s="8">
        <f>IFERROR(B307/B444, "NA")</f>
        <v>0</v>
      </c>
      <c r="D307" s="9"/>
      <c r="E307" s="7">
        <v>0</v>
      </c>
      <c r="F307" s="8">
        <f>IFERROR(E307/E444, "NA")</f>
        <v>0</v>
      </c>
      <c r="G307" s="9"/>
      <c r="H307" s="10">
        <f t="shared" si="76"/>
        <v>0</v>
      </c>
      <c r="I307" s="8">
        <f>IFERROR(H307/H444, "NA")</f>
        <v>0</v>
      </c>
      <c r="J307" s="9"/>
      <c r="K307" s="7">
        <v>0</v>
      </c>
      <c r="L307" s="8">
        <f>IFERROR(K307/K444, "NA")</f>
        <v>0</v>
      </c>
      <c r="M307" s="9"/>
      <c r="N307" s="10">
        <f t="shared" si="77"/>
        <v>0</v>
      </c>
      <c r="O307" s="8">
        <f>IFERROR(N307/N444, "NA")</f>
        <v>0</v>
      </c>
      <c r="P307" s="9"/>
      <c r="Q307" s="7">
        <v>0</v>
      </c>
      <c r="R307" s="8">
        <f>IFERROR(Q307/Q444, "NA")</f>
        <v>0</v>
      </c>
      <c r="S307" s="9"/>
      <c r="T307" s="7">
        <v>0</v>
      </c>
      <c r="U307" s="8">
        <f>IFERROR(T307/T444, "NA")</f>
        <v>0</v>
      </c>
      <c r="V307" s="9"/>
      <c r="W307" s="10">
        <f t="shared" si="78"/>
        <v>0</v>
      </c>
      <c r="X307" s="8">
        <f>IFERROR(W307/W444, "NA")</f>
        <v>0</v>
      </c>
      <c r="Y307" s="9"/>
      <c r="Z307" s="7">
        <v>0</v>
      </c>
      <c r="AA307" s="8">
        <f>IFERROR(Z307/Z444, "NA")</f>
        <v>0</v>
      </c>
      <c r="AB307" s="9"/>
      <c r="AC307" s="10">
        <f t="shared" si="79"/>
        <v>0</v>
      </c>
      <c r="AD307" s="8">
        <f>IFERROR(AC307/AC444, "NA")</f>
        <v>0</v>
      </c>
    </row>
    <row r="308" spans="1:30" ht="16.5" hidden="1" customHeight="1" x14ac:dyDescent="0.45">
      <c r="A308" s="6" t="s">
        <v>280</v>
      </c>
      <c r="B308" s="7">
        <v>0</v>
      </c>
      <c r="C308" s="8">
        <f>IFERROR(B308/B444, "NA")</f>
        <v>0</v>
      </c>
      <c r="D308" s="9"/>
      <c r="E308" s="7">
        <v>0</v>
      </c>
      <c r="F308" s="8">
        <f>IFERROR(E308/E444, "NA")</f>
        <v>0</v>
      </c>
      <c r="G308" s="9"/>
      <c r="H308" s="10">
        <f t="shared" si="76"/>
        <v>0</v>
      </c>
      <c r="I308" s="8">
        <f>IFERROR(H308/H444, "NA")</f>
        <v>0</v>
      </c>
      <c r="J308" s="9"/>
      <c r="K308" s="7">
        <v>0</v>
      </c>
      <c r="L308" s="8">
        <f>IFERROR(K308/K444, "NA")</f>
        <v>0</v>
      </c>
      <c r="M308" s="9"/>
      <c r="N308" s="10">
        <f t="shared" si="77"/>
        <v>0</v>
      </c>
      <c r="O308" s="8">
        <f>IFERROR(N308/N444, "NA")</f>
        <v>0</v>
      </c>
      <c r="P308" s="9"/>
      <c r="Q308" s="7">
        <v>0</v>
      </c>
      <c r="R308" s="8">
        <f>IFERROR(Q308/Q444, "NA")</f>
        <v>0</v>
      </c>
      <c r="S308" s="9"/>
      <c r="T308" s="7">
        <v>0</v>
      </c>
      <c r="U308" s="8">
        <f>IFERROR(T308/T444, "NA")</f>
        <v>0</v>
      </c>
      <c r="V308" s="9"/>
      <c r="W308" s="10">
        <f t="shared" si="78"/>
        <v>0</v>
      </c>
      <c r="X308" s="8">
        <f>IFERROR(W308/W444, "NA")</f>
        <v>0</v>
      </c>
      <c r="Y308" s="9"/>
      <c r="Z308" s="7">
        <v>0</v>
      </c>
      <c r="AA308" s="8">
        <f>IFERROR(Z308/Z444, "NA")</f>
        <v>0</v>
      </c>
      <c r="AB308" s="9"/>
      <c r="AC308" s="10">
        <f t="shared" si="79"/>
        <v>0</v>
      </c>
      <c r="AD308" s="8">
        <f>IFERROR(AC308/AC444, "NA")</f>
        <v>0</v>
      </c>
    </row>
    <row r="309" spans="1:30" ht="16.5" hidden="1" customHeight="1" x14ac:dyDescent="0.45">
      <c r="A309" s="6" t="s">
        <v>281</v>
      </c>
      <c r="B309" s="7">
        <v>0</v>
      </c>
      <c r="C309" s="8">
        <f>IFERROR(B309/B444, "NA")</f>
        <v>0</v>
      </c>
      <c r="D309" s="9"/>
      <c r="E309" s="7">
        <v>0</v>
      </c>
      <c r="F309" s="8">
        <f>IFERROR(E309/E444, "NA")</f>
        <v>0</v>
      </c>
      <c r="G309" s="9"/>
      <c r="H309" s="10">
        <f t="shared" si="76"/>
        <v>0</v>
      </c>
      <c r="I309" s="8">
        <f>IFERROR(H309/H444, "NA")</f>
        <v>0</v>
      </c>
      <c r="J309" s="9"/>
      <c r="K309" s="7">
        <v>0</v>
      </c>
      <c r="L309" s="8">
        <f>IFERROR(K309/K444, "NA")</f>
        <v>0</v>
      </c>
      <c r="M309" s="9"/>
      <c r="N309" s="10">
        <f t="shared" si="77"/>
        <v>0</v>
      </c>
      <c r="O309" s="8">
        <f>IFERROR(N309/N444, "NA")</f>
        <v>0</v>
      </c>
      <c r="P309" s="9"/>
      <c r="Q309" s="7">
        <v>0</v>
      </c>
      <c r="R309" s="8">
        <f>IFERROR(Q309/Q444, "NA")</f>
        <v>0</v>
      </c>
      <c r="S309" s="9"/>
      <c r="T309" s="7">
        <v>0</v>
      </c>
      <c r="U309" s="8">
        <f>IFERROR(T309/T444, "NA")</f>
        <v>0</v>
      </c>
      <c r="V309" s="9"/>
      <c r="W309" s="10">
        <f t="shared" si="78"/>
        <v>0</v>
      </c>
      <c r="X309" s="8">
        <f>IFERROR(W309/W444, "NA")</f>
        <v>0</v>
      </c>
      <c r="Y309" s="9"/>
      <c r="Z309" s="7">
        <v>0</v>
      </c>
      <c r="AA309" s="8">
        <f>IFERROR(Z309/Z444, "NA")</f>
        <v>0</v>
      </c>
      <c r="AB309" s="9"/>
      <c r="AC309" s="10">
        <f t="shared" si="79"/>
        <v>0</v>
      </c>
      <c r="AD309" s="8">
        <f>IFERROR(AC309/AC444, "NA")</f>
        <v>0</v>
      </c>
    </row>
    <row r="310" spans="1:30" ht="16.5" customHeight="1" x14ac:dyDescent="0.45">
      <c r="A310" s="6" t="s">
        <v>282</v>
      </c>
      <c r="B310" s="7">
        <v>128.94</v>
      </c>
      <c r="C310" s="8">
        <f>IFERROR(B310/B444, "NA")</f>
        <v>1.7782043776594972E-3</v>
      </c>
      <c r="D310" s="9"/>
      <c r="E310" s="7">
        <v>55</v>
      </c>
      <c r="F310" s="8">
        <f>IFERROR(E310/E444, "NA")</f>
        <v>8.0650754810414262E-4</v>
      </c>
      <c r="G310" s="9"/>
      <c r="H310" s="10">
        <f t="shared" si="76"/>
        <v>-73.94</v>
      </c>
      <c r="I310" s="8">
        <f>IFERROR(H310/H444, "NA")</f>
        <v>-1.7131285796370774E-2</v>
      </c>
      <c r="J310" s="9"/>
      <c r="K310" s="7">
        <v>0</v>
      </c>
      <c r="L310" s="8">
        <f>IFERROR(K310/K444, "NA")</f>
        <v>0</v>
      </c>
      <c r="M310" s="9"/>
      <c r="N310" s="10">
        <f t="shared" si="77"/>
        <v>-128.94</v>
      </c>
      <c r="O310" s="8">
        <f>IFERROR(N310/N444, "NA")</f>
        <v>-1.9014978682990777E-2</v>
      </c>
      <c r="P310" s="9"/>
      <c r="Q310" s="7">
        <v>128.94</v>
      </c>
      <c r="R310" s="8">
        <f>IFERROR(Q310/Q444, "NA")</f>
        <v>1.7782043776594972E-3</v>
      </c>
      <c r="S310" s="9"/>
      <c r="T310" s="7">
        <v>55</v>
      </c>
      <c r="U310" s="8">
        <f>IFERROR(T310/T444, "NA")</f>
        <v>8.0650754810414262E-4</v>
      </c>
      <c r="V310" s="9"/>
      <c r="W310" s="10">
        <f t="shared" si="78"/>
        <v>-73.94</v>
      </c>
      <c r="X310" s="8">
        <f>IFERROR(W310/W444, "NA")</f>
        <v>-1.7131285796370774E-2</v>
      </c>
      <c r="Y310" s="9"/>
      <c r="Z310" s="7">
        <v>0</v>
      </c>
      <c r="AA310" s="8">
        <f>IFERROR(Z310/Z444, "NA")</f>
        <v>0</v>
      </c>
      <c r="AB310" s="9"/>
      <c r="AC310" s="10">
        <f t="shared" si="79"/>
        <v>-128.94</v>
      </c>
      <c r="AD310" s="8">
        <f>IFERROR(AC310/AC444, "NA")</f>
        <v>-1.9014978682990777E-2</v>
      </c>
    </row>
    <row r="311" spans="1:30" ht="16.5" hidden="1" customHeight="1" x14ac:dyDescent="0.45">
      <c r="A311" s="6" t="s">
        <v>283</v>
      </c>
      <c r="B311" s="7">
        <v>0</v>
      </c>
      <c r="C311" s="8">
        <f>IFERROR(B311/B444, "NA")</f>
        <v>0</v>
      </c>
      <c r="D311" s="9"/>
      <c r="E311" s="7">
        <v>0</v>
      </c>
      <c r="F311" s="8">
        <f>IFERROR(E311/E444, "NA")</f>
        <v>0</v>
      </c>
      <c r="G311" s="9"/>
      <c r="H311" s="10">
        <f t="shared" si="76"/>
        <v>0</v>
      </c>
      <c r="I311" s="8">
        <f>IFERROR(H311/H444, "NA")</f>
        <v>0</v>
      </c>
      <c r="J311" s="9"/>
      <c r="K311" s="7">
        <v>0</v>
      </c>
      <c r="L311" s="8">
        <f>IFERROR(K311/K444, "NA")</f>
        <v>0</v>
      </c>
      <c r="M311" s="9"/>
      <c r="N311" s="10">
        <f t="shared" si="77"/>
        <v>0</v>
      </c>
      <c r="O311" s="8">
        <f>IFERROR(N311/N444, "NA")</f>
        <v>0</v>
      </c>
      <c r="P311" s="9"/>
      <c r="Q311" s="7">
        <v>0</v>
      </c>
      <c r="R311" s="8">
        <f>IFERROR(Q311/Q444, "NA")</f>
        <v>0</v>
      </c>
      <c r="S311" s="9"/>
      <c r="T311" s="7">
        <v>0</v>
      </c>
      <c r="U311" s="8">
        <f>IFERROR(T311/T444, "NA")</f>
        <v>0</v>
      </c>
      <c r="V311" s="9"/>
      <c r="W311" s="10">
        <f t="shared" si="78"/>
        <v>0</v>
      </c>
      <c r="X311" s="8">
        <f>IFERROR(W311/W444, "NA")</f>
        <v>0</v>
      </c>
      <c r="Y311" s="9"/>
      <c r="Z311" s="7">
        <v>0</v>
      </c>
      <c r="AA311" s="8">
        <f>IFERROR(Z311/Z444, "NA")</f>
        <v>0</v>
      </c>
      <c r="AB311" s="9"/>
      <c r="AC311" s="10">
        <f t="shared" si="79"/>
        <v>0</v>
      </c>
      <c r="AD311" s="8">
        <f>IFERROR(AC311/AC444, "NA")</f>
        <v>0</v>
      </c>
    </row>
    <row r="312" spans="1:30" ht="16.5" customHeight="1" x14ac:dyDescent="0.45">
      <c r="A312" s="6" t="s">
        <v>284</v>
      </c>
      <c r="B312" s="7">
        <v>21</v>
      </c>
      <c r="C312" s="8">
        <f>IFERROR(B312/B444, "NA")</f>
        <v>2.8960983349503213E-4</v>
      </c>
      <c r="D312" s="9"/>
      <c r="E312" s="7">
        <v>35</v>
      </c>
      <c r="F312" s="8">
        <f>IFERROR(E312/E444, "NA")</f>
        <v>5.1323207606627261E-4</v>
      </c>
      <c r="G312" s="9"/>
      <c r="H312" s="10">
        <f t="shared" si="76"/>
        <v>14</v>
      </c>
      <c r="I312" s="8">
        <f>IFERROR(H312/H444, "NA")</f>
        <v>3.2436840837055834E-3</v>
      </c>
      <c r="J312" s="9"/>
      <c r="K312" s="7">
        <v>0</v>
      </c>
      <c r="L312" s="8">
        <f>IFERROR(K312/K444, "NA")</f>
        <v>0</v>
      </c>
      <c r="M312" s="9"/>
      <c r="N312" s="10">
        <f t="shared" si="77"/>
        <v>-21</v>
      </c>
      <c r="O312" s="8">
        <f>IFERROR(N312/N444, "NA")</f>
        <v>-3.0969020656336772E-3</v>
      </c>
      <c r="P312" s="9"/>
      <c r="Q312" s="7">
        <v>21</v>
      </c>
      <c r="R312" s="8">
        <f>IFERROR(Q312/Q444, "NA")</f>
        <v>2.8960983349503213E-4</v>
      </c>
      <c r="S312" s="9"/>
      <c r="T312" s="7">
        <v>35</v>
      </c>
      <c r="U312" s="8">
        <f>IFERROR(T312/T444, "NA")</f>
        <v>5.1323207606627261E-4</v>
      </c>
      <c r="V312" s="9"/>
      <c r="W312" s="10">
        <f t="shared" si="78"/>
        <v>14</v>
      </c>
      <c r="X312" s="8">
        <f>IFERROR(W312/W444, "NA")</f>
        <v>3.2436840837055834E-3</v>
      </c>
      <c r="Y312" s="9"/>
      <c r="Z312" s="7">
        <v>0</v>
      </c>
      <c r="AA312" s="8">
        <f>IFERROR(Z312/Z444, "NA")</f>
        <v>0</v>
      </c>
      <c r="AB312" s="9"/>
      <c r="AC312" s="10">
        <f t="shared" si="79"/>
        <v>-21</v>
      </c>
      <c r="AD312" s="8">
        <f>IFERROR(AC312/AC444, "NA")</f>
        <v>-3.0969020656336772E-3</v>
      </c>
    </row>
    <row r="313" spans="1:30" ht="16.5" customHeight="1" x14ac:dyDescent="0.45">
      <c r="A313" s="6" t="s">
        <v>285</v>
      </c>
      <c r="B313" s="7">
        <v>0</v>
      </c>
      <c r="C313" s="8">
        <f>IFERROR(B313/B444, "NA")</f>
        <v>0</v>
      </c>
      <c r="D313" s="9"/>
      <c r="E313" s="7">
        <v>15</v>
      </c>
      <c r="F313" s="8">
        <f>IFERROR(E313/E444, "NA")</f>
        <v>2.1995660402840254E-4</v>
      </c>
      <c r="G313" s="9"/>
      <c r="H313" s="10">
        <f t="shared" si="76"/>
        <v>15</v>
      </c>
      <c r="I313" s="8">
        <f>IFERROR(H313/H444, "NA")</f>
        <v>3.4753758039702681E-3</v>
      </c>
      <c r="J313" s="9"/>
      <c r="K313" s="7">
        <v>0</v>
      </c>
      <c r="L313" s="8">
        <f>IFERROR(K313/K444, "NA")</f>
        <v>0</v>
      </c>
      <c r="M313" s="9"/>
      <c r="N313" s="10">
        <f t="shared" si="77"/>
        <v>0</v>
      </c>
      <c r="O313" s="8">
        <f>IFERROR(N313/N444, "NA")</f>
        <v>0</v>
      </c>
      <c r="P313" s="9"/>
      <c r="Q313" s="7">
        <v>0</v>
      </c>
      <c r="R313" s="8">
        <f>IFERROR(Q313/Q444, "NA")</f>
        <v>0</v>
      </c>
      <c r="S313" s="9"/>
      <c r="T313" s="7">
        <v>15</v>
      </c>
      <c r="U313" s="8">
        <f>IFERROR(T313/T444, "NA")</f>
        <v>2.1995660402840254E-4</v>
      </c>
      <c r="V313" s="9"/>
      <c r="W313" s="10">
        <f t="shared" si="78"/>
        <v>15</v>
      </c>
      <c r="X313" s="8">
        <f>IFERROR(W313/W444, "NA")</f>
        <v>3.4753758039702681E-3</v>
      </c>
      <c r="Y313" s="9"/>
      <c r="Z313" s="7">
        <v>0</v>
      </c>
      <c r="AA313" s="8">
        <f>IFERROR(Z313/Z444, "NA")</f>
        <v>0</v>
      </c>
      <c r="AB313" s="9"/>
      <c r="AC313" s="10">
        <f t="shared" si="79"/>
        <v>0</v>
      </c>
      <c r="AD313" s="8">
        <f>IFERROR(AC313/AC444, "NA")</f>
        <v>0</v>
      </c>
    </row>
    <row r="314" spans="1:30" ht="16.5" hidden="1" customHeight="1" x14ac:dyDescent="0.45">
      <c r="A314" s="6" t="s">
        <v>286</v>
      </c>
      <c r="B314" s="7">
        <v>0</v>
      </c>
      <c r="C314" s="8">
        <f>IFERROR(B314/B444, "NA")</f>
        <v>0</v>
      </c>
      <c r="D314" s="9"/>
      <c r="E314" s="7">
        <v>0</v>
      </c>
      <c r="F314" s="8">
        <f>IFERROR(E314/E444, "NA")</f>
        <v>0</v>
      </c>
      <c r="G314" s="9"/>
      <c r="H314" s="10">
        <f t="shared" si="76"/>
        <v>0</v>
      </c>
      <c r="I314" s="8">
        <f>IFERROR(H314/H444, "NA")</f>
        <v>0</v>
      </c>
      <c r="J314" s="9"/>
      <c r="K314" s="7">
        <v>0</v>
      </c>
      <c r="L314" s="8">
        <f>IFERROR(K314/K444, "NA")</f>
        <v>0</v>
      </c>
      <c r="M314" s="9"/>
      <c r="N314" s="10">
        <f t="shared" si="77"/>
        <v>0</v>
      </c>
      <c r="O314" s="8">
        <f>IFERROR(N314/N444, "NA")</f>
        <v>0</v>
      </c>
      <c r="P314" s="9"/>
      <c r="Q314" s="7">
        <v>0</v>
      </c>
      <c r="R314" s="8">
        <f>IFERROR(Q314/Q444, "NA")</f>
        <v>0</v>
      </c>
      <c r="S314" s="9"/>
      <c r="T314" s="7">
        <v>0</v>
      </c>
      <c r="U314" s="8">
        <f>IFERROR(T314/T444, "NA")</f>
        <v>0</v>
      </c>
      <c r="V314" s="9"/>
      <c r="W314" s="10">
        <f t="shared" si="78"/>
        <v>0</v>
      </c>
      <c r="X314" s="8">
        <f>IFERROR(W314/W444, "NA")</f>
        <v>0</v>
      </c>
      <c r="Y314" s="9"/>
      <c r="Z314" s="7">
        <v>0</v>
      </c>
      <c r="AA314" s="8">
        <f>IFERROR(Z314/Z444, "NA")</f>
        <v>0</v>
      </c>
      <c r="AB314" s="9"/>
      <c r="AC314" s="10">
        <f t="shared" si="79"/>
        <v>0</v>
      </c>
      <c r="AD314" s="8">
        <f>IFERROR(AC314/AC444, "NA")</f>
        <v>0</v>
      </c>
    </row>
    <row r="315" spans="1:30" ht="16.5" customHeight="1" x14ac:dyDescent="0.45">
      <c r="A315" s="6" t="s">
        <v>287</v>
      </c>
      <c r="B315" s="7">
        <v>408.07</v>
      </c>
      <c r="C315" s="8">
        <f>IFERROR(B315/B444, "NA")</f>
        <v>5.6276707025865597E-3</v>
      </c>
      <c r="D315" s="9"/>
      <c r="E315" s="7">
        <v>272.77999999999997</v>
      </c>
      <c r="F315" s="8">
        <f>IFERROR(E315/E444, "NA")</f>
        <v>3.9999841631245094E-3</v>
      </c>
      <c r="G315" s="9"/>
      <c r="H315" s="10">
        <f t="shared" si="76"/>
        <v>-135.29000000000002</v>
      </c>
      <c r="I315" s="8">
        <f>IFERROR(H315/H444, "NA")</f>
        <v>-3.1345572834609176E-2</v>
      </c>
      <c r="J315" s="9"/>
      <c r="K315" s="7">
        <v>455.52</v>
      </c>
      <c r="L315" s="8">
        <f>IFERROR(K315/K444, "NA")</f>
        <v>6.9301288080184532E-3</v>
      </c>
      <c r="M315" s="9"/>
      <c r="N315" s="10">
        <f t="shared" si="77"/>
        <v>47.449999999999989</v>
      </c>
      <c r="O315" s="8">
        <f>IFERROR(N315/N444, "NA")</f>
        <v>6.9975239530627592E-3</v>
      </c>
      <c r="P315" s="9"/>
      <c r="Q315" s="7">
        <v>408.07</v>
      </c>
      <c r="R315" s="8">
        <f>IFERROR(Q315/Q444, "NA")</f>
        <v>5.6276707025865597E-3</v>
      </c>
      <c r="S315" s="9"/>
      <c r="T315" s="7">
        <v>272.77999999999997</v>
      </c>
      <c r="U315" s="8">
        <f>IFERROR(T315/T444, "NA")</f>
        <v>3.9999841631245094E-3</v>
      </c>
      <c r="V315" s="9"/>
      <c r="W315" s="10">
        <f t="shared" si="78"/>
        <v>-135.29000000000002</v>
      </c>
      <c r="X315" s="8">
        <f>IFERROR(W315/W444, "NA")</f>
        <v>-3.1345572834609176E-2</v>
      </c>
      <c r="Y315" s="9"/>
      <c r="Z315" s="7">
        <v>455.52</v>
      </c>
      <c r="AA315" s="8">
        <f>IFERROR(Z315/Z444, "NA")</f>
        <v>6.9301288080184532E-3</v>
      </c>
      <c r="AB315" s="9"/>
      <c r="AC315" s="10">
        <f t="shared" si="79"/>
        <v>47.449999999999989</v>
      </c>
      <c r="AD315" s="8">
        <f>IFERROR(AC315/AC444, "NA")</f>
        <v>6.9975239530627592E-3</v>
      </c>
    </row>
    <row r="316" spans="1:30" ht="16.5" hidden="1" customHeight="1" x14ac:dyDescent="0.45">
      <c r="A316" s="6" t="s">
        <v>288</v>
      </c>
      <c r="B316" s="7">
        <v>0</v>
      </c>
      <c r="C316" s="8">
        <f>IFERROR(B316/B444, "NA")</f>
        <v>0</v>
      </c>
      <c r="D316" s="9"/>
      <c r="E316" s="7">
        <v>0</v>
      </c>
      <c r="F316" s="8">
        <f>IFERROR(E316/E444, "NA")</f>
        <v>0</v>
      </c>
      <c r="G316" s="9"/>
      <c r="H316" s="10">
        <f t="shared" si="76"/>
        <v>0</v>
      </c>
      <c r="I316" s="8">
        <f>IFERROR(H316/H444, "NA")</f>
        <v>0</v>
      </c>
      <c r="J316" s="9"/>
      <c r="K316" s="7">
        <v>0</v>
      </c>
      <c r="L316" s="8">
        <f>IFERROR(K316/K444, "NA")</f>
        <v>0</v>
      </c>
      <c r="M316" s="9"/>
      <c r="N316" s="10">
        <f t="shared" si="77"/>
        <v>0</v>
      </c>
      <c r="O316" s="8">
        <f>IFERROR(N316/N444, "NA")</f>
        <v>0</v>
      </c>
      <c r="P316" s="9"/>
      <c r="Q316" s="7">
        <v>0</v>
      </c>
      <c r="R316" s="8">
        <f>IFERROR(Q316/Q444, "NA")</f>
        <v>0</v>
      </c>
      <c r="S316" s="9"/>
      <c r="T316" s="7">
        <v>0</v>
      </c>
      <c r="U316" s="8">
        <f>IFERROR(T316/T444, "NA")</f>
        <v>0</v>
      </c>
      <c r="V316" s="9"/>
      <c r="W316" s="10">
        <f t="shared" si="78"/>
        <v>0</v>
      </c>
      <c r="X316" s="8">
        <f>IFERROR(W316/W444, "NA")</f>
        <v>0</v>
      </c>
      <c r="Y316" s="9"/>
      <c r="Z316" s="7">
        <v>0</v>
      </c>
      <c r="AA316" s="8">
        <f>IFERROR(Z316/Z444, "NA")</f>
        <v>0</v>
      </c>
      <c r="AB316" s="9"/>
      <c r="AC316" s="10">
        <f t="shared" si="79"/>
        <v>0</v>
      </c>
      <c r="AD316" s="8">
        <f>IFERROR(AC316/AC444, "NA")</f>
        <v>0</v>
      </c>
    </row>
    <row r="317" spans="1:30" ht="16.5" hidden="1" customHeight="1" x14ac:dyDescent="0.45">
      <c r="A317" s="6" t="s">
        <v>289</v>
      </c>
      <c r="B317" s="7">
        <v>0</v>
      </c>
      <c r="C317" s="8">
        <f>IFERROR(B317/B444, "NA")</f>
        <v>0</v>
      </c>
      <c r="D317" s="9"/>
      <c r="E317" s="7">
        <v>0</v>
      </c>
      <c r="F317" s="8">
        <f>IFERROR(E317/E444, "NA")</f>
        <v>0</v>
      </c>
      <c r="G317" s="9"/>
      <c r="H317" s="10">
        <f t="shared" si="76"/>
        <v>0</v>
      </c>
      <c r="I317" s="8">
        <f>IFERROR(H317/H444, "NA")</f>
        <v>0</v>
      </c>
      <c r="J317" s="9"/>
      <c r="K317" s="7">
        <v>0</v>
      </c>
      <c r="L317" s="8">
        <f>IFERROR(K317/K444, "NA")</f>
        <v>0</v>
      </c>
      <c r="M317" s="9"/>
      <c r="N317" s="10">
        <f t="shared" si="77"/>
        <v>0</v>
      </c>
      <c r="O317" s="8">
        <f>IFERROR(N317/N444, "NA")</f>
        <v>0</v>
      </c>
      <c r="P317" s="9"/>
      <c r="Q317" s="7">
        <v>0</v>
      </c>
      <c r="R317" s="8">
        <f>IFERROR(Q317/Q444, "NA")</f>
        <v>0</v>
      </c>
      <c r="S317" s="9"/>
      <c r="T317" s="7">
        <v>0</v>
      </c>
      <c r="U317" s="8">
        <f>IFERROR(T317/T444, "NA")</f>
        <v>0</v>
      </c>
      <c r="V317" s="9"/>
      <c r="W317" s="10">
        <f t="shared" si="78"/>
        <v>0</v>
      </c>
      <c r="X317" s="8">
        <f>IFERROR(W317/W444, "NA")</f>
        <v>0</v>
      </c>
      <c r="Y317" s="9"/>
      <c r="Z317" s="7">
        <v>0</v>
      </c>
      <c r="AA317" s="8">
        <f>IFERROR(Z317/Z444, "NA")</f>
        <v>0</v>
      </c>
      <c r="AB317" s="9"/>
      <c r="AC317" s="10">
        <f t="shared" si="79"/>
        <v>0</v>
      </c>
      <c r="AD317" s="8">
        <f>IFERROR(AC317/AC444, "NA")</f>
        <v>0</v>
      </c>
    </row>
    <row r="318" spans="1:30" ht="16.5" customHeight="1" x14ac:dyDescent="0.45">
      <c r="A318" s="6" t="s">
        <v>290</v>
      </c>
      <c r="B318" s="7">
        <v>414.58</v>
      </c>
      <c r="C318" s="8">
        <f>IFERROR(B318/B444, "NA")</f>
        <v>5.71744975097002E-3</v>
      </c>
      <c r="D318" s="9"/>
      <c r="E318" s="7">
        <v>415</v>
      </c>
      <c r="F318" s="8">
        <f>IFERROR(E318/E444, "NA")</f>
        <v>6.0854660447858039E-3</v>
      </c>
      <c r="G318" s="9"/>
      <c r="H318" s="10">
        <f t="shared" si="76"/>
        <v>0.42000000000001592</v>
      </c>
      <c r="I318" s="8">
        <f>IFERROR(H318/H444, "NA")</f>
        <v>9.7310522511171187E-5</v>
      </c>
      <c r="J318" s="9"/>
      <c r="K318" s="7">
        <v>414.58</v>
      </c>
      <c r="L318" s="8">
        <f>IFERROR(K318/K444, "NA")</f>
        <v>6.3072813514846553E-3</v>
      </c>
      <c r="M318" s="9"/>
      <c r="N318" s="10">
        <f t="shared" si="77"/>
        <v>0</v>
      </c>
      <c r="O318" s="8">
        <f>IFERROR(N318/N444, "NA")</f>
        <v>0</v>
      </c>
      <c r="P318" s="9"/>
      <c r="Q318" s="7">
        <v>414.58</v>
      </c>
      <c r="R318" s="8">
        <f>IFERROR(Q318/Q444, "NA")</f>
        <v>5.71744975097002E-3</v>
      </c>
      <c r="S318" s="9"/>
      <c r="T318" s="7">
        <v>415</v>
      </c>
      <c r="U318" s="8">
        <f>IFERROR(T318/T444, "NA")</f>
        <v>6.0854660447858039E-3</v>
      </c>
      <c r="V318" s="9"/>
      <c r="W318" s="10">
        <f t="shared" si="78"/>
        <v>0.42000000000001592</v>
      </c>
      <c r="X318" s="8">
        <f>IFERROR(W318/W444, "NA")</f>
        <v>9.7310522511171187E-5</v>
      </c>
      <c r="Y318" s="9"/>
      <c r="Z318" s="7">
        <v>414.58</v>
      </c>
      <c r="AA318" s="8">
        <f>IFERROR(Z318/Z444, "NA")</f>
        <v>6.3072813514846553E-3</v>
      </c>
      <c r="AB318" s="9"/>
      <c r="AC318" s="10">
        <f t="shared" si="79"/>
        <v>0</v>
      </c>
      <c r="AD318" s="8">
        <f>IFERROR(AC318/AC444, "NA")</f>
        <v>0</v>
      </c>
    </row>
    <row r="319" spans="1:30" ht="16.5" customHeight="1" x14ac:dyDescent="0.45">
      <c r="A319" s="6" t="s">
        <v>291</v>
      </c>
      <c r="B319" s="7">
        <v>318.56</v>
      </c>
      <c r="C319" s="8">
        <f>IFERROR(B319/B444, "NA")</f>
        <v>4.3932432646751158E-3</v>
      </c>
      <c r="D319" s="9"/>
      <c r="E319" s="7">
        <v>309</v>
      </c>
      <c r="F319" s="8">
        <f>IFERROR(E319/E444, "NA")</f>
        <v>4.5311060429850921E-3</v>
      </c>
      <c r="G319" s="9"/>
      <c r="H319" s="10">
        <f t="shared" si="76"/>
        <v>-9.5600000000000023</v>
      </c>
      <c r="I319" s="8">
        <f>IFERROR(H319/H444, "NA")</f>
        <v>-2.2149728457303845E-3</v>
      </c>
      <c r="J319" s="9"/>
      <c r="K319" s="7">
        <v>249.13</v>
      </c>
      <c r="L319" s="8">
        <f>IFERROR(K319/K444, "NA")</f>
        <v>3.7901804310274791E-3</v>
      </c>
      <c r="M319" s="9"/>
      <c r="N319" s="10">
        <f t="shared" si="77"/>
        <v>-69.430000000000007</v>
      </c>
      <c r="O319" s="8">
        <f>IFERROR(N319/N444, "NA")</f>
        <v>-1.0238948115092678E-2</v>
      </c>
      <c r="P319" s="9"/>
      <c r="Q319" s="7">
        <v>318.56</v>
      </c>
      <c r="R319" s="8">
        <f>IFERROR(Q319/Q444, "NA")</f>
        <v>4.3932432646751158E-3</v>
      </c>
      <c r="S319" s="9"/>
      <c r="T319" s="7">
        <v>309</v>
      </c>
      <c r="U319" s="8">
        <f>IFERROR(T319/T444, "NA")</f>
        <v>4.5311060429850921E-3</v>
      </c>
      <c r="V319" s="9"/>
      <c r="W319" s="10">
        <f t="shared" si="78"/>
        <v>-9.5600000000000023</v>
      </c>
      <c r="X319" s="8">
        <f>IFERROR(W319/W444, "NA")</f>
        <v>-2.2149728457303845E-3</v>
      </c>
      <c r="Y319" s="9"/>
      <c r="Z319" s="7">
        <v>249.13</v>
      </c>
      <c r="AA319" s="8">
        <f>IFERROR(Z319/Z444, "NA")</f>
        <v>3.7901804310274791E-3</v>
      </c>
      <c r="AB319" s="9"/>
      <c r="AC319" s="10">
        <f t="shared" si="79"/>
        <v>-69.430000000000007</v>
      </c>
      <c r="AD319" s="8">
        <f>IFERROR(AC319/AC444, "NA")</f>
        <v>-1.0238948115092678E-2</v>
      </c>
    </row>
    <row r="320" spans="1:30" ht="16.5" customHeight="1" x14ac:dyDescent="0.45">
      <c r="A320" s="6" t="s">
        <v>292</v>
      </c>
      <c r="B320" s="7">
        <v>1133.27</v>
      </c>
      <c r="C320" s="8">
        <f>IFERROR(B320/B444, "NA")</f>
        <v>1.5628863619281671E-2</v>
      </c>
      <c r="D320" s="9"/>
      <c r="E320" s="7">
        <v>1133</v>
      </c>
      <c r="F320" s="8">
        <f>IFERROR(E320/E444, "NA")</f>
        <v>1.6614055490945339E-2</v>
      </c>
      <c r="G320" s="9"/>
      <c r="H320" s="10">
        <f t="shared" si="76"/>
        <v>-0.26999999999998181</v>
      </c>
      <c r="I320" s="8">
        <f>IFERROR(H320/H444, "NA")</f>
        <v>-6.2556764471460611E-5</v>
      </c>
      <c r="J320" s="9"/>
      <c r="K320" s="7">
        <v>1056.07</v>
      </c>
      <c r="L320" s="8">
        <f>IFERROR(K320/K444, "NA")</f>
        <v>1.6066695491491149E-2</v>
      </c>
      <c r="M320" s="9"/>
      <c r="N320" s="10">
        <f t="shared" si="77"/>
        <v>-77.200000000000045</v>
      </c>
      <c r="O320" s="8">
        <f>IFERROR(N320/N444, "NA")</f>
        <v>-1.1384801879377144E-2</v>
      </c>
      <c r="P320" s="9"/>
      <c r="Q320" s="7">
        <v>1133.27</v>
      </c>
      <c r="R320" s="8">
        <f>IFERROR(Q320/Q444, "NA")</f>
        <v>1.5628863619281671E-2</v>
      </c>
      <c r="S320" s="9"/>
      <c r="T320" s="7">
        <v>1133</v>
      </c>
      <c r="U320" s="8">
        <f>IFERROR(T320/T444, "NA")</f>
        <v>1.6614055490945339E-2</v>
      </c>
      <c r="V320" s="9"/>
      <c r="W320" s="10">
        <f t="shared" si="78"/>
        <v>-0.26999999999998181</v>
      </c>
      <c r="X320" s="8">
        <f>IFERROR(W320/W444, "NA")</f>
        <v>-6.2556764471460611E-5</v>
      </c>
      <c r="Y320" s="9"/>
      <c r="Z320" s="7">
        <v>1056.07</v>
      </c>
      <c r="AA320" s="8">
        <f>IFERROR(Z320/Z444, "NA")</f>
        <v>1.6066695491491149E-2</v>
      </c>
      <c r="AB320" s="9"/>
      <c r="AC320" s="10">
        <f t="shared" si="79"/>
        <v>-77.200000000000045</v>
      </c>
      <c r="AD320" s="8">
        <f>IFERROR(AC320/AC444, "NA")</f>
        <v>-1.1384801879377144E-2</v>
      </c>
    </row>
    <row r="321" spans="1:30" ht="16.5" customHeight="1" x14ac:dyDescent="0.45">
      <c r="A321" s="6" t="s">
        <v>293</v>
      </c>
      <c r="B321" s="7">
        <v>1028.24</v>
      </c>
      <c r="C321" s="8">
        <f>IFERROR(B321/B444, "NA")</f>
        <v>1.4180400723472946E-2</v>
      </c>
      <c r="D321" s="9"/>
      <c r="E321" s="7">
        <v>750.15</v>
      </c>
      <c r="F321" s="8">
        <f>IFERROR(E321/E444, "NA")</f>
        <v>1.1000029767460411E-2</v>
      </c>
      <c r="G321" s="9"/>
      <c r="H321" s="10">
        <f t="shared" si="76"/>
        <v>-278.09000000000003</v>
      </c>
      <c r="I321" s="8">
        <f>IFERROR(H321/H444, "NA")</f>
        <v>-6.4431150488406128E-2</v>
      </c>
      <c r="J321" s="9"/>
      <c r="K321" s="7">
        <v>2307.1799999999998</v>
      </c>
      <c r="L321" s="8">
        <f>IFERROR(K321/K444, "NA")</f>
        <v>3.5100664259053421E-2</v>
      </c>
      <c r="M321" s="9"/>
      <c r="N321" s="10">
        <f t="shared" si="77"/>
        <v>1278.9399999999998</v>
      </c>
      <c r="O321" s="8">
        <f>IFERROR(N321/N444, "NA")</f>
        <v>0.18860723465816831</v>
      </c>
      <c r="P321" s="9"/>
      <c r="Q321" s="7">
        <v>1028.24</v>
      </c>
      <c r="R321" s="8">
        <f>IFERROR(Q321/Q444, "NA")</f>
        <v>1.4180400723472946E-2</v>
      </c>
      <c r="S321" s="9"/>
      <c r="T321" s="7">
        <v>750.15</v>
      </c>
      <c r="U321" s="8">
        <f>IFERROR(T321/T444, "NA")</f>
        <v>1.1000029767460411E-2</v>
      </c>
      <c r="V321" s="9"/>
      <c r="W321" s="10">
        <f t="shared" si="78"/>
        <v>-278.09000000000003</v>
      </c>
      <c r="X321" s="8">
        <f>IFERROR(W321/W444, "NA")</f>
        <v>-6.4431150488406128E-2</v>
      </c>
      <c r="Y321" s="9"/>
      <c r="Z321" s="7">
        <v>2307.1799999999998</v>
      </c>
      <c r="AA321" s="8">
        <f>IFERROR(Z321/Z444, "NA")</f>
        <v>3.5100664259053421E-2</v>
      </c>
      <c r="AB321" s="9"/>
      <c r="AC321" s="10">
        <f t="shared" si="79"/>
        <v>1278.9399999999998</v>
      </c>
      <c r="AD321" s="8">
        <f>IFERROR(AC321/AC444, "NA")</f>
        <v>0.18860723465816831</v>
      </c>
    </row>
    <row r="322" spans="1:30" ht="16.5" customHeight="1" x14ac:dyDescent="0.45">
      <c r="A322" s="6" t="s">
        <v>294</v>
      </c>
      <c r="B322" s="7">
        <v>646.87</v>
      </c>
      <c r="C322" s="8">
        <f>IFERROR(B322/B444, "NA")</f>
        <v>8.9209482377586406E-3</v>
      </c>
      <c r="D322" s="9"/>
      <c r="E322" s="7">
        <v>354</v>
      </c>
      <c r="F322" s="8">
        <f>IFERROR(E322/E444, "NA")</f>
        <v>5.1909758550702997E-3</v>
      </c>
      <c r="G322" s="9"/>
      <c r="H322" s="10">
        <f t="shared" si="76"/>
        <v>-292.87</v>
      </c>
      <c r="I322" s="8">
        <f>IFERROR(H322/H444, "NA")</f>
        <v>-6.7855554113918165E-2</v>
      </c>
      <c r="J322" s="9"/>
      <c r="K322" s="7">
        <v>299.57</v>
      </c>
      <c r="L322" s="8">
        <f>IFERROR(K322/K444, "NA")</f>
        <v>4.5575577077144533E-3</v>
      </c>
      <c r="M322" s="9"/>
      <c r="N322" s="10">
        <f t="shared" si="77"/>
        <v>-347.3</v>
      </c>
      <c r="O322" s="8">
        <f>IFERROR(N322/N444, "NA")</f>
        <v>-5.1216861304503626E-2</v>
      </c>
      <c r="P322" s="9"/>
      <c r="Q322" s="7">
        <v>646.87</v>
      </c>
      <c r="R322" s="8">
        <f>IFERROR(Q322/Q444, "NA")</f>
        <v>8.9209482377586406E-3</v>
      </c>
      <c r="S322" s="9"/>
      <c r="T322" s="7">
        <v>354</v>
      </c>
      <c r="U322" s="8">
        <f>IFERROR(T322/T444, "NA")</f>
        <v>5.1909758550702997E-3</v>
      </c>
      <c r="V322" s="9"/>
      <c r="W322" s="10">
        <f t="shared" si="78"/>
        <v>-292.87</v>
      </c>
      <c r="X322" s="8">
        <f>IFERROR(W322/W444, "NA")</f>
        <v>-6.7855554113918165E-2</v>
      </c>
      <c r="Y322" s="9"/>
      <c r="Z322" s="7">
        <v>299.57</v>
      </c>
      <c r="AA322" s="8">
        <f>IFERROR(Z322/Z444, "NA")</f>
        <v>4.5575577077144533E-3</v>
      </c>
      <c r="AB322" s="9"/>
      <c r="AC322" s="10">
        <f t="shared" si="79"/>
        <v>-347.3</v>
      </c>
      <c r="AD322" s="8">
        <f>IFERROR(AC322/AC444, "NA")</f>
        <v>-5.1216861304503626E-2</v>
      </c>
    </row>
    <row r="323" spans="1:30" ht="16.5" hidden="1" customHeight="1" x14ac:dyDescent="0.45">
      <c r="A323" s="6" t="s">
        <v>295</v>
      </c>
      <c r="B323" s="7">
        <v>0</v>
      </c>
      <c r="C323" s="8">
        <f>IFERROR(B323/B444, "NA")</f>
        <v>0</v>
      </c>
      <c r="D323" s="9"/>
      <c r="E323" s="7">
        <v>0</v>
      </c>
      <c r="F323" s="8">
        <f>IFERROR(E323/E444, "NA")</f>
        <v>0</v>
      </c>
      <c r="G323" s="9"/>
      <c r="H323" s="10">
        <f t="shared" si="76"/>
        <v>0</v>
      </c>
      <c r="I323" s="8">
        <f>IFERROR(H323/H444, "NA")</f>
        <v>0</v>
      </c>
      <c r="J323" s="9"/>
      <c r="K323" s="7">
        <v>0</v>
      </c>
      <c r="L323" s="8">
        <f>IFERROR(K323/K444, "NA")</f>
        <v>0</v>
      </c>
      <c r="M323" s="9"/>
      <c r="N323" s="10">
        <f t="shared" si="77"/>
        <v>0</v>
      </c>
      <c r="O323" s="8">
        <f>IFERROR(N323/N444, "NA")</f>
        <v>0</v>
      </c>
      <c r="P323" s="9"/>
      <c r="Q323" s="7">
        <v>0</v>
      </c>
      <c r="R323" s="8">
        <f>IFERROR(Q323/Q444, "NA")</f>
        <v>0</v>
      </c>
      <c r="S323" s="9"/>
      <c r="T323" s="7">
        <v>0</v>
      </c>
      <c r="U323" s="8">
        <f>IFERROR(T323/T444, "NA")</f>
        <v>0</v>
      </c>
      <c r="V323" s="9"/>
      <c r="W323" s="10">
        <f t="shared" si="78"/>
        <v>0</v>
      </c>
      <c r="X323" s="8">
        <f>IFERROR(W323/W444, "NA")</f>
        <v>0</v>
      </c>
      <c r="Y323" s="9"/>
      <c r="Z323" s="7">
        <v>0</v>
      </c>
      <c r="AA323" s="8">
        <f>IFERROR(Z323/Z444, "NA")</f>
        <v>0</v>
      </c>
      <c r="AB323" s="9"/>
      <c r="AC323" s="10">
        <f t="shared" si="79"/>
        <v>0</v>
      </c>
      <c r="AD323" s="8">
        <f>IFERROR(AC323/AC444, "NA")</f>
        <v>0</v>
      </c>
    </row>
    <row r="324" spans="1:30" ht="16.5" customHeight="1" x14ac:dyDescent="0.45">
      <c r="A324" s="19" t="s">
        <v>296</v>
      </c>
      <c r="B324" s="14">
        <f>IFERROR(B297+B298+B299+B300+B301+B302+B303+B304+B305+B306+B307+B308+B309+B310+B311+B312+B313+B314+B315+B316+B317+B318+B319+B320+B321+B322+B323, "NA")</f>
        <v>4258.53</v>
      </c>
      <c r="C324" s="15">
        <f>IFERROR(B324/B444, "NA")</f>
        <v>5.8729150677790436E-2</v>
      </c>
      <c r="D324" s="2"/>
      <c r="E324" s="14">
        <f>IFERROR(E297+E298+E299+E300+E301+E302+E303+E304+E305+E306+E307+E308+E309+E310+E311+E312+E313+E314+E315+E316+E317+E318+E319+E320+E321+E322+E323, "NA")</f>
        <v>3497.93</v>
      </c>
      <c r="F324" s="15">
        <f>IFERROR(E324/E444, "NA")</f>
        <v>5.1292853595271339E-2</v>
      </c>
      <c r="G324" s="2"/>
      <c r="H324" s="14">
        <f t="shared" si="76"/>
        <v>-760.59999999999991</v>
      </c>
      <c r="I324" s="15">
        <f>IFERROR(H324/H444, "NA")</f>
        <v>-0.17622472243331902</v>
      </c>
      <c r="J324" s="2"/>
      <c r="K324" s="14">
        <f>IFERROR(K297+K298+K299+K300+K301+K302+K303+K304+K305+K306+K307+K308+K309+K310+K311+K312+K313+K314+K315+K316+K317+K318+K319+K320+K321+K322+K323, "NA")</f>
        <v>4782.0499999999993</v>
      </c>
      <c r="L324" s="15">
        <f>IFERROR(K324/K444, "NA")</f>
        <v>7.2752508048789605E-2</v>
      </c>
      <c r="M324" s="2"/>
      <c r="N324" s="14">
        <f t="shared" si="77"/>
        <v>523.51999999999953</v>
      </c>
      <c r="O324" s="15">
        <f>IFERROR(N324/N444, "NA")</f>
        <v>7.720429378097815E-2</v>
      </c>
      <c r="P324" s="2"/>
      <c r="Q324" s="14">
        <f>IFERROR(Q297+Q298+Q299+Q300+Q301+Q302+Q303+Q304+Q305+Q306+Q307+Q308+Q309+Q310+Q311+Q312+Q313+Q314+Q315+Q316+Q317+Q318+Q319+Q320+Q321+Q322+Q323, "NA")</f>
        <v>4258.53</v>
      </c>
      <c r="R324" s="15">
        <f>IFERROR(Q324/Q444, "NA")</f>
        <v>5.8729150677790436E-2</v>
      </c>
      <c r="S324" s="2"/>
      <c r="T324" s="14">
        <f>IFERROR(T297+T298+T299+T300+T301+T302+T303+T304+T305+T306+T307+T308+T309+T310+T311+T312+T313+T314+T315+T316+T317+T318+T319+T320+T321+T322+T323, "NA")</f>
        <v>3497.93</v>
      </c>
      <c r="U324" s="15">
        <f>IFERROR(T324/T444, "NA")</f>
        <v>5.1292853595271339E-2</v>
      </c>
      <c r="V324" s="2"/>
      <c r="W324" s="14">
        <f t="shared" si="78"/>
        <v>-760.59999999999991</v>
      </c>
      <c r="X324" s="15">
        <f>IFERROR(W324/W444, "NA")</f>
        <v>-0.17622472243331902</v>
      </c>
      <c r="Y324" s="2"/>
      <c r="Z324" s="14">
        <f>IFERROR(Z297+Z298+Z299+Z300+Z301+Z302+Z303+Z304+Z305+Z306+Z307+Z308+Z309+Z310+Z311+Z312+Z313+Z314+Z315+Z316+Z317+Z318+Z319+Z320+Z321+Z322+Z323, "NA")</f>
        <v>4782.0499999999993</v>
      </c>
      <c r="AA324" s="15">
        <f>IFERROR(Z324/Z444, "NA")</f>
        <v>7.2752508048789605E-2</v>
      </c>
      <c r="AB324" s="2"/>
      <c r="AC324" s="14">
        <f t="shared" si="79"/>
        <v>523.51999999999953</v>
      </c>
      <c r="AD324" s="15">
        <f>IFERROR(AC324/AC444, "NA")</f>
        <v>7.720429378097815E-2</v>
      </c>
    </row>
    <row r="325" spans="1:30" ht="16.5" customHeight="1" x14ac:dyDescent="0.45">
      <c r="A325" s="21" t="s">
        <v>297</v>
      </c>
      <c r="B325" s="14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265+B266+B269+B270+B271+B272+B275+B276+B277+B278+B279+B280+B281+B282+B283+B286+B287+B288+B289+B290+B291+B292+B293+B294+B297+B298+B299+B300+B301+B302+B303+B304+B305+B306+B307+B308+B309+B310+B311+B312+B313+B314+B315+B316+B317+B318+B319+B320+B321+B322+B323, "NA")</f>
        <v>23131.390000000003</v>
      </c>
      <c r="C325" s="15">
        <f>IFERROR(B325/B444, "NA")</f>
        <v>0.31900371459088822</v>
      </c>
      <c r="D325" s="2"/>
      <c r="E325" s="14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265+E266+E269+E270+E271+E272+E275+E276+E277+E278+E279+E280+E281+E282+E283+E286+E287+E288+E289+E290+E291+E292+E293+E294+E297+E298+E299+E300+E301+E302+E303+E304+E305+E306+E307+E308+E309+E310+E311+E312+E313+E314+E315+E316+E317+E318+E319+E320+E321+E322+E323, "NA")</f>
        <v>18547.000000000004</v>
      </c>
      <c r="F325" s="15">
        <f>IFERROR(E325/E444, "NA")</f>
        <v>0.27196900899431886</v>
      </c>
      <c r="G325" s="2"/>
      <c r="H325" s="14">
        <f t="shared" si="76"/>
        <v>-4584.3899999999994</v>
      </c>
      <c r="I325" s="15">
        <f>IFERROR(H325/H444, "NA")</f>
        <v>-1.062165205464217</v>
      </c>
      <c r="J325" s="2"/>
      <c r="K325" s="14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265+K266+K269+K270+K271+K272+K275+K276+K277+K278+K279+K280+K281+K282+K283+K286+K287+K288+K289+K290+K291+K292+K293+K294+K297+K298+K299+K300+K301+K302+K303+K304+K305+K306+K307+K308+K309+K310+K311+K312+K313+K314+K315+K316+K317+K318+K319+K320+K321+K322+K323, "NA")</f>
        <v>22903.200000000004</v>
      </c>
      <c r="L325" s="15">
        <f>IFERROR(K325/K444, "NA")</f>
        <v>0.34844161862444739</v>
      </c>
      <c r="M325" s="2"/>
      <c r="N325" s="14">
        <f t="shared" si="77"/>
        <v>-228.18999999999869</v>
      </c>
      <c r="O325" s="15">
        <f>IFERROR(N325/N444, "NA")</f>
        <v>-3.3651527731283083E-2</v>
      </c>
      <c r="P325" s="2"/>
      <c r="Q325" s="14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265+Q266+Q269+Q270+Q271+Q272+Q275+Q276+Q277+Q278+Q279+Q280+Q281+Q282+Q283+Q286+Q287+Q288+Q289+Q290+Q291+Q292+Q293+Q294+Q297+Q298+Q299+Q300+Q301+Q302+Q303+Q304+Q305+Q306+Q307+Q308+Q309+Q310+Q311+Q312+Q313+Q314+Q315+Q316+Q317+Q318+Q319+Q320+Q321+Q322+Q323, "NA")</f>
        <v>23131.390000000003</v>
      </c>
      <c r="R325" s="15">
        <f>IFERROR(Q325/Q444, "NA")</f>
        <v>0.31900371459088822</v>
      </c>
      <c r="S325" s="2"/>
      <c r="T325" s="14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265+T266+T269+T270+T271+T272+T275+T276+T277+T278+T279+T280+T281+T282+T283+T286+T287+T288+T289+T290+T291+T292+T293+T294+T297+T298+T299+T300+T301+T302+T303+T304+T305+T306+T307+T308+T309+T310+T311+T312+T313+T314+T315+T316+T317+T318+T319+T320+T321+T322+T323, "NA")</f>
        <v>18547.000000000004</v>
      </c>
      <c r="U325" s="15">
        <f>IFERROR(T325/T444, "NA")</f>
        <v>0.27196900899431886</v>
      </c>
      <c r="V325" s="2"/>
      <c r="W325" s="14">
        <f t="shared" si="78"/>
        <v>-4584.3899999999994</v>
      </c>
      <c r="X325" s="15">
        <f>IFERROR(W325/W444, "NA")</f>
        <v>-1.062165205464217</v>
      </c>
      <c r="Y325" s="2"/>
      <c r="Z325" s="14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265+Z266+Z269+Z270+Z271+Z272+Z275+Z276+Z277+Z278+Z279+Z280+Z281+Z282+Z283+Z286+Z287+Z288+Z289+Z290+Z291+Z292+Z293+Z294+Z297+Z298+Z299+Z300+Z301+Z302+Z303+Z304+Z305+Z306+Z307+Z308+Z309+Z310+Z311+Z312+Z313+Z314+Z315+Z316+Z317+Z318+Z319+Z320+Z321+Z322+Z323, "NA")</f>
        <v>22903.200000000004</v>
      </c>
      <c r="AA325" s="15">
        <f>IFERROR(Z325/Z444, "NA")</f>
        <v>0.34844161862444739</v>
      </c>
      <c r="AB325" s="2"/>
      <c r="AC325" s="14">
        <f t="shared" si="79"/>
        <v>-228.18999999999869</v>
      </c>
      <c r="AD325" s="15">
        <f>IFERROR(AC325/AC444, "NA")</f>
        <v>-3.3651527731283083E-2</v>
      </c>
    </row>
    <row r="326" spans="1:30" ht="16.5" customHeight="1" x14ac:dyDescent="0.45">
      <c r="A326" s="1" t="s">
        <v>298</v>
      </c>
      <c r="B326" s="2"/>
      <c r="C326" s="3"/>
      <c r="D326" s="4"/>
      <c r="E326" s="2"/>
      <c r="F326" s="3"/>
      <c r="G326" s="4"/>
      <c r="H326" s="2"/>
      <c r="I326" s="3"/>
      <c r="J326" s="4"/>
      <c r="K326" s="2"/>
      <c r="L326" s="3"/>
      <c r="M326" s="4"/>
      <c r="N326" s="2"/>
      <c r="O326" s="3"/>
      <c r="P326" s="4"/>
      <c r="Q326" s="2"/>
      <c r="R326" s="3"/>
      <c r="S326" s="4"/>
      <c r="T326" s="2"/>
      <c r="U326" s="3"/>
      <c r="V326" s="4"/>
      <c r="W326" s="2"/>
      <c r="X326" s="3"/>
      <c r="Y326" s="4"/>
      <c r="Z326" s="2"/>
      <c r="AA326" s="3"/>
      <c r="AB326" s="4"/>
      <c r="AC326" s="2"/>
      <c r="AD326" s="3"/>
    </row>
    <row r="327" spans="1:30" ht="16.5" customHeight="1" x14ac:dyDescent="0.45">
      <c r="A327" s="5" t="s">
        <v>299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hidden="1" customHeight="1" x14ac:dyDescent="0.45">
      <c r="A328" s="6" t="s">
        <v>299</v>
      </c>
      <c r="B328" s="7">
        <v>0</v>
      </c>
      <c r="C328" s="8">
        <f>IFERROR(B328/B444, "NA")</f>
        <v>0</v>
      </c>
      <c r="D328" s="9"/>
      <c r="E328" s="7">
        <v>0</v>
      </c>
      <c r="F328" s="8">
        <f>IFERROR(E328/E444, "NA")</f>
        <v>0</v>
      </c>
      <c r="G328" s="9"/>
      <c r="H328" s="10">
        <f t="shared" ref="H328:H335" si="80">IFERROR(-(B328-E328), "NA")</f>
        <v>0</v>
      </c>
      <c r="I328" s="8">
        <f>IFERROR(H328/H444, "NA")</f>
        <v>0</v>
      </c>
      <c r="J328" s="9"/>
      <c r="K328" s="7">
        <v>0</v>
      </c>
      <c r="L328" s="8">
        <f>IFERROR(K328/K444, "NA")</f>
        <v>0</v>
      </c>
      <c r="M328" s="9"/>
      <c r="N328" s="10">
        <f t="shared" ref="N328:N335" si="81">IFERROR(-(B328-K328), "NA")</f>
        <v>0</v>
      </c>
      <c r="O328" s="8">
        <f>IFERROR(N328/N444, "NA")</f>
        <v>0</v>
      </c>
      <c r="P328" s="9"/>
      <c r="Q328" s="7">
        <v>0</v>
      </c>
      <c r="R328" s="8">
        <f>IFERROR(Q328/Q444, "NA")</f>
        <v>0</v>
      </c>
      <c r="S328" s="9"/>
      <c r="T328" s="7">
        <v>0</v>
      </c>
      <c r="U328" s="8">
        <f>IFERROR(T328/T444, "NA")</f>
        <v>0</v>
      </c>
      <c r="V328" s="9"/>
      <c r="W328" s="10">
        <f t="shared" ref="W328:W335" si="82">IFERROR(-(Q328-T328), "NA")</f>
        <v>0</v>
      </c>
      <c r="X328" s="8">
        <f>IFERROR(W328/W444, "NA")</f>
        <v>0</v>
      </c>
      <c r="Y328" s="9"/>
      <c r="Z328" s="7">
        <v>0</v>
      </c>
      <c r="AA328" s="8">
        <f>IFERROR(Z328/Z444, "NA")</f>
        <v>0</v>
      </c>
      <c r="AB328" s="9"/>
      <c r="AC328" s="10">
        <f t="shared" ref="AC328:AC335" si="83">IFERROR(-(Q328-Z328), "NA")</f>
        <v>0</v>
      </c>
      <c r="AD328" s="8">
        <f>IFERROR(AC328/AC444, "NA")</f>
        <v>0</v>
      </c>
    </row>
    <row r="329" spans="1:30" ht="16.5" customHeight="1" x14ac:dyDescent="0.45">
      <c r="A329" s="6" t="s">
        <v>300</v>
      </c>
      <c r="B329" s="7">
        <v>11441.92</v>
      </c>
      <c r="C329" s="8">
        <f>IFERROR(B329/B444, "NA")</f>
        <v>0.15779488314587992</v>
      </c>
      <c r="D329" s="9"/>
      <c r="E329" s="7">
        <v>11441.92</v>
      </c>
      <c r="F329" s="8">
        <f>IFERROR(E329/E444, "NA")</f>
        <v>0.1677817244509773</v>
      </c>
      <c r="G329" s="9"/>
      <c r="H329" s="10">
        <f t="shared" si="80"/>
        <v>0</v>
      </c>
      <c r="I329" s="8">
        <f>IFERROR(H329/H444, "NA")</f>
        <v>0</v>
      </c>
      <c r="J329" s="9"/>
      <c r="K329" s="7">
        <v>5393.13</v>
      </c>
      <c r="L329" s="8">
        <f>IFERROR(K329/K444, "NA")</f>
        <v>8.2049274627653143E-2</v>
      </c>
      <c r="M329" s="9"/>
      <c r="N329" s="10">
        <f t="shared" si="81"/>
        <v>-6048.79</v>
      </c>
      <c r="O329" s="8">
        <f>IFERROR(N329/N444, "NA")</f>
        <v>-0.89202429740877764</v>
      </c>
      <c r="P329" s="9"/>
      <c r="Q329" s="7">
        <v>11441.92</v>
      </c>
      <c r="R329" s="8">
        <f>IFERROR(Q329/Q444, "NA")</f>
        <v>0.15779488314587992</v>
      </c>
      <c r="S329" s="9"/>
      <c r="T329" s="7">
        <v>11441.92</v>
      </c>
      <c r="U329" s="8">
        <f>IFERROR(T329/T444, "NA")</f>
        <v>0.1677817244509773</v>
      </c>
      <c r="V329" s="9"/>
      <c r="W329" s="10">
        <f t="shared" si="82"/>
        <v>0</v>
      </c>
      <c r="X329" s="8">
        <f>IFERROR(W329/W444, "NA")</f>
        <v>0</v>
      </c>
      <c r="Y329" s="9"/>
      <c r="Z329" s="7">
        <v>5393.13</v>
      </c>
      <c r="AA329" s="8">
        <f>IFERROR(Z329/Z444, "NA")</f>
        <v>8.2049274627653143E-2</v>
      </c>
      <c r="AB329" s="9"/>
      <c r="AC329" s="10">
        <f t="shared" si="83"/>
        <v>-6048.79</v>
      </c>
      <c r="AD329" s="8">
        <f>IFERROR(AC329/AC444, "NA")</f>
        <v>-0.89202429740877764</v>
      </c>
    </row>
    <row r="330" spans="1:30" ht="16.5" customHeight="1" x14ac:dyDescent="0.45">
      <c r="A330" s="6" t="s">
        <v>301</v>
      </c>
      <c r="B330" s="7">
        <v>1183.3699999999999</v>
      </c>
      <c r="C330" s="8">
        <f>IFERROR(B330/B444, "NA")</f>
        <v>1.6319789936334102E-2</v>
      </c>
      <c r="D330" s="9"/>
      <c r="E330" s="7">
        <v>1183.3699999999999</v>
      </c>
      <c r="F330" s="8">
        <f>IFERROR(E330/E444, "NA")</f>
        <v>1.7352669767272712E-2</v>
      </c>
      <c r="G330" s="9"/>
      <c r="H330" s="10">
        <f t="shared" si="80"/>
        <v>0</v>
      </c>
      <c r="I330" s="8">
        <f>IFERROR(H330/H444, "NA")</f>
        <v>0</v>
      </c>
      <c r="J330" s="9"/>
      <c r="K330" s="7">
        <v>1026.43</v>
      </c>
      <c r="L330" s="8">
        <f>IFERROR(K330/K444, "NA")</f>
        <v>1.5615762452613235E-2</v>
      </c>
      <c r="M330" s="9"/>
      <c r="N330" s="10">
        <f t="shared" si="81"/>
        <v>-156.93999999999983</v>
      </c>
      <c r="O330" s="8">
        <f>IFERROR(N330/N444, "NA")</f>
        <v>-2.3144181437168988E-2</v>
      </c>
      <c r="P330" s="9"/>
      <c r="Q330" s="7">
        <v>1183.3699999999999</v>
      </c>
      <c r="R330" s="8">
        <f>IFERROR(Q330/Q444, "NA")</f>
        <v>1.6319789936334102E-2</v>
      </c>
      <c r="S330" s="9"/>
      <c r="T330" s="7">
        <v>1183.3699999999999</v>
      </c>
      <c r="U330" s="8">
        <f>IFERROR(T330/T444, "NA")</f>
        <v>1.7352669767272712E-2</v>
      </c>
      <c r="V330" s="9"/>
      <c r="W330" s="10">
        <f t="shared" si="82"/>
        <v>0</v>
      </c>
      <c r="X330" s="8">
        <f>IFERROR(W330/W444, "NA")</f>
        <v>0</v>
      </c>
      <c r="Y330" s="9"/>
      <c r="Z330" s="7">
        <v>1026.43</v>
      </c>
      <c r="AA330" s="8">
        <f>IFERROR(Z330/Z444, "NA")</f>
        <v>1.5615762452613235E-2</v>
      </c>
      <c r="AB330" s="9"/>
      <c r="AC330" s="10">
        <f t="shared" si="83"/>
        <v>-156.93999999999983</v>
      </c>
      <c r="AD330" s="8">
        <f>IFERROR(AC330/AC444, "NA")</f>
        <v>-2.3144181437168988E-2</v>
      </c>
    </row>
    <row r="331" spans="1:30" ht="16.5" hidden="1" customHeight="1" x14ac:dyDescent="0.45">
      <c r="A331" s="6" t="s">
        <v>302</v>
      </c>
      <c r="B331" s="7">
        <v>0</v>
      </c>
      <c r="C331" s="8">
        <f>IFERROR(B331/B444, "NA")</f>
        <v>0</v>
      </c>
      <c r="D331" s="9"/>
      <c r="E331" s="7">
        <v>0</v>
      </c>
      <c r="F331" s="8">
        <f>IFERROR(E331/E444, "NA")</f>
        <v>0</v>
      </c>
      <c r="G331" s="9"/>
      <c r="H331" s="10">
        <f t="shared" si="80"/>
        <v>0</v>
      </c>
      <c r="I331" s="8">
        <f>IFERROR(H331/H444, "NA")</f>
        <v>0</v>
      </c>
      <c r="J331" s="9"/>
      <c r="K331" s="7">
        <v>0</v>
      </c>
      <c r="L331" s="8">
        <f>IFERROR(K331/K444, "NA")</f>
        <v>0</v>
      </c>
      <c r="M331" s="9"/>
      <c r="N331" s="10">
        <f t="shared" si="81"/>
        <v>0</v>
      </c>
      <c r="O331" s="8">
        <f>IFERROR(N331/N444, "NA")</f>
        <v>0</v>
      </c>
      <c r="P331" s="9"/>
      <c r="Q331" s="7">
        <v>0</v>
      </c>
      <c r="R331" s="8">
        <f>IFERROR(Q331/Q444, "NA")</f>
        <v>0</v>
      </c>
      <c r="S331" s="9"/>
      <c r="T331" s="7">
        <v>0</v>
      </c>
      <c r="U331" s="8">
        <f>IFERROR(T331/T444, "NA")</f>
        <v>0</v>
      </c>
      <c r="V331" s="9"/>
      <c r="W331" s="10">
        <f t="shared" si="82"/>
        <v>0</v>
      </c>
      <c r="X331" s="8">
        <f>IFERROR(W331/W444, "NA")</f>
        <v>0</v>
      </c>
      <c r="Y331" s="9"/>
      <c r="Z331" s="7">
        <v>0</v>
      </c>
      <c r="AA331" s="8">
        <f>IFERROR(Z331/Z444, "NA")</f>
        <v>0</v>
      </c>
      <c r="AB331" s="9"/>
      <c r="AC331" s="10">
        <f t="shared" si="83"/>
        <v>0</v>
      </c>
      <c r="AD331" s="8">
        <f>IFERROR(AC331/AC444, "NA")</f>
        <v>0</v>
      </c>
    </row>
    <row r="332" spans="1:30" ht="16.5" hidden="1" customHeight="1" x14ac:dyDescent="0.45">
      <c r="A332" s="6" t="s">
        <v>303</v>
      </c>
      <c r="B332" s="7">
        <v>0</v>
      </c>
      <c r="C332" s="8">
        <f>IFERROR(B332/B444, "NA")</f>
        <v>0</v>
      </c>
      <c r="D332" s="9"/>
      <c r="E332" s="7">
        <v>0</v>
      </c>
      <c r="F332" s="8">
        <f>IFERROR(E332/E444, "NA")</f>
        <v>0</v>
      </c>
      <c r="G332" s="9"/>
      <c r="H332" s="10">
        <f t="shared" si="80"/>
        <v>0</v>
      </c>
      <c r="I332" s="8">
        <f>IFERROR(H332/H444, "NA")</f>
        <v>0</v>
      </c>
      <c r="J332" s="9"/>
      <c r="K332" s="7">
        <v>0</v>
      </c>
      <c r="L332" s="8">
        <f>IFERROR(K332/K444, "NA")</f>
        <v>0</v>
      </c>
      <c r="M332" s="9"/>
      <c r="N332" s="10">
        <f t="shared" si="81"/>
        <v>0</v>
      </c>
      <c r="O332" s="8">
        <f>IFERROR(N332/N444, "NA")</f>
        <v>0</v>
      </c>
      <c r="P332" s="9"/>
      <c r="Q332" s="7">
        <v>0</v>
      </c>
      <c r="R332" s="8">
        <f>IFERROR(Q332/Q444, "NA")</f>
        <v>0</v>
      </c>
      <c r="S332" s="9"/>
      <c r="T332" s="7">
        <v>0</v>
      </c>
      <c r="U332" s="8">
        <f>IFERROR(T332/T444, "NA")</f>
        <v>0</v>
      </c>
      <c r="V332" s="9"/>
      <c r="W332" s="10">
        <f t="shared" si="82"/>
        <v>0</v>
      </c>
      <c r="X332" s="8">
        <f>IFERROR(W332/W444, "NA")</f>
        <v>0</v>
      </c>
      <c r="Y332" s="9"/>
      <c r="Z332" s="7">
        <v>0</v>
      </c>
      <c r="AA332" s="8">
        <f>IFERROR(Z332/Z444, "NA")</f>
        <v>0</v>
      </c>
      <c r="AB332" s="9"/>
      <c r="AC332" s="10">
        <f t="shared" si="83"/>
        <v>0</v>
      </c>
      <c r="AD332" s="8">
        <f>IFERROR(AC332/AC444, "NA")</f>
        <v>0</v>
      </c>
    </row>
    <row r="333" spans="1:30" ht="16.5" customHeight="1" x14ac:dyDescent="0.45">
      <c r="A333" s="6" t="s">
        <v>304</v>
      </c>
      <c r="B333" s="7">
        <v>781.76</v>
      </c>
      <c r="C333" s="8">
        <f>IFERROR(B333/B444, "NA")</f>
        <v>1.0781208734908397E-2</v>
      </c>
      <c r="D333" s="9"/>
      <c r="E333" s="7">
        <v>860</v>
      </c>
      <c r="F333" s="8">
        <f>IFERROR(E333/E444, "NA")</f>
        <v>1.2610845297628412E-2</v>
      </c>
      <c r="G333" s="9"/>
      <c r="H333" s="10">
        <f t="shared" si="80"/>
        <v>78.240000000000009</v>
      </c>
      <c r="I333" s="8">
        <f>IFERROR(H333/H444, "NA")</f>
        <v>1.8127560193508918E-2</v>
      </c>
      <c r="J333" s="9"/>
      <c r="K333" s="7">
        <v>860.16</v>
      </c>
      <c r="L333" s="8">
        <f>IFERROR(K333/K444, "NA")</f>
        <v>1.3086186326627046E-2</v>
      </c>
      <c r="M333" s="9"/>
      <c r="N333" s="10">
        <f t="shared" si="81"/>
        <v>78.399999999999977</v>
      </c>
      <c r="O333" s="8">
        <f>IFERROR(N333/N444, "NA")</f>
        <v>1.1561767711699058E-2</v>
      </c>
      <c r="P333" s="9"/>
      <c r="Q333" s="7">
        <v>781.76</v>
      </c>
      <c r="R333" s="8">
        <f>IFERROR(Q333/Q444, "NA")</f>
        <v>1.0781208734908397E-2</v>
      </c>
      <c r="S333" s="9"/>
      <c r="T333" s="7">
        <v>860</v>
      </c>
      <c r="U333" s="8">
        <f>IFERROR(T333/T444, "NA")</f>
        <v>1.2610845297628412E-2</v>
      </c>
      <c r="V333" s="9"/>
      <c r="W333" s="10">
        <f t="shared" si="82"/>
        <v>78.240000000000009</v>
      </c>
      <c r="X333" s="8">
        <f>IFERROR(W333/W444, "NA")</f>
        <v>1.8127560193508918E-2</v>
      </c>
      <c r="Y333" s="9"/>
      <c r="Z333" s="7">
        <v>860.16</v>
      </c>
      <c r="AA333" s="8">
        <f>IFERROR(Z333/Z444, "NA")</f>
        <v>1.3086186326627046E-2</v>
      </c>
      <c r="AB333" s="9"/>
      <c r="AC333" s="10">
        <f t="shared" si="83"/>
        <v>78.399999999999977</v>
      </c>
      <c r="AD333" s="8">
        <f>IFERROR(AC333/AC444, "NA")</f>
        <v>1.1561767711699058E-2</v>
      </c>
    </row>
    <row r="334" spans="1:30" ht="16.5" customHeight="1" x14ac:dyDescent="0.45">
      <c r="A334" s="6" t="s">
        <v>305</v>
      </c>
      <c r="B334" s="7">
        <v>-881.03</v>
      </c>
      <c r="C334" s="8">
        <f>IFERROR(B334/B444, "NA")</f>
        <v>-1.2150235790672769E-2</v>
      </c>
      <c r="D334" s="9"/>
      <c r="E334" s="7">
        <v>-881.03</v>
      </c>
      <c r="F334" s="8">
        <f>IFERROR(E334/E444, "NA")</f>
        <v>-1.2919224456476232E-2</v>
      </c>
      <c r="G334" s="9"/>
      <c r="H334" s="10">
        <f t="shared" si="80"/>
        <v>0</v>
      </c>
      <c r="I334" s="8">
        <f>IFERROR(H334/H444, "NA")</f>
        <v>0</v>
      </c>
      <c r="J334" s="9"/>
      <c r="K334" s="7">
        <v>-415.27</v>
      </c>
      <c r="L334" s="8">
        <f>IFERROR(K334/K444, "NA")</f>
        <v>-6.3177787805273593E-3</v>
      </c>
      <c r="M334" s="9"/>
      <c r="N334" s="10">
        <f t="shared" si="81"/>
        <v>465.76</v>
      </c>
      <c r="O334" s="8">
        <f>IFERROR(N334/N444, "NA")</f>
        <v>6.8686338385216261E-2</v>
      </c>
      <c r="P334" s="9"/>
      <c r="Q334" s="7">
        <v>-881.03</v>
      </c>
      <c r="R334" s="8">
        <f>IFERROR(Q334/Q444, "NA")</f>
        <v>-1.2150235790672769E-2</v>
      </c>
      <c r="S334" s="9"/>
      <c r="T334" s="7">
        <v>-881.03</v>
      </c>
      <c r="U334" s="8">
        <f>IFERROR(T334/T444, "NA")</f>
        <v>-1.2919224456476232E-2</v>
      </c>
      <c r="V334" s="9"/>
      <c r="W334" s="10">
        <f t="shared" si="82"/>
        <v>0</v>
      </c>
      <c r="X334" s="8">
        <f>IFERROR(W334/W444, "NA")</f>
        <v>0</v>
      </c>
      <c r="Y334" s="9"/>
      <c r="Z334" s="7">
        <v>-415.27</v>
      </c>
      <c r="AA334" s="8">
        <f>IFERROR(Z334/Z444, "NA")</f>
        <v>-6.3177787805273593E-3</v>
      </c>
      <c r="AB334" s="9"/>
      <c r="AC334" s="10">
        <f t="shared" si="83"/>
        <v>465.76</v>
      </c>
      <c r="AD334" s="8">
        <f>IFERROR(AC334/AC444, "NA")</f>
        <v>6.8686338385216261E-2</v>
      </c>
    </row>
    <row r="335" spans="1:30" ht="16.5" hidden="1" customHeight="1" x14ac:dyDescent="0.45">
      <c r="A335" s="6" t="s">
        <v>306</v>
      </c>
      <c r="B335" s="7">
        <v>0</v>
      </c>
      <c r="C335" s="8">
        <f>IFERROR(B335/B444, "NA")</f>
        <v>0</v>
      </c>
      <c r="D335" s="9"/>
      <c r="E335" s="7">
        <v>0</v>
      </c>
      <c r="F335" s="8">
        <f>IFERROR(E335/E444, "NA")</f>
        <v>0</v>
      </c>
      <c r="G335" s="9"/>
      <c r="H335" s="10">
        <f t="shared" si="80"/>
        <v>0</v>
      </c>
      <c r="I335" s="8">
        <f>IFERROR(H335/H444, "NA")</f>
        <v>0</v>
      </c>
      <c r="J335" s="9"/>
      <c r="K335" s="7">
        <v>0</v>
      </c>
      <c r="L335" s="8">
        <f>IFERROR(K335/K444, "NA")</f>
        <v>0</v>
      </c>
      <c r="M335" s="9"/>
      <c r="N335" s="10">
        <f t="shared" si="81"/>
        <v>0</v>
      </c>
      <c r="O335" s="8">
        <f>IFERROR(N335/N444, "NA")</f>
        <v>0</v>
      </c>
      <c r="P335" s="9"/>
      <c r="Q335" s="7">
        <v>0</v>
      </c>
      <c r="R335" s="8">
        <f>IFERROR(Q335/Q444, "NA")</f>
        <v>0</v>
      </c>
      <c r="S335" s="9"/>
      <c r="T335" s="7">
        <v>0</v>
      </c>
      <c r="U335" s="8">
        <f>IFERROR(T335/T444, "NA")</f>
        <v>0</v>
      </c>
      <c r="V335" s="9"/>
      <c r="W335" s="10">
        <f t="shared" si="82"/>
        <v>0</v>
      </c>
      <c r="X335" s="8">
        <f>IFERROR(W335/W444, "NA")</f>
        <v>0</v>
      </c>
      <c r="Y335" s="9"/>
      <c r="Z335" s="7">
        <v>0</v>
      </c>
      <c r="AA335" s="8">
        <f>IFERROR(Z335/Z444, "NA")</f>
        <v>0</v>
      </c>
      <c r="AB335" s="9"/>
      <c r="AC335" s="10">
        <f t="shared" si="83"/>
        <v>0</v>
      </c>
      <c r="AD335" s="8">
        <f>IFERROR(AC335/AC444, "NA")</f>
        <v>0</v>
      </c>
    </row>
    <row r="336" spans="1:30" ht="16.5" customHeight="1" x14ac:dyDescent="0.45">
      <c r="A336" s="11" t="s">
        <v>307</v>
      </c>
      <c r="B336" s="2"/>
      <c r="C336" s="3"/>
      <c r="D336" s="4"/>
      <c r="E336" s="2"/>
      <c r="F336" s="3"/>
      <c r="G336" s="4"/>
      <c r="H336" s="2"/>
      <c r="I336" s="3"/>
      <c r="J336" s="4"/>
      <c r="K336" s="2"/>
      <c r="L336" s="3"/>
      <c r="M336" s="4"/>
      <c r="N336" s="2"/>
      <c r="O336" s="3"/>
      <c r="P336" s="4"/>
      <c r="Q336" s="2"/>
      <c r="R336" s="3"/>
      <c r="S336" s="4"/>
      <c r="T336" s="2"/>
      <c r="U336" s="3"/>
      <c r="V336" s="4"/>
      <c r="W336" s="2"/>
      <c r="X336" s="3"/>
      <c r="Y336" s="4"/>
      <c r="Z336" s="2"/>
      <c r="AA336" s="3"/>
      <c r="AB336" s="4"/>
      <c r="AC336" s="2"/>
      <c r="AD336" s="3"/>
    </row>
    <row r="337" spans="1:30" ht="16.5" hidden="1" customHeight="1" x14ac:dyDescent="0.45">
      <c r="A337" s="12" t="s">
        <v>307</v>
      </c>
      <c r="B337" s="7">
        <v>0</v>
      </c>
      <c r="C337" s="8">
        <f>IFERROR(B337/B444, "NA")</f>
        <v>0</v>
      </c>
      <c r="D337" s="9"/>
      <c r="E337" s="7">
        <v>0</v>
      </c>
      <c r="F337" s="8">
        <f>IFERROR(E337/E444, "NA")</f>
        <v>0</v>
      </c>
      <c r="G337" s="9"/>
      <c r="H337" s="10">
        <f t="shared" ref="H337:H344" si="84">IFERROR(-(B337-E337), "NA")</f>
        <v>0</v>
      </c>
      <c r="I337" s="8">
        <f>IFERROR(H337/H444, "NA")</f>
        <v>0</v>
      </c>
      <c r="J337" s="9"/>
      <c r="K337" s="7">
        <v>0</v>
      </c>
      <c r="L337" s="8">
        <f>IFERROR(K337/K444, "NA")</f>
        <v>0</v>
      </c>
      <c r="M337" s="9"/>
      <c r="N337" s="10">
        <f t="shared" ref="N337:N344" si="85">IFERROR(-(B337-K337), "NA")</f>
        <v>0</v>
      </c>
      <c r="O337" s="8">
        <f>IFERROR(N337/N444, "NA")</f>
        <v>0</v>
      </c>
      <c r="P337" s="9"/>
      <c r="Q337" s="7">
        <v>0</v>
      </c>
      <c r="R337" s="8">
        <f>IFERROR(Q337/Q444, "NA")</f>
        <v>0</v>
      </c>
      <c r="S337" s="9"/>
      <c r="T337" s="7">
        <v>0</v>
      </c>
      <c r="U337" s="8">
        <f>IFERROR(T337/T444, "NA")</f>
        <v>0</v>
      </c>
      <c r="V337" s="9"/>
      <c r="W337" s="10">
        <f t="shared" ref="W337:W344" si="86">IFERROR(-(Q337-T337), "NA")</f>
        <v>0</v>
      </c>
      <c r="X337" s="8">
        <f>IFERROR(W337/W444, "NA")</f>
        <v>0</v>
      </c>
      <c r="Y337" s="9"/>
      <c r="Z337" s="7">
        <v>0</v>
      </c>
      <c r="AA337" s="8">
        <f>IFERROR(Z337/Z444, "NA")</f>
        <v>0</v>
      </c>
      <c r="AB337" s="9"/>
      <c r="AC337" s="10">
        <f t="shared" ref="AC337:AC344" si="87">IFERROR(-(Q337-Z337), "NA")</f>
        <v>0</v>
      </c>
      <c r="AD337" s="8">
        <f>IFERROR(AC337/AC444, "NA")</f>
        <v>0</v>
      </c>
    </row>
    <row r="338" spans="1:30" ht="16.5" customHeight="1" x14ac:dyDescent="0.45">
      <c r="A338" s="12" t="s">
        <v>308</v>
      </c>
      <c r="B338" s="7">
        <v>1001.16</v>
      </c>
      <c r="C338" s="8">
        <f>IFERROR(B338/B444, "NA")</f>
        <v>1.3806941947708875E-2</v>
      </c>
      <c r="D338" s="9"/>
      <c r="E338" s="7">
        <v>818.34</v>
      </c>
      <c r="F338" s="8">
        <f>IFERROR(E338/E444, "NA")</f>
        <v>1.1999952489373529E-2</v>
      </c>
      <c r="G338" s="9"/>
      <c r="H338" s="10">
        <f t="shared" si="84"/>
        <v>-182.81999999999994</v>
      </c>
      <c r="I338" s="8">
        <f>IFERROR(H338/H444, "NA")</f>
        <v>-4.2357880298789612E-2</v>
      </c>
      <c r="J338" s="9"/>
      <c r="K338" s="7">
        <v>868.22</v>
      </c>
      <c r="L338" s="8">
        <f>IFERROR(K338/K444, "NA")</f>
        <v>1.3208808468778059E-2</v>
      </c>
      <c r="M338" s="9"/>
      <c r="N338" s="10">
        <f t="shared" si="85"/>
        <v>-132.93999999999994</v>
      </c>
      <c r="O338" s="8">
        <f>IFERROR(N338/N444, "NA")</f>
        <v>-1.9604864790730519E-2</v>
      </c>
      <c r="P338" s="9"/>
      <c r="Q338" s="7">
        <v>1001.16</v>
      </c>
      <c r="R338" s="8">
        <f>IFERROR(Q338/Q444, "NA")</f>
        <v>1.3806941947708875E-2</v>
      </c>
      <c r="S338" s="9"/>
      <c r="T338" s="7">
        <v>818.34</v>
      </c>
      <c r="U338" s="8">
        <f>IFERROR(T338/T444, "NA")</f>
        <v>1.1999952489373529E-2</v>
      </c>
      <c r="V338" s="9"/>
      <c r="W338" s="10">
        <f t="shared" si="86"/>
        <v>-182.81999999999994</v>
      </c>
      <c r="X338" s="8">
        <f>IFERROR(W338/W444, "NA")</f>
        <v>-4.2357880298789612E-2</v>
      </c>
      <c r="Y338" s="9"/>
      <c r="Z338" s="7">
        <v>868.22</v>
      </c>
      <c r="AA338" s="8">
        <f>IFERROR(Z338/Z444, "NA")</f>
        <v>1.3208808468778059E-2</v>
      </c>
      <c r="AB338" s="9"/>
      <c r="AC338" s="10">
        <f t="shared" si="87"/>
        <v>-132.93999999999994</v>
      </c>
      <c r="AD338" s="8">
        <f>IFERROR(AC338/AC444, "NA")</f>
        <v>-1.9604864790730519E-2</v>
      </c>
    </row>
    <row r="339" spans="1:30" ht="16.5" customHeight="1" x14ac:dyDescent="0.45">
      <c r="A339" s="12" t="s">
        <v>309</v>
      </c>
      <c r="B339" s="7">
        <v>723.01</v>
      </c>
      <c r="C339" s="8">
        <f>IFERROR(B339/B444, "NA")</f>
        <v>9.9709907483449128E-3</v>
      </c>
      <c r="D339" s="9"/>
      <c r="E339" s="7">
        <v>340.98</v>
      </c>
      <c r="F339" s="8">
        <f>IFERROR(E339/E444, "NA")</f>
        <v>5.0000535227736473E-3</v>
      </c>
      <c r="G339" s="9"/>
      <c r="H339" s="10">
        <f t="shared" si="84"/>
        <v>-382.03</v>
      </c>
      <c r="I339" s="8">
        <f>IFERROR(H339/H444, "NA")</f>
        <v>-8.8513187892717421E-2</v>
      </c>
      <c r="J339" s="9"/>
      <c r="K339" s="7">
        <v>911.27</v>
      </c>
      <c r="L339" s="8">
        <f>IFERROR(K339/K444, "NA")</f>
        <v>1.3863756759051141E-2</v>
      </c>
      <c r="M339" s="9"/>
      <c r="N339" s="10">
        <f t="shared" si="85"/>
        <v>188.26</v>
      </c>
      <c r="O339" s="8">
        <f>IFERROR(N339/N444, "NA")</f>
        <v>2.7762989660771242E-2</v>
      </c>
      <c r="P339" s="9"/>
      <c r="Q339" s="7">
        <v>723.01</v>
      </c>
      <c r="R339" s="8">
        <f>IFERROR(Q339/Q444, "NA")</f>
        <v>9.9709907483449128E-3</v>
      </c>
      <c r="S339" s="9"/>
      <c r="T339" s="7">
        <v>340.98</v>
      </c>
      <c r="U339" s="8">
        <f>IFERROR(T339/T444, "NA")</f>
        <v>5.0000535227736473E-3</v>
      </c>
      <c r="V339" s="9"/>
      <c r="W339" s="10">
        <f t="shared" si="86"/>
        <v>-382.03</v>
      </c>
      <c r="X339" s="8">
        <f>IFERROR(W339/W444, "NA")</f>
        <v>-8.8513187892717421E-2</v>
      </c>
      <c r="Y339" s="9"/>
      <c r="Z339" s="7">
        <v>911.27</v>
      </c>
      <c r="AA339" s="8">
        <f>IFERROR(Z339/Z444, "NA")</f>
        <v>1.3863756759051141E-2</v>
      </c>
      <c r="AB339" s="9"/>
      <c r="AC339" s="10">
        <f t="shared" si="87"/>
        <v>188.26</v>
      </c>
      <c r="AD339" s="8">
        <f>IFERROR(AC339/AC444, "NA")</f>
        <v>2.7762989660771242E-2</v>
      </c>
    </row>
    <row r="340" spans="1:30" ht="16.5" customHeight="1" x14ac:dyDescent="0.45">
      <c r="A340" s="12" t="s">
        <v>310</v>
      </c>
      <c r="B340" s="7">
        <v>347.82</v>
      </c>
      <c r="C340" s="8">
        <f>IFERROR(B340/B444, "NA")</f>
        <v>4.7967662993448606E-3</v>
      </c>
      <c r="D340" s="9"/>
      <c r="E340" s="7">
        <v>272.77999999999997</v>
      </c>
      <c r="F340" s="8">
        <f>IFERROR(E340/E444, "NA")</f>
        <v>3.9999841631245094E-3</v>
      </c>
      <c r="G340" s="9"/>
      <c r="H340" s="10">
        <f t="shared" si="84"/>
        <v>-75.04000000000002</v>
      </c>
      <c r="I340" s="8">
        <f>IFERROR(H340/H444, "NA")</f>
        <v>-1.7386146688661931E-2</v>
      </c>
      <c r="J340" s="9"/>
      <c r="K340" s="7">
        <v>450</v>
      </c>
      <c r="L340" s="8">
        <f>IFERROR(K340/K444, "NA")</f>
        <v>6.8461493756768171E-3</v>
      </c>
      <c r="M340" s="9"/>
      <c r="N340" s="10">
        <f t="shared" si="85"/>
        <v>102.18</v>
      </c>
      <c r="O340" s="8">
        <f>IFERROR(N340/N444, "NA")</f>
        <v>1.5068640622211865E-2</v>
      </c>
      <c r="P340" s="9"/>
      <c r="Q340" s="7">
        <v>347.82</v>
      </c>
      <c r="R340" s="8">
        <f>IFERROR(Q340/Q444, "NA")</f>
        <v>4.7967662993448606E-3</v>
      </c>
      <c r="S340" s="9"/>
      <c r="T340" s="7">
        <v>272.77999999999997</v>
      </c>
      <c r="U340" s="8">
        <f>IFERROR(T340/T444, "NA")</f>
        <v>3.9999841631245094E-3</v>
      </c>
      <c r="V340" s="9"/>
      <c r="W340" s="10">
        <f t="shared" si="86"/>
        <v>-75.04000000000002</v>
      </c>
      <c r="X340" s="8">
        <f>IFERROR(W340/W444, "NA")</f>
        <v>-1.7386146688661931E-2</v>
      </c>
      <c r="Y340" s="9"/>
      <c r="Z340" s="7">
        <v>450</v>
      </c>
      <c r="AA340" s="8">
        <f>IFERROR(Z340/Z444, "NA")</f>
        <v>6.8461493756768171E-3</v>
      </c>
      <c r="AB340" s="9"/>
      <c r="AC340" s="10">
        <f t="shared" si="87"/>
        <v>102.18</v>
      </c>
      <c r="AD340" s="8">
        <f>IFERROR(AC340/AC444, "NA")</f>
        <v>1.5068640622211865E-2</v>
      </c>
    </row>
    <row r="341" spans="1:30" ht="16.5" hidden="1" customHeight="1" x14ac:dyDescent="0.45">
      <c r="A341" s="12" t="s">
        <v>311</v>
      </c>
      <c r="B341" s="7">
        <v>0</v>
      </c>
      <c r="C341" s="8">
        <f>IFERROR(B341/B444, "NA")</f>
        <v>0</v>
      </c>
      <c r="D341" s="9"/>
      <c r="E341" s="7">
        <v>0</v>
      </c>
      <c r="F341" s="8">
        <f>IFERROR(E341/E444, "NA")</f>
        <v>0</v>
      </c>
      <c r="G341" s="9"/>
      <c r="H341" s="10">
        <f t="shared" si="84"/>
        <v>0</v>
      </c>
      <c r="I341" s="8">
        <f>IFERROR(H341/H444, "NA")</f>
        <v>0</v>
      </c>
      <c r="J341" s="9"/>
      <c r="K341" s="7">
        <v>0</v>
      </c>
      <c r="L341" s="8">
        <f>IFERROR(K341/K444, "NA")</f>
        <v>0</v>
      </c>
      <c r="M341" s="9"/>
      <c r="N341" s="10">
        <f t="shared" si="85"/>
        <v>0</v>
      </c>
      <c r="O341" s="8">
        <f>IFERROR(N341/N444, "NA")</f>
        <v>0</v>
      </c>
      <c r="P341" s="9"/>
      <c r="Q341" s="7">
        <v>0</v>
      </c>
      <c r="R341" s="8">
        <f>IFERROR(Q341/Q444, "NA")</f>
        <v>0</v>
      </c>
      <c r="S341" s="9"/>
      <c r="T341" s="7">
        <v>0</v>
      </c>
      <c r="U341" s="8">
        <f>IFERROR(T341/T444, "NA")</f>
        <v>0</v>
      </c>
      <c r="V341" s="9"/>
      <c r="W341" s="10">
        <f t="shared" si="86"/>
        <v>0</v>
      </c>
      <c r="X341" s="8">
        <f>IFERROR(W341/W444, "NA")</f>
        <v>0</v>
      </c>
      <c r="Y341" s="9"/>
      <c r="Z341" s="7">
        <v>0</v>
      </c>
      <c r="AA341" s="8">
        <f>IFERROR(Z341/Z444, "NA")</f>
        <v>0</v>
      </c>
      <c r="AB341" s="9"/>
      <c r="AC341" s="10">
        <f t="shared" si="87"/>
        <v>0</v>
      </c>
      <c r="AD341" s="8">
        <f>IFERROR(AC341/AC444, "NA")</f>
        <v>0</v>
      </c>
    </row>
    <row r="342" spans="1:30" ht="16.5" customHeight="1" x14ac:dyDescent="0.45">
      <c r="A342" s="13" t="s">
        <v>312</v>
      </c>
      <c r="B342" s="14">
        <f>IFERROR(B337+B338+B339+B340+B341, "NA")</f>
        <v>2071.9900000000002</v>
      </c>
      <c r="C342" s="15">
        <f>IFERROR(B342/B444, "NA")</f>
        <v>2.8574698995398651E-2</v>
      </c>
      <c r="D342" s="2"/>
      <c r="E342" s="14">
        <f>IFERROR(E337+E338+E339+E340+E341, "NA")</f>
        <v>1432.1000000000001</v>
      </c>
      <c r="F342" s="15">
        <f>IFERROR(E342/E444, "NA")</f>
        <v>2.0999990175271689E-2</v>
      </c>
      <c r="G342" s="2"/>
      <c r="H342" s="14">
        <f t="shared" si="84"/>
        <v>-639.8900000000001</v>
      </c>
      <c r="I342" s="15">
        <f>IFERROR(H342/H444, "NA")</f>
        <v>-0.14825721488016902</v>
      </c>
      <c r="J342" s="2"/>
      <c r="K342" s="14">
        <f>IFERROR(K337+K338+K339+K340+K341, "NA")</f>
        <v>2229.4899999999998</v>
      </c>
      <c r="L342" s="15">
        <f>IFERROR(K342/K444, "NA")</f>
        <v>3.3918714603506012E-2</v>
      </c>
      <c r="M342" s="2"/>
      <c r="N342" s="14">
        <f t="shared" si="85"/>
        <v>157.49999999999955</v>
      </c>
      <c r="O342" s="15">
        <f>IFERROR(N342/N444, "NA")</f>
        <v>2.3226765492252513E-2</v>
      </c>
      <c r="P342" s="2"/>
      <c r="Q342" s="14">
        <f>IFERROR(Q337+Q338+Q339+Q340+Q341, "NA")</f>
        <v>2071.9900000000002</v>
      </c>
      <c r="R342" s="15">
        <f>IFERROR(Q342/Q444, "NA")</f>
        <v>2.8574698995398651E-2</v>
      </c>
      <c r="S342" s="2"/>
      <c r="T342" s="14">
        <f>IFERROR(T337+T338+T339+T340+T341, "NA")</f>
        <v>1432.1000000000001</v>
      </c>
      <c r="U342" s="15">
        <f>IFERROR(T342/T444, "NA")</f>
        <v>2.0999990175271689E-2</v>
      </c>
      <c r="V342" s="2"/>
      <c r="W342" s="14">
        <f t="shared" si="86"/>
        <v>-639.8900000000001</v>
      </c>
      <c r="X342" s="15">
        <f>IFERROR(W342/W444, "NA")</f>
        <v>-0.14825721488016902</v>
      </c>
      <c r="Y342" s="2"/>
      <c r="Z342" s="14">
        <f>IFERROR(Z337+Z338+Z339+Z340+Z341, "NA")</f>
        <v>2229.4899999999998</v>
      </c>
      <c r="AA342" s="15">
        <f>IFERROR(Z342/Z444, "NA")</f>
        <v>3.3918714603506012E-2</v>
      </c>
      <c r="AB342" s="2"/>
      <c r="AC342" s="14">
        <f t="shared" si="87"/>
        <v>157.49999999999955</v>
      </c>
      <c r="AD342" s="15">
        <f>IFERROR(AC342/AC444, "NA")</f>
        <v>2.3226765492252513E-2</v>
      </c>
    </row>
    <row r="343" spans="1:30" ht="16.5" customHeight="1" x14ac:dyDescent="0.45">
      <c r="A343" s="19" t="s">
        <v>313</v>
      </c>
      <c r="B343" s="14">
        <f>IFERROR(B328+B329+B330+B331+B332+B333+B334+B335+B337+B338+B339+B340+B341, "NA")</f>
        <v>14598.01</v>
      </c>
      <c r="C343" s="15">
        <f>IFERROR(B343/B444, "NA")</f>
        <v>0.20132034502184828</v>
      </c>
      <c r="D343" s="2"/>
      <c r="E343" s="14">
        <f>IFERROR(E328+E329+E330+E331+E332+E333+E334+E335+E337+E338+E339+E340+E341, "NA")</f>
        <v>14036.36</v>
      </c>
      <c r="F343" s="15">
        <f>IFERROR(E343/E444, "NA")</f>
        <v>0.2058260052346739</v>
      </c>
      <c r="G343" s="2"/>
      <c r="H343" s="14">
        <f t="shared" si="84"/>
        <v>-561.64999999999964</v>
      </c>
      <c r="I343" s="15">
        <f>IFERROR(H343/H444, "NA")</f>
        <v>-0.13012965468665999</v>
      </c>
      <c r="J343" s="2"/>
      <c r="K343" s="14">
        <f>IFERROR(K328+K329+K330+K331+K332+K333+K334+K335+K337+K338+K339+K340+K341, "NA")</f>
        <v>9093.94</v>
      </c>
      <c r="L343" s="15">
        <f>IFERROR(K343/K444, "NA")</f>
        <v>0.1383521592298721</v>
      </c>
      <c r="M343" s="2"/>
      <c r="N343" s="14">
        <f t="shared" si="85"/>
        <v>-5504.07</v>
      </c>
      <c r="O343" s="15">
        <f>IFERROR(N343/N444, "NA")</f>
        <v>-0.81169360725677875</v>
      </c>
      <c r="P343" s="2"/>
      <c r="Q343" s="14">
        <f>IFERROR(Q328+Q329+Q330+Q331+Q332+Q333+Q334+Q335+Q337+Q338+Q339+Q340+Q341, "NA")</f>
        <v>14598.01</v>
      </c>
      <c r="R343" s="15">
        <f>IFERROR(Q343/Q444, "NA")</f>
        <v>0.20132034502184828</v>
      </c>
      <c r="S343" s="2"/>
      <c r="T343" s="14">
        <f>IFERROR(T328+T329+T330+T331+T332+T333+T334+T335+T337+T338+T339+T340+T341, "NA")</f>
        <v>14036.36</v>
      </c>
      <c r="U343" s="15">
        <f>IFERROR(T343/T444, "NA")</f>
        <v>0.2058260052346739</v>
      </c>
      <c r="V343" s="2"/>
      <c r="W343" s="14">
        <f t="shared" si="86"/>
        <v>-561.64999999999964</v>
      </c>
      <c r="X343" s="15">
        <f>IFERROR(W343/W444, "NA")</f>
        <v>-0.13012965468665999</v>
      </c>
      <c r="Y343" s="2"/>
      <c r="Z343" s="14">
        <f>IFERROR(Z328+Z329+Z330+Z331+Z332+Z333+Z334+Z335+Z337+Z338+Z339+Z340+Z341, "NA")</f>
        <v>9093.94</v>
      </c>
      <c r="AA343" s="15">
        <f>IFERROR(Z343/Z444, "NA")</f>
        <v>0.1383521592298721</v>
      </c>
      <c r="AB343" s="2"/>
      <c r="AC343" s="14">
        <f t="shared" si="87"/>
        <v>-5504.07</v>
      </c>
      <c r="AD343" s="15">
        <f>IFERROR(AC343/AC444, "NA")</f>
        <v>-0.81169360725677875</v>
      </c>
    </row>
    <row r="344" spans="1:30" ht="16.5" customHeight="1" x14ac:dyDescent="0.45">
      <c r="A344" s="21" t="s">
        <v>314</v>
      </c>
      <c r="B344" s="14">
        <f>IFERROR(B328+B329+B330+B331+B332+B333+B334+B335+B337+B338+B339+B340+B341, "NA")</f>
        <v>14598.01</v>
      </c>
      <c r="C344" s="15">
        <f>IFERROR(B344/B444, "NA")</f>
        <v>0.20132034502184828</v>
      </c>
      <c r="D344" s="2"/>
      <c r="E344" s="14">
        <f>IFERROR(E328+E329+E330+E331+E332+E333+E334+E335+E337+E338+E339+E340+E341, "NA")</f>
        <v>14036.36</v>
      </c>
      <c r="F344" s="15">
        <f>IFERROR(E344/E444, "NA")</f>
        <v>0.2058260052346739</v>
      </c>
      <c r="G344" s="2"/>
      <c r="H344" s="14">
        <f t="shared" si="84"/>
        <v>-561.64999999999964</v>
      </c>
      <c r="I344" s="15">
        <f>IFERROR(H344/H444, "NA")</f>
        <v>-0.13012965468665999</v>
      </c>
      <c r="J344" s="2"/>
      <c r="K344" s="14">
        <f>IFERROR(K328+K329+K330+K331+K332+K333+K334+K335+K337+K338+K339+K340+K341, "NA")</f>
        <v>9093.94</v>
      </c>
      <c r="L344" s="15">
        <f>IFERROR(K344/K444, "NA")</f>
        <v>0.1383521592298721</v>
      </c>
      <c r="M344" s="2"/>
      <c r="N344" s="14">
        <f t="shared" si="85"/>
        <v>-5504.07</v>
      </c>
      <c r="O344" s="15">
        <f>IFERROR(N344/N444, "NA")</f>
        <v>-0.81169360725677875</v>
      </c>
      <c r="P344" s="2"/>
      <c r="Q344" s="14">
        <f>IFERROR(Q328+Q329+Q330+Q331+Q332+Q333+Q334+Q335+Q337+Q338+Q339+Q340+Q341, "NA")</f>
        <v>14598.01</v>
      </c>
      <c r="R344" s="15">
        <f>IFERROR(Q344/Q444, "NA")</f>
        <v>0.20132034502184828</v>
      </c>
      <c r="S344" s="2"/>
      <c r="T344" s="14">
        <f>IFERROR(T328+T329+T330+T331+T332+T333+T334+T335+T337+T338+T339+T340+T341, "NA")</f>
        <v>14036.36</v>
      </c>
      <c r="U344" s="15">
        <f>IFERROR(T344/T444, "NA")</f>
        <v>0.2058260052346739</v>
      </c>
      <c r="V344" s="2"/>
      <c r="W344" s="14">
        <f t="shared" si="86"/>
        <v>-561.64999999999964</v>
      </c>
      <c r="X344" s="15">
        <f>IFERROR(W344/W444, "NA")</f>
        <v>-0.13012965468665999</v>
      </c>
      <c r="Y344" s="2"/>
      <c r="Z344" s="14">
        <f>IFERROR(Z328+Z329+Z330+Z331+Z332+Z333+Z334+Z335+Z337+Z338+Z339+Z340+Z341, "NA")</f>
        <v>9093.94</v>
      </c>
      <c r="AA344" s="15">
        <f>IFERROR(Z344/Z444, "NA")</f>
        <v>0.1383521592298721</v>
      </c>
      <c r="AB344" s="2"/>
      <c r="AC344" s="14">
        <f t="shared" si="87"/>
        <v>-5504.07</v>
      </c>
      <c r="AD344" s="15">
        <f>IFERROR(AC344/AC444, "NA")</f>
        <v>-0.81169360725677875</v>
      </c>
    </row>
    <row r="345" spans="1:30" ht="16.5" customHeight="1" x14ac:dyDescent="0.45">
      <c r="A345" s="22" t="s">
        <v>315</v>
      </c>
      <c r="B345" s="23">
        <f>IFERROR(B198-B325-B344, "NA")</f>
        <v>-5781.7800000000079</v>
      </c>
      <c r="C345" s="24">
        <f>IFERROR(B345/B444, "NA")</f>
        <v>-7.9736206814519484E-2</v>
      </c>
      <c r="D345" s="25"/>
      <c r="E345" s="23">
        <f>IFERROR(E198-E325-E344, "NA")</f>
        <v>-5381.9500000000153</v>
      </c>
      <c r="F345" s="24">
        <f>IFERROR(E345/E444, "NA")</f>
        <v>-7.8919696336710962E-2</v>
      </c>
      <c r="G345" s="25"/>
      <c r="H345" s="23">
        <f>IFERROR(B345-E345, "NA")</f>
        <v>-399.82999999999265</v>
      </c>
      <c r="I345" s="24">
        <f>IFERROR(H345/H444, "NA")</f>
        <v>-9.2637300513427112E-2</v>
      </c>
      <c r="J345" s="25"/>
      <c r="K345" s="23">
        <f>IFERROR(K198-K325-K344, "NA")</f>
        <v>-6005.5199999999986</v>
      </c>
      <c r="L345" s="24">
        <f>IFERROR(K345/K444, "NA")</f>
        <v>-9.1365971108032518E-2</v>
      </c>
      <c r="M345" s="25"/>
      <c r="N345" s="23">
        <f>IFERROR(B345-K345, "NA")</f>
        <v>223.73999999999069</v>
      </c>
      <c r="O345" s="24">
        <f>IFERROR(N345/N444, "NA")</f>
        <v>3.2995279436421436E-2</v>
      </c>
      <c r="P345" s="25"/>
      <c r="Q345" s="23">
        <f>IFERROR(Q198-Q325-Q344, "NA")</f>
        <v>-5781.7800000000079</v>
      </c>
      <c r="R345" s="24">
        <f>IFERROR(Q345/Q444, "NA")</f>
        <v>-7.9736206814519484E-2</v>
      </c>
      <c r="S345" s="25"/>
      <c r="T345" s="23">
        <f>IFERROR(T198-T325-T344, "NA")</f>
        <v>-5381.9500000000153</v>
      </c>
      <c r="U345" s="24">
        <f>IFERROR(T345/T444, "NA")</f>
        <v>-7.8919696336710962E-2</v>
      </c>
      <c r="V345" s="25"/>
      <c r="W345" s="23">
        <f>IFERROR(Q345-T345, "NA")</f>
        <v>-399.82999999999265</v>
      </c>
      <c r="X345" s="24">
        <f>IFERROR(W345/W444, "NA")</f>
        <v>-9.2637300513427112E-2</v>
      </c>
      <c r="Y345" s="25"/>
      <c r="Z345" s="23">
        <f>IFERROR(Z198-Z325-Z344, "NA")</f>
        <v>-6005.5199999999986</v>
      </c>
      <c r="AA345" s="24">
        <f>IFERROR(Z345/Z444, "NA")</f>
        <v>-9.1365971108032518E-2</v>
      </c>
      <c r="AB345" s="25"/>
      <c r="AC345" s="23">
        <f>IFERROR(Q345-Z345, "NA")</f>
        <v>223.73999999999069</v>
      </c>
      <c r="AD345" s="24">
        <f>IFERROR(AC345/AC444, "NA")</f>
        <v>3.2995279436421436E-2</v>
      </c>
    </row>
    <row r="346" spans="1:30" ht="16.5" customHeight="1" x14ac:dyDescent="0.45">
      <c r="A346" s="1" t="s">
        <v>316</v>
      </c>
      <c r="B346" s="2"/>
      <c r="C346" s="3"/>
      <c r="D346" s="4"/>
      <c r="E346" s="2"/>
      <c r="F346" s="3"/>
      <c r="G346" s="4"/>
      <c r="H346" s="2"/>
      <c r="I346" s="3"/>
      <c r="J346" s="4"/>
      <c r="K346" s="2"/>
      <c r="L346" s="3"/>
      <c r="M346" s="4"/>
      <c r="N346" s="2"/>
      <c r="O346" s="3"/>
      <c r="P346" s="4"/>
      <c r="Q346" s="2"/>
      <c r="R346" s="3"/>
      <c r="S346" s="4"/>
      <c r="T346" s="2"/>
      <c r="U346" s="3"/>
      <c r="V346" s="4"/>
      <c r="W346" s="2"/>
      <c r="X346" s="3"/>
      <c r="Y346" s="4"/>
      <c r="Z346" s="2"/>
      <c r="AA346" s="3"/>
      <c r="AB346" s="4"/>
      <c r="AC346" s="2"/>
      <c r="AD346" s="3"/>
    </row>
    <row r="347" spans="1:30" ht="16.5" hidden="1" customHeight="1" x14ac:dyDescent="0.45">
      <c r="A347" s="20" t="s">
        <v>317</v>
      </c>
      <c r="B347" s="7">
        <v>0</v>
      </c>
      <c r="C347" s="8">
        <f>IFERROR(B347/B444, "NA")</f>
        <v>0</v>
      </c>
      <c r="D347" s="9"/>
      <c r="E347" s="7">
        <v>0</v>
      </c>
      <c r="F347" s="8">
        <f>IFERROR(E347/E444, "NA")</f>
        <v>0</v>
      </c>
      <c r="G347" s="9"/>
      <c r="H347" s="10">
        <f>IFERROR(-(B347-E347), "NA")</f>
        <v>0</v>
      </c>
      <c r="I347" s="8">
        <f>IFERROR(H347/H444, "NA")</f>
        <v>0</v>
      </c>
      <c r="J347" s="9"/>
      <c r="K347" s="7">
        <v>0</v>
      </c>
      <c r="L347" s="8">
        <f>IFERROR(K347/K444, "NA")</f>
        <v>0</v>
      </c>
      <c r="M347" s="9"/>
      <c r="N347" s="10">
        <f>IFERROR(-(B347-K347), "NA")</f>
        <v>0</v>
      </c>
      <c r="O347" s="8">
        <f>IFERROR(N347/N444, "NA")</f>
        <v>0</v>
      </c>
      <c r="P347" s="9"/>
      <c r="Q347" s="7">
        <v>0</v>
      </c>
      <c r="R347" s="8">
        <f>IFERROR(Q347/Q444, "NA")</f>
        <v>0</v>
      </c>
      <c r="S347" s="9"/>
      <c r="T347" s="7">
        <v>0</v>
      </c>
      <c r="U347" s="8">
        <f>IFERROR(T347/T444, "NA")</f>
        <v>0</v>
      </c>
      <c r="V347" s="9"/>
      <c r="W347" s="10">
        <f>IFERROR(-(Q347-T347), "NA")</f>
        <v>0</v>
      </c>
      <c r="X347" s="8">
        <f>IFERROR(W347/W444, "NA")</f>
        <v>0</v>
      </c>
      <c r="Y347" s="9"/>
      <c r="Z347" s="7">
        <v>0</v>
      </c>
      <c r="AA347" s="8">
        <f>IFERROR(Z347/Z444, "NA")</f>
        <v>0</v>
      </c>
      <c r="AB347" s="9"/>
      <c r="AC347" s="10">
        <f>IFERROR(-(Q347-Z347), "NA")</f>
        <v>0</v>
      </c>
      <c r="AD347" s="8">
        <f>IFERROR(AC347/AC444, "NA")</f>
        <v>0</v>
      </c>
    </row>
    <row r="348" spans="1:30" ht="16.5" customHeight="1" x14ac:dyDescent="0.45">
      <c r="A348" s="5" t="s">
        <v>318</v>
      </c>
      <c r="B348" s="2"/>
      <c r="C348" s="3"/>
      <c r="D348" s="4"/>
      <c r="E348" s="2"/>
      <c r="F348" s="3"/>
      <c r="G348" s="4"/>
      <c r="H348" s="2"/>
      <c r="I348" s="3"/>
      <c r="J348" s="4"/>
      <c r="K348" s="2"/>
      <c r="L348" s="3"/>
      <c r="M348" s="4"/>
      <c r="N348" s="2"/>
      <c r="O348" s="3"/>
      <c r="P348" s="4"/>
      <c r="Q348" s="2"/>
      <c r="R348" s="3"/>
      <c r="S348" s="4"/>
      <c r="T348" s="2"/>
      <c r="U348" s="3"/>
      <c r="V348" s="4"/>
      <c r="W348" s="2"/>
      <c r="X348" s="3"/>
      <c r="Y348" s="4"/>
      <c r="Z348" s="2"/>
      <c r="AA348" s="3"/>
      <c r="AB348" s="4"/>
      <c r="AC348" s="2"/>
      <c r="AD348" s="3"/>
    </row>
    <row r="349" spans="1:30" ht="16.5" hidden="1" customHeight="1" x14ac:dyDescent="0.45">
      <c r="A349" s="6" t="s">
        <v>318</v>
      </c>
      <c r="B349" s="7">
        <v>0</v>
      </c>
      <c r="C349" s="8">
        <f>IFERROR(B349/B444, "NA")</f>
        <v>0</v>
      </c>
      <c r="D349" s="9"/>
      <c r="E349" s="7">
        <v>0</v>
      </c>
      <c r="F349" s="8">
        <f>IFERROR(E349/E444, "NA")</f>
        <v>0</v>
      </c>
      <c r="G349" s="9"/>
      <c r="H349" s="10">
        <f t="shared" ref="H349:H358" si="88">IFERROR(-(B349-E349), "NA")</f>
        <v>0</v>
      </c>
      <c r="I349" s="8">
        <f>IFERROR(H349/H444, "NA")</f>
        <v>0</v>
      </c>
      <c r="J349" s="9"/>
      <c r="K349" s="7">
        <v>0</v>
      </c>
      <c r="L349" s="8">
        <f>IFERROR(K349/K444, "NA")</f>
        <v>0</v>
      </c>
      <c r="M349" s="9"/>
      <c r="N349" s="10">
        <f t="shared" ref="N349:N358" si="89">IFERROR(-(B349-K349), "NA")</f>
        <v>0</v>
      </c>
      <c r="O349" s="8">
        <f>IFERROR(N349/N444, "NA")</f>
        <v>0</v>
      </c>
      <c r="P349" s="9"/>
      <c r="Q349" s="7">
        <v>0</v>
      </c>
      <c r="R349" s="8">
        <f>IFERROR(Q349/Q444, "NA")</f>
        <v>0</v>
      </c>
      <c r="S349" s="9"/>
      <c r="T349" s="7">
        <v>0</v>
      </c>
      <c r="U349" s="8">
        <f>IFERROR(T349/T444, "NA")</f>
        <v>0</v>
      </c>
      <c r="V349" s="9"/>
      <c r="W349" s="10">
        <f t="shared" ref="W349:W358" si="90">IFERROR(-(Q349-T349), "NA")</f>
        <v>0</v>
      </c>
      <c r="X349" s="8">
        <f>IFERROR(W349/W444, "NA")</f>
        <v>0</v>
      </c>
      <c r="Y349" s="9"/>
      <c r="Z349" s="7">
        <v>0</v>
      </c>
      <c r="AA349" s="8">
        <f>IFERROR(Z349/Z444, "NA")</f>
        <v>0</v>
      </c>
      <c r="AB349" s="9"/>
      <c r="AC349" s="10">
        <f t="shared" ref="AC349:AC358" si="91">IFERROR(-(Q349-Z349), "NA")</f>
        <v>0</v>
      </c>
      <c r="AD349" s="8">
        <f>IFERROR(AC349/AC444, "NA")</f>
        <v>0</v>
      </c>
    </row>
    <row r="350" spans="1:30" ht="16.5" hidden="1" customHeight="1" x14ac:dyDescent="0.45">
      <c r="A350" s="6" t="s">
        <v>319</v>
      </c>
      <c r="B350" s="7">
        <v>0</v>
      </c>
      <c r="C350" s="8">
        <f>IFERROR(B350/B444, "NA")</f>
        <v>0</v>
      </c>
      <c r="D350" s="9"/>
      <c r="E350" s="7">
        <v>0</v>
      </c>
      <c r="F350" s="8">
        <f>IFERROR(E350/E444, "NA")</f>
        <v>0</v>
      </c>
      <c r="G350" s="9"/>
      <c r="H350" s="10">
        <f t="shared" si="88"/>
        <v>0</v>
      </c>
      <c r="I350" s="8">
        <f>IFERROR(H350/H444, "NA")</f>
        <v>0</v>
      </c>
      <c r="J350" s="9"/>
      <c r="K350" s="7">
        <v>0</v>
      </c>
      <c r="L350" s="8">
        <f>IFERROR(K350/K444, "NA")</f>
        <v>0</v>
      </c>
      <c r="M350" s="9"/>
      <c r="N350" s="10">
        <f t="shared" si="89"/>
        <v>0</v>
      </c>
      <c r="O350" s="8">
        <f>IFERROR(N350/N444, "NA")</f>
        <v>0</v>
      </c>
      <c r="P350" s="9"/>
      <c r="Q350" s="7">
        <v>0</v>
      </c>
      <c r="R350" s="8">
        <f>IFERROR(Q350/Q444, "NA")</f>
        <v>0</v>
      </c>
      <c r="S350" s="9"/>
      <c r="T350" s="7">
        <v>0</v>
      </c>
      <c r="U350" s="8">
        <f>IFERROR(T350/T444, "NA")</f>
        <v>0</v>
      </c>
      <c r="V350" s="9"/>
      <c r="W350" s="10">
        <f t="shared" si="90"/>
        <v>0</v>
      </c>
      <c r="X350" s="8">
        <f>IFERROR(W350/W444, "NA")</f>
        <v>0</v>
      </c>
      <c r="Y350" s="9"/>
      <c r="Z350" s="7">
        <v>0</v>
      </c>
      <c r="AA350" s="8">
        <f>IFERROR(Z350/Z444, "NA")</f>
        <v>0</v>
      </c>
      <c r="AB350" s="9"/>
      <c r="AC350" s="10">
        <f t="shared" si="91"/>
        <v>0</v>
      </c>
      <c r="AD350" s="8">
        <f>IFERROR(AC350/AC444, "NA")</f>
        <v>0</v>
      </c>
    </row>
    <row r="351" spans="1:30" ht="16.5" hidden="1" customHeight="1" x14ac:dyDescent="0.45">
      <c r="A351" s="6" t="s">
        <v>320</v>
      </c>
      <c r="B351" s="7">
        <v>0</v>
      </c>
      <c r="C351" s="8">
        <f>IFERROR(B351/B444, "NA")</f>
        <v>0</v>
      </c>
      <c r="D351" s="9"/>
      <c r="E351" s="7">
        <v>0</v>
      </c>
      <c r="F351" s="8">
        <f>IFERROR(E351/E444, "NA")</f>
        <v>0</v>
      </c>
      <c r="G351" s="9"/>
      <c r="H351" s="10">
        <f t="shared" si="88"/>
        <v>0</v>
      </c>
      <c r="I351" s="8">
        <f>IFERROR(H351/H444, "NA")</f>
        <v>0</v>
      </c>
      <c r="J351" s="9"/>
      <c r="K351" s="7">
        <v>0</v>
      </c>
      <c r="L351" s="8">
        <f>IFERROR(K351/K444, "NA")</f>
        <v>0</v>
      </c>
      <c r="M351" s="9"/>
      <c r="N351" s="10">
        <f t="shared" si="89"/>
        <v>0</v>
      </c>
      <c r="O351" s="8">
        <f>IFERROR(N351/N444, "NA")</f>
        <v>0</v>
      </c>
      <c r="P351" s="9"/>
      <c r="Q351" s="7">
        <v>0</v>
      </c>
      <c r="R351" s="8">
        <f>IFERROR(Q351/Q444, "NA")</f>
        <v>0</v>
      </c>
      <c r="S351" s="9"/>
      <c r="T351" s="7">
        <v>0</v>
      </c>
      <c r="U351" s="8">
        <f>IFERROR(T351/T444, "NA")</f>
        <v>0</v>
      </c>
      <c r="V351" s="9"/>
      <c r="W351" s="10">
        <f t="shared" si="90"/>
        <v>0</v>
      </c>
      <c r="X351" s="8">
        <f>IFERROR(W351/W444, "NA")</f>
        <v>0</v>
      </c>
      <c r="Y351" s="9"/>
      <c r="Z351" s="7">
        <v>0</v>
      </c>
      <c r="AA351" s="8">
        <f>IFERROR(Z351/Z444, "NA")</f>
        <v>0</v>
      </c>
      <c r="AB351" s="9"/>
      <c r="AC351" s="10">
        <f t="shared" si="91"/>
        <v>0</v>
      </c>
      <c r="AD351" s="8">
        <f>IFERROR(AC351/AC444, "NA")</f>
        <v>0</v>
      </c>
    </row>
    <row r="352" spans="1:30" ht="16.5" hidden="1" customHeight="1" x14ac:dyDescent="0.45">
      <c r="A352" s="6" t="s">
        <v>321</v>
      </c>
      <c r="B352" s="7">
        <v>0</v>
      </c>
      <c r="C352" s="8">
        <f>IFERROR(B352/B444, "NA")</f>
        <v>0</v>
      </c>
      <c r="D352" s="9"/>
      <c r="E352" s="7">
        <v>0</v>
      </c>
      <c r="F352" s="8">
        <f>IFERROR(E352/E444, "NA")</f>
        <v>0</v>
      </c>
      <c r="G352" s="9"/>
      <c r="H352" s="10">
        <f t="shared" si="88"/>
        <v>0</v>
      </c>
      <c r="I352" s="8">
        <f>IFERROR(H352/H444, "NA")</f>
        <v>0</v>
      </c>
      <c r="J352" s="9"/>
      <c r="K352" s="7">
        <v>0</v>
      </c>
      <c r="L352" s="8">
        <f>IFERROR(K352/K444, "NA")</f>
        <v>0</v>
      </c>
      <c r="M352" s="9"/>
      <c r="N352" s="10">
        <f t="shared" si="89"/>
        <v>0</v>
      </c>
      <c r="O352" s="8">
        <f>IFERROR(N352/N444, "NA")</f>
        <v>0</v>
      </c>
      <c r="P352" s="9"/>
      <c r="Q352" s="7">
        <v>0</v>
      </c>
      <c r="R352" s="8">
        <f>IFERROR(Q352/Q444, "NA")</f>
        <v>0</v>
      </c>
      <c r="S352" s="9"/>
      <c r="T352" s="7">
        <v>0</v>
      </c>
      <c r="U352" s="8">
        <f>IFERROR(T352/T444, "NA")</f>
        <v>0</v>
      </c>
      <c r="V352" s="9"/>
      <c r="W352" s="10">
        <f t="shared" si="90"/>
        <v>0</v>
      </c>
      <c r="X352" s="8">
        <f>IFERROR(W352/W444, "NA")</f>
        <v>0</v>
      </c>
      <c r="Y352" s="9"/>
      <c r="Z352" s="7">
        <v>0</v>
      </c>
      <c r="AA352" s="8">
        <f>IFERROR(Z352/Z444, "NA")</f>
        <v>0</v>
      </c>
      <c r="AB352" s="9"/>
      <c r="AC352" s="10">
        <f t="shared" si="91"/>
        <v>0</v>
      </c>
      <c r="AD352" s="8">
        <f>IFERROR(AC352/AC444, "NA")</f>
        <v>0</v>
      </c>
    </row>
    <row r="353" spans="1:30" ht="16.5" hidden="1" customHeight="1" x14ac:dyDescent="0.45">
      <c r="A353" s="6" t="s">
        <v>322</v>
      </c>
      <c r="B353" s="7">
        <v>0</v>
      </c>
      <c r="C353" s="8">
        <f>IFERROR(B353/B444, "NA")</f>
        <v>0</v>
      </c>
      <c r="D353" s="9"/>
      <c r="E353" s="7">
        <v>0</v>
      </c>
      <c r="F353" s="8">
        <f>IFERROR(E353/E444, "NA")</f>
        <v>0</v>
      </c>
      <c r="G353" s="9"/>
      <c r="H353" s="10">
        <f t="shared" si="88"/>
        <v>0</v>
      </c>
      <c r="I353" s="8">
        <f>IFERROR(H353/H444, "NA")</f>
        <v>0</v>
      </c>
      <c r="J353" s="9"/>
      <c r="K353" s="7">
        <v>0</v>
      </c>
      <c r="L353" s="8">
        <f>IFERROR(K353/K444, "NA")</f>
        <v>0</v>
      </c>
      <c r="M353" s="9"/>
      <c r="N353" s="10">
        <f t="shared" si="89"/>
        <v>0</v>
      </c>
      <c r="O353" s="8">
        <f>IFERROR(N353/N444, "NA")</f>
        <v>0</v>
      </c>
      <c r="P353" s="9"/>
      <c r="Q353" s="7">
        <v>0</v>
      </c>
      <c r="R353" s="8">
        <f>IFERROR(Q353/Q444, "NA")</f>
        <v>0</v>
      </c>
      <c r="S353" s="9"/>
      <c r="T353" s="7">
        <v>0</v>
      </c>
      <c r="U353" s="8">
        <f>IFERROR(T353/T444, "NA")</f>
        <v>0</v>
      </c>
      <c r="V353" s="9"/>
      <c r="W353" s="10">
        <f t="shared" si="90"/>
        <v>0</v>
      </c>
      <c r="X353" s="8">
        <f>IFERROR(W353/W444, "NA")</f>
        <v>0</v>
      </c>
      <c r="Y353" s="9"/>
      <c r="Z353" s="7">
        <v>0</v>
      </c>
      <c r="AA353" s="8">
        <f>IFERROR(Z353/Z444, "NA")</f>
        <v>0</v>
      </c>
      <c r="AB353" s="9"/>
      <c r="AC353" s="10">
        <f t="shared" si="91"/>
        <v>0</v>
      </c>
      <c r="AD353" s="8">
        <f>IFERROR(AC353/AC444, "NA")</f>
        <v>0</v>
      </c>
    </row>
    <row r="354" spans="1:30" ht="16.5" hidden="1" customHeight="1" x14ac:dyDescent="0.45">
      <c r="A354" s="6" t="s">
        <v>323</v>
      </c>
      <c r="B354" s="7">
        <v>0</v>
      </c>
      <c r="C354" s="8">
        <f>IFERROR(B354/B444, "NA")</f>
        <v>0</v>
      </c>
      <c r="D354" s="9"/>
      <c r="E354" s="7">
        <v>0</v>
      </c>
      <c r="F354" s="8">
        <f>IFERROR(E354/E444, "NA")</f>
        <v>0</v>
      </c>
      <c r="G354" s="9"/>
      <c r="H354" s="10">
        <f t="shared" si="88"/>
        <v>0</v>
      </c>
      <c r="I354" s="8">
        <f>IFERROR(H354/H444, "NA")</f>
        <v>0</v>
      </c>
      <c r="J354" s="9"/>
      <c r="K354" s="7">
        <v>0</v>
      </c>
      <c r="L354" s="8">
        <f>IFERROR(K354/K444, "NA")</f>
        <v>0</v>
      </c>
      <c r="M354" s="9"/>
      <c r="N354" s="10">
        <f t="shared" si="89"/>
        <v>0</v>
      </c>
      <c r="O354" s="8">
        <f>IFERROR(N354/N444, "NA")</f>
        <v>0</v>
      </c>
      <c r="P354" s="9"/>
      <c r="Q354" s="7">
        <v>0</v>
      </c>
      <c r="R354" s="8">
        <f>IFERROR(Q354/Q444, "NA")</f>
        <v>0</v>
      </c>
      <c r="S354" s="9"/>
      <c r="T354" s="7">
        <v>0</v>
      </c>
      <c r="U354" s="8">
        <f>IFERROR(T354/T444, "NA")</f>
        <v>0</v>
      </c>
      <c r="V354" s="9"/>
      <c r="W354" s="10">
        <f t="shared" si="90"/>
        <v>0</v>
      </c>
      <c r="X354" s="8">
        <f>IFERROR(W354/W444, "NA")</f>
        <v>0</v>
      </c>
      <c r="Y354" s="9"/>
      <c r="Z354" s="7">
        <v>0</v>
      </c>
      <c r="AA354" s="8">
        <f>IFERROR(Z354/Z444, "NA")</f>
        <v>0</v>
      </c>
      <c r="AB354" s="9"/>
      <c r="AC354" s="10">
        <f t="shared" si="91"/>
        <v>0</v>
      </c>
      <c r="AD354" s="8">
        <f>IFERROR(AC354/AC444, "NA")</f>
        <v>0</v>
      </c>
    </row>
    <row r="355" spans="1:30" ht="16.5" hidden="1" customHeight="1" x14ac:dyDescent="0.45">
      <c r="A355" s="6" t="s">
        <v>324</v>
      </c>
      <c r="B355" s="7">
        <v>0</v>
      </c>
      <c r="C355" s="8">
        <f>IFERROR(B355/B444, "NA")</f>
        <v>0</v>
      </c>
      <c r="D355" s="9"/>
      <c r="E355" s="7">
        <v>0</v>
      </c>
      <c r="F355" s="8">
        <f>IFERROR(E355/E444, "NA")</f>
        <v>0</v>
      </c>
      <c r="G355" s="9"/>
      <c r="H355" s="10">
        <f t="shared" si="88"/>
        <v>0</v>
      </c>
      <c r="I355" s="8">
        <f>IFERROR(H355/H444, "NA")</f>
        <v>0</v>
      </c>
      <c r="J355" s="9"/>
      <c r="K355" s="7">
        <v>0</v>
      </c>
      <c r="L355" s="8">
        <f>IFERROR(K355/K444, "NA")</f>
        <v>0</v>
      </c>
      <c r="M355" s="9"/>
      <c r="N355" s="10">
        <f t="shared" si="89"/>
        <v>0</v>
      </c>
      <c r="O355" s="8">
        <f>IFERROR(N355/N444, "NA")</f>
        <v>0</v>
      </c>
      <c r="P355" s="9"/>
      <c r="Q355" s="7">
        <v>0</v>
      </c>
      <c r="R355" s="8">
        <f>IFERROR(Q355/Q444, "NA")</f>
        <v>0</v>
      </c>
      <c r="S355" s="9"/>
      <c r="T355" s="7">
        <v>0</v>
      </c>
      <c r="U355" s="8">
        <f>IFERROR(T355/T444, "NA")</f>
        <v>0</v>
      </c>
      <c r="V355" s="9"/>
      <c r="W355" s="10">
        <f t="shared" si="90"/>
        <v>0</v>
      </c>
      <c r="X355" s="8">
        <f>IFERROR(W355/W444, "NA")</f>
        <v>0</v>
      </c>
      <c r="Y355" s="9"/>
      <c r="Z355" s="7">
        <v>0</v>
      </c>
      <c r="AA355" s="8">
        <f>IFERROR(Z355/Z444, "NA")</f>
        <v>0</v>
      </c>
      <c r="AB355" s="9"/>
      <c r="AC355" s="10">
        <f t="shared" si="91"/>
        <v>0</v>
      </c>
      <c r="AD355" s="8">
        <f>IFERROR(AC355/AC444, "NA")</f>
        <v>0</v>
      </c>
    </row>
    <row r="356" spans="1:30" ht="16.5" hidden="1" customHeight="1" x14ac:dyDescent="0.45">
      <c r="A356" s="6" t="s">
        <v>325</v>
      </c>
      <c r="B356" s="7">
        <v>0</v>
      </c>
      <c r="C356" s="8">
        <f>IFERROR(B356/B444, "NA")</f>
        <v>0</v>
      </c>
      <c r="D356" s="9"/>
      <c r="E356" s="7">
        <v>0</v>
      </c>
      <c r="F356" s="8">
        <f>IFERROR(E356/E444, "NA")</f>
        <v>0</v>
      </c>
      <c r="G356" s="9"/>
      <c r="H356" s="10">
        <f t="shared" si="88"/>
        <v>0</v>
      </c>
      <c r="I356" s="8">
        <f>IFERROR(H356/H444, "NA")</f>
        <v>0</v>
      </c>
      <c r="J356" s="9"/>
      <c r="K356" s="7">
        <v>0</v>
      </c>
      <c r="L356" s="8">
        <f>IFERROR(K356/K444, "NA")</f>
        <v>0</v>
      </c>
      <c r="M356" s="9"/>
      <c r="N356" s="10">
        <f t="shared" si="89"/>
        <v>0</v>
      </c>
      <c r="O356" s="8">
        <f>IFERROR(N356/N444, "NA")</f>
        <v>0</v>
      </c>
      <c r="P356" s="9"/>
      <c r="Q356" s="7">
        <v>0</v>
      </c>
      <c r="R356" s="8">
        <f>IFERROR(Q356/Q444, "NA")</f>
        <v>0</v>
      </c>
      <c r="S356" s="9"/>
      <c r="T356" s="7">
        <v>0</v>
      </c>
      <c r="U356" s="8">
        <f>IFERROR(T356/T444, "NA")</f>
        <v>0</v>
      </c>
      <c r="V356" s="9"/>
      <c r="W356" s="10">
        <f t="shared" si="90"/>
        <v>0</v>
      </c>
      <c r="X356" s="8">
        <f>IFERROR(W356/W444, "NA")</f>
        <v>0</v>
      </c>
      <c r="Y356" s="9"/>
      <c r="Z356" s="7">
        <v>0</v>
      </c>
      <c r="AA356" s="8">
        <f>IFERROR(Z356/Z444, "NA")</f>
        <v>0</v>
      </c>
      <c r="AB356" s="9"/>
      <c r="AC356" s="10">
        <f t="shared" si="91"/>
        <v>0</v>
      </c>
      <c r="AD356" s="8">
        <f>IFERROR(AC356/AC444, "NA")</f>
        <v>0</v>
      </c>
    </row>
    <row r="357" spans="1:30" ht="16.5" hidden="1" customHeight="1" x14ac:dyDescent="0.45">
      <c r="A357" s="6" t="s">
        <v>326</v>
      </c>
      <c r="B357" s="7">
        <v>0</v>
      </c>
      <c r="C357" s="8">
        <f>IFERROR(B357/B444, "NA")</f>
        <v>0</v>
      </c>
      <c r="D357" s="9"/>
      <c r="E357" s="7">
        <v>0</v>
      </c>
      <c r="F357" s="8">
        <f>IFERROR(E357/E444, "NA")</f>
        <v>0</v>
      </c>
      <c r="G357" s="9"/>
      <c r="H357" s="10">
        <f t="shared" si="88"/>
        <v>0</v>
      </c>
      <c r="I357" s="8">
        <f>IFERROR(H357/H444, "NA")</f>
        <v>0</v>
      </c>
      <c r="J357" s="9"/>
      <c r="K357" s="7">
        <v>0</v>
      </c>
      <c r="L357" s="8">
        <f>IFERROR(K357/K444, "NA")</f>
        <v>0</v>
      </c>
      <c r="M357" s="9"/>
      <c r="N357" s="10">
        <f t="shared" si="89"/>
        <v>0</v>
      </c>
      <c r="O357" s="8">
        <f>IFERROR(N357/N444, "NA")</f>
        <v>0</v>
      </c>
      <c r="P357" s="9"/>
      <c r="Q357" s="7">
        <v>0</v>
      </c>
      <c r="R357" s="8">
        <f>IFERROR(Q357/Q444, "NA")</f>
        <v>0</v>
      </c>
      <c r="S357" s="9"/>
      <c r="T357" s="7">
        <v>0</v>
      </c>
      <c r="U357" s="8">
        <f>IFERROR(T357/T444, "NA")</f>
        <v>0</v>
      </c>
      <c r="V357" s="9"/>
      <c r="W357" s="10">
        <f t="shared" si="90"/>
        <v>0</v>
      </c>
      <c r="X357" s="8">
        <f>IFERROR(W357/W444, "NA")</f>
        <v>0</v>
      </c>
      <c r="Y357" s="9"/>
      <c r="Z357" s="7">
        <v>0</v>
      </c>
      <c r="AA357" s="8">
        <f>IFERROR(Z357/Z444, "NA")</f>
        <v>0</v>
      </c>
      <c r="AB357" s="9"/>
      <c r="AC357" s="10">
        <f t="shared" si="91"/>
        <v>0</v>
      </c>
      <c r="AD357" s="8">
        <f>IFERROR(AC357/AC444, "NA")</f>
        <v>0</v>
      </c>
    </row>
    <row r="358" spans="1:30" ht="16.5" customHeight="1" x14ac:dyDescent="0.45">
      <c r="A358" s="19" t="s">
        <v>327</v>
      </c>
      <c r="B358" s="14">
        <f>IFERROR(B349+B350+B351+B352+B353+B354+B355+B356+B357, "NA")</f>
        <v>0</v>
      </c>
      <c r="C358" s="15">
        <f>IFERROR(B358/B444, "NA")</f>
        <v>0</v>
      </c>
      <c r="D358" s="2"/>
      <c r="E358" s="14">
        <f>IFERROR(E349+E350+E351+E352+E353+E354+E355+E356+E357, "NA")</f>
        <v>0</v>
      </c>
      <c r="F358" s="15">
        <f>IFERROR(E358/E444, "NA")</f>
        <v>0</v>
      </c>
      <c r="G358" s="2"/>
      <c r="H358" s="14">
        <f t="shared" si="88"/>
        <v>0</v>
      </c>
      <c r="I358" s="15">
        <f>IFERROR(H358/H444, "NA")</f>
        <v>0</v>
      </c>
      <c r="J358" s="2"/>
      <c r="K358" s="14">
        <f>IFERROR(K349+K350+K351+K352+K353+K354+K355+K356+K357, "NA")</f>
        <v>0</v>
      </c>
      <c r="L358" s="15">
        <f>IFERROR(K358/K444, "NA")</f>
        <v>0</v>
      </c>
      <c r="M358" s="2"/>
      <c r="N358" s="14">
        <f t="shared" si="89"/>
        <v>0</v>
      </c>
      <c r="O358" s="15">
        <f>IFERROR(N358/N444, "NA")</f>
        <v>0</v>
      </c>
      <c r="P358" s="2"/>
      <c r="Q358" s="14">
        <f>IFERROR(Q349+Q350+Q351+Q352+Q353+Q354+Q355+Q356+Q357, "NA")</f>
        <v>0</v>
      </c>
      <c r="R358" s="15">
        <f>IFERROR(Q358/Q444, "NA")</f>
        <v>0</v>
      </c>
      <c r="S358" s="2"/>
      <c r="T358" s="14">
        <f>IFERROR(T349+T350+T351+T352+T353+T354+T355+T356+T357, "NA")</f>
        <v>0</v>
      </c>
      <c r="U358" s="15">
        <f>IFERROR(T358/T444, "NA")</f>
        <v>0</v>
      </c>
      <c r="V358" s="2"/>
      <c r="W358" s="14">
        <f t="shared" si="90"/>
        <v>0</v>
      </c>
      <c r="X358" s="15">
        <f>IFERROR(W358/W444, "NA")</f>
        <v>0</v>
      </c>
      <c r="Y358" s="2"/>
      <c r="Z358" s="14">
        <f>IFERROR(Z349+Z350+Z351+Z352+Z353+Z354+Z355+Z356+Z357, "NA")</f>
        <v>0</v>
      </c>
      <c r="AA358" s="15">
        <f>IFERROR(Z358/Z444, "NA")</f>
        <v>0</v>
      </c>
      <c r="AB358" s="2"/>
      <c r="AC358" s="14">
        <f t="shared" si="91"/>
        <v>0</v>
      </c>
      <c r="AD358" s="15">
        <f>IFERROR(AC358/AC444, "NA")</f>
        <v>0</v>
      </c>
    </row>
    <row r="359" spans="1:30" ht="16.5" customHeight="1" x14ac:dyDescent="0.45">
      <c r="A359" s="5" t="s">
        <v>328</v>
      </c>
      <c r="B359" s="2"/>
      <c r="C359" s="3"/>
      <c r="D359" s="4"/>
      <c r="E359" s="2"/>
      <c r="F359" s="3"/>
      <c r="G359" s="4"/>
      <c r="H359" s="2"/>
      <c r="I359" s="3"/>
      <c r="J359" s="4"/>
      <c r="K359" s="2"/>
      <c r="L359" s="3"/>
      <c r="M359" s="4"/>
      <c r="N359" s="2"/>
      <c r="O359" s="3"/>
      <c r="P359" s="4"/>
      <c r="Q359" s="2"/>
      <c r="R359" s="3"/>
      <c r="S359" s="4"/>
      <c r="T359" s="2"/>
      <c r="U359" s="3"/>
      <c r="V359" s="4"/>
      <c r="W359" s="2"/>
      <c r="X359" s="3"/>
      <c r="Y359" s="4"/>
      <c r="Z359" s="2"/>
      <c r="AA359" s="3"/>
      <c r="AB359" s="4"/>
      <c r="AC359" s="2"/>
      <c r="AD359" s="3"/>
    </row>
    <row r="360" spans="1:30" ht="16.5" hidden="1" customHeight="1" x14ac:dyDescent="0.45">
      <c r="A360" s="6" t="s">
        <v>328</v>
      </c>
      <c r="B360" s="7">
        <v>0</v>
      </c>
      <c r="C360" s="8">
        <f>IFERROR(B360/B444, "NA")</f>
        <v>0</v>
      </c>
      <c r="D360" s="9"/>
      <c r="E360" s="7">
        <v>0</v>
      </c>
      <c r="F360" s="8">
        <f>IFERROR(E360/E444, "NA")</f>
        <v>0</v>
      </c>
      <c r="G360" s="9"/>
      <c r="H360" s="10">
        <f t="shared" ref="H360:H383" si="92">IFERROR(-(B360-E360), "NA")</f>
        <v>0</v>
      </c>
      <c r="I360" s="8">
        <f>IFERROR(H360/H444, "NA")</f>
        <v>0</v>
      </c>
      <c r="J360" s="9"/>
      <c r="K360" s="7">
        <v>0</v>
      </c>
      <c r="L360" s="8">
        <f>IFERROR(K360/K444, "NA")</f>
        <v>0</v>
      </c>
      <c r="M360" s="9"/>
      <c r="N360" s="10">
        <f t="shared" ref="N360:N383" si="93">IFERROR(-(B360-K360), "NA")</f>
        <v>0</v>
      </c>
      <c r="O360" s="8">
        <f>IFERROR(N360/N444, "NA")</f>
        <v>0</v>
      </c>
      <c r="P360" s="9"/>
      <c r="Q360" s="7">
        <v>0</v>
      </c>
      <c r="R360" s="8">
        <f>IFERROR(Q360/Q444, "NA")</f>
        <v>0</v>
      </c>
      <c r="S360" s="9"/>
      <c r="T360" s="7">
        <v>0</v>
      </c>
      <c r="U360" s="8">
        <f>IFERROR(T360/T444, "NA")</f>
        <v>0</v>
      </c>
      <c r="V360" s="9"/>
      <c r="W360" s="10">
        <f t="shared" ref="W360:W383" si="94">IFERROR(-(Q360-T360), "NA")</f>
        <v>0</v>
      </c>
      <c r="X360" s="8">
        <f>IFERROR(W360/W444, "NA")</f>
        <v>0</v>
      </c>
      <c r="Y360" s="9"/>
      <c r="Z360" s="7">
        <v>0</v>
      </c>
      <c r="AA360" s="8">
        <f>IFERROR(Z360/Z444, "NA")</f>
        <v>0</v>
      </c>
      <c r="AB360" s="9"/>
      <c r="AC360" s="10">
        <f t="shared" ref="AC360:AC383" si="95">IFERROR(-(Q360-Z360), "NA")</f>
        <v>0</v>
      </c>
      <c r="AD360" s="8">
        <f>IFERROR(AC360/AC444, "NA")</f>
        <v>0</v>
      </c>
    </row>
    <row r="361" spans="1:30" ht="16.5" hidden="1" customHeight="1" x14ac:dyDescent="0.45">
      <c r="A361" s="6" t="s">
        <v>329</v>
      </c>
      <c r="B361" s="7">
        <v>0</v>
      </c>
      <c r="C361" s="8">
        <f>IFERROR(B361/B444, "NA")</f>
        <v>0</v>
      </c>
      <c r="D361" s="9"/>
      <c r="E361" s="7">
        <v>0</v>
      </c>
      <c r="F361" s="8">
        <f>IFERROR(E361/E444, "NA")</f>
        <v>0</v>
      </c>
      <c r="G361" s="9"/>
      <c r="H361" s="10">
        <f t="shared" si="92"/>
        <v>0</v>
      </c>
      <c r="I361" s="8">
        <f>IFERROR(H361/H444, "NA")</f>
        <v>0</v>
      </c>
      <c r="J361" s="9"/>
      <c r="K361" s="7">
        <v>0</v>
      </c>
      <c r="L361" s="8">
        <f>IFERROR(K361/K444, "NA")</f>
        <v>0</v>
      </c>
      <c r="M361" s="9"/>
      <c r="N361" s="10">
        <f t="shared" si="93"/>
        <v>0</v>
      </c>
      <c r="O361" s="8">
        <f>IFERROR(N361/N444, "NA")</f>
        <v>0</v>
      </c>
      <c r="P361" s="9"/>
      <c r="Q361" s="7">
        <v>0</v>
      </c>
      <c r="R361" s="8">
        <f>IFERROR(Q361/Q444, "NA")</f>
        <v>0</v>
      </c>
      <c r="S361" s="9"/>
      <c r="T361" s="7">
        <v>0</v>
      </c>
      <c r="U361" s="8">
        <f>IFERROR(T361/T444, "NA")</f>
        <v>0</v>
      </c>
      <c r="V361" s="9"/>
      <c r="W361" s="10">
        <f t="shared" si="94"/>
        <v>0</v>
      </c>
      <c r="X361" s="8">
        <f>IFERROR(W361/W444, "NA")</f>
        <v>0</v>
      </c>
      <c r="Y361" s="9"/>
      <c r="Z361" s="7">
        <v>0</v>
      </c>
      <c r="AA361" s="8">
        <f>IFERROR(Z361/Z444, "NA")</f>
        <v>0</v>
      </c>
      <c r="AB361" s="9"/>
      <c r="AC361" s="10">
        <f t="shared" si="95"/>
        <v>0</v>
      </c>
      <c r="AD361" s="8">
        <f>IFERROR(AC361/AC444, "NA")</f>
        <v>0</v>
      </c>
    </row>
    <row r="362" spans="1:30" ht="16.5" hidden="1" customHeight="1" x14ac:dyDescent="0.45">
      <c r="A362" s="6" t="s">
        <v>330</v>
      </c>
      <c r="B362" s="7">
        <v>0</v>
      </c>
      <c r="C362" s="8">
        <f>IFERROR(B362/B444, "NA")</f>
        <v>0</v>
      </c>
      <c r="D362" s="9"/>
      <c r="E362" s="7">
        <v>0</v>
      </c>
      <c r="F362" s="8">
        <f>IFERROR(E362/E444, "NA")</f>
        <v>0</v>
      </c>
      <c r="G362" s="9"/>
      <c r="H362" s="10">
        <f t="shared" si="92"/>
        <v>0</v>
      </c>
      <c r="I362" s="8">
        <f>IFERROR(H362/H444, "NA")</f>
        <v>0</v>
      </c>
      <c r="J362" s="9"/>
      <c r="K362" s="7">
        <v>0</v>
      </c>
      <c r="L362" s="8">
        <f>IFERROR(K362/K444, "NA")</f>
        <v>0</v>
      </c>
      <c r="M362" s="9"/>
      <c r="N362" s="10">
        <f t="shared" si="93"/>
        <v>0</v>
      </c>
      <c r="O362" s="8">
        <f>IFERROR(N362/N444, "NA")</f>
        <v>0</v>
      </c>
      <c r="P362" s="9"/>
      <c r="Q362" s="7">
        <v>0</v>
      </c>
      <c r="R362" s="8">
        <f>IFERROR(Q362/Q444, "NA")</f>
        <v>0</v>
      </c>
      <c r="S362" s="9"/>
      <c r="T362" s="7">
        <v>0</v>
      </c>
      <c r="U362" s="8">
        <f>IFERROR(T362/T444, "NA")</f>
        <v>0</v>
      </c>
      <c r="V362" s="9"/>
      <c r="W362" s="10">
        <f t="shared" si="94"/>
        <v>0</v>
      </c>
      <c r="X362" s="8">
        <f>IFERROR(W362/W444, "NA")</f>
        <v>0</v>
      </c>
      <c r="Y362" s="9"/>
      <c r="Z362" s="7">
        <v>0</v>
      </c>
      <c r="AA362" s="8">
        <f>IFERROR(Z362/Z444, "NA")</f>
        <v>0</v>
      </c>
      <c r="AB362" s="9"/>
      <c r="AC362" s="10">
        <f t="shared" si="95"/>
        <v>0</v>
      </c>
      <c r="AD362" s="8">
        <f>IFERROR(AC362/AC444, "NA")</f>
        <v>0</v>
      </c>
    </row>
    <row r="363" spans="1:30" ht="16.5" hidden="1" customHeight="1" x14ac:dyDescent="0.45">
      <c r="A363" s="6" t="s">
        <v>331</v>
      </c>
      <c r="B363" s="7">
        <v>0</v>
      </c>
      <c r="C363" s="8">
        <f>IFERROR(B363/B444, "NA")</f>
        <v>0</v>
      </c>
      <c r="D363" s="9"/>
      <c r="E363" s="7">
        <v>0</v>
      </c>
      <c r="F363" s="8">
        <f>IFERROR(E363/E444, "NA")</f>
        <v>0</v>
      </c>
      <c r="G363" s="9"/>
      <c r="H363" s="10">
        <f t="shared" si="92"/>
        <v>0</v>
      </c>
      <c r="I363" s="8">
        <f>IFERROR(H363/H444, "NA")</f>
        <v>0</v>
      </c>
      <c r="J363" s="9"/>
      <c r="K363" s="7">
        <v>0</v>
      </c>
      <c r="L363" s="8">
        <f>IFERROR(K363/K444, "NA")</f>
        <v>0</v>
      </c>
      <c r="M363" s="9"/>
      <c r="N363" s="10">
        <f t="shared" si="93"/>
        <v>0</v>
      </c>
      <c r="O363" s="8">
        <f>IFERROR(N363/N444, "NA")</f>
        <v>0</v>
      </c>
      <c r="P363" s="9"/>
      <c r="Q363" s="7">
        <v>0</v>
      </c>
      <c r="R363" s="8">
        <f>IFERROR(Q363/Q444, "NA")</f>
        <v>0</v>
      </c>
      <c r="S363" s="9"/>
      <c r="T363" s="7">
        <v>0</v>
      </c>
      <c r="U363" s="8">
        <f>IFERROR(T363/T444, "NA")</f>
        <v>0</v>
      </c>
      <c r="V363" s="9"/>
      <c r="W363" s="10">
        <f t="shared" si="94"/>
        <v>0</v>
      </c>
      <c r="X363" s="8">
        <f>IFERROR(W363/W444, "NA")</f>
        <v>0</v>
      </c>
      <c r="Y363" s="9"/>
      <c r="Z363" s="7">
        <v>0</v>
      </c>
      <c r="AA363" s="8">
        <f>IFERROR(Z363/Z444, "NA")</f>
        <v>0</v>
      </c>
      <c r="AB363" s="9"/>
      <c r="AC363" s="10">
        <f t="shared" si="95"/>
        <v>0</v>
      </c>
      <c r="AD363" s="8">
        <f>IFERROR(AC363/AC444, "NA")</f>
        <v>0</v>
      </c>
    </row>
    <row r="364" spans="1:30" ht="16.5" hidden="1" customHeight="1" x14ac:dyDescent="0.45">
      <c r="A364" s="6" t="s">
        <v>332</v>
      </c>
      <c r="B364" s="7">
        <v>0</v>
      </c>
      <c r="C364" s="8">
        <f>IFERROR(B364/B444, "NA")</f>
        <v>0</v>
      </c>
      <c r="D364" s="9"/>
      <c r="E364" s="7">
        <v>0</v>
      </c>
      <c r="F364" s="8">
        <f>IFERROR(E364/E444, "NA")</f>
        <v>0</v>
      </c>
      <c r="G364" s="9"/>
      <c r="H364" s="10">
        <f t="shared" si="92"/>
        <v>0</v>
      </c>
      <c r="I364" s="8">
        <f>IFERROR(H364/H444, "NA")</f>
        <v>0</v>
      </c>
      <c r="J364" s="9"/>
      <c r="K364" s="7">
        <v>0</v>
      </c>
      <c r="L364" s="8">
        <f>IFERROR(K364/K444, "NA")</f>
        <v>0</v>
      </c>
      <c r="M364" s="9"/>
      <c r="N364" s="10">
        <f t="shared" si="93"/>
        <v>0</v>
      </c>
      <c r="O364" s="8">
        <f>IFERROR(N364/N444, "NA")</f>
        <v>0</v>
      </c>
      <c r="P364" s="9"/>
      <c r="Q364" s="7">
        <v>0</v>
      </c>
      <c r="R364" s="8">
        <f>IFERROR(Q364/Q444, "NA")</f>
        <v>0</v>
      </c>
      <c r="S364" s="9"/>
      <c r="T364" s="7">
        <v>0</v>
      </c>
      <c r="U364" s="8">
        <f>IFERROR(T364/T444, "NA")</f>
        <v>0</v>
      </c>
      <c r="V364" s="9"/>
      <c r="W364" s="10">
        <f t="shared" si="94"/>
        <v>0</v>
      </c>
      <c r="X364" s="8">
        <f>IFERROR(W364/W444, "NA")</f>
        <v>0</v>
      </c>
      <c r="Y364" s="9"/>
      <c r="Z364" s="7">
        <v>0</v>
      </c>
      <c r="AA364" s="8">
        <f>IFERROR(Z364/Z444, "NA")</f>
        <v>0</v>
      </c>
      <c r="AB364" s="9"/>
      <c r="AC364" s="10">
        <f t="shared" si="95"/>
        <v>0</v>
      </c>
      <c r="AD364" s="8">
        <f>IFERROR(AC364/AC444, "NA")</f>
        <v>0</v>
      </c>
    </row>
    <row r="365" spans="1:30" ht="16.5" hidden="1" customHeight="1" x14ac:dyDescent="0.45">
      <c r="A365" s="6" t="s">
        <v>333</v>
      </c>
      <c r="B365" s="7">
        <v>0</v>
      </c>
      <c r="C365" s="8">
        <f>IFERROR(B365/B444, "NA")</f>
        <v>0</v>
      </c>
      <c r="D365" s="9"/>
      <c r="E365" s="7">
        <v>0</v>
      </c>
      <c r="F365" s="8">
        <f>IFERROR(E365/E444, "NA")</f>
        <v>0</v>
      </c>
      <c r="G365" s="9"/>
      <c r="H365" s="10">
        <f t="shared" si="92"/>
        <v>0</v>
      </c>
      <c r="I365" s="8">
        <f>IFERROR(H365/H444, "NA")</f>
        <v>0</v>
      </c>
      <c r="J365" s="9"/>
      <c r="K365" s="7">
        <v>0</v>
      </c>
      <c r="L365" s="8">
        <f>IFERROR(K365/K444, "NA")</f>
        <v>0</v>
      </c>
      <c r="M365" s="9"/>
      <c r="N365" s="10">
        <f t="shared" si="93"/>
        <v>0</v>
      </c>
      <c r="O365" s="8">
        <f>IFERROR(N365/N444, "NA")</f>
        <v>0</v>
      </c>
      <c r="P365" s="9"/>
      <c r="Q365" s="7">
        <v>0</v>
      </c>
      <c r="R365" s="8">
        <f>IFERROR(Q365/Q444, "NA")</f>
        <v>0</v>
      </c>
      <c r="S365" s="9"/>
      <c r="T365" s="7">
        <v>0</v>
      </c>
      <c r="U365" s="8">
        <f>IFERROR(T365/T444, "NA")</f>
        <v>0</v>
      </c>
      <c r="V365" s="9"/>
      <c r="W365" s="10">
        <f t="shared" si="94"/>
        <v>0</v>
      </c>
      <c r="X365" s="8">
        <f>IFERROR(W365/W444, "NA")</f>
        <v>0</v>
      </c>
      <c r="Y365" s="9"/>
      <c r="Z365" s="7">
        <v>0</v>
      </c>
      <c r="AA365" s="8">
        <f>IFERROR(Z365/Z444, "NA")</f>
        <v>0</v>
      </c>
      <c r="AB365" s="9"/>
      <c r="AC365" s="10">
        <f t="shared" si="95"/>
        <v>0</v>
      </c>
      <c r="AD365" s="8">
        <f>IFERROR(AC365/AC444, "NA")</f>
        <v>0</v>
      </c>
    </row>
    <row r="366" spans="1:30" ht="16.5" hidden="1" customHeight="1" x14ac:dyDescent="0.45">
      <c r="A366" s="6" t="s">
        <v>334</v>
      </c>
      <c r="B366" s="7">
        <v>0</v>
      </c>
      <c r="C366" s="8">
        <f>IFERROR(B366/B444, "NA")</f>
        <v>0</v>
      </c>
      <c r="D366" s="9"/>
      <c r="E366" s="7">
        <v>0</v>
      </c>
      <c r="F366" s="8">
        <f>IFERROR(E366/E444, "NA")</f>
        <v>0</v>
      </c>
      <c r="G366" s="9"/>
      <c r="H366" s="10">
        <f t="shared" si="92"/>
        <v>0</v>
      </c>
      <c r="I366" s="8">
        <f>IFERROR(H366/H444, "NA")</f>
        <v>0</v>
      </c>
      <c r="J366" s="9"/>
      <c r="K366" s="7">
        <v>0</v>
      </c>
      <c r="L366" s="8">
        <f>IFERROR(K366/K444, "NA")</f>
        <v>0</v>
      </c>
      <c r="M366" s="9"/>
      <c r="N366" s="10">
        <f t="shared" si="93"/>
        <v>0</v>
      </c>
      <c r="O366" s="8">
        <f>IFERROR(N366/N444, "NA")</f>
        <v>0</v>
      </c>
      <c r="P366" s="9"/>
      <c r="Q366" s="7">
        <v>0</v>
      </c>
      <c r="R366" s="8">
        <f>IFERROR(Q366/Q444, "NA")</f>
        <v>0</v>
      </c>
      <c r="S366" s="9"/>
      <c r="T366" s="7">
        <v>0</v>
      </c>
      <c r="U366" s="8">
        <f>IFERROR(T366/T444, "NA")</f>
        <v>0</v>
      </c>
      <c r="V366" s="9"/>
      <c r="W366" s="10">
        <f t="shared" si="94"/>
        <v>0</v>
      </c>
      <c r="X366" s="8">
        <f>IFERROR(W366/W444, "NA")</f>
        <v>0</v>
      </c>
      <c r="Y366" s="9"/>
      <c r="Z366" s="7">
        <v>0</v>
      </c>
      <c r="AA366" s="8">
        <f>IFERROR(Z366/Z444, "NA")</f>
        <v>0</v>
      </c>
      <c r="AB366" s="9"/>
      <c r="AC366" s="10">
        <f t="shared" si="95"/>
        <v>0</v>
      </c>
      <c r="AD366" s="8">
        <f>IFERROR(AC366/AC444, "NA")</f>
        <v>0</v>
      </c>
    </row>
    <row r="367" spans="1:30" ht="16.5" hidden="1" customHeight="1" x14ac:dyDescent="0.45">
      <c r="A367" s="6" t="s">
        <v>335</v>
      </c>
      <c r="B367" s="7">
        <v>0</v>
      </c>
      <c r="C367" s="8">
        <f>IFERROR(B367/B444, "NA")</f>
        <v>0</v>
      </c>
      <c r="D367" s="9"/>
      <c r="E367" s="7">
        <v>0</v>
      </c>
      <c r="F367" s="8">
        <f>IFERROR(E367/E444, "NA")</f>
        <v>0</v>
      </c>
      <c r="G367" s="9"/>
      <c r="H367" s="10">
        <f t="shared" si="92"/>
        <v>0</v>
      </c>
      <c r="I367" s="8">
        <f>IFERROR(H367/H444, "NA")</f>
        <v>0</v>
      </c>
      <c r="J367" s="9"/>
      <c r="K367" s="7">
        <v>0</v>
      </c>
      <c r="L367" s="8">
        <f>IFERROR(K367/K444, "NA")</f>
        <v>0</v>
      </c>
      <c r="M367" s="9"/>
      <c r="N367" s="10">
        <f t="shared" si="93"/>
        <v>0</v>
      </c>
      <c r="O367" s="8">
        <f>IFERROR(N367/N444, "NA")</f>
        <v>0</v>
      </c>
      <c r="P367" s="9"/>
      <c r="Q367" s="7">
        <v>0</v>
      </c>
      <c r="R367" s="8">
        <f>IFERROR(Q367/Q444, "NA")</f>
        <v>0</v>
      </c>
      <c r="S367" s="9"/>
      <c r="T367" s="7">
        <v>0</v>
      </c>
      <c r="U367" s="8">
        <f>IFERROR(T367/T444, "NA")</f>
        <v>0</v>
      </c>
      <c r="V367" s="9"/>
      <c r="W367" s="10">
        <f t="shared" si="94"/>
        <v>0</v>
      </c>
      <c r="X367" s="8">
        <f>IFERROR(W367/W444, "NA")</f>
        <v>0</v>
      </c>
      <c r="Y367" s="9"/>
      <c r="Z367" s="7">
        <v>0</v>
      </c>
      <c r="AA367" s="8">
        <f>IFERROR(Z367/Z444, "NA")</f>
        <v>0</v>
      </c>
      <c r="AB367" s="9"/>
      <c r="AC367" s="10">
        <f t="shared" si="95"/>
        <v>0</v>
      </c>
      <c r="AD367" s="8">
        <f>IFERROR(AC367/AC444, "NA")</f>
        <v>0</v>
      </c>
    </row>
    <row r="368" spans="1:30" ht="16.5" customHeight="1" x14ac:dyDescent="0.45">
      <c r="A368" s="19" t="s">
        <v>336</v>
      </c>
      <c r="B368" s="14">
        <f>IFERROR(B360+B361+B362+B363+B364+B365+B366+B367, "NA")</f>
        <v>0</v>
      </c>
      <c r="C368" s="15">
        <f>IFERROR(B368/B444, "NA")</f>
        <v>0</v>
      </c>
      <c r="D368" s="2"/>
      <c r="E368" s="14">
        <f>IFERROR(E360+E361+E362+E363+E364+E365+E366+E367, "NA")</f>
        <v>0</v>
      </c>
      <c r="F368" s="15">
        <f>IFERROR(E368/E444, "NA")</f>
        <v>0</v>
      </c>
      <c r="G368" s="2"/>
      <c r="H368" s="14">
        <f t="shared" si="92"/>
        <v>0</v>
      </c>
      <c r="I368" s="15">
        <f>IFERROR(H368/H444, "NA")</f>
        <v>0</v>
      </c>
      <c r="J368" s="2"/>
      <c r="K368" s="14">
        <f>IFERROR(K360+K361+K362+K363+K364+K365+K366+K367, "NA")</f>
        <v>0</v>
      </c>
      <c r="L368" s="15">
        <f>IFERROR(K368/K444, "NA")</f>
        <v>0</v>
      </c>
      <c r="M368" s="2"/>
      <c r="N368" s="14">
        <f t="shared" si="93"/>
        <v>0</v>
      </c>
      <c r="O368" s="15">
        <f>IFERROR(N368/N444, "NA")</f>
        <v>0</v>
      </c>
      <c r="P368" s="2"/>
      <c r="Q368" s="14">
        <f>IFERROR(Q360+Q361+Q362+Q363+Q364+Q365+Q366+Q367, "NA")</f>
        <v>0</v>
      </c>
      <c r="R368" s="15">
        <f>IFERROR(Q368/Q444, "NA")</f>
        <v>0</v>
      </c>
      <c r="S368" s="2"/>
      <c r="T368" s="14">
        <f>IFERROR(T360+T361+T362+T363+T364+T365+T366+T367, "NA")</f>
        <v>0</v>
      </c>
      <c r="U368" s="15">
        <f>IFERROR(T368/T444, "NA")</f>
        <v>0</v>
      </c>
      <c r="V368" s="2"/>
      <c r="W368" s="14">
        <f t="shared" si="94"/>
        <v>0</v>
      </c>
      <c r="X368" s="15">
        <f>IFERROR(W368/W444, "NA")</f>
        <v>0</v>
      </c>
      <c r="Y368" s="2"/>
      <c r="Z368" s="14">
        <f>IFERROR(Z360+Z361+Z362+Z363+Z364+Z365+Z366+Z367, "NA")</f>
        <v>0</v>
      </c>
      <c r="AA368" s="15">
        <f>IFERROR(Z368/Z444, "NA")</f>
        <v>0</v>
      </c>
      <c r="AB368" s="2"/>
      <c r="AC368" s="14">
        <f t="shared" si="95"/>
        <v>0</v>
      </c>
      <c r="AD368" s="15">
        <f>IFERROR(AC368/AC444, "NA")</f>
        <v>0</v>
      </c>
    </row>
    <row r="369" spans="1:30" ht="16.5" hidden="1" customHeight="1" x14ac:dyDescent="0.45">
      <c r="A369" s="20" t="s">
        <v>337</v>
      </c>
      <c r="B369" s="7">
        <v>0</v>
      </c>
      <c r="C369" s="8">
        <f>IFERROR(B369/B444, "NA")</f>
        <v>0</v>
      </c>
      <c r="D369" s="9"/>
      <c r="E369" s="7">
        <v>0</v>
      </c>
      <c r="F369" s="8">
        <f>IFERROR(E369/E444, "NA")</f>
        <v>0</v>
      </c>
      <c r="G369" s="9"/>
      <c r="H369" s="10">
        <f t="shared" si="92"/>
        <v>0</v>
      </c>
      <c r="I369" s="8">
        <f>IFERROR(H369/H444, "NA")</f>
        <v>0</v>
      </c>
      <c r="J369" s="9"/>
      <c r="K369" s="7">
        <v>0</v>
      </c>
      <c r="L369" s="8">
        <f>IFERROR(K369/K444, "NA")</f>
        <v>0</v>
      </c>
      <c r="M369" s="9"/>
      <c r="N369" s="10">
        <f t="shared" si="93"/>
        <v>0</v>
      </c>
      <c r="O369" s="8">
        <f>IFERROR(N369/N444, "NA")</f>
        <v>0</v>
      </c>
      <c r="P369" s="9"/>
      <c r="Q369" s="7">
        <v>0</v>
      </c>
      <c r="R369" s="8">
        <f>IFERROR(Q369/Q444, "NA")</f>
        <v>0</v>
      </c>
      <c r="S369" s="9"/>
      <c r="T369" s="7">
        <v>0</v>
      </c>
      <c r="U369" s="8">
        <f>IFERROR(T369/T444, "NA")</f>
        <v>0</v>
      </c>
      <c r="V369" s="9"/>
      <c r="W369" s="10">
        <f t="shared" si="94"/>
        <v>0</v>
      </c>
      <c r="X369" s="8">
        <f>IFERROR(W369/W444, "NA")</f>
        <v>0</v>
      </c>
      <c r="Y369" s="9"/>
      <c r="Z369" s="7">
        <v>0</v>
      </c>
      <c r="AA369" s="8">
        <f>IFERROR(Z369/Z444, "NA")</f>
        <v>0</v>
      </c>
      <c r="AB369" s="9"/>
      <c r="AC369" s="10">
        <f t="shared" si="95"/>
        <v>0</v>
      </c>
      <c r="AD369" s="8">
        <f>IFERROR(AC369/AC444, "NA")</f>
        <v>0</v>
      </c>
    </row>
    <row r="370" spans="1:30" ht="16.5" hidden="1" customHeight="1" x14ac:dyDescent="0.45">
      <c r="A370" s="20" t="s">
        <v>338</v>
      </c>
      <c r="B370" s="7">
        <v>0</v>
      </c>
      <c r="C370" s="8">
        <f>IFERROR(B370/B444, "NA")</f>
        <v>0</v>
      </c>
      <c r="D370" s="9"/>
      <c r="E370" s="7">
        <v>0</v>
      </c>
      <c r="F370" s="8">
        <f>IFERROR(E370/E444, "NA")</f>
        <v>0</v>
      </c>
      <c r="G370" s="9"/>
      <c r="H370" s="10">
        <f t="shared" si="92"/>
        <v>0</v>
      </c>
      <c r="I370" s="8">
        <f>IFERROR(H370/H444, "NA")</f>
        <v>0</v>
      </c>
      <c r="J370" s="9"/>
      <c r="K370" s="7">
        <v>0</v>
      </c>
      <c r="L370" s="8">
        <f>IFERROR(K370/K444, "NA")</f>
        <v>0</v>
      </c>
      <c r="M370" s="9"/>
      <c r="N370" s="10">
        <f t="shared" si="93"/>
        <v>0</v>
      </c>
      <c r="O370" s="8">
        <f>IFERROR(N370/N444, "NA")</f>
        <v>0</v>
      </c>
      <c r="P370" s="9"/>
      <c r="Q370" s="7">
        <v>0</v>
      </c>
      <c r="R370" s="8">
        <f>IFERROR(Q370/Q444, "NA")</f>
        <v>0</v>
      </c>
      <c r="S370" s="9"/>
      <c r="T370" s="7">
        <v>0</v>
      </c>
      <c r="U370" s="8">
        <f>IFERROR(T370/T444, "NA")</f>
        <v>0</v>
      </c>
      <c r="V370" s="9"/>
      <c r="W370" s="10">
        <f t="shared" si="94"/>
        <v>0</v>
      </c>
      <c r="X370" s="8">
        <f>IFERROR(W370/W444, "NA")</f>
        <v>0</v>
      </c>
      <c r="Y370" s="9"/>
      <c r="Z370" s="7">
        <v>0</v>
      </c>
      <c r="AA370" s="8">
        <f>IFERROR(Z370/Z444, "NA")</f>
        <v>0</v>
      </c>
      <c r="AB370" s="9"/>
      <c r="AC370" s="10">
        <f t="shared" si="95"/>
        <v>0</v>
      </c>
      <c r="AD370" s="8">
        <f>IFERROR(AC370/AC444, "NA")</f>
        <v>0</v>
      </c>
    </row>
    <row r="371" spans="1:30" ht="16.5" hidden="1" customHeight="1" x14ac:dyDescent="0.45">
      <c r="A371" s="20" t="s">
        <v>339</v>
      </c>
      <c r="B371" s="7">
        <v>0</v>
      </c>
      <c r="C371" s="8">
        <f>IFERROR(B371/B444, "NA")</f>
        <v>0</v>
      </c>
      <c r="D371" s="9"/>
      <c r="E371" s="7">
        <v>0</v>
      </c>
      <c r="F371" s="8">
        <f>IFERROR(E371/E444, "NA")</f>
        <v>0</v>
      </c>
      <c r="G371" s="9"/>
      <c r="H371" s="10">
        <f t="shared" si="92"/>
        <v>0</v>
      </c>
      <c r="I371" s="8">
        <f>IFERROR(H371/H444, "NA")</f>
        <v>0</v>
      </c>
      <c r="J371" s="9"/>
      <c r="K371" s="7">
        <v>0</v>
      </c>
      <c r="L371" s="8">
        <f>IFERROR(K371/K444, "NA")</f>
        <v>0</v>
      </c>
      <c r="M371" s="9"/>
      <c r="N371" s="10">
        <f t="shared" si="93"/>
        <v>0</v>
      </c>
      <c r="O371" s="8">
        <f>IFERROR(N371/N444, "NA")</f>
        <v>0</v>
      </c>
      <c r="P371" s="9"/>
      <c r="Q371" s="7">
        <v>0</v>
      </c>
      <c r="R371" s="8">
        <f>IFERROR(Q371/Q444, "NA")</f>
        <v>0</v>
      </c>
      <c r="S371" s="9"/>
      <c r="T371" s="7">
        <v>0</v>
      </c>
      <c r="U371" s="8">
        <f>IFERROR(T371/T444, "NA")</f>
        <v>0</v>
      </c>
      <c r="V371" s="9"/>
      <c r="W371" s="10">
        <f t="shared" si="94"/>
        <v>0</v>
      </c>
      <c r="X371" s="8">
        <f>IFERROR(W371/W444, "NA")</f>
        <v>0</v>
      </c>
      <c r="Y371" s="9"/>
      <c r="Z371" s="7">
        <v>0</v>
      </c>
      <c r="AA371" s="8">
        <f>IFERROR(Z371/Z444, "NA")</f>
        <v>0</v>
      </c>
      <c r="AB371" s="9"/>
      <c r="AC371" s="10">
        <f t="shared" si="95"/>
        <v>0</v>
      </c>
      <c r="AD371" s="8">
        <f>IFERROR(AC371/AC444, "NA")</f>
        <v>0</v>
      </c>
    </row>
    <row r="372" spans="1:30" ht="16.5" hidden="1" customHeight="1" x14ac:dyDescent="0.45">
      <c r="A372" s="20" t="s">
        <v>340</v>
      </c>
      <c r="B372" s="7">
        <v>0</v>
      </c>
      <c r="C372" s="8">
        <f>IFERROR(B372/B444, "NA")</f>
        <v>0</v>
      </c>
      <c r="D372" s="9"/>
      <c r="E372" s="7">
        <v>0</v>
      </c>
      <c r="F372" s="8">
        <f>IFERROR(E372/E444, "NA")</f>
        <v>0</v>
      </c>
      <c r="G372" s="9"/>
      <c r="H372" s="10">
        <f t="shared" si="92"/>
        <v>0</v>
      </c>
      <c r="I372" s="8">
        <f>IFERROR(H372/H444, "NA")</f>
        <v>0</v>
      </c>
      <c r="J372" s="9"/>
      <c r="K372" s="7">
        <v>0</v>
      </c>
      <c r="L372" s="8">
        <f>IFERROR(K372/K444, "NA")</f>
        <v>0</v>
      </c>
      <c r="M372" s="9"/>
      <c r="N372" s="10">
        <f t="shared" si="93"/>
        <v>0</v>
      </c>
      <c r="O372" s="8">
        <f>IFERROR(N372/N444, "NA")</f>
        <v>0</v>
      </c>
      <c r="P372" s="9"/>
      <c r="Q372" s="7">
        <v>0</v>
      </c>
      <c r="R372" s="8">
        <f>IFERROR(Q372/Q444, "NA")</f>
        <v>0</v>
      </c>
      <c r="S372" s="9"/>
      <c r="T372" s="7">
        <v>0</v>
      </c>
      <c r="U372" s="8">
        <f>IFERROR(T372/T444, "NA")</f>
        <v>0</v>
      </c>
      <c r="V372" s="9"/>
      <c r="W372" s="10">
        <f t="shared" si="94"/>
        <v>0</v>
      </c>
      <c r="X372" s="8">
        <f>IFERROR(W372/W444, "NA")</f>
        <v>0</v>
      </c>
      <c r="Y372" s="9"/>
      <c r="Z372" s="7">
        <v>0</v>
      </c>
      <c r="AA372" s="8">
        <f>IFERROR(Z372/Z444, "NA")</f>
        <v>0</v>
      </c>
      <c r="AB372" s="9"/>
      <c r="AC372" s="10">
        <f t="shared" si="95"/>
        <v>0</v>
      </c>
      <c r="AD372" s="8">
        <f>IFERROR(AC372/AC444, "NA")</f>
        <v>0</v>
      </c>
    </row>
    <row r="373" spans="1:30" ht="16.5" hidden="1" customHeight="1" x14ac:dyDescent="0.45">
      <c r="A373" s="20" t="s">
        <v>341</v>
      </c>
      <c r="B373" s="7">
        <v>0</v>
      </c>
      <c r="C373" s="8">
        <f>IFERROR(B373/B444, "NA")</f>
        <v>0</v>
      </c>
      <c r="D373" s="9"/>
      <c r="E373" s="7">
        <v>0</v>
      </c>
      <c r="F373" s="8">
        <f>IFERROR(E373/E444, "NA")</f>
        <v>0</v>
      </c>
      <c r="G373" s="9"/>
      <c r="H373" s="10">
        <f t="shared" si="92"/>
        <v>0</v>
      </c>
      <c r="I373" s="8">
        <f>IFERROR(H373/H444, "NA")</f>
        <v>0</v>
      </c>
      <c r="J373" s="9"/>
      <c r="K373" s="7">
        <v>0</v>
      </c>
      <c r="L373" s="8">
        <f>IFERROR(K373/K444, "NA")</f>
        <v>0</v>
      </c>
      <c r="M373" s="9"/>
      <c r="N373" s="10">
        <f t="shared" si="93"/>
        <v>0</v>
      </c>
      <c r="O373" s="8">
        <f>IFERROR(N373/N444, "NA")</f>
        <v>0</v>
      </c>
      <c r="P373" s="9"/>
      <c r="Q373" s="7">
        <v>0</v>
      </c>
      <c r="R373" s="8">
        <f>IFERROR(Q373/Q444, "NA")</f>
        <v>0</v>
      </c>
      <c r="S373" s="9"/>
      <c r="T373" s="7">
        <v>0</v>
      </c>
      <c r="U373" s="8">
        <f>IFERROR(T373/T444, "NA")</f>
        <v>0</v>
      </c>
      <c r="V373" s="9"/>
      <c r="W373" s="10">
        <f t="shared" si="94"/>
        <v>0</v>
      </c>
      <c r="X373" s="8">
        <f>IFERROR(W373/W444, "NA")</f>
        <v>0</v>
      </c>
      <c r="Y373" s="9"/>
      <c r="Z373" s="7">
        <v>0</v>
      </c>
      <c r="AA373" s="8">
        <f>IFERROR(Z373/Z444, "NA")</f>
        <v>0</v>
      </c>
      <c r="AB373" s="9"/>
      <c r="AC373" s="10">
        <f t="shared" si="95"/>
        <v>0</v>
      </c>
      <c r="AD373" s="8">
        <f>IFERROR(AC373/AC444, "NA")</f>
        <v>0</v>
      </c>
    </row>
    <row r="374" spans="1:30" ht="16.5" hidden="1" customHeight="1" x14ac:dyDescent="0.45">
      <c r="A374" s="20" t="s">
        <v>342</v>
      </c>
      <c r="B374" s="7">
        <v>0</v>
      </c>
      <c r="C374" s="8">
        <f>IFERROR(B374/B444, "NA")</f>
        <v>0</v>
      </c>
      <c r="D374" s="9"/>
      <c r="E374" s="7">
        <v>0</v>
      </c>
      <c r="F374" s="8">
        <f>IFERROR(E374/E444, "NA")</f>
        <v>0</v>
      </c>
      <c r="G374" s="9"/>
      <c r="H374" s="10">
        <f t="shared" si="92"/>
        <v>0</v>
      </c>
      <c r="I374" s="8">
        <f>IFERROR(H374/H444, "NA")</f>
        <v>0</v>
      </c>
      <c r="J374" s="9"/>
      <c r="K374" s="7">
        <v>0</v>
      </c>
      <c r="L374" s="8">
        <f>IFERROR(K374/K444, "NA")</f>
        <v>0</v>
      </c>
      <c r="M374" s="9"/>
      <c r="N374" s="10">
        <f t="shared" si="93"/>
        <v>0</v>
      </c>
      <c r="O374" s="8">
        <f>IFERROR(N374/N444, "NA")</f>
        <v>0</v>
      </c>
      <c r="P374" s="9"/>
      <c r="Q374" s="7">
        <v>0</v>
      </c>
      <c r="R374" s="8">
        <f>IFERROR(Q374/Q444, "NA")</f>
        <v>0</v>
      </c>
      <c r="S374" s="9"/>
      <c r="T374" s="7">
        <v>0</v>
      </c>
      <c r="U374" s="8">
        <f>IFERROR(T374/T444, "NA")</f>
        <v>0</v>
      </c>
      <c r="V374" s="9"/>
      <c r="W374" s="10">
        <f t="shared" si="94"/>
        <v>0</v>
      </c>
      <c r="X374" s="8">
        <f>IFERROR(W374/W444, "NA")</f>
        <v>0</v>
      </c>
      <c r="Y374" s="9"/>
      <c r="Z374" s="7">
        <v>0</v>
      </c>
      <c r="AA374" s="8">
        <f>IFERROR(Z374/Z444, "NA")</f>
        <v>0</v>
      </c>
      <c r="AB374" s="9"/>
      <c r="AC374" s="10">
        <f t="shared" si="95"/>
        <v>0</v>
      </c>
      <c r="AD374" s="8">
        <f>IFERROR(AC374/AC444, "NA")</f>
        <v>0</v>
      </c>
    </row>
    <row r="375" spans="1:30" ht="16.5" hidden="1" customHeight="1" x14ac:dyDescent="0.45">
      <c r="A375" s="20" t="s">
        <v>343</v>
      </c>
      <c r="B375" s="7">
        <v>0</v>
      </c>
      <c r="C375" s="8">
        <f>IFERROR(B375/B444, "NA")</f>
        <v>0</v>
      </c>
      <c r="D375" s="9"/>
      <c r="E375" s="7">
        <v>0</v>
      </c>
      <c r="F375" s="8">
        <f>IFERROR(E375/E444, "NA")</f>
        <v>0</v>
      </c>
      <c r="G375" s="9"/>
      <c r="H375" s="10">
        <f t="shared" si="92"/>
        <v>0</v>
      </c>
      <c r="I375" s="8">
        <f>IFERROR(H375/H444, "NA")</f>
        <v>0</v>
      </c>
      <c r="J375" s="9"/>
      <c r="K375" s="7">
        <v>0</v>
      </c>
      <c r="L375" s="8">
        <f>IFERROR(K375/K444, "NA")</f>
        <v>0</v>
      </c>
      <c r="M375" s="9"/>
      <c r="N375" s="10">
        <f t="shared" si="93"/>
        <v>0</v>
      </c>
      <c r="O375" s="8">
        <f>IFERROR(N375/N444, "NA")</f>
        <v>0</v>
      </c>
      <c r="P375" s="9"/>
      <c r="Q375" s="7">
        <v>0</v>
      </c>
      <c r="R375" s="8">
        <f>IFERROR(Q375/Q444, "NA")</f>
        <v>0</v>
      </c>
      <c r="S375" s="9"/>
      <c r="T375" s="7">
        <v>0</v>
      </c>
      <c r="U375" s="8">
        <f>IFERROR(T375/T444, "NA")</f>
        <v>0</v>
      </c>
      <c r="V375" s="9"/>
      <c r="W375" s="10">
        <f t="shared" si="94"/>
        <v>0</v>
      </c>
      <c r="X375" s="8">
        <f>IFERROR(W375/W444, "NA")</f>
        <v>0</v>
      </c>
      <c r="Y375" s="9"/>
      <c r="Z375" s="7">
        <v>0</v>
      </c>
      <c r="AA375" s="8">
        <f>IFERROR(Z375/Z444, "NA")</f>
        <v>0</v>
      </c>
      <c r="AB375" s="9"/>
      <c r="AC375" s="10">
        <f t="shared" si="95"/>
        <v>0</v>
      </c>
      <c r="AD375" s="8">
        <f>IFERROR(AC375/AC444, "NA")</f>
        <v>0</v>
      </c>
    </row>
    <row r="376" spans="1:30" ht="16.5" hidden="1" customHeight="1" x14ac:dyDescent="0.45">
      <c r="A376" s="20" t="s">
        <v>344</v>
      </c>
      <c r="B376" s="7">
        <v>0</v>
      </c>
      <c r="C376" s="8">
        <f>IFERROR(B376/B444, "NA")</f>
        <v>0</v>
      </c>
      <c r="D376" s="9"/>
      <c r="E376" s="7">
        <v>0</v>
      </c>
      <c r="F376" s="8">
        <f>IFERROR(E376/E444, "NA")</f>
        <v>0</v>
      </c>
      <c r="G376" s="9"/>
      <c r="H376" s="10">
        <f t="shared" si="92"/>
        <v>0</v>
      </c>
      <c r="I376" s="8">
        <f>IFERROR(H376/H444, "NA")</f>
        <v>0</v>
      </c>
      <c r="J376" s="9"/>
      <c r="K376" s="7">
        <v>0</v>
      </c>
      <c r="L376" s="8">
        <f>IFERROR(K376/K444, "NA")</f>
        <v>0</v>
      </c>
      <c r="M376" s="9"/>
      <c r="N376" s="10">
        <f t="shared" si="93"/>
        <v>0</v>
      </c>
      <c r="O376" s="8">
        <f>IFERROR(N376/N444, "NA")</f>
        <v>0</v>
      </c>
      <c r="P376" s="9"/>
      <c r="Q376" s="7">
        <v>0</v>
      </c>
      <c r="R376" s="8">
        <f>IFERROR(Q376/Q444, "NA")</f>
        <v>0</v>
      </c>
      <c r="S376" s="9"/>
      <c r="T376" s="7">
        <v>0</v>
      </c>
      <c r="U376" s="8">
        <f>IFERROR(T376/T444, "NA")</f>
        <v>0</v>
      </c>
      <c r="V376" s="9"/>
      <c r="W376" s="10">
        <f t="shared" si="94"/>
        <v>0</v>
      </c>
      <c r="X376" s="8">
        <f>IFERROR(W376/W444, "NA")</f>
        <v>0</v>
      </c>
      <c r="Y376" s="9"/>
      <c r="Z376" s="7">
        <v>0</v>
      </c>
      <c r="AA376" s="8">
        <f>IFERROR(Z376/Z444, "NA")</f>
        <v>0</v>
      </c>
      <c r="AB376" s="9"/>
      <c r="AC376" s="10">
        <f t="shared" si="95"/>
        <v>0</v>
      </c>
      <c r="AD376" s="8">
        <f>IFERROR(AC376/AC444, "NA")</f>
        <v>0</v>
      </c>
    </row>
    <row r="377" spans="1:30" ht="16.5" hidden="1" customHeight="1" x14ac:dyDescent="0.45">
      <c r="A377" s="20" t="s">
        <v>345</v>
      </c>
      <c r="B377" s="7">
        <v>0</v>
      </c>
      <c r="C377" s="8">
        <f>IFERROR(B377/B444, "NA")</f>
        <v>0</v>
      </c>
      <c r="D377" s="9"/>
      <c r="E377" s="7">
        <v>0</v>
      </c>
      <c r="F377" s="8">
        <f>IFERROR(E377/E444, "NA")</f>
        <v>0</v>
      </c>
      <c r="G377" s="9"/>
      <c r="H377" s="10">
        <f t="shared" si="92"/>
        <v>0</v>
      </c>
      <c r="I377" s="8">
        <f>IFERROR(H377/H444, "NA")</f>
        <v>0</v>
      </c>
      <c r="J377" s="9"/>
      <c r="K377" s="7">
        <v>0</v>
      </c>
      <c r="L377" s="8">
        <f>IFERROR(K377/K444, "NA")</f>
        <v>0</v>
      </c>
      <c r="M377" s="9"/>
      <c r="N377" s="10">
        <f t="shared" si="93"/>
        <v>0</v>
      </c>
      <c r="O377" s="8">
        <f>IFERROR(N377/N444, "NA")</f>
        <v>0</v>
      </c>
      <c r="P377" s="9"/>
      <c r="Q377" s="7">
        <v>0</v>
      </c>
      <c r="R377" s="8">
        <f>IFERROR(Q377/Q444, "NA")</f>
        <v>0</v>
      </c>
      <c r="S377" s="9"/>
      <c r="T377" s="7">
        <v>0</v>
      </c>
      <c r="U377" s="8">
        <f>IFERROR(T377/T444, "NA")</f>
        <v>0</v>
      </c>
      <c r="V377" s="9"/>
      <c r="W377" s="10">
        <f t="shared" si="94"/>
        <v>0</v>
      </c>
      <c r="X377" s="8">
        <f>IFERROR(W377/W444, "NA")</f>
        <v>0</v>
      </c>
      <c r="Y377" s="9"/>
      <c r="Z377" s="7">
        <v>0</v>
      </c>
      <c r="AA377" s="8">
        <f>IFERROR(Z377/Z444, "NA")</f>
        <v>0</v>
      </c>
      <c r="AB377" s="9"/>
      <c r="AC377" s="10">
        <f t="shared" si="95"/>
        <v>0</v>
      </c>
      <c r="AD377" s="8">
        <f>IFERROR(AC377/AC444, "NA")</f>
        <v>0</v>
      </c>
    </row>
    <row r="378" spans="1:30" ht="16.5" hidden="1" customHeight="1" x14ac:dyDescent="0.45">
      <c r="A378" s="20" t="s">
        <v>346</v>
      </c>
      <c r="B378" s="7">
        <v>0</v>
      </c>
      <c r="C378" s="8">
        <f>IFERROR(B378/B444, "NA")</f>
        <v>0</v>
      </c>
      <c r="D378" s="9"/>
      <c r="E378" s="7">
        <v>0</v>
      </c>
      <c r="F378" s="8">
        <f>IFERROR(E378/E444, "NA")</f>
        <v>0</v>
      </c>
      <c r="G378" s="9"/>
      <c r="H378" s="10">
        <f t="shared" si="92"/>
        <v>0</v>
      </c>
      <c r="I378" s="8">
        <f>IFERROR(H378/H444, "NA")</f>
        <v>0</v>
      </c>
      <c r="J378" s="9"/>
      <c r="K378" s="7">
        <v>0</v>
      </c>
      <c r="L378" s="8">
        <f>IFERROR(K378/K444, "NA")</f>
        <v>0</v>
      </c>
      <c r="M378" s="9"/>
      <c r="N378" s="10">
        <f t="shared" si="93"/>
        <v>0</v>
      </c>
      <c r="O378" s="8">
        <f>IFERROR(N378/N444, "NA")</f>
        <v>0</v>
      </c>
      <c r="P378" s="9"/>
      <c r="Q378" s="7">
        <v>0</v>
      </c>
      <c r="R378" s="8">
        <f>IFERROR(Q378/Q444, "NA")</f>
        <v>0</v>
      </c>
      <c r="S378" s="9"/>
      <c r="T378" s="7">
        <v>0</v>
      </c>
      <c r="U378" s="8">
        <f>IFERROR(T378/T444, "NA")</f>
        <v>0</v>
      </c>
      <c r="V378" s="9"/>
      <c r="W378" s="10">
        <f t="shared" si="94"/>
        <v>0</v>
      </c>
      <c r="X378" s="8">
        <f>IFERROR(W378/W444, "NA")</f>
        <v>0</v>
      </c>
      <c r="Y378" s="9"/>
      <c r="Z378" s="7">
        <v>0</v>
      </c>
      <c r="AA378" s="8">
        <f>IFERROR(Z378/Z444, "NA")</f>
        <v>0</v>
      </c>
      <c r="AB378" s="9"/>
      <c r="AC378" s="10">
        <f t="shared" si="95"/>
        <v>0</v>
      </c>
      <c r="AD378" s="8">
        <f>IFERROR(AC378/AC444, "NA")</f>
        <v>0</v>
      </c>
    </row>
    <row r="379" spans="1:30" ht="16.5" hidden="1" customHeight="1" x14ac:dyDescent="0.45">
      <c r="A379" s="20" t="s">
        <v>347</v>
      </c>
      <c r="B379" s="7">
        <v>0</v>
      </c>
      <c r="C379" s="8">
        <f>IFERROR(B379/B444, "NA")</f>
        <v>0</v>
      </c>
      <c r="D379" s="9"/>
      <c r="E379" s="7">
        <v>0</v>
      </c>
      <c r="F379" s="8">
        <f>IFERROR(E379/E444, "NA")</f>
        <v>0</v>
      </c>
      <c r="G379" s="9"/>
      <c r="H379" s="10">
        <f t="shared" si="92"/>
        <v>0</v>
      </c>
      <c r="I379" s="8">
        <f>IFERROR(H379/H444, "NA")</f>
        <v>0</v>
      </c>
      <c r="J379" s="9"/>
      <c r="K379" s="7">
        <v>0</v>
      </c>
      <c r="L379" s="8">
        <f>IFERROR(K379/K444, "NA")</f>
        <v>0</v>
      </c>
      <c r="M379" s="9"/>
      <c r="N379" s="10">
        <f t="shared" si="93"/>
        <v>0</v>
      </c>
      <c r="O379" s="8">
        <f>IFERROR(N379/N444, "NA")</f>
        <v>0</v>
      </c>
      <c r="P379" s="9"/>
      <c r="Q379" s="7">
        <v>0</v>
      </c>
      <c r="R379" s="8">
        <f>IFERROR(Q379/Q444, "NA")</f>
        <v>0</v>
      </c>
      <c r="S379" s="9"/>
      <c r="T379" s="7">
        <v>0</v>
      </c>
      <c r="U379" s="8">
        <f>IFERROR(T379/T444, "NA")</f>
        <v>0</v>
      </c>
      <c r="V379" s="9"/>
      <c r="W379" s="10">
        <f t="shared" si="94"/>
        <v>0</v>
      </c>
      <c r="X379" s="8">
        <f>IFERROR(W379/W444, "NA")</f>
        <v>0</v>
      </c>
      <c r="Y379" s="9"/>
      <c r="Z379" s="7">
        <v>0</v>
      </c>
      <c r="AA379" s="8">
        <f>IFERROR(Z379/Z444, "NA")</f>
        <v>0</v>
      </c>
      <c r="AB379" s="9"/>
      <c r="AC379" s="10">
        <f t="shared" si="95"/>
        <v>0</v>
      </c>
      <c r="AD379" s="8">
        <f>IFERROR(AC379/AC444, "NA")</f>
        <v>0</v>
      </c>
    </row>
    <row r="380" spans="1:30" ht="16.5" hidden="1" customHeight="1" x14ac:dyDescent="0.45">
      <c r="A380" s="20" t="s">
        <v>348</v>
      </c>
      <c r="B380" s="7">
        <v>0</v>
      </c>
      <c r="C380" s="8">
        <f>IFERROR(B380/B444, "NA")</f>
        <v>0</v>
      </c>
      <c r="D380" s="9"/>
      <c r="E380" s="7">
        <v>0</v>
      </c>
      <c r="F380" s="8">
        <f>IFERROR(E380/E444, "NA")</f>
        <v>0</v>
      </c>
      <c r="G380" s="9"/>
      <c r="H380" s="10">
        <f t="shared" si="92"/>
        <v>0</v>
      </c>
      <c r="I380" s="8">
        <f>IFERROR(H380/H444, "NA")</f>
        <v>0</v>
      </c>
      <c r="J380" s="9"/>
      <c r="K380" s="7">
        <v>0</v>
      </c>
      <c r="L380" s="8">
        <f>IFERROR(K380/K444, "NA")</f>
        <v>0</v>
      </c>
      <c r="M380" s="9"/>
      <c r="N380" s="10">
        <f t="shared" si="93"/>
        <v>0</v>
      </c>
      <c r="O380" s="8">
        <f>IFERROR(N380/N444, "NA")</f>
        <v>0</v>
      </c>
      <c r="P380" s="9"/>
      <c r="Q380" s="7">
        <v>0</v>
      </c>
      <c r="R380" s="8">
        <f>IFERROR(Q380/Q444, "NA")</f>
        <v>0</v>
      </c>
      <c r="S380" s="9"/>
      <c r="T380" s="7">
        <v>0</v>
      </c>
      <c r="U380" s="8">
        <f>IFERROR(T380/T444, "NA")</f>
        <v>0</v>
      </c>
      <c r="V380" s="9"/>
      <c r="W380" s="10">
        <f t="shared" si="94"/>
        <v>0</v>
      </c>
      <c r="X380" s="8">
        <f>IFERROR(W380/W444, "NA")</f>
        <v>0</v>
      </c>
      <c r="Y380" s="9"/>
      <c r="Z380" s="7">
        <v>0</v>
      </c>
      <c r="AA380" s="8">
        <f>IFERROR(Z380/Z444, "NA")</f>
        <v>0</v>
      </c>
      <c r="AB380" s="9"/>
      <c r="AC380" s="10">
        <f t="shared" si="95"/>
        <v>0</v>
      </c>
      <c r="AD380" s="8">
        <f>IFERROR(AC380/AC444, "NA")</f>
        <v>0</v>
      </c>
    </row>
    <row r="381" spans="1:30" ht="16.5" hidden="1" customHeight="1" x14ac:dyDescent="0.45">
      <c r="A381" s="20" t="s">
        <v>349</v>
      </c>
      <c r="B381" s="7">
        <v>0</v>
      </c>
      <c r="C381" s="8">
        <f>IFERROR(B381/B444, "NA")</f>
        <v>0</v>
      </c>
      <c r="D381" s="9"/>
      <c r="E381" s="7">
        <v>0</v>
      </c>
      <c r="F381" s="8">
        <f>IFERROR(E381/E444, "NA")</f>
        <v>0</v>
      </c>
      <c r="G381" s="9"/>
      <c r="H381" s="10">
        <f t="shared" si="92"/>
        <v>0</v>
      </c>
      <c r="I381" s="8">
        <f>IFERROR(H381/H444, "NA")</f>
        <v>0</v>
      </c>
      <c r="J381" s="9"/>
      <c r="K381" s="7">
        <v>0</v>
      </c>
      <c r="L381" s="8">
        <f>IFERROR(K381/K444, "NA")</f>
        <v>0</v>
      </c>
      <c r="M381" s="9"/>
      <c r="N381" s="10">
        <f t="shared" si="93"/>
        <v>0</v>
      </c>
      <c r="O381" s="8">
        <f>IFERROR(N381/N444, "NA")</f>
        <v>0</v>
      </c>
      <c r="P381" s="9"/>
      <c r="Q381" s="7">
        <v>0</v>
      </c>
      <c r="R381" s="8">
        <f>IFERROR(Q381/Q444, "NA")</f>
        <v>0</v>
      </c>
      <c r="S381" s="9"/>
      <c r="T381" s="7">
        <v>0</v>
      </c>
      <c r="U381" s="8">
        <f>IFERROR(T381/T444, "NA")</f>
        <v>0</v>
      </c>
      <c r="V381" s="9"/>
      <c r="W381" s="10">
        <f t="shared" si="94"/>
        <v>0</v>
      </c>
      <c r="X381" s="8">
        <f>IFERROR(W381/W444, "NA")</f>
        <v>0</v>
      </c>
      <c r="Y381" s="9"/>
      <c r="Z381" s="7">
        <v>0</v>
      </c>
      <c r="AA381" s="8">
        <f>IFERROR(Z381/Z444, "NA")</f>
        <v>0</v>
      </c>
      <c r="AB381" s="9"/>
      <c r="AC381" s="10">
        <f t="shared" si="95"/>
        <v>0</v>
      </c>
      <c r="AD381" s="8">
        <f>IFERROR(AC381/AC444, "NA")</f>
        <v>0</v>
      </c>
    </row>
    <row r="382" spans="1:30" ht="16.5" hidden="1" customHeight="1" x14ac:dyDescent="0.45">
      <c r="A382" s="20" t="s">
        <v>350</v>
      </c>
      <c r="B382" s="7">
        <v>0</v>
      </c>
      <c r="C382" s="8">
        <f>IFERROR(B382/B444, "NA")</f>
        <v>0</v>
      </c>
      <c r="D382" s="9"/>
      <c r="E382" s="7">
        <v>0</v>
      </c>
      <c r="F382" s="8">
        <f>IFERROR(E382/E444, "NA")</f>
        <v>0</v>
      </c>
      <c r="G382" s="9"/>
      <c r="H382" s="10">
        <f t="shared" si="92"/>
        <v>0</v>
      </c>
      <c r="I382" s="8">
        <f>IFERROR(H382/H444, "NA")</f>
        <v>0</v>
      </c>
      <c r="J382" s="9"/>
      <c r="K382" s="7">
        <v>0</v>
      </c>
      <c r="L382" s="8">
        <f>IFERROR(K382/K444, "NA")</f>
        <v>0</v>
      </c>
      <c r="M382" s="9"/>
      <c r="N382" s="10">
        <f t="shared" si="93"/>
        <v>0</v>
      </c>
      <c r="O382" s="8">
        <f>IFERROR(N382/N444, "NA")</f>
        <v>0</v>
      </c>
      <c r="P382" s="9"/>
      <c r="Q382" s="7">
        <v>0</v>
      </c>
      <c r="R382" s="8">
        <f>IFERROR(Q382/Q444, "NA")</f>
        <v>0</v>
      </c>
      <c r="S382" s="9"/>
      <c r="T382" s="7">
        <v>0</v>
      </c>
      <c r="U382" s="8">
        <f>IFERROR(T382/T444, "NA")</f>
        <v>0</v>
      </c>
      <c r="V382" s="9"/>
      <c r="W382" s="10">
        <f t="shared" si="94"/>
        <v>0</v>
      </c>
      <c r="X382" s="8">
        <f>IFERROR(W382/W444, "NA")</f>
        <v>0</v>
      </c>
      <c r="Y382" s="9"/>
      <c r="Z382" s="7">
        <v>0</v>
      </c>
      <c r="AA382" s="8">
        <f>IFERROR(Z382/Z444, "NA")</f>
        <v>0</v>
      </c>
      <c r="AB382" s="9"/>
      <c r="AC382" s="10">
        <f t="shared" si="95"/>
        <v>0</v>
      </c>
      <c r="AD382" s="8">
        <f>IFERROR(AC382/AC444, "NA")</f>
        <v>0</v>
      </c>
    </row>
    <row r="383" spans="1:30" ht="16.5" hidden="1" customHeight="1" x14ac:dyDescent="0.45">
      <c r="A383" s="20" t="s">
        <v>351</v>
      </c>
      <c r="B383" s="7">
        <v>0</v>
      </c>
      <c r="C383" s="8">
        <f>IFERROR(B383/B444, "NA")</f>
        <v>0</v>
      </c>
      <c r="D383" s="9"/>
      <c r="E383" s="7">
        <v>0</v>
      </c>
      <c r="F383" s="8">
        <f>IFERROR(E383/E444, "NA")</f>
        <v>0</v>
      </c>
      <c r="G383" s="9"/>
      <c r="H383" s="10">
        <f t="shared" si="92"/>
        <v>0</v>
      </c>
      <c r="I383" s="8">
        <f>IFERROR(H383/H444, "NA")</f>
        <v>0</v>
      </c>
      <c r="J383" s="9"/>
      <c r="K383" s="7">
        <v>0</v>
      </c>
      <c r="L383" s="8">
        <f>IFERROR(K383/K444, "NA")</f>
        <v>0</v>
      </c>
      <c r="M383" s="9"/>
      <c r="N383" s="10">
        <f t="shared" si="93"/>
        <v>0</v>
      </c>
      <c r="O383" s="8">
        <f>IFERROR(N383/N444, "NA")</f>
        <v>0</v>
      </c>
      <c r="P383" s="9"/>
      <c r="Q383" s="7">
        <v>0</v>
      </c>
      <c r="R383" s="8">
        <f>IFERROR(Q383/Q444, "NA")</f>
        <v>0</v>
      </c>
      <c r="S383" s="9"/>
      <c r="T383" s="7">
        <v>0</v>
      </c>
      <c r="U383" s="8">
        <f>IFERROR(T383/T444, "NA")</f>
        <v>0</v>
      </c>
      <c r="V383" s="9"/>
      <c r="W383" s="10">
        <f t="shared" si="94"/>
        <v>0</v>
      </c>
      <c r="X383" s="8">
        <f>IFERROR(W383/W444, "NA")</f>
        <v>0</v>
      </c>
      <c r="Y383" s="9"/>
      <c r="Z383" s="7">
        <v>0</v>
      </c>
      <c r="AA383" s="8">
        <f>IFERROR(Z383/Z444, "NA")</f>
        <v>0</v>
      </c>
      <c r="AB383" s="9"/>
      <c r="AC383" s="10">
        <f t="shared" si="95"/>
        <v>0</v>
      </c>
      <c r="AD383" s="8">
        <f>IFERROR(AC383/AC444, "NA")</f>
        <v>0</v>
      </c>
    </row>
    <row r="384" spans="1:30" ht="16.5" customHeight="1" x14ac:dyDescent="0.45">
      <c r="A384" s="5" t="s">
        <v>352</v>
      </c>
      <c r="B384" s="2"/>
      <c r="C384" s="3"/>
      <c r="D384" s="4"/>
      <c r="E384" s="2"/>
      <c r="F384" s="3"/>
      <c r="G384" s="4"/>
      <c r="H384" s="2"/>
      <c r="I384" s="3"/>
      <c r="J384" s="4"/>
      <c r="K384" s="2"/>
      <c r="L384" s="3"/>
      <c r="M384" s="4"/>
      <c r="N384" s="2"/>
      <c r="O384" s="3"/>
      <c r="P384" s="4"/>
      <c r="Q384" s="2"/>
      <c r="R384" s="3"/>
      <c r="S384" s="4"/>
      <c r="T384" s="2"/>
      <c r="U384" s="3"/>
      <c r="V384" s="4"/>
      <c r="W384" s="2"/>
      <c r="X384" s="3"/>
      <c r="Y384" s="4"/>
      <c r="Z384" s="2"/>
      <c r="AA384" s="3"/>
      <c r="AB384" s="4"/>
      <c r="AC384" s="2"/>
      <c r="AD384" s="3"/>
    </row>
    <row r="385" spans="1:30" ht="16.5" hidden="1" customHeight="1" x14ac:dyDescent="0.45">
      <c r="A385" s="6" t="s">
        <v>352</v>
      </c>
      <c r="B385" s="7">
        <v>0</v>
      </c>
      <c r="C385" s="8">
        <f>IFERROR(B385/B444, "NA")</f>
        <v>0</v>
      </c>
      <c r="D385" s="9"/>
      <c r="E385" s="7">
        <v>0</v>
      </c>
      <c r="F385" s="8">
        <f>IFERROR(E385/E444, "NA")</f>
        <v>0</v>
      </c>
      <c r="G385" s="9"/>
      <c r="H385" s="10">
        <f>IFERROR(-(B385-E385), "NA")</f>
        <v>0</v>
      </c>
      <c r="I385" s="8">
        <f>IFERROR(H385/H444, "NA")</f>
        <v>0</v>
      </c>
      <c r="J385" s="9"/>
      <c r="K385" s="7">
        <v>0</v>
      </c>
      <c r="L385" s="8">
        <f>IFERROR(K385/K444, "NA")</f>
        <v>0</v>
      </c>
      <c r="M385" s="9"/>
      <c r="N385" s="10">
        <f>IFERROR(-(B385-K385), "NA")</f>
        <v>0</v>
      </c>
      <c r="O385" s="8">
        <f>IFERROR(N385/N444, "NA")</f>
        <v>0</v>
      </c>
      <c r="P385" s="9"/>
      <c r="Q385" s="7">
        <v>0</v>
      </c>
      <c r="R385" s="8">
        <f>IFERROR(Q385/Q444, "NA")</f>
        <v>0</v>
      </c>
      <c r="S385" s="9"/>
      <c r="T385" s="7">
        <v>0</v>
      </c>
      <c r="U385" s="8">
        <f>IFERROR(T385/T444, "NA")</f>
        <v>0</v>
      </c>
      <c r="V385" s="9"/>
      <c r="W385" s="10">
        <f>IFERROR(-(Q385-T385), "NA")</f>
        <v>0</v>
      </c>
      <c r="X385" s="8">
        <f>IFERROR(W385/W444, "NA")</f>
        <v>0</v>
      </c>
      <c r="Y385" s="9"/>
      <c r="Z385" s="7">
        <v>0</v>
      </c>
      <c r="AA385" s="8">
        <f>IFERROR(Z385/Z444, "NA")</f>
        <v>0</v>
      </c>
      <c r="AB385" s="9"/>
      <c r="AC385" s="10">
        <f>IFERROR(-(Q385-Z385), "NA")</f>
        <v>0</v>
      </c>
      <c r="AD385" s="8">
        <f>IFERROR(AC385/AC444, "NA")</f>
        <v>0</v>
      </c>
    </row>
    <row r="386" spans="1:30" ht="16.5" hidden="1" customHeight="1" x14ac:dyDescent="0.45">
      <c r="A386" s="6" t="s">
        <v>353</v>
      </c>
      <c r="B386" s="7">
        <v>0</v>
      </c>
      <c r="C386" s="8">
        <f>IFERROR(B386/B444, "NA")</f>
        <v>0</v>
      </c>
      <c r="D386" s="9"/>
      <c r="E386" s="7">
        <v>0</v>
      </c>
      <c r="F386" s="8">
        <f>IFERROR(E386/E444, "NA")</f>
        <v>0</v>
      </c>
      <c r="G386" s="9"/>
      <c r="H386" s="10">
        <f>IFERROR(-(B386-E386), "NA")</f>
        <v>0</v>
      </c>
      <c r="I386" s="8">
        <f>IFERROR(H386/H444, "NA")</f>
        <v>0</v>
      </c>
      <c r="J386" s="9"/>
      <c r="K386" s="7">
        <v>0</v>
      </c>
      <c r="L386" s="8">
        <f>IFERROR(K386/K444, "NA")</f>
        <v>0</v>
      </c>
      <c r="M386" s="9"/>
      <c r="N386" s="10">
        <f>IFERROR(-(B386-K386), "NA")</f>
        <v>0</v>
      </c>
      <c r="O386" s="8">
        <f>IFERROR(N386/N444, "NA")</f>
        <v>0</v>
      </c>
      <c r="P386" s="9"/>
      <c r="Q386" s="7">
        <v>0</v>
      </c>
      <c r="R386" s="8">
        <f>IFERROR(Q386/Q444, "NA")</f>
        <v>0</v>
      </c>
      <c r="S386" s="9"/>
      <c r="T386" s="7">
        <v>0</v>
      </c>
      <c r="U386" s="8">
        <f>IFERROR(T386/T444, "NA")</f>
        <v>0</v>
      </c>
      <c r="V386" s="9"/>
      <c r="W386" s="10">
        <f>IFERROR(-(Q386-T386), "NA")</f>
        <v>0</v>
      </c>
      <c r="X386" s="8">
        <f>IFERROR(W386/W444, "NA")</f>
        <v>0</v>
      </c>
      <c r="Y386" s="9"/>
      <c r="Z386" s="7">
        <v>0</v>
      </c>
      <c r="AA386" s="8">
        <f>IFERROR(Z386/Z444, "NA")</f>
        <v>0</v>
      </c>
      <c r="AB386" s="9"/>
      <c r="AC386" s="10">
        <f>IFERROR(-(Q386-Z386), "NA")</f>
        <v>0</v>
      </c>
      <c r="AD386" s="8">
        <f>IFERROR(AC386/AC444, "NA")</f>
        <v>0</v>
      </c>
    </row>
    <row r="387" spans="1:30" ht="16.5" customHeight="1" x14ac:dyDescent="0.45">
      <c r="A387" s="11" t="s">
        <v>354</v>
      </c>
      <c r="B387" s="2"/>
      <c r="C387" s="3"/>
      <c r="D387" s="4"/>
      <c r="E387" s="2"/>
      <c r="F387" s="3"/>
      <c r="G387" s="4"/>
      <c r="H387" s="2"/>
      <c r="I387" s="3"/>
      <c r="J387" s="4"/>
      <c r="K387" s="2"/>
      <c r="L387" s="3"/>
      <c r="M387" s="4"/>
      <c r="N387" s="2"/>
      <c r="O387" s="3"/>
      <c r="P387" s="4"/>
      <c r="Q387" s="2"/>
      <c r="R387" s="3"/>
      <c r="S387" s="4"/>
      <c r="T387" s="2"/>
      <c r="U387" s="3"/>
      <c r="V387" s="4"/>
      <c r="W387" s="2"/>
      <c r="X387" s="3"/>
      <c r="Y387" s="4"/>
      <c r="Z387" s="2"/>
      <c r="AA387" s="3"/>
      <c r="AB387" s="4"/>
      <c r="AC387" s="2"/>
      <c r="AD387" s="3"/>
    </row>
    <row r="388" spans="1:30" ht="16.5" hidden="1" customHeight="1" x14ac:dyDescent="0.45">
      <c r="A388" s="12" t="s">
        <v>354</v>
      </c>
      <c r="B388" s="7">
        <v>0</v>
      </c>
      <c r="C388" s="8">
        <f>IFERROR(B388/B444, "NA")</f>
        <v>0</v>
      </c>
      <c r="D388" s="9"/>
      <c r="E388" s="7">
        <v>0</v>
      </c>
      <c r="F388" s="8">
        <f>IFERROR(E388/E444, "NA")</f>
        <v>0</v>
      </c>
      <c r="G388" s="9"/>
      <c r="H388" s="10">
        <f t="shared" ref="H388:H403" si="96">IFERROR(-(B388-E388), "NA")</f>
        <v>0</v>
      </c>
      <c r="I388" s="8">
        <f>IFERROR(H388/H444, "NA")</f>
        <v>0</v>
      </c>
      <c r="J388" s="9"/>
      <c r="K388" s="7">
        <v>0</v>
      </c>
      <c r="L388" s="8">
        <f>IFERROR(K388/K444, "NA")</f>
        <v>0</v>
      </c>
      <c r="M388" s="9"/>
      <c r="N388" s="10">
        <f t="shared" ref="N388:N403" si="97">IFERROR(-(B388-K388), "NA")</f>
        <v>0</v>
      </c>
      <c r="O388" s="8">
        <f>IFERROR(N388/N444, "NA")</f>
        <v>0</v>
      </c>
      <c r="P388" s="9"/>
      <c r="Q388" s="7">
        <v>0</v>
      </c>
      <c r="R388" s="8">
        <f>IFERROR(Q388/Q444, "NA")</f>
        <v>0</v>
      </c>
      <c r="S388" s="9"/>
      <c r="T388" s="7">
        <v>0</v>
      </c>
      <c r="U388" s="8">
        <f>IFERROR(T388/T444, "NA")</f>
        <v>0</v>
      </c>
      <c r="V388" s="9"/>
      <c r="W388" s="10">
        <f t="shared" ref="W388:W403" si="98">IFERROR(-(Q388-T388), "NA")</f>
        <v>0</v>
      </c>
      <c r="X388" s="8">
        <f>IFERROR(W388/W444, "NA")</f>
        <v>0</v>
      </c>
      <c r="Y388" s="9"/>
      <c r="Z388" s="7">
        <v>0</v>
      </c>
      <c r="AA388" s="8">
        <f>IFERROR(Z388/Z444, "NA")</f>
        <v>0</v>
      </c>
      <c r="AB388" s="9"/>
      <c r="AC388" s="10">
        <f t="shared" ref="AC388:AC403" si="99">IFERROR(-(Q388-Z388), "NA")</f>
        <v>0</v>
      </c>
      <c r="AD388" s="8">
        <f>IFERROR(AC388/AC444, "NA")</f>
        <v>0</v>
      </c>
    </row>
    <row r="389" spans="1:30" ht="16.5" hidden="1" customHeight="1" x14ac:dyDescent="0.45">
      <c r="A389" s="12" t="s">
        <v>355</v>
      </c>
      <c r="B389" s="7">
        <v>0</v>
      </c>
      <c r="C389" s="8">
        <f>IFERROR(B389/B444, "NA")</f>
        <v>0</v>
      </c>
      <c r="D389" s="9"/>
      <c r="E389" s="7">
        <v>0</v>
      </c>
      <c r="F389" s="8">
        <f>IFERROR(E389/E444, "NA")</f>
        <v>0</v>
      </c>
      <c r="G389" s="9"/>
      <c r="H389" s="10">
        <f t="shared" si="96"/>
        <v>0</v>
      </c>
      <c r="I389" s="8">
        <f>IFERROR(H389/H444, "NA")</f>
        <v>0</v>
      </c>
      <c r="J389" s="9"/>
      <c r="K389" s="7">
        <v>0</v>
      </c>
      <c r="L389" s="8">
        <f>IFERROR(K389/K444, "NA")</f>
        <v>0</v>
      </c>
      <c r="M389" s="9"/>
      <c r="N389" s="10">
        <f t="shared" si="97"/>
        <v>0</v>
      </c>
      <c r="O389" s="8">
        <f>IFERROR(N389/N444, "NA")</f>
        <v>0</v>
      </c>
      <c r="P389" s="9"/>
      <c r="Q389" s="7">
        <v>0</v>
      </c>
      <c r="R389" s="8">
        <f>IFERROR(Q389/Q444, "NA")</f>
        <v>0</v>
      </c>
      <c r="S389" s="9"/>
      <c r="T389" s="7">
        <v>0</v>
      </c>
      <c r="U389" s="8">
        <f>IFERROR(T389/T444, "NA")</f>
        <v>0</v>
      </c>
      <c r="V389" s="9"/>
      <c r="W389" s="10">
        <f t="shared" si="98"/>
        <v>0</v>
      </c>
      <c r="X389" s="8">
        <f>IFERROR(W389/W444, "NA")</f>
        <v>0</v>
      </c>
      <c r="Y389" s="9"/>
      <c r="Z389" s="7">
        <v>0</v>
      </c>
      <c r="AA389" s="8">
        <f>IFERROR(Z389/Z444, "NA")</f>
        <v>0</v>
      </c>
      <c r="AB389" s="9"/>
      <c r="AC389" s="10">
        <f t="shared" si="99"/>
        <v>0</v>
      </c>
      <c r="AD389" s="8">
        <f>IFERROR(AC389/AC444, "NA")</f>
        <v>0</v>
      </c>
    </row>
    <row r="390" spans="1:30" ht="16.5" hidden="1" customHeight="1" x14ac:dyDescent="0.45">
      <c r="A390" s="12" t="s">
        <v>356</v>
      </c>
      <c r="B390" s="7">
        <v>0</v>
      </c>
      <c r="C390" s="8">
        <f>IFERROR(B390/B444, "NA")</f>
        <v>0</v>
      </c>
      <c r="D390" s="9"/>
      <c r="E390" s="7">
        <v>0</v>
      </c>
      <c r="F390" s="8">
        <f>IFERROR(E390/E444, "NA")</f>
        <v>0</v>
      </c>
      <c r="G390" s="9"/>
      <c r="H390" s="10">
        <f t="shared" si="96"/>
        <v>0</v>
      </c>
      <c r="I390" s="8">
        <f>IFERROR(H390/H444, "NA")</f>
        <v>0</v>
      </c>
      <c r="J390" s="9"/>
      <c r="K390" s="7">
        <v>0</v>
      </c>
      <c r="L390" s="8">
        <f>IFERROR(K390/K444, "NA")</f>
        <v>0</v>
      </c>
      <c r="M390" s="9"/>
      <c r="N390" s="10">
        <f t="shared" si="97"/>
        <v>0</v>
      </c>
      <c r="O390" s="8">
        <f>IFERROR(N390/N444, "NA")</f>
        <v>0</v>
      </c>
      <c r="P390" s="9"/>
      <c r="Q390" s="7">
        <v>0</v>
      </c>
      <c r="R390" s="8">
        <f>IFERROR(Q390/Q444, "NA")</f>
        <v>0</v>
      </c>
      <c r="S390" s="9"/>
      <c r="T390" s="7">
        <v>0</v>
      </c>
      <c r="U390" s="8">
        <f>IFERROR(T390/T444, "NA")</f>
        <v>0</v>
      </c>
      <c r="V390" s="9"/>
      <c r="W390" s="10">
        <f t="shared" si="98"/>
        <v>0</v>
      </c>
      <c r="X390" s="8">
        <f>IFERROR(W390/W444, "NA")</f>
        <v>0</v>
      </c>
      <c r="Y390" s="9"/>
      <c r="Z390" s="7">
        <v>0</v>
      </c>
      <c r="AA390" s="8">
        <f>IFERROR(Z390/Z444, "NA")</f>
        <v>0</v>
      </c>
      <c r="AB390" s="9"/>
      <c r="AC390" s="10">
        <f t="shared" si="99"/>
        <v>0</v>
      </c>
      <c r="AD390" s="8">
        <f>IFERROR(AC390/AC444, "NA")</f>
        <v>0</v>
      </c>
    </row>
    <row r="391" spans="1:30" ht="16.5" hidden="1" customHeight="1" x14ac:dyDescent="0.45">
      <c r="A391" s="12" t="s">
        <v>357</v>
      </c>
      <c r="B391" s="7">
        <v>0</v>
      </c>
      <c r="C391" s="8">
        <f>IFERROR(B391/B444, "NA")</f>
        <v>0</v>
      </c>
      <c r="D391" s="9"/>
      <c r="E391" s="7">
        <v>0</v>
      </c>
      <c r="F391" s="8">
        <f>IFERROR(E391/E444, "NA")</f>
        <v>0</v>
      </c>
      <c r="G391" s="9"/>
      <c r="H391" s="10">
        <f t="shared" si="96"/>
        <v>0</v>
      </c>
      <c r="I391" s="8">
        <f>IFERROR(H391/H444, "NA")</f>
        <v>0</v>
      </c>
      <c r="J391" s="9"/>
      <c r="K391" s="7">
        <v>0</v>
      </c>
      <c r="L391" s="8">
        <f>IFERROR(K391/K444, "NA")</f>
        <v>0</v>
      </c>
      <c r="M391" s="9"/>
      <c r="N391" s="10">
        <f t="shared" si="97"/>
        <v>0</v>
      </c>
      <c r="O391" s="8">
        <f>IFERROR(N391/N444, "NA")</f>
        <v>0</v>
      </c>
      <c r="P391" s="9"/>
      <c r="Q391" s="7">
        <v>0</v>
      </c>
      <c r="R391" s="8">
        <f>IFERROR(Q391/Q444, "NA")</f>
        <v>0</v>
      </c>
      <c r="S391" s="9"/>
      <c r="T391" s="7">
        <v>0</v>
      </c>
      <c r="U391" s="8">
        <f>IFERROR(T391/T444, "NA")</f>
        <v>0</v>
      </c>
      <c r="V391" s="9"/>
      <c r="W391" s="10">
        <f t="shared" si="98"/>
        <v>0</v>
      </c>
      <c r="X391" s="8">
        <f>IFERROR(W391/W444, "NA")</f>
        <v>0</v>
      </c>
      <c r="Y391" s="9"/>
      <c r="Z391" s="7">
        <v>0</v>
      </c>
      <c r="AA391" s="8">
        <f>IFERROR(Z391/Z444, "NA")</f>
        <v>0</v>
      </c>
      <c r="AB391" s="9"/>
      <c r="AC391" s="10">
        <f t="shared" si="99"/>
        <v>0</v>
      </c>
      <c r="AD391" s="8">
        <f>IFERROR(AC391/AC444, "NA")</f>
        <v>0</v>
      </c>
    </row>
    <row r="392" spans="1:30" ht="16.5" hidden="1" customHeight="1" x14ac:dyDescent="0.45">
      <c r="A392" s="12" t="s">
        <v>358</v>
      </c>
      <c r="B392" s="7">
        <v>0</v>
      </c>
      <c r="C392" s="8">
        <f>IFERROR(B392/B444, "NA")</f>
        <v>0</v>
      </c>
      <c r="D392" s="9"/>
      <c r="E392" s="7">
        <v>0</v>
      </c>
      <c r="F392" s="8">
        <f>IFERROR(E392/E444, "NA")</f>
        <v>0</v>
      </c>
      <c r="G392" s="9"/>
      <c r="H392" s="10">
        <f t="shared" si="96"/>
        <v>0</v>
      </c>
      <c r="I392" s="8">
        <f>IFERROR(H392/H444, "NA")</f>
        <v>0</v>
      </c>
      <c r="J392" s="9"/>
      <c r="K392" s="7">
        <v>0</v>
      </c>
      <c r="L392" s="8">
        <f>IFERROR(K392/K444, "NA")</f>
        <v>0</v>
      </c>
      <c r="M392" s="9"/>
      <c r="N392" s="10">
        <f t="shared" si="97"/>
        <v>0</v>
      </c>
      <c r="O392" s="8">
        <f>IFERROR(N392/N444, "NA")</f>
        <v>0</v>
      </c>
      <c r="P392" s="9"/>
      <c r="Q392" s="7">
        <v>0</v>
      </c>
      <c r="R392" s="8">
        <f>IFERROR(Q392/Q444, "NA")</f>
        <v>0</v>
      </c>
      <c r="S392" s="9"/>
      <c r="T392" s="7">
        <v>0</v>
      </c>
      <c r="U392" s="8">
        <f>IFERROR(T392/T444, "NA")</f>
        <v>0</v>
      </c>
      <c r="V392" s="9"/>
      <c r="W392" s="10">
        <f t="shared" si="98"/>
        <v>0</v>
      </c>
      <c r="X392" s="8">
        <f>IFERROR(W392/W444, "NA")</f>
        <v>0</v>
      </c>
      <c r="Y392" s="9"/>
      <c r="Z392" s="7">
        <v>0</v>
      </c>
      <c r="AA392" s="8">
        <f>IFERROR(Z392/Z444, "NA")</f>
        <v>0</v>
      </c>
      <c r="AB392" s="9"/>
      <c r="AC392" s="10">
        <f t="shared" si="99"/>
        <v>0</v>
      </c>
      <c r="AD392" s="8">
        <f>IFERROR(AC392/AC444, "NA")</f>
        <v>0</v>
      </c>
    </row>
    <row r="393" spans="1:30" ht="16.5" customHeight="1" x14ac:dyDescent="0.45">
      <c r="A393" s="13" t="s">
        <v>359</v>
      </c>
      <c r="B393" s="14">
        <f>IFERROR(B388+B389+B390+B391+B392, "NA")</f>
        <v>0</v>
      </c>
      <c r="C393" s="15">
        <f>IFERROR(B393/B444, "NA")</f>
        <v>0</v>
      </c>
      <c r="D393" s="2"/>
      <c r="E393" s="14">
        <f>IFERROR(E388+E389+E390+E391+E392, "NA")</f>
        <v>0</v>
      </c>
      <c r="F393" s="15">
        <f>IFERROR(E393/E444, "NA")</f>
        <v>0</v>
      </c>
      <c r="G393" s="2"/>
      <c r="H393" s="14">
        <f t="shared" si="96"/>
        <v>0</v>
      </c>
      <c r="I393" s="15">
        <f>IFERROR(H393/H444, "NA")</f>
        <v>0</v>
      </c>
      <c r="J393" s="2"/>
      <c r="K393" s="14">
        <f>IFERROR(K388+K389+K390+K391+K392, "NA")</f>
        <v>0</v>
      </c>
      <c r="L393" s="15">
        <f>IFERROR(K393/K444, "NA")</f>
        <v>0</v>
      </c>
      <c r="M393" s="2"/>
      <c r="N393" s="14">
        <f t="shared" si="97"/>
        <v>0</v>
      </c>
      <c r="O393" s="15">
        <f>IFERROR(N393/N444, "NA")</f>
        <v>0</v>
      </c>
      <c r="P393" s="2"/>
      <c r="Q393" s="14">
        <f>IFERROR(Q388+Q389+Q390+Q391+Q392, "NA")</f>
        <v>0</v>
      </c>
      <c r="R393" s="15">
        <f>IFERROR(Q393/Q444, "NA")</f>
        <v>0</v>
      </c>
      <c r="S393" s="2"/>
      <c r="T393" s="14">
        <f>IFERROR(T388+T389+T390+T391+T392, "NA")</f>
        <v>0</v>
      </c>
      <c r="U393" s="15">
        <f>IFERROR(T393/T444, "NA")</f>
        <v>0</v>
      </c>
      <c r="V393" s="2"/>
      <c r="W393" s="14">
        <f t="shared" si="98"/>
        <v>0</v>
      </c>
      <c r="X393" s="15">
        <f>IFERROR(W393/W444, "NA")</f>
        <v>0</v>
      </c>
      <c r="Y393" s="2"/>
      <c r="Z393" s="14">
        <f>IFERROR(Z388+Z389+Z390+Z391+Z392, "NA")</f>
        <v>0</v>
      </c>
      <c r="AA393" s="15">
        <f>IFERROR(Z393/Z444, "NA")</f>
        <v>0</v>
      </c>
      <c r="AB393" s="2"/>
      <c r="AC393" s="14">
        <f t="shared" si="99"/>
        <v>0</v>
      </c>
      <c r="AD393" s="15">
        <f>IFERROR(AC393/AC444, "NA")</f>
        <v>0</v>
      </c>
    </row>
    <row r="394" spans="1:30" ht="16.5" hidden="1" customHeight="1" x14ac:dyDescent="0.45">
      <c r="A394" s="6" t="s">
        <v>360</v>
      </c>
      <c r="B394" s="7">
        <v>0</v>
      </c>
      <c r="C394" s="8">
        <f>IFERROR(B394/B444, "NA")</f>
        <v>0</v>
      </c>
      <c r="D394" s="9"/>
      <c r="E394" s="7">
        <v>0</v>
      </c>
      <c r="F394" s="8">
        <f>IFERROR(E394/E444, "NA")</f>
        <v>0</v>
      </c>
      <c r="G394" s="9"/>
      <c r="H394" s="10">
        <f t="shared" si="96"/>
        <v>0</v>
      </c>
      <c r="I394" s="8">
        <f>IFERROR(H394/H444, "NA")</f>
        <v>0</v>
      </c>
      <c r="J394" s="9"/>
      <c r="K394" s="7">
        <v>0</v>
      </c>
      <c r="L394" s="8">
        <f>IFERROR(K394/K444, "NA")</f>
        <v>0</v>
      </c>
      <c r="M394" s="9"/>
      <c r="N394" s="10">
        <f t="shared" si="97"/>
        <v>0</v>
      </c>
      <c r="O394" s="8">
        <f>IFERROR(N394/N444, "NA")</f>
        <v>0</v>
      </c>
      <c r="P394" s="9"/>
      <c r="Q394" s="7">
        <v>0</v>
      </c>
      <c r="R394" s="8">
        <f>IFERROR(Q394/Q444, "NA")</f>
        <v>0</v>
      </c>
      <c r="S394" s="9"/>
      <c r="T394" s="7">
        <v>0</v>
      </c>
      <c r="U394" s="8">
        <f>IFERROR(T394/T444, "NA")</f>
        <v>0</v>
      </c>
      <c r="V394" s="9"/>
      <c r="W394" s="10">
        <f t="shared" si="98"/>
        <v>0</v>
      </c>
      <c r="X394" s="8">
        <f>IFERROR(W394/W444, "NA")</f>
        <v>0</v>
      </c>
      <c r="Y394" s="9"/>
      <c r="Z394" s="7">
        <v>0</v>
      </c>
      <c r="AA394" s="8">
        <f>IFERROR(Z394/Z444, "NA")</f>
        <v>0</v>
      </c>
      <c r="AB394" s="9"/>
      <c r="AC394" s="10">
        <f t="shared" si="99"/>
        <v>0</v>
      </c>
      <c r="AD394" s="8">
        <f>IFERROR(AC394/AC444, "NA")</f>
        <v>0</v>
      </c>
    </row>
    <row r="395" spans="1:30" ht="16.5" hidden="1" customHeight="1" x14ac:dyDescent="0.45">
      <c r="A395" s="6" t="s">
        <v>361</v>
      </c>
      <c r="B395" s="7">
        <v>0</v>
      </c>
      <c r="C395" s="8">
        <f>IFERROR(B395/B444, "NA")</f>
        <v>0</v>
      </c>
      <c r="D395" s="9"/>
      <c r="E395" s="7">
        <v>0</v>
      </c>
      <c r="F395" s="8">
        <f>IFERROR(E395/E444, "NA")</f>
        <v>0</v>
      </c>
      <c r="G395" s="9"/>
      <c r="H395" s="10">
        <f t="shared" si="96"/>
        <v>0</v>
      </c>
      <c r="I395" s="8">
        <f>IFERROR(H395/H444, "NA")</f>
        <v>0</v>
      </c>
      <c r="J395" s="9"/>
      <c r="K395" s="7">
        <v>0</v>
      </c>
      <c r="L395" s="8">
        <f>IFERROR(K395/K444, "NA")</f>
        <v>0</v>
      </c>
      <c r="M395" s="9"/>
      <c r="N395" s="10">
        <f t="shared" si="97"/>
        <v>0</v>
      </c>
      <c r="O395" s="8">
        <f>IFERROR(N395/N444, "NA")</f>
        <v>0</v>
      </c>
      <c r="P395" s="9"/>
      <c r="Q395" s="7">
        <v>0</v>
      </c>
      <c r="R395" s="8">
        <f>IFERROR(Q395/Q444, "NA")</f>
        <v>0</v>
      </c>
      <c r="S395" s="9"/>
      <c r="T395" s="7">
        <v>0</v>
      </c>
      <c r="U395" s="8">
        <f>IFERROR(T395/T444, "NA")</f>
        <v>0</v>
      </c>
      <c r="V395" s="9"/>
      <c r="W395" s="10">
        <f t="shared" si="98"/>
        <v>0</v>
      </c>
      <c r="X395" s="8">
        <f>IFERROR(W395/W444, "NA")</f>
        <v>0</v>
      </c>
      <c r="Y395" s="9"/>
      <c r="Z395" s="7">
        <v>0</v>
      </c>
      <c r="AA395" s="8">
        <f>IFERROR(Z395/Z444, "NA")</f>
        <v>0</v>
      </c>
      <c r="AB395" s="9"/>
      <c r="AC395" s="10">
        <f t="shared" si="99"/>
        <v>0</v>
      </c>
      <c r="AD395" s="8">
        <f>IFERROR(AC395/AC444, "NA")</f>
        <v>0</v>
      </c>
    </row>
    <row r="396" spans="1:30" ht="16.5" customHeight="1" x14ac:dyDescent="0.45">
      <c r="A396" s="19" t="s">
        <v>362</v>
      </c>
      <c r="B396" s="14">
        <f>IFERROR(B385+B386+B388+B389+B390+B391+B392+B394+B395, "NA")</f>
        <v>0</v>
      </c>
      <c r="C396" s="15">
        <f>IFERROR(B396/B444, "NA")</f>
        <v>0</v>
      </c>
      <c r="D396" s="2"/>
      <c r="E396" s="14">
        <f>IFERROR(E385+E386+E388+E389+E390+E391+E392+E394+E395, "NA")</f>
        <v>0</v>
      </c>
      <c r="F396" s="15">
        <f>IFERROR(E396/E444, "NA")</f>
        <v>0</v>
      </c>
      <c r="G396" s="2"/>
      <c r="H396" s="14">
        <f t="shared" si="96"/>
        <v>0</v>
      </c>
      <c r="I396" s="15">
        <f>IFERROR(H396/H444, "NA")</f>
        <v>0</v>
      </c>
      <c r="J396" s="2"/>
      <c r="K396" s="14">
        <f>IFERROR(K385+K386+K388+K389+K390+K391+K392+K394+K395, "NA")</f>
        <v>0</v>
      </c>
      <c r="L396" s="15">
        <f>IFERROR(K396/K444, "NA")</f>
        <v>0</v>
      </c>
      <c r="M396" s="2"/>
      <c r="N396" s="14">
        <f t="shared" si="97"/>
        <v>0</v>
      </c>
      <c r="O396" s="15">
        <f>IFERROR(N396/N444, "NA")</f>
        <v>0</v>
      </c>
      <c r="P396" s="2"/>
      <c r="Q396" s="14">
        <f>IFERROR(Q385+Q386+Q388+Q389+Q390+Q391+Q392+Q394+Q395, "NA")</f>
        <v>0</v>
      </c>
      <c r="R396" s="15">
        <f>IFERROR(Q396/Q444, "NA")</f>
        <v>0</v>
      </c>
      <c r="S396" s="2"/>
      <c r="T396" s="14">
        <f>IFERROR(T385+T386+T388+T389+T390+T391+T392+T394+T395, "NA")</f>
        <v>0</v>
      </c>
      <c r="U396" s="15">
        <f>IFERROR(T396/T444, "NA")</f>
        <v>0</v>
      </c>
      <c r="V396" s="2"/>
      <c r="W396" s="14">
        <f t="shared" si="98"/>
        <v>0</v>
      </c>
      <c r="X396" s="15">
        <f>IFERROR(W396/W444, "NA")</f>
        <v>0</v>
      </c>
      <c r="Y396" s="2"/>
      <c r="Z396" s="14">
        <f>IFERROR(Z385+Z386+Z388+Z389+Z390+Z391+Z392+Z394+Z395, "NA")</f>
        <v>0</v>
      </c>
      <c r="AA396" s="15">
        <f>IFERROR(Z396/Z444, "NA")</f>
        <v>0</v>
      </c>
      <c r="AB396" s="2"/>
      <c r="AC396" s="14">
        <f t="shared" si="99"/>
        <v>0</v>
      </c>
      <c r="AD396" s="15">
        <f>IFERROR(AC396/AC444, "NA")</f>
        <v>0</v>
      </c>
    </row>
    <row r="397" spans="1:30" ht="16.5" hidden="1" customHeight="1" x14ac:dyDescent="0.45">
      <c r="A397" s="20" t="s">
        <v>363</v>
      </c>
      <c r="B397" s="7">
        <v>0</v>
      </c>
      <c r="C397" s="8">
        <f>IFERROR(B397/B444, "NA")</f>
        <v>0</v>
      </c>
      <c r="D397" s="9"/>
      <c r="E397" s="7">
        <v>0</v>
      </c>
      <c r="F397" s="8">
        <f>IFERROR(E397/E444, "NA")</f>
        <v>0</v>
      </c>
      <c r="G397" s="9"/>
      <c r="H397" s="10">
        <f t="shared" si="96"/>
        <v>0</v>
      </c>
      <c r="I397" s="8">
        <f>IFERROR(H397/H444, "NA")</f>
        <v>0</v>
      </c>
      <c r="J397" s="9"/>
      <c r="K397" s="7">
        <v>0</v>
      </c>
      <c r="L397" s="8">
        <f>IFERROR(K397/K444, "NA")</f>
        <v>0</v>
      </c>
      <c r="M397" s="9"/>
      <c r="N397" s="10">
        <f t="shared" si="97"/>
        <v>0</v>
      </c>
      <c r="O397" s="8">
        <f>IFERROR(N397/N444, "NA")</f>
        <v>0</v>
      </c>
      <c r="P397" s="9"/>
      <c r="Q397" s="7">
        <v>0</v>
      </c>
      <c r="R397" s="8">
        <f>IFERROR(Q397/Q444, "NA")</f>
        <v>0</v>
      </c>
      <c r="S397" s="9"/>
      <c r="T397" s="7">
        <v>0</v>
      </c>
      <c r="U397" s="8">
        <f>IFERROR(T397/T444, "NA")</f>
        <v>0</v>
      </c>
      <c r="V397" s="9"/>
      <c r="W397" s="10">
        <f t="shared" si="98"/>
        <v>0</v>
      </c>
      <c r="X397" s="8">
        <f>IFERROR(W397/W444, "NA")</f>
        <v>0</v>
      </c>
      <c r="Y397" s="9"/>
      <c r="Z397" s="7">
        <v>0</v>
      </c>
      <c r="AA397" s="8">
        <f>IFERROR(Z397/Z444, "NA")</f>
        <v>0</v>
      </c>
      <c r="AB397" s="9"/>
      <c r="AC397" s="10">
        <f t="shared" si="99"/>
        <v>0</v>
      </c>
      <c r="AD397" s="8">
        <f>IFERROR(AC397/AC444, "NA")</f>
        <v>0</v>
      </c>
    </row>
    <row r="398" spans="1:30" ht="16.5" hidden="1" customHeight="1" x14ac:dyDescent="0.45">
      <c r="A398" s="20" t="s">
        <v>364</v>
      </c>
      <c r="B398" s="7">
        <v>0</v>
      </c>
      <c r="C398" s="8">
        <f>IFERROR(B398/B444, "NA")</f>
        <v>0</v>
      </c>
      <c r="D398" s="9"/>
      <c r="E398" s="7">
        <v>0</v>
      </c>
      <c r="F398" s="8">
        <f>IFERROR(E398/E444, "NA")</f>
        <v>0</v>
      </c>
      <c r="G398" s="9"/>
      <c r="H398" s="10">
        <f t="shared" si="96"/>
        <v>0</v>
      </c>
      <c r="I398" s="8">
        <f>IFERROR(H398/H444, "NA")</f>
        <v>0</v>
      </c>
      <c r="J398" s="9"/>
      <c r="K398" s="7">
        <v>0</v>
      </c>
      <c r="L398" s="8">
        <f>IFERROR(K398/K444, "NA")</f>
        <v>0</v>
      </c>
      <c r="M398" s="9"/>
      <c r="N398" s="10">
        <f t="shared" si="97"/>
        <v>0</v>
      </c>
      <c r="O398" s="8">
        <f>IFERROR(N398/N444, "NA")</f>
        <v>0</v>
      </c>
      <c r="P398" s="9"/>
      <c r="Q398" s="7">
        <v>0</v>
      </c>
      <c r="R398" s="8">
        <f>IFERROR(Q398/Q444, "NA")</f>
        <v>0</v>
      </c>
      <c r="S398" s="9"/>
      <c r="T398" s="7">
        <v>0</v>
      </c>
      <c r="U398" s="8">
        <f>IFERROR(T398/T444, "NA")</f>
        <v>0</v>
      </c>
      <c r="V398" s="9"/>
      <c r="W398" s="10">
        <f t="shared" si="98"/>
        <v>0</v>
      </c>
      <c r="X398" s="8">
        <f>IFERROR(W398/W444, "NA")</f>
        <v>0</v>
      </c>
      <c r="Y398" s="9"/>
      <c r="Z398" s="7">
        <v>0</v>
      </c>
      <c r="AA398" s="8">
        <f>IFERROR(Z398/Z444, "NA")</f>
        <v>0</v>
      </c>
      <c r="AB398" s="9"/>
      <c r="AC398" s="10">
        <f t="shared" si="99"/>
        <v>0</v>
      </c>
      <c r="AD398" s="8">
        <f>IFERROR(AC398/AC444, "NA")</f>
        <v>0</v>
      </c>
    </row>
    <row r="399" spans="1:30" ht="16.5" hidden="1" customHeight="1" x14ac:dyDescent="0.45">
      <c r="A399" s="20" t="s">
        <v>365</v>
      </c>
      <c r="B399" s="7">
        <v>0</v>
      </c>
      <c r="C399" s="8">
        <f>IFERROR(B399/B444, "NA")</f>
        <v>0</v>
      </c>
      <c r="D399" s="9"/>
      <c r="E399" s="7">
        <v>0</v>
      </c>
      <c r="F399" s="8">
        <f>IFERROR(E399/E444, "NA")</f>
        <v>0</v>
      </c>
      <c r="G399" s="9"/>
      <c r="H399" s="10">
        <f t="shared" si="96"/>
        <v>0</v>
      </c>
      <c r="I399" s="8">
        <f>IFERROR(H399/H444, "NA")</f>
        <v>0</v>
      </c>
      <c r="J399" s="9"/>
      <c r="K399" s="7">
        <v>0</v>
      </c>
      <c r="L399" s="8">
        <f>IFERROR(K399/K444, "NA")</f>
        <v>0</v>
      </c>
      <c r="M399" s="9"/>
      <c r="N399" s="10">
        <f t="shared" si="97"/>
        <v>0</v>
      </c>
      <c r="O399" s="8">
        <f>IFERROR(N399/N444, "NA")</f>
        <v>0</v>
      </c>
      <c r="P399" s="9"/>
      <c r="Q399" s="7">
        <v>0</v>
      </c>
      <c r="R399" s="8">
        <f>IFERROR(Q399/Q444, "NA")</f>
        <v>0</v>
      </c>
      <c r="S399" s="9"/>
      <c r="T399" s="7">
        <v>0</v>
      </c>
      <c r="U399" s="8">
        <f>IFERROR(T399/T444, "NA")</f>
        <v>0</v>
      </c>
      <c r="V399" s="9"/>
      <c r="W399" s="10">
        <f t="shared" si="98"/>
        <v>0</v>
      </c>
      <c r="X399" s="8">
        <f>IFERROR(W399/W444, "NA")</f>
        <v>0</v>
      </c>
      <c r="Y399" s="9"/>
      <c r="Z399" s="7">
        <v>0</v>
      </c>
      <c r="AA399" s="8">
        <f>IFERROR(Z399/Z444, "NA")</f>
        <v>0</v>
      </c>
      <c r="AB399" s="9"/>
      <c r="AC399" s="10">
        <f t="shared" si="99"/>
        <v>0</v>
      </c>
      <c r="AD399" s="8">
        <f>IFERROR(AC399/AC444, "NA")</f>
        <v>0</v>
      </c>
    </row>
    <row r="400" spans="1:30" ht="16.5" hidden="1" customHeight="1" x14ac:dyDescent="0.45">
      <c r="A400" s="20" t="s">
        <v>366</v>
      </c>
      <c r="B400" s="7">
        <v>0</v>
      </c>
      <c r="C400" s="8">
        <f>IFERROR(B400/B444, "NA")</f>
        <v>0</v>
      </c>
      <c r="D400" s="9"/>
      <c r="E400" s="7">
        <v>0</v>
      </c>
      <c r="F400" s="8">
        <f>IFERROR(E400/E444, "NA")</f>
        <v>0</v>
      </c>
      <c r="G400" s="9"/>
      <c r="H400" s="10">
        <f t="shared" si="96"/>
        <v>0</v>
      </c>
      <c r="I400" s="8">
        <f>IFERROR(H400/H444, "NA")</f>
        <v>0</v>
      </c>
      <c r="J400" s="9"/>
      <c r="K400" s="7">
        <v>0</v>
      </c>
      <c r="L400" s="8">
        <f>IFERROR(K400/K444, "NA")</f>
        <v>0</v>
      </c>
      <c r="M400" s="9"/>
      <c r="N400" s="10">
        <f t="shared" si="97"/>
        <v>0</v>
      </c>
      <c r="O400" s="8">
        <f>IFERROR(N400/N444, "NA")</f>
        <v>0</v>
      </c>
      <c r="P400" s="9"/>
      <c r="Q400" s="7">
        <v>0</v>
      </c>
      <c r="R400" s="8">
        <f>IFERROR(Q400/Q444, "NA")</f>
        <v>0</v>
      </c>
      <c r="S400" s="9"/>
      <c r="T400" s="7">
        <v>0</v>
      </c>
      <c r="U400" s="8">
        <f>IFERROR(T400/T444, "NA")</f>
        <v>0</v>
      </c>
      <c r="V400" s="9"/>
      <c r="W400" s="10">
        <f t="shared" si="98"/>
        <v>0</v>
      </c>
      <c r="X400" s="8">
        <f>IFERROR(W400/W444, "NA")</f>
        <v>0</v>
      </c>
      <c r="Y400" s="9"/>
      <c r="Z400" s="7">
        <v>0</v>
      </c>
      <c r="AA400" s="8">
        <f>IFERROR(Z400/Z444, "NA")</f>
        <v>0</v>
      </c>
      <c r="AB400" s="9"/>
      <c r="AC400" s="10">
        <f t="shared" si="99"/>
        <v>0</v>
      </c>
      <c r="AD400" s="8">
        <f>IFERROR(AC400/AC444, "NA")</f>
        <v>0</v>
      </c>
    </row>
    <row r="401" spans="1:30" ht="16.5" hidden="1" customHeight="1" x14ac:dyDescent="0.45">
      <c r="A401" s="20" t="s">
        <v>367</v>
      </c>
      <c r="B401" s="7">
        <v>0</v>
      </c>
      <c r="C401" s="8">
        <f>IFERROR(B401/B444, "NA")</f>
        <v>0</v>
      </c>
      <c r="D401" s="9"/>
      <c r="E401" s="7">
        <v>0</v>
      </c>
      <c r="F401" s="8">
        <f>IFERROR(E401/E444, "NA")</f>
        <v>0</v>
      </c>
      <c r="G401" s="9"/>
      <c r="H401" s="10">
        <f t="shared" si="96"/>
        <v>0</v>
      </c>
      <c r="I401" s="8">
        <f>IFERROR(H401/H444, "NA")</f>
        <v>0</v>
      </c>
      <c r="J401" s="9"/>
      <c r="K401" s="7">
        <v>0</v>
      </c>
      <c r="L401" s="8">
        <f>IFERROR(K401/K444, "NA")</f>
        <v>0</v>
      </c>
      <c r="M401" s="9"/>
      <c r="N401" s="10">
        <f t="shared" si="97"/>
        <v>0</v>
      </c>
      <c r="O401" s="8">
        <f>IFERROR(N401/N444, "NA")</f>
        <v>0</v>
      </c>
      <c r="P401" s="9"/>
      <c r="Q401" s="7">
        <v>0</v>
      </c>
      <c r="R401" s="8">
        <f>IFERROR(Q401/Q444, "NA")</f>
        <v>0</v>
      </c>
      <c r="S401" s="9"/>
      <c r="T401" s="7">
        <v>0</v>
      </c>
      <c r="U401" s="8">
        <f>IFERROR(T401/T444, "NA")</f>
        <v>0</v>
      </c>
      <c r="V401" s="9"/>
      <c r="W401" s="10">
        <f t="shared" si="98"/>
        <v>0</v>
      </c>
      <c r="X401" s="8">
        <f>IFERROR(W401/W444, "NA")</f>
        <v>0</v>
      </c>
      <c r="Y401" s="9"/>
      <c r="Z401" s="7">
        <v>0</v>
      </c>
      <c r="AA401" s="8">
        <f>IFERROR(Z401/Z444, "NA")</f>
        <v>0</v>
      </c>
      <c r="AB401" s="9"/>
      <c r="AC401" s="10">
        <f t="shared" si="99"/>
        <v>0</v>
      </c>
      <c r="AD401" s="8">
        <f>IFERROR(AC401/AC444, "NA")</f>
        <v>0</v>
      </c>
    </row>
    <row r="402" spans="1:30" ht="16.5" hidden="1" customHeight="1" x14ac:dyDescent="0.45">
      <c r="A402" s="20" t="s">
        <v>368</v>
      </c>
      <c r="B402" s="7">
        <v>0</v>
      </c>
      <c r="C402" s="8">
        <f>IFERROR(B402/B444, "NA")</f>
        <v>0</v>
      </c>
      <c r="D402" s="9"/>
      <c r="E402" s="7">
        <v>0</v>
      </c>
      <c r="F402" s="8">
        <f>IFERROR(E402/E444, "NA")</f>
        <v>0</v>
      </c>
      <c r="G402" s="9"/>
      <c r="H402" s="10">
        <f t="shared" si="96"/>
        <v>0</v>
      </c>
      <c r="I402" s="8">
        <f>IFERROR(H402/H444, "NA")</f>
        <v>0</v>
      </c>
      <c r="J402" s="9"/>
      <c r="K402" s="7">
        <v>0</v>
      </c>
      <c r="L402" s="8">
        <f>IFERROR(K402/K444, "NA")</f>
        <v>0</v>
      </c>
      <c r="M402" s="9"/>
      <c r="N402" s="10">
        <f t="shared" si="97"/>
        <v>0</v>
      </c>
      <c r="O402" s="8">
        <f>IFERROR(N402/N444, "NA")</f>
        <v>0</v>
      </c>
      <c r="P402" s="9"/>
      <c r="Q402" s="7">
        <v>0</v>
      </c>
      <c r="R402" s="8">
        <f>IFERROR(Q402/Q444, "NA")</f>
        <v>0</v>
      </c>
      <c r="S402" s="9"/>
      <c r="T402" s="7">
        <v>0</v>
      </c>
      <c r="U402" s="8">
        <f>IFERROR(T402/T444, "NA")</f>
        <v>0</v>
      </c>
      <c r="V402" s="9"/>
      <c r="W402" s="10">
        <f t="shared" si="98"/>
        <v>0</v>
      </c>
      <c r="X402" s="8">
        <f>IFERROR(W402/W444, "NA")</f>
        <v>0</v>
      </c>
      <c r="Y402" s="9"/>
      <c r="Z402" s="7">
        <v>0</v>
      </c>
      <c r="AA402" s="8">
        <f>IFERROR(Z402/Z444, "NA")</f>
        <v>0</v>
      </c>
      <c r="AB402" s="9"/>
      <c r="AC402" s="10">
        <f t="shared" si="99"/>
        <v>0</v>
      </c>
      <c r="AD402" s="8">
        <f>IFERROR(AC402/AC444, "NA")</f>
        <v>0</v>
      </c>
    </row>
    <row r="403" spans="1:30" ht="16.5" customHeight="1" x14ac:dyDescent="0.45">
      <c r="A403" s="21" t="s">
        <v>369</v>
      </c>
      <c r="B403" s="14">
        <f>IFERROR(B347+B349+B350+B351+B352+B353+B354+B355+B356+B357+B360+B361+B362+B363+B364+B365+B366+B367+B369+B370+B371+B372+B373+B374+B375+B376+B377+B378+B379+B380+B381+B382+B383+B385+B386+B388+B389+B390+B391+B392+B394+B395+B397+B398+B399+B400+B401+B402, "NA")</f>
        <v>0</v>
      </c>
      <c r="C403" s="15">
        <f>IFERROR(B403/B444, "NA")</f>
        <v>0</v>
      </c>
      <c r="D403" s="2"/>
      <c r="E403" s="14">
        <f>IFERROR(E347+E349+E350+E351+E352+E353+E354+E355+E356+E357+E360+E361+E362+E363+E364+E365+E366+E367+E369+E370+E371+E372+E373+E374+E375+E376+E377+E378+E379+E380+E381+E382+E383+E385+E386+E388+E389+E390+E391+E392+E394+E395+E397+E398+E399+E400+E401+E402, "NA")</f>
        <v>0</v>
      </c>
      <c r="F403" s="15">
        <f>IFERROR(E403/E444, "NA")</f>
        <v>0</v>
      </c>
      <c r="G403" s="2"/>
      <c r="H403" s="14">
        <f t="shared" si="96"/>
        <v>0</v>
      </c>
      <c r="I403" s="15">
        <f>IFERROR(H403/H444, "NA")</f>
        <v>0</v>
      </c>
      <c r="J403" s="2"/>
      <c r="K403" s="14">
        <f>IFERROR(K347+K349+K350+K351+K352+K353+K354+K355+K356+K357+K360+K361+K362+K363+K364+K365+K366+K367+K369+K370+K371+K372+K373+K374+K375+K376+K377+K378+K379+K380+K381+K382+K383+K385+K386+K388+K389+K390+K391+K392+K394+K395+K397+K398+K399+K400+K401+K402, "NA")</f>
        <v>0</v>
      </c>
      <c r="L403" s="15">
        <f>IFERROR(K403/K444, "NA")</f>
        <v>0</v>
      </c>
      <c r="M403" s="2"/>
      <c r="N403" s="14">
        <f t="shared" si="97"/>
        <v>0</v>
      </c>
      <c r="O403" s="15">
        <f>IFERROR(N403/N444, "NA")</f>
        <v>0</v>
      </c>
      <c r="P403" s="2"/>
      <c r="Q403" s="14">
        <f>IFERROR(Q347+Q349+Q350+Q351+Q352+Q353+Q354+Q355+Q356+Q357+Q360+Q361+Q362+Q363+Q364+Q365+Q366+Q367+Q369+Q370+Q371+Q372+Q373+Q374+Q375+Q376+Q377+Q378+Q379+Q380+Q381+Q382+Q383+Q385+Q386+Q388+Q389+Q390+Q391+Q392+Q394+Q395+Q397+Q398+Q399+Q400+Q401+Q402, "NA")</f>
        <v>0</v>
      </c>
      <c r="R403" s="15">
        <f>IFERROR(Q403/Q444, "NA")</f>
        <v>0</v>
      </c>
      <c r="S403" s="2"/>
      <c r="T403" s="14">
        <f>IFERROR(T347+T349+T350+T351+T352+T353+T354+T355+T356+T357+T360+T361+T362+T363+T364+T365+T366+T367+T369+T370+T371+T372+T373+T374+T375+T376+T377+T378+T379+T380+T381+T382+T383+T385+T386+T388+T389+T390+T391+T392+T394+T395+T397+T398+T399+T400+T401+T402, "NA")</f>
        <v>0</v>
      </c>
      <c r="U403" s="15">
        <f>IFERROR(T403/T444, "NA")</f>
        <v>0</v>
      </c>
      <c r="V403" s="2"/>
      <c r="W403" s="14">
        <f t="shared" si="98"/>
        <v>0</v>
      </c>
      <c r="X403" s="15">
        <f>IFERROR(W403/W444, "NA")</f>
        <v>0</v>
      </c>
      <c r="Y403" s="2"/>
      <c r="Z403" s="14">
        <f>IFERROR(Z347+Z349+Z350+Z351+Z352+Z353+Z354+Z355+Z356+Z357+Z360+Z361+Z362+Z363+Z364+Z365+Z366+Z367+Z369+Z370+Z371+Z372+Z373+Z374+Z375+Z376+Z377+Z378+Z379+Z380+Z381+Z382+Z383+Z385+Z386+Z388+Z389+Z390+Z391+Z392+Z394+Z395+Z397+Z398+Z399+Z400+Z401+Z402, "NA")</f>
        <v>0</v>
      </c>
      <c r="AA403" s="15">
        <f>IFERROR(Z403/Z444, "NA")</f>
        <v>0</v>
      </c>
      <c r="AB403" s="2"/>
      <c r="AC403" s="14">
        <f t="shared" si="99"/>
        <v>0</v>
      </c>
      <c r="AD403" s="15">
        <f>IFERROR(AC403/AC444, "NA")</f>
        <v>0</v>
      </c>
    </row>
    <row r="404" spans="1:30" ht="16.5" customHeight="1" x14ac:dyDescent="0.45">
      <c r="A404" s="22" t="s">
        <v>370</v>
      </c>
      <c r="B404" s="23">
        <f>IFERROR(B345-B403, "NA")</f>
        <v>-5781.7800000000079</v>
      </c>
      <c r="C404" s="24">
        <f>IFERROR(B404/B444, "NA")</f>
        <v>-7.9736206814519484E-2</v>
      </c>
      <c r="D404" s="25"/>
      <c r="E404" s="23">
        <f>IFERROR(E345-E403, "NA")</f>
        <v>-5381.9500000000153</v>
      </c>
      <c r="F404" s="24">
        <f>IFERROR(E404/E444, "NA")</f>
        <v>-7.8919696336710962E-2</v>
      </c>
      <c r="G404" s="25"/>
      <c r="H404" s="23">
        <f>IFERROR(B404-E404, "NA")</f>
        <v>-399.82999999999265</v>
      </c>
      <c r="I404" s="24">
        <f>IFERROR(H404/H444, "NA")</f>
        <v>-9.2637300513427112E-2</v>
      </c>
      <c r="J404" s="25"/>
      <c r="K404" s="23">
        <f>IFERROR(K345-K403, "NA")</f>
        <v>-6005.5199999999986</v>
      </c>
      <c r="L404" s="24">
        <f>IFERROR(K404/K444, "NA")</f>
        <v>-9.1365971108032518E-2</v>
      </c>
      <c r="M404" s="25"/>
      <c r="N404" s="23">
        <f>IFERROR(B404-K404, "NA")</f>
        <v>223.73999999999069</v>
      </c>
      <c r="O404" s="24">
        <f>IFERROR(N404/N444, "NA")</f>
        <v>3.2995279436421436E-2</v>
      </c>
      <c r="P404" s="25"/>
      <c r="Q404" s="23">
        <f>IFERROR(Q345-Q403, "NA")</f>
        <v>-5781.7800000000079</v>
      </c>
      <c r="R404" s="24">
        <f>IFERROR(Q404/Q444, "NA")</f>
        <v>-7.9736206814519484E-2</v>
      </c>
      <c r="S404" s="25"/>
      <c r="T404" s="23">
        <f>IFERROR(T345-T403, "NA")</f>
        <v>-5381.9500000000153</v>
      </c>
      <c r="U404" s="24">
        <f>IFERROR(T404/T444, "NA")</f>
        <v>-7.8919696336710962E-2</v>
      </c>
      <c r="V404" s="25"/>
      <c r="W404" s="23">
        <f>IFERROR(Q404-T404, "NA")</f>
        <v>-399.82999999999265</v>
      </c>
      <c r="X404" s="24">
        <f>IFERROR(W404/W444, "NA")</f>
        <v>-9.2637300513427112E-2</v>
      </c>
      <c r="Y404" s="25"/>
      <c r="Z404" s="23">
        <f>IFERROR(Z345-Z403, "NA")</f>
        <v>-6005.5199999999986</v>
      </c>
      <c r="AA404" s="24">
        <f>IFERROR(Z404/Z444, "NA")</f>
        <v>-9.1365971108032518E-2</v>
      </c>
      <c r="AB404" s="25"/>
      <c r="AC404" s="23">
        <f>IFERROR(Q404-Z404, "NA")</f>
        <v>223.73999999999069</v>
      </c>
      <c r="AD404" s="24">
        <f>IFERROR(AC404/AC444, "NA")</f>
        <v>3.2995279436421436E-2</v>
      </c>
    </row>
    <row r="405" spans="1:30" ht="16.5" customHeight="1" x14ac:dyDescent="0.45">
      <c r="A405" s="1" t="s">
        <v>371</v>
      </c>
      <c r="B405" s="2"/>
      <c r="C405" s="3"/>
      <c r="D405" s="4"/>
      <c r="E405" s="2"/>
      <c r="F405" s="3"/>
      <c r="G405" s="4"/>
      <c r="H405" s="2"/>
      <c r="I405" s="3"/>
      <c r="J405" s="4"/>
      <c r="K405" s="2"/>
      <c r="L405" s="3"/>
      <c r="M405" s="4"/>
      <c r="N405" s="2"/>
      <c r="O405" s="3"/>
      <c r="P405" s="4"/>
      <c r="Q405" s="2"/>
      <c r="R405" s="3"/>
      <c r="S405" s="4"/>
      <c r="T405" s="2"/>
      <c r="U405" s="3"/>
      <c r="V405" s="4"/>
      <c r="W405" s="2"/>
      <c r="X405" s="3"/>
      <c r="Y405" s="4"/>
      <c r="Z405" s="2"/>
      <c r="AA405" s="3"/>
      <c r="AB405" s="4"/>
      <c r="AC405" s="2"/>
      <c r="AD405" s="3"/>
    </row>
    <row r="406" spans="1:30" ht="16.5" customHeight="1" x14ac:dyDescent="0.45">
      <c r="A406" s="5" t="s">
        <v>372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45">
      <c r="A407" s="6" t="s">
        <v>372</v>
      </c>
      <c r="B407" s="7">
        <v>0</v>
      </c>
      <c r="C407" s="8">
        <f>IFERROR(B407/B444, "NA")</f>
        <v>0</v>
      </c>
      <c r="D407" s="9"/>
      <c r="E407" s="7">
        <v>3107.28</v>
      </c>
      <c r="F407" s="8">
        <f>IFERROR(E407/E444, "NA")</f>
        <v>4.5564450437691646E-2</v>
      </c>
      <c r="G407" s="9"/>
      <c r="H407" s="10">
        <f t="shared" ref="H407:H429" si="100">IFERROR(-(B407-E407), "NA")</f>
        <v>3107.28</v>
      </c>
      <c r="I407" s="8">
        <f>IFERROR(H407/H444, "NA")</f>
        <v>0.71993104854404899</v>
      </c>
      <c r="J407" s="9"/>
      <c r="K407" s="7">
        <v>0</v>
      </c>
      <c r="L407" s="8">
        <f>IFERROR(K407/K444, "NA")</f>
        <v>0</v>
      </c>
      <c r="M407" s="9"/>
      <c r="N407" s="10">
        <f t="shared" ref="N407:N429" si="101">IFERROR(-(B407-K407), "NA")</f>
        <v>0</v>
      </c>
      <c r="O407" s="8">
        <f>IFERROR(N407/N444, "NA")</f>
        <v>0</v>
      </c>
      <c r="P407" s="9"/>
      <c r="Q407" s="7">
        <v>0</v>
      </c>
      <c r="R407" s="8">
        <f>IFERROR(Q407/Q444, "NA")</f>
        <v>0</v>
      </c>
      <c r="S407" s="9"/>
      <c r="T407" s="7">
        <v>3107.28</v>
      </c>
      <c r="U407" s="8">
        <f>IFERROR(T407/T444, "NA")</f>
        <v>4.5564450437691646E-2</v>
      </c>
      <c r="V407" s="9"/>
      <c r="W407" s="10">
        <f t="shared" ref="W407:W429" si="102">IFERROR(-(Q407-T407), "NA")</f>
        <v>3107.28</v>
      </c>
      <c r="X407" s="8">
        <f>IFERROR(W407/W444, "NA")</f>
        <v>0.71993104854404899</v>
      </c>
      <c r="Y407" s="9"/>
      <c r="Z407" s="7">
        <v>0</v>
      </c>
      <c r="AA407" s="8">
        <f>IFERROR(Z407/Z444, "NA")</f>
        <v>0</v>
      </c>
      <c r="AB407" s="9"/>
      <c r="AC407" s="10">
        <f t="shared" ref="AC407:AC429" si="103">IFERROR(-(Q407-Z407), "NA")</f>
        <v>0</v>
      </c>
      <c r="AD407" s="8">
        <f>IFERROR(AC407/AC444, "NA")</f>
        <v>0</v>
      </c>
    </row>
    <row r="408" spans="1:30" ht="16.5" hidden="1" customHeight="1" x14ac:dyDescent="0.45">
      <c r="A408" s="6" t="s">
        <v>373</v>
      </c>
      <c r="B408" s="7">
        <v>0</v>
      </c>
      <c r="C408" s="8">
        <f>IFERROR(B408/B444, "NA")</f>
        <v>0</v>
      </c>
      <c r="D408" s="9"/>
      <c r="E408" s="7">
        <v>0</v>
      </c>
      <c r="F408" s="8">
        <f>IFERROR(E408/E444, "NA")</f>
        <v>0</v>
      </c>
      <c r="G408" s="9"/>
      <c r="H408" s="10">
        <f t="shared" si="100"/>
        <v>0</v>
      </c>
      <c r="I408" s="8">
        <f>IFERROR(H408/H444, "NA")</f>
        <v>0</v>
      </c>
      <c r="J408" s="9"/>
      <c r="K408" s="7">
        <v>0</v>
      </c>
      <c r="L408" s="8">
        <f>IFERROR(K408/K444, "NA")</f>
        <v>0</v>
      </c>
      <c r="M408" s="9"/>
      <c r="N408" s="10">
        <f t="shared" si="101"/>
        <v>0</v>
      </c>
      <c r="O408" s="8">
        <f>IFERROR(N408/N444, "NA")</f>
        <v>0</v>
      </c>
      <c r="P408" s="9"/>
      <c r="Q408" s="7">
        <v>0</v>
      </c>
      <c r="R408" s="8">
        <f>IFERROR(Q408/Q444, "NA")</f>
        <v>0</v>
      </c>
      <c r="S408" s="9"/>
      <c r="T408" s="7">
        <v>0</v>
      </c>
      <c r="U408" s="8">
        <f>IFERROR(T408/T444, "NA")</f>
        <v>0</v>
      </c>
      <c r="V408" s="9"/>
      <c r="W408" s="10">
        <f t="shared" si="102"/>
        <v>0</v>
      </c>
      <c r="X408" s="8">
        <f>IFERROR(W408/W444, "NA")</f>
        <v>0</v>
      </c>
      <c r="Y408" s="9"/>
      <c r="Z408" s="7">
        <v>0</v>
      </c>
      <c r="AA408" s="8">
        <f>IFERROR(Z408/Z444, "NA")</f>
        <v>0</v>
      </c>
      <c r="AB408" s="9"/>
      <c r="AC408" s="10">
        <f t="shared" si="103"/>
        <v>0</v>
      </c>
      <c r="AD408" s="8">
        <f>IFERROR(AC408/AC444, "NA")</f>
        <v>0</v>
      </c>
    </row>
    <row r="409" spans="1:30" ht="16.5" hidden="1" customHeight="1" x14ac:dyDescent="0.45">
      <c r="A409" s="6" t="s">
        <v>374</v>
      </c>
      <c r="B409" s="7">
        <v>0</v>
      </c>
      <c r="C409" s="8">
        <f>IFERROR(B409/B444, "NA")</f>
        <v>0</v>
      </c>
      <c r="D409" s="9"/>
      <c r="E409" s="7">
        <v>0</v>
      </c>
      <c r="F409" s="8">
        <f>IFERROR(E409/E444, "NA")</f>
        <v>0</v>
      </c>
      <c r="G409" s="9"/>
      <c r="H409" s="10">
        <f t="shared" si="100"/>
        <v>0</v>
      </c>
      <c r="I409" s="8">
        <f>IFERROR(H409/H444, "NA")</f>
        <v>0</v>
      </c>
      <c r="J409" s="9"/>
      <c r="K409" s="7">
        <v>0</v>
      </c>
      <c r="L409" s="8">
        <f>IFERROR(K409/K444, "NA")</f>
        <v>0</v>
      </c>
      <c r="M409" s="9"/>
      <c r="N409" s="10">
        <f t="shared" si="101"/>
        <v>0</v>
      </c>
      <c r="O409" s="8">
        <f>IFERROR(N409/N444, "NA")</f>
        <v>0</v>
      </c>
      <c r="P409" s="9"/>
      <c r="Q409" s="7">
        <v>0</v>
      </c>
      <c r="R409" s="8">
        <f>IFERROR(Q409/Q444, "NA")</f>
        <v>0</v>
      </c>
      <c r="S409" s="9"/>
      <c r="T409" s="7">
        <v>0</v>
      </c>
      <c r="U409" s="8">
        <f>IFERROR(T409/T444, "NA")</f>
        <v>0</v>
      </c>
      <c r="V409" s="9"/>
      <c r="W409" s="10">
        <f t="shared" si="102"/>
        <v>0</v>
      </c>
      <c r="X409" s="8">
        <f>IFERROR(W409/W444, "NA")</f>
        <v>0</v>
      </c>
      <c r="Y409" s="9"/>
      <c r="Z409" s="7">
        <v>0</v>
      </c>
      <c r="AA409" s="8">
        <f>IFERROR(Z409/Z444, "NA")</f>
        <v>0</v>
      </c>
      <c r="AB409" s="9"/>
      <c r="AC409" s="10">
        <f t="shared" si="103"/>
        <v>0</v>
      </c>
      <c r="AD409" s="8">
        <f>IFERROR(AC409/AC444, "NA")</f>
        <v>0</v>
      </c>
    </row>
    <row r="410" spans="1:30" ht="16.5" customHeight="1" x14ac:dyDescent="0.45">
      <c r="A410" s="6" t="s">
        <v>375</v>
      </c>
      <c r="B410" s="7">
        <v>3333.25</v>
      </c>
      <c r="C410" s="8">
        <f>IFERROR(B410/B444, "NA")</f>
        <v>4.5968665595110279E-2</v>
      </c>
      <c r="D410" s="9"/>
      <c r="E410" s="7">
        <v>0</v>
      </c>
      <c r="F410" s="8">
        <f>IFERROR(E410/E444, "NA")</f>
        <v>0</v>
      </c>
      <c r="G410" s="9"/>
      <c r="H410" s="10">
        <f t="shared" si="100"/>
        <v>-3333.25</v>
      </c>
      <c r="I410" s="8">
        <f>IFERROR(H410/H444, "NA")</f>
        <v>-0.77228642657225965</v>
      </c>
      <c r="J410" s="9"/>
      <c r="K410" s="7">
        <v>3009.38</v>
      </c>
      <c r="L410" s="8">
        <f>IFERROR(K410/K444, "NA")</f>
        <v>4.5783700018165112E-2</v>
      </c>
      <c r="M410" s="9"/>
      <c r="N410" s="10">
        <f t="shared" si="101"/>
        <v>-323.86999999999989</v>
      </c>
      <c r="O410" s="8">
        <f>IFERROR(N410/N444, "NA")</f>
        <v>-4.7761603428418037E-2</v>
      </c>
      <c r="P410" s="9"/>
      <c r="Q410" s="7">
        <v>3333.25</v>
      </c>
      <c r="R410" s="8">
        <f>IFERROR(Q410/Q444, "NA")</f>
        <v>4.5968665595110279E-2</v>
      </c>
      <c r="S410" s="9"/>
      <c r="T410" s="7">
        <v>0</v>
      </c>
      <c r="U410" s="8">
        <f>IFERROR(T410/T444, "NA")</f>
        <v>0</v>
      </c>
      <c r="V410" s="9"/>
      <c r="W410" s="10">
        <f t="shared" si="102"/>
        <v>-3333.25</v>
      </c>
      <c r="X410" s="8">
        <f>IFERROR(W410/W444, "NA")</f>
        <v>-0.77228642657225965</v>
      </c>
      <c r="Y410" s="9"/>
      <c r="Z410" s="7">
        <v>3009.38</v>
      </c>
      <c r="AA410" s="8">
        <f>IFERROR(Z410/Z444, "NA")</f>
        <v>4.5783700018165112E-2</v>
      </c>
      <c r="AB410" s="9"/>
      <c r="AC410" s="10">
        <f t="shared" si="103"/>
        <v>-323.86999999999989</v>
      </c>
      <c r="AD410" s="8">
        <f>IFERROR(AC410/AC444, "NA")</f>
        <v>-4.7761603428418037E-2</v>
      </c>
    </row>
    <row r="411" spans="1:30" ht="16.5" hidden="1" customHeight="1" x14ac:dyDescent="0.45">
      <c r="A411" s="6" t="s">
        <v>376</v>
      </c>
      <c r="B411" s="7">
        <v>0</v>
      </c>
      <c r="C411" s="8">
        <f>IFERROR(B411/B444, "NA")</f>
        <v>0</v>
      </c>
      <c r="D411" s="9"/>
      <c r="E411" s="7">
        <v>0</v>
      </c>
      <c r="F411" s="8">
        <f>IFERROR(E411/E444, "NA")</f>
        <v>0</v>
      </c>
      <c r="G411" s="9"/>
      <c r="H411" s="10">
        <f t="shared" si="100"/>
        <v>0</v>
      </c>
      <c r="I411" s="8">
        <f>IFERROR(H411/H444, "NA")</f>
        <v>0</v>
      </c>
      <c r="J411" s="9"/>
      <c r="K411" s="7">
        <v>0</v>
      </c>
      <c r="L411" s="8">
        <f>IFERROR(K411/K444, "NA")</f>
        <v>0</v>
      </c>
      <c r="M411" s="9"/>
      <c r="N411" s="10">
        <f t="shared" si="101"/>
        <v>0</v>
      </c>
      <c r="O411" s="8">
        <f>IFERROR(N411/N444, "NA")</f>
        <v>0</v>
      </c>
      <c r="P411" s="9"/>
      <c r="Q411" s="7">
        <v>0</v>
      </c>
      <c r="R411" s="8">
        <f>IFERROR(Q411/Q444, "NA")</f>
        <v>0</v>
      </c>
      <c r="S411" s="9"/>
      <c r="T411" s="7">
        <v>0</v>
      </c>
      <c r="U411" s="8">
        <f>IFERROR(T411/T444, "NA")</f>
        <v>0</v>
      </c>
      <c r="V411" s="9"/>
      <c r="W411" s="10">
        <f t="shared" si="102"/>
        <v>0</v>
      </c>
      <c r="X411" s="8">
        <f>IFERROR(W411/W444, "NA")</f>
        <v>0</v>
      </c>
      <c r="Y411" s="9"/>
      <c r="Z411" s="7">
        <v>0</v>
      </c>
      <c r="AA411" s="8">
        <f>IFERROR(Z411/Z444, "NA")</f>
        <v>0</v>
      </c>
      <c r="AB411" s="9"/>
      <c r="AC411" s="10">
        <f t="shared" si="103"/>
        <v>0</v>
      </c>
      <c r="AD411" s="8">
        <f>IFERROR(AC411/AC444, "NA")</f>
        <v>0</v>
      </c>
    </row>
    <row r="412" spans="1:30" ht="16.5" hidden="1" customHeight="1" x14ac:dyDescent="0.45">
      <c r="A412" s="6" t="s">
        <v>377</v>
      </c>
      <c r="B412" s="7">
        <v>0</v>
      </c>
      <c r="C412" s="8">
        <f>IFERROR(B412/B444, "NA")</f>
        <v>0</v>
      </c>
      <c r="D412" s="9"/>
      <c r="E412" s="7">
        <v>0</v>
      </c>
      <c r="F412" s="8">
        <f>IFERROR(E412/E444, "NA")</f>
        <v>0</v>
      </c>
      <c r="G412" s="9"/>
      <c r="H412" s="10">
        <f t="shared" si="100"/>
        <v>0</v>
      </c>
      <c r="I412" s="8">
        <f>IFERROR(H412/H444, "NA")</f>
        <v>0</v>
      </c>
      <c r="J412" s="9"/>
      <c r="K412" s="7">
        <v>0</v>
      </c>
      <c r="L412" s="8">
        <f>IFERROR(K412/K444, "NA")</f>
        <v>0</v>
      </c>
      <c r="M412" s="9"/>
      <c r="N412" s="10">
        <f t="shared" si="101"/>
        <v>0</v>
      </c>
      <c r="O412" s="8">
        <f>IFERROR(N412/N444, "NA")</f>
        <v>0</v>
      </c>
      <c r="P412" s="9"/>
      <c r="Q412" s="7">
        <v>0</v>
      </c>
      <c r="R412" s="8">
        <f>IFERROR(Q412/Q444, "NA")</f>
        <v>0</v>
      </c>
      <c r="S412" s="9"/>
      <c r="T412" s="7">
        <v>0</v>
      </c>
      <c r="U412" s="8">
        <f>IFERROR(T412/T444, "NA")</f>
        <v>0</v>
      </c>
      <c r="V412" s="9"/>
      <c r="W412" s="10">
        <f t="shared" si="102"/>
        <v>0</v>
      </c>
      <c r="X412" s="8">
        <f>IFERROR(W412/W444, "NA")</f>
        <v>0</v>
      </c>
      <c r="Y412" s="9"/>
      <c r="Z412" s="7">
        <v>0</v>
      </c>
      <c r="AA412" s="8">
        <f>IFERROR(Z412/Z444, "NA")</f>
        <v>0</v>
      </c>
      <c r="AB412" s="9"/>
      <c r="AC412" s="10">
        <f t="shared" si="103"/>
        <v>0</v>
      </c>
      <c r="AD412" s="8">
        <f>IFERROR(AC412/AC444, "NA")</f>
        <v>0</v>
      </c>
    </row>
    <row r="413" spans="1:30" ht="16.5" hidden="1" customHeight="1" x14ac:dyDescent="0.45">
      <c r="A413" s="6" t="s">
        <v>378</v>
      </c>
      <c r="B413" s="7">
        <v>0</v>
      </c>
      <c r="C413" s="8">
        <f>IFERROR(B413/B444, "NA")</f>
        <v>0</v>
      </c>
      <c r="D413" s="9"/>
      <c r="E413" s="7">
        <v>0</v>
      </c>
      <c r="F413" s="8">
        <f>IFERROR(E413/E444, "NA")</f>
        <v>0</v>
      </c>
      <c r="G413" s="9"/>
      <c r="H413" s="10">
        <f t="shared" si="100"/>
        <v>0</v>
      </c>
      <c r="I413" s="8">
        <f>IFERROR(H413/H444, "NA")</f>
        <v>0</v>
      </c>
      <c r="J413" s="9"/>
      <c r="K413" s="7">
        <v>0</v>
      </c>
      <c r="L413" s="8">
        <f>IFERROR(K413/K444, "NA")</f>
        <v>0</v>
      </c>
      <c r="M413" s="9"/>
      <c r="N413" s="10">
        <f t="shared" si="101"/>
        <v>0</v>
      </c>
      <c r="O413" s="8">
        <f>IFERROR(N413/N444, "NA")</f>
        <v>0</v>
      </c>
      <c r="P413" s="9"/>
      <c r="Q413" s="7">
        <v>0</v>
      </c>
      <c r="R413" s="8">
        <f>IFERROR(Q413/Q444, "NA")</f>
        <v>0</v>
      </c>
      <c r="S413" s="9"/>
      <c r="T413" s="7">
        <v>0</v>
      </c>
      <c r="U413" s="8">
        <f>IFERROR(T413/T444, "NA")</f>
        <v>0</v>
      </c>
      <c r="V413" s="9"/>
      <c r="W413" s="10">
        <f t="shared" si="102"/>
        <v>0</v>
      </c>
      <c r="X413" s="8">
        <f>IFERROR(W413/W444, "NA")</f>
        <v>0</v>
      </c>
      <c r="Y413" s="9"/>
      <c r="Z413" s="7">
        <v>0</v>
      </c>
      <c r="AA413" s="8">
        <f>IFERROR(Z413/Z444, "NA")</f>
        <v>0</v>
      </c>
      <c r="AB413" s="9"/>
      <c r="AC413" s="10">
        <f t="shared" si="103"/>
        <v>0</v>
      </c>
      <c r="AD413" s="8">
        <f>IFERROR(AC413/AC444, "NA")</f>
        <v>0</v>
      </c>
    </row>
    <row r="414" spans="1:30" ht="16.5" hidden="1" customHeight="1" x14ac:dyDescent="0.45">
      <c r="A414" s="6" t="s">
        <v>379</v>
      </c>
      <c r="B414" s="7">
        <v>0</v>
      </c>
      <c r="C414" s="8">
        <f>IFERROR(B414/B444, "NA")</f>
        <v>0</v>
      </c>
      <c r="D414" s="9"/>
      <c r="E414" s="7">
        <v>0</v>
      </c>
      <c r="F414" s="8">
        <f>IFERROR(E414/E444, "NA")</f>
        <v>0</v>
      </c>
      <c r="G414" s="9"/>
      <c r="H414" s="10">
        <f t="shared" si="100"/>
        <v>0</v>
      </c>
      <c r="I414" s="8">
        <f>IFERROR(H414/H444, "NA")</f>
        <v>0</v>
      </c>
      <c r="J414" s="9"/>
      <c r="K414" s="7">
        <v>0</v>
      </c>
      <c r="L414" s="8">
        <f>IFERROR(K414/K444, "NA")</f>
        <v>0</v>
      </c>
      <c r="M414" s="9"/>
      <c r="N414" s="10">
        <f t="shared" si="101"/>
        <v>0</v>
      </c>
      <c r="O414" s="8">
        <f>IFERROR(N414/N444, "NA")</f>
        <v>0</v>
      </c>
      <c r="P414" s="9"/>
      <c r="Q414" s="7">
        <v>0</v>
      </c>
      <c r="R414" s="8">
        <f>IFERROR(Q414/Q444, "NA")</f>
        <v>0</v>
      </c>
      <c r="S414" s="9"/>
      <c r="T414" s="7">
        <v>0</v>
      </c>
      <c r="U414" s="8">
        <f>IFERROR(T414/T444, "NA")</f>
        <v>0</v>
      </c>
      <c r="V414" s="9"/>
      <c r="W414" s="10">
        <f t="shared" si="102"/>
        <v>0</v>
      </c>
      <c r="X414" s="8">
        <f>IFERROR(W414/W444, "NA")</f>
        <v>0</v>
      </c>
      <c r="Y414" s="9"/>
      <c r="Z414" s="7">
        <v>0</v>
      </c>
      <c r="AA414" s="8">
        <f>IFERROR(Z414/Z444, "NA")</f>
        <v>0</v>
      </c>
      <c r="AB414" s="9"/>
      <c r="AC414" s="10">
        <f t="shared" si="103"/>
        <v>0</v>
      </c>
      <c r="AD414" s="8">
        <f>IFERROR(AC414/AC444, "NA")</f>
        <v>0</v>
      </c>
    </row>
    <row r="415" spans="1:30" ht="16.5" hidden="1" customHeight="1" x14ac:dyDescent="0.45">
      <c r="A415" s="6" t="s">
        <v>380</v>
      </c>
      <c r="B415" s="7">
        <v>0</v>
      </c>
      <c r="C415" s="8">
        <f>IFERROR(B415/B444, "NA")</f>
        <v>0</v>
      </c>
      <c r="D415" s="9"/>
      <c r="E415" s="7">
        <v>0</v>
      </c>
      <c r="F415" s="8">
        <f>IFERROR(E415/E444, "NA")</f>
        <v>0</v>
      </c>
      <c r="G415" s="9"/>
      <c r="H415" s="10">
        <f t="shared" si="100"/>
        <v>0</v>
      </c>
      <c r="I415" s="8">
        <f>IFERROR(H415/H444, "NA")</f>
        <v>0</v>
      </c>
      <c r="J415" s="9"/>
      <c r="K415" s="7">
        <v>0</v>
      </c>
      <c r="L415" s="8">
        <f>IFERROR(K415/K444, "NA")</f>
        <v>0</v>
      </c>
      <c r="M415" s="9"/>
      <c r="N415" s="10">
        <f t="shared" si="101"/>
        <v>0</v>
      </c>
      <c r="O415" s="8">
        <f>IFERROR(N415/N444, "NA")</f>
        <v>0</v>
      </c>
      <c r="P415" s="9"/>
      <c r="Q415" s="7">
        <v>0</v>
      </c>
      <c r="R415" s="8">
        <f>IFERROR(Q415/Q444, "NA")</f>
        <v>0</v>
      </c>
      <c r="S415" s="9"/>
      <c r="T415" s="7">
        <v>0</v>
      </c>
      <c r="U415" s="8">
        <f>IFERROR(T415/T444, "NA")</f>
        <v>0</v>
      </c>
      <c r="V415" s="9"/>
      <c r="W415" s="10">
        <f t="shared" si="102"/>
        <v>0</v>
      </c>
      <c r="X415" s="8">
        <f>IFERROR(W415/W444, "NA")</f>
        <v>0</v>
      </c>
      <c r="Y415" s="9"/>
      <c r="Z415" s="7">
        <v>0</v>
      </c>
      <c r="AA415" s="8">
        <f>IFERROR(Z415/Z444, "NA")</f>
        <v>0</v>
      </c>
      <c r="AB415" s="9"/>
      <c r="AC415" s="10">
        <f t="shared" si="103"/>
        <v>0</v>
      </c>
      <c r="AD415" s="8">
        <f>IFERROR(AC415/AC444, "NA")</f>
        <v>0</v>
      </c>
    </row>
    <row r="416" spans="1:30" ht="16.5" customHeight="1" x14ac:dyDescent="0.45">
      <c r="A416" s="6" t="s">
        <v>381</v>
      </c>
      <c r="B416" s="7">
        <v>-26.61</v>
      </c>
      <c r="C416" s="8">
        <f>IFERROR(B416/B444, "NA")</f>
        <v>-3.6697703187156213E-4</v>
      </c>
      <c r="D416" s="9"/>
      <c r="E416" s="7">
        <v>0</v>
      </c>
      <c r="F416" s="8">
        <f>IFERROR(E416/E444, "NA")</f>
        <v>0</v>
      </c>
      <c r="G416" s="9"/>
      <c r="H416" s="10">
        <f t="shared" si="100"/>
        <v>26.61</v>
      </c>
      <c r="I416" s="8">
        <f>IFERROR(H416/H444, "NA")</f>
        <v>6.1653166762432555E-3</v>
      </c>
      <c r="J416" s="9"/>
      <c r="K416" s="7">
        <v>-28.66</v>
      </c>
      <c r="L416" s="8">
        <f>IFERROR(K416/K444, "NA")</f>
        <v>-4.3602364690421689E-4</v>
      </c>
      <c r="M416" s="9"/>
      <c r="N416" s="10">
        <f t="shared" si="101"/>
        <v>-2.0500000000000007</v>
      </c>
      <c r="O416" s="8">
        <f>IFERROR(N416/N444, "NA")</f>
        <v>-3.0231663021662098E-4</v>
      </c>
      <c r="P416" s="9"/>
      <c r="Q416" s="7">
        <v>-26.61</v>
      </c>
      <c r="R416" s="8">
        <f>IFERROR(Q416/Q444, "NA")</f>
        <v>-3.6697703187156213E-4</v>
      </c>
      <c r="S416" s="9"/>
      <c r="T416" s="7">
        <v>0</v>
      </c>
      <c r="U416" s="8">
        <f>IFERROR(T416/T444, "NA")</f>
        <v>0</v>
      </c>
      <c r="V416" s="9"/>
      <c r="W416" s="10">
        <f t="shared" si="102"/>
        <v>26.61</v>
      </c>
      <c r="X416" s="8">
        <f>IFERROR(W416/W444, "NA")</f>
        <v>6.1653166762432555E-3</v>
      </c>
      <c r="Y416" s="9"/>
      <c r="Z416" s="7">
        <v>-28.66</v>
      </c>
      <c r="AA416" s="8">
        <f>IFERROR(Z416/Z444, "NA")</f>
        <v>-4.3602364690421689E-4</v>
      </c>
      <c r="AB416" s="9"/>
      <c r="AC416" s="10">
        <f t="shared" si="103"/>
        <v>-2.0500000000000007</v>
      </c>
      <c r="AD416" s="8">
        <f>IFERROR(AC416/AC444, "NA")</f>
        <v>-3.0231663021662098E-4</v>
      </c>
    </row>
    <row r="417" spans="1:30" ht="16.5" customHeight="1" x14ac:dyDescent="0.45">
      <c r="A417" s="6" t="s">
        <v>382</v>
      </c>
      <c r="B417" s="7">
        <v>97.78</v>
      </c>
      <c r="C417" s="8">
        <f>IFERROR(B417/B444, "NA")</f>
        <v>1.3484785485306783E-3</v>
      </c>
      <c r="D417" s="9"/>
      <c r="E417" s="7">
        <v>0</v>
      </c>
      <c r="F417" s="8">
        <f>IFERROR(E417/E444, "NA")</f>
        <v>0</v>
      </c>
      <c r="G417" s="9"/>
      <c r="H417" s="10">
        <f t="shared" si="100"/>
        <v>-97.78</v>
      </c>
      <c r="I417" s="8">
        <f>IFERROR(H417/H444, "NA")</f>
        <v>-2.2654816407480852E-2</v>
      </c>
      <c r="J417" s="9"/>
      <c r="K417" s="7">
        <v>14.25</v>
      </c>
      <c r="L417" s="8">
        <f>IFERROR(K417/K444, "NA")</f>
        <v>2.1679473022976589E-4</v>
      </c>
      <c r="M417" s="9"/>
      <c r="N417" s="10">
        <f t="shared" si="101"/>
        <v>-83.53</v>
      </c>
      <c r="O417" s="8">
        <f>IFERROR(N417/N444, "NA")</f>
        <v>-1.2318296644875288E-2</v>
      </c>
      <c r="P417" s="9"/>
      <c r="Q417" s="7">
        <v>97.78</v>
      </c>
      <c r="R417" s="8">
        <f>IFERROR(Q417/Q444, "NA")</f>
        <v>1.3484785485306783E-3</v>
      </c>
      <c r="S417" s="9"/>
      <c r="T417" s="7">
        <v>0</v>
      </c>
      <c r="U417" s="8">
        <f>IFERROR(T417/T444, "NA")</f>
        <v>0</v>
      </c>
      <c r="V417" s="9"/>
      <c r="W417" s="10">
        <f t="shared" si="102"/>
        <v>-97.78</v>
      </c>
      <c r="X417" s="8">
        <f>IFERROR(W417/W444, "NA")</f>
        <v>-2.2654816407480852E-2</v>
      </c>
      <c r="Y417" s="9"/>
      <c r="Z417" s="7">
        <v>14.25</v>
      </c>
      <c r="AA417" s="8">
        <f>IFERROR(Z417/Z444, "NA")</f>
        <v>2.1679473022976589E-4</v>
      </c>
      <c r="AB417" s="9"/>
      <c r="AC417" s="10">
        <f t="shared" si="103"/>
        <v>-83.53</v>
      </c>
      <c r="AD417" s="8">
        <f>IFERROR(AC417/AC444, "NA")</f>
        <v>-1.2318296644875288E-2</v>
      </c>
    </row>
    <row r="418" spans="1:30" ht="16.5" hidden="1" customHeight="1" x14ac:dyDescent="0.45">
      <c r="A418" s="6" t="s">
        <v>383</v>
      </c>
      <c r="B418" s="7">
        <v>0</v>
      </c>
      <c r="C418" s="8">
        <f>IFERROR(B418/B444, "NA")</f>
        <v>0</v>
      </c>
      <c r="D418" s="9"/>
      <c r="E418" s="7">
        <v>0</v>
      </c>
      <c r="F418" s="8">
        <f>IFERROR(E418/E444, "NA")</f>
        <v>0</v>
      </c>
      <c r="G418" s="9"/>
      <c r="H418" s="10">
        <f t="shared" si="100"/>
        <v>0</v>
      </c>
      <c r="I418" s="8">
        <f>IFERROR(H418/H444, "NA")</f>
        <v>0</v>
      </c>
      <c r="J418" s="9"/>
      <c r="K418" s="7">
        <v>0</v>
      </c>
      <c r="L418" s="8">
        <f>IFERROR(K418/K444, "NA")</f>
        <v>0</v>
      </c>
      <c r="M418" s="9"/>
      <c r="N418" s="10">
        <f t="shared" si="101"/>
        <v>0</v>
      </c>
      <c r="O418" s="8">
        <f>IFERROR(N418/N444, "NA")</f>
        <v>0</v>
      </c>
      <c r="P418" s="9"/>
      <c r="Q418" s="7">
        <v>0</v>
      </c>
      <c r="R418" s="8">
        <f>IFERROR(Q418/Q444, "NA")</f>
        <v>0</v>
      </c>
      <c r="S418" s="9"/>
      <c r="T418" s="7">
        <v>0</v>
      </c>
      <c r="U418" s="8">
        <f>IFERROR(T418/T444, "NA")</f>
        <v>0</v>
      </c>
      <c r="V418" s="9"/>
      <c r="W418" s="10">
        <f t="shared" si="102"/>
        <v>0</v>
      </c>
      <c r="X418" s="8">
        <f>IFERROR(W418/W444, "NA")</f>
        <v>0</v>
      </c>
      <c r="Y418" s="9"/>
      <c r="Z418" s="7">
        <v>0</v>
      </c>
      <c r="AA418" s="8">
        <f>IFERROR(Z418/Z444, "NA")</f>
        <v>0</v>
      </c>
      <c r="AB418" s="9"/>
      <c r="AC418" s="10">
        <f t="shared" si="103"/>
        <v>0</v>
      </c>
      <c r="AD418" s="8">
        <f>IFERROR(AC418/AC444, "NA")</f>
        <v>0</v>
      </c>
    </row>
    <row r="419" spans="1:30" ht="16.5" hidden="1" customHeight="1" x14ac:dyDescent="0.45">
      <c r="A419" s="6" t="s">
        <v>384</v>
      </c>
      <c r="B419" s="7">
        <v>0</v>
      </c>
      <c r="C419" s="8">
        <f>IFERROR(B419/B444, "NA")</f>
        <v>0</v>
      </c>
      <c r="D419" s="9"/>
      <c r="E419" s="7">
        <v>0</v>
      </c>
      <c r="F419" s="8">
        <f>IFERROR(E419/E444, "NA")</f>
        <v>0</v>
      </c>
      <c r="G419" s="9"/>
      <c r="H419" s="10">
        <f t="shared" si="100"/>
        <v>0</v>
      </c>
      <c r="I419" s="8">
        <f>IFERROR(H419/H444, "NA")</f>
        <v>0</v>
      </c>
      <c r="J419" s="9"/>
      <c r="K419" s="7">
        <v>0</v>
      </c>
      <c r="L419" s="8">
        <f>IFERROR(K419/K444, "NA")</f>
        <v>0</v>
      </c>
      <c r="M419" s="9"/>
      <c r="N419" s="10">
        <f t="shared" si="101"/>
        <v>0</v>
      </c>
      <c r="O419" s="8">
        <f>IFERROR(N419/N444, "NA")</f>
        <v>0</v>
      </c>
      <c r="P419" s="9"/>
      <c r="Q419" s="7">
        <v>0</v>
      </c>
      <c r="R419" s="8">
        <f>IFERROR(Q419/Q444, "NA")</f>
        <v>0</v>
      </c>
      <c r="S419" s="9"/>
      <c r="T419" s="7">
        <v>0</v>
      </c>
      <c r="U419" s="8">
        <f>IFERROR(T419/T444, "NA")</f>
        <v>0</v>
      </c>
      <c r="V419" s="9"/>
      <c r="W419" s="10">
        <f t="shared" si="102"/>
        <v>0</v>
      </c>
      <c r="X419" s="8">
        <f>IFERROR(W419/W444, "NA")</f>
        <v>0</v>
      </c>
      <c r="Y419" s="9"/>
      <c r="Z419" s="7">
        <v>0</v>
      </c>
      <c r="AA419" s="8">
        <f>IFERROR(Z419/Z444, "NA")</f>
        <v>0</v>
      </c>
      <c r="AB419" s="9"/>
      <c r="AC419" s="10">
        <f t="shared" si="103"/>
        <v>0</v>
      </c>
      <c r="AD419" s="8">
        <f>IFERROR(AC419/AC444, "NA")</f>
        <v>0</v>
      </c>
    </row>
    <row r="420" spans="1:30" ht="16.5" hidden="1" customHeight="1" x14ac:dyDescent="0.45">
      <c r="A420" s="6" t="s">
        <v>385</v>
      </c>
      <c r="B420" s="7">
        <v>0</v>
      </c>
      <c r="C420" s="8">
        <f>IFERROR(B420/B444, "NA")</f>
        <v>0</v>
      </c>
      <c r="D420" s="9"/>
      <c r="E420" s="7">
        <v>0</v>
      </c>
      <c r="F420" s="8">
        <f>IFERROR(E420/E444, "NA")</f>
        <v>0</v>
      </c>
      <c r="G420" s="9"/>
      <c r="H420" s="10">
        <f t="shared" si="100"/>
        <v>0</v>
      </c>
      <c r="I420" s="8">
        <f>IFERROR(H420/H444, "NA")</f>
        <v>0</v>
      </c>
      <c r="J420" s="9"/>
      <c r="K420" s="7">
        <v>0</v>
      </c>
      <c r="L420" s="8">
        <f>IFERROR(K420/K444, "NA")</f>
        <v>0</v>
      </c>
      <c r="M420" s="9"/>
      <c r="N420" s="10">
        <f t="shared" si="101"/>
        <v>0</v>
      </c>
      <c r="O420" s="8">
        <f>IFERROR(N420/N444, "NA")</f>
        <v>0</v>
      </c>
      <c r="P420" s="9"/>
      <c r="Q420" s="7">
        <v>0</v>
      </c>
      <c r="R420" s="8">
        <f>IFERROR(Q420/Q444, "NA")</f>
        <v>0</v>
      </c>
      <c r="S420" s="9"/>
      <c r="T420" s="7">
        <v>0</v>
      </c>
      <c r="U420" s="8">
        <f>IFERROR(T420/T444, "NA")</f>
        <v>0</v>
      </c>
      <c r="V420" s="9"/>
      <c r="W420" s="10">
        <f t="shared" si="102"/>
        <v>0</v>
      </c>
      <c r="X420" s="8">
        <f>IFERROR(W420/W444, "NA")</f>
        <v>0</v>
      </c>
      <c r="Y420" s="9"/>
      <c r="Z420" s="7">
        <v>0</v>
      </c>
      <c r="AA420" s="8">
        <f>IFERROR(Z420/Z444, "NA")</f>
        <v>0</v>
      </c>
      <c r="AB420" s="9"/>
      <c r="AC420" s="10">
        <f t="shared" si="103"/>
        <v>0</v>
      </c>
      <c r="AD420" s="8">
        <f>IFERROR(AC420/AC444, "NA")</f>
        <v>0</v>
      </c>
    </row>
    <row r="421" spans="1:30" ht="16.5" hidden="1" customHeight="1" x14ac:dyDescent="0.45">
      <c r="A421" s="6" t="s">
        <v>386</v>
      </c>
      <c r="B421" s="7">
        <v>0</v>
      </c>
      <c r="C421" s="8">
        <f>IFERROR(B421/B444, "NA")</f>
        <v>0</v>
      </c>
      <c r="D421" s="9"/>
      <c r="E421" s="7">
        <v>0</v>
      </c>
      <c r="F421" s="8">
        <f>IFERROR(E421/E444, "NA")</f>
        <v>0</v>
      </c>
      <c r="G421" s="9"/>
      <c r="H421" s="10">
        <f t="shared" si="100"/>
        <v>0</v>
      </c>
      <c r="I421" s="8">
        <f>IFERROR(H421/H444, "NA")</f>
        <v>0</v>
      </c>
      <c r="J421" s="9"/>
      <c r="K421" s="7">
        <v>0</v>
      </c>
      <c r="L421" s="8">
        <f>IFERROR(K421/K444, "NA")</f>
        <v>0</v>
      </c>
      <c r="M421" s="9"/>
      <c r="N421" s="10">
        <f t="shared" si="101"/>
        <v>0</v>
      </c>
      <c r="O421" s="8">
        <f>IFERROR(N421/N444, "NA")</f>
        <v>0</v>
      </c>
      <c r="P421" s="9"/>
      <c r="Q421" s="7">
        <v>0</v>
      </c>
      <c r="R421" s="8">
        <f>IFERROR(Q421/Q444, "NA")</f>
        <v>0</v>
      </c>
      <c r="S421" s="9"/>
      <c r="T421" s="7">
        <v>0</v>
      </c>
      <c r="U421" s="8">
        <f>IFERROR(T421/T444, "NA")</f>
        <v>0</v>
      </c>
      <c r="V421" s="9"/>
      <c r="W421" s="10">
        <f t="shared" si="102"/>
        <v>0</v>
      </c>
      <c r="X421" s="8">
        <f>IFERROR(W421/W444, "NA")</f>
        <v>0</v>
      </c>
      <c r="Y421" s="9"/>
      <c r="Z421" s="7">
        <v>0</v>
      </c>
      <c r="AA421" s="8">
        <f>IFERROR(Z421/Z444, "NA")</f>
        <v>0</v>
      </c>
      <c r="AB421" s="9"/>
      <c r="AC421" s="10">
        <f t="shared" si="103"/>
        <v>0</v>
      </c>
      <c r="AD421" s="8">
        <f>IFERROR(AC421/AC444, "NA")</f>
        <v>0</v>
      </c>
    </row>
    <row r="422" spans="1:30" ht="16.5" hidden="1" customHeight="1" x14ac:dyDescent="0.45">
      <c r="A422" s="6" t="s">
        <v>387</v>
      </c>
      <c r="B422" s="7">
        <v>0</v>
      </c>
      <c r="C422" s="8">
        <f>IFERROR(B422/B444, "NA")</f>
        <v>0</v>
      </c>
      <c r="D422" s="9"/>
      <c r="E422" s="7">
        <v>0</v>
      </c>
      <c r="F422" s="8">
        <f>IFERROR(E422/E444, "NA")</f>
        <v>0</v>
      </c>
      <c r="G422" s="9"/>
      <c r="H422" s="10">
        <f t="shared" si="100"/>
        <v>0</v>
      </c>
      <c r="I422" s="8">
        <f>IFERROR(H422/H444, "NA")</f>
        <v>0</v>
      </c>
      <c r="J422" s="9"/>
      <c r="K422" s="7">
        <v>0</v>
      </c>
      <c r="L422" s="8">
        <f>IFERROR(K422/K444, "NA")</f>
        <v>0</v>
      </c>
      <c r="M422" s="9"/>
      <c r="N422" s="10">
        <f t="shared" si="101"/>
        <v>0</v>
      </c>
      <c r="O422" s="8">
        <f>IFERROR(N422/N444, "NA")</f>
        <v>0</v>
      </c>
      <c r="P422" s="9"/>
      <c r="Q422" s="7">
        <v>0</v>
      </c>
      <c r="R422" s="8">
        <f>IFERROR(Q422/Q444, "NA")</f>
        <v>0</v>
      </c>
      <c r="S422" s="9"/>
      <c r="T422" s="7">
        <v>0</v>
      </c>
      <c r="U422" s="8">
        <f>IFERROR(T422/T444, "NA")</f>
        <v>0</v>
      </c>
      <c r="V422" s="9"/>
      <c r="W422" s="10">
        <f t="shared" si="102"/>
        <v>0</v>
      </c>
      <c r="X422" s="8">
        <f>IFERROR(W422/W444, "NA")</f>
        <v>0</v>
      </c>
      <c r="Y422" s="9"/>
      <c r="Z422" s="7">
        <v>0</v>
      </c>
      <c r="AA422" s="8">
        <f>IFERROR(Z422/Z444, "NA")</f>
        <v>0</v>
      </c>
      <c r="AB422" s="9"/>
      <c r="AC422" s="10">
        <f t="shared" si="103"/>
        <v>0</v>
      </c>
      <c r="AD422" s="8">
        <f>IFERROR(AC422/AC444, "NA")</f>
        <v>0</v>
      </c>
    </row>
    <row r="423" spans="1:30" ht="16.5" hidden="1" customHeight="1" x14ac:dyDescent="0.45">
      <c r="A423" s="6" t="s">
        <v>388</v>
      </c>
      <c r="B423" s="7">
        <v>0</v>
      </c>
      <c r="C423" s="8">
        <f>IFERROR(B423/B444, "NA")</f>
        <v>0</v>
      </c>
      <c r="D423" s="9"/>
      <c r="E423" s="7">
        <v>0</v>
      </c>
      <c r="F423" s="8">
        <f>IFERROR(E423/E444, "NA")</f>
        <v>0</v>
      </c>
      <c r="G423" s="9"/>
      <c r="H423" s="10">
        <f t="shared" si="100"/>
        <v>0</v>
      </c>
      <c r="I423" s="8">
        <f>IFERROR(H423/H444, "NA")</f>
        <v>0</v>
      </c>
      <c r="J423" s="9"/>
      <c r="K423" s="7">
        <v>0</v>
      </c>
      <c r="L423" s="8">
        <f>IFERROR(K423/K444, "NA")</f>
        <v>0</v>
      </c>
      <c r="M423" s="9"/>
      <c r="N423" s="10">
        <f t="shared" si="101"/>
        <v>0</v>
      </c>
      <c r="O423" s="8">
        <f>IFERROR(N423/N444, "NA")</f>
        <v>0</v>
      </c>
      <c r="P423" s="9"/>
      <c r="Q423" s="7">
        <v>0</v>
      </c>
      <c r="R423" s="8">
        <f>IFERROR(Q423/Q444, "NA")</f>
        <v>0</v>
      </c>
      <c r="S423" s="9"/>
      <c r="T423" s="7">
        <v>0</v>
      </c>
      <c r="U423" s="8">
        <f>IFERROR(T423/T444, "NA")</f>
        <v>0</v>
      </c>
      <c r="V423" s="9"/>
      <c r="W423" s="10">
        <f t="shared" si="102"/>
        <v>0</v>
      </c>
      <c r="X423" s="8">
        <f>IFERROR(W423/W444, "NA")</f>
        <v>0</v>
      </c>
      <c r="Y423" s="9"/>
      <c r="Z423" s="7">
        <v>0</v>
      </c>
      <c r="AA423" s="8">
        <f>IFERROR(Z423/Z444, "NA")</f>
        <v>0</v>
      </c>
      <c r="AB423" s="9"/>
      <c r="AC423" s="10">
        <f t="shared" si="103"/>
        <v>0</v>
      </c>
      <c r="AD423" s="8">
        <f>IFERROR(AC423/AC444, "NA")</f>
        <v>0</v>
      </c>
    </row>
    <row r="424" spans="1:30" ht="16.5" hidden="1" customHeight="1" x14ac:dyDescent="0.45">
      <c r="A424" s="6" t="s">
        <v>389</v>
      </c>
      <c r="B424" s="7">
        <v>0</v>
      </c>
      <c r="C424" s="8">
        <f>IFERROR(B424/B444, "NA")</f>
        <v>0</v>
      </c>
      <c r="D424" s="9"/>
      <c r="E424" s="7">
        <v>0</v>
      </c>
      <c r="F424" s="8">
        <f>IFERROR(E424/E444, "NA")</f>
        <v>0</v>
      </c>
      <c r="G424" s="9"/>
      <c r="H424" s="10">
        <f t="shared" si="100"/>
        <v>0</v>
      </c>
      <c r="I424" s="8">
        <f>IFERROR(H424/H444, "NA")</f>
        <v>0</v>
      </c>
      <c r="J424" s="9"/>
      <c r="K424" s="7">
        <v>0</v>
      </c>
      <c r="L424" s="8">
        <f>IFERROR(K424/K444, "NA")</f>
        <v>0</v>
      </c>
      <c r="M424" s="9"/>
      <c r="N424" s="10">
        <f t="shared" si="101"/>
        <v>0</v>
      </c>
      <c r="O424" s="8">
        <f>IFERROR(N424/N444, "NA")</f>
        <v>0</v>
      </c>
      <c r="P424" s="9"/>
      <c r="Q424" s="7">
        <v>0</v>
      </c>
      <c r="R424" s="8">
        <f>IFERROR(Q424/Q444, "NA")</f>
        <v>0</v>
      </c>
      <c r="S424" s="9"/>
      <c r="T424" s="7">
        <v>0</v>
      </c>
      <c r="U424" s="8">
        <f>IFERROR(T424/T444, "NA")</f>
        <v>0</v>
      </c>
      <c r="V424" s="9"/>
      <c r="W424" s="10">
        <f t="shared" si="102"/>
        <v>0</v>
      </c>
      <c r="X424" s="8">
        <f>IFERROR(W424/W444, "NA")</f>
        <v>0</v>
      </c>
      <c r="Y424" s="9"/>
      <c r="Z424" s="7">
        <v>0</v>
      </c>
      <c r="AA424" s="8">
        <f>IFERROR(Z424/Z444, "NA")</f>
        <v>0</v>
      </c>
      <c r="AB424" s="9"/>
      <c r="AC424" s="10">
        <f t="shared" si="103"/>
        <v>0</v>
      </c>
      <c r="AD424" s="8">
        <f>IFERROR(AC424/AC444, "NA")</f>
        <v>0</v>
      </c>
    </row>
    <row r="425" spans="1:30" ht="16.5" hidden="1" customHeight="1" x14ac:dyDescent="0.45">
      <c r="A425" s="6" t="s">
        <v>390</v>
      </c>
      <c r="B425" s="7">
        <v>0</v>
      </c>
      <c r="C425" s="8">
        <f>IFERROR(B425/B444, "NA")</f>
        <v>0</v>
      </c>
      <c r="D425" s="9"/>
      <c r="E425" s="7">
        <v>0</v>
      </c>
      <c r="F425" s="8">
        <f>IFERROR(E425/E444, "NA")</f>
        <v>0</v>
      </c>
      <c r="G425" s="9"/>
      <c r="H425" s="10">
        <f t="shared" si="100"/>
        <v>0</v>
      </c>
      <c r="I425" s="8">
        <f>IFERROR(H425/H444, "NA")</f>
        <v>0</v>
      </c>
      <c r="J425" s="9"/>
      <c r="K425" s="7">
        <v>0</v>
      </c>
      <c r="L425" s="8">
        <f>IFERROR(K425/K444, "NA")</f>
        <v>0</v>
      </c>
      <c r="M425" s="9"/>
      <c r="N425" s="10">
        <f t="shared" si="101"/>
        <v>0</v>
      </c>
      <c r="O425" s="8">
        <f>IFERROR(N425/N444, "NA")</f>
        <v>0</v>
      </c>
      <c r="P425" s="9"/>
      <c r="Q425" s="7">
        <v>0</v>
      </c>
      <c r="R425" s="8">
        <f>IFERROR(Q425/Q444, "NA")</f>
        <v>0</v>
      </c>
      <c r="S425" s="9"/>
      <c r="T425" s="7">
        <v>0</v>
      </c>
      <c r="U425" s="8">
        <f>IFERROR(T425/T444, "NA")</f>
        <v>0</v>
      </c>
      <c r="V425" s="9"/>
      <c r="W425" s="10">
        <f t="shared" si="102"/>
        <v>0</v>
      </c>
      <c r="X425" s="8">
        <f>IFERROR(W425/W444, "NA")</f>
        <v>0</v>
      </c>
      <c r="Y425" s="9"/>
      <c r="Z425" s="7">
        <v>0</v>
      </c>
      <c r="AA425" s="8">
        <f>IFERROR(Z425/Z444, "NA")</f>
        <v>0</v>
      </c>
      <c r="AB425" s="9"/>
      <c r="AC425" s="10">
        <f t="shared" si="103"/>
        <v>0</v>
      </c>
      <c r="AD425" s="8">
        <f>IFERROR(AC425/AC444, "NA")</f>
        <v>0</v>
      </c>
    </row>
    <row r="426" spans="1:30" ht="16.5" hidden="1" customHeight="1" x14ac:dyDescent="0.45">
      <c r="A426" s="6" t="s">
        <v>391</v>
      </c>
      <c r="B426" s="7">
        <v>0</v>
      </c>
      <c r="C426" s="8">
        <f>IFERROR(B426/B444, "NA")</f>
        <v>0</v>
      </c>
      <c r="D426" s="9"/>
      <c r="E426" s="7">
        <v>0</v>
      </c>
      <c r="F426" s="8">
        <f>IFERROR(E426/E444, "NA")</f>
        <v>0</v>
      </c>
      <c r="G426" s="9"/>
      <c r="H426" s="10">
        <f t="shared" si="100"/>
        <v>0</v>
      </c>
      <c r="I426" s="8">
        <f>IFERROR(H426/H444, "NA")</f>
        <v>0</v>
      </c>
      <c r="J426" s="9"/>
      <c r="K426" s="7">
        <v>0</v>
      </c>
      <c r="L426" s="8">
        <f>IFERROR(K426/K444, "NA")</f>
        <v>0</v>
      </c>
      <c r="M426" s="9"/>
      <c r="N426" s="10">
        <f t="shared" si="101"/>
        <v>0</v>
      </c>
      <c r="O426" s="8">
        <f>IFERROR(N426/N444, "NA")</f>
        <v>0</v>
      </c>
      <c r="P426" s="9"/>
      <c r="Q426" s="7">
        <v>0</v>
      </c>
      <c r="R426" s="8">
        <f>IFERROR(Q426/Q444, "NA")</f>
        <v>0</v>
      </c>
      <c r="S426" s="9"/>
      <c r="T426" s="7">
        <v>0</v>
      </c>
      <c r="U426" s="8">
        <f>IFERROR(T426/T444, "NA")</f>
        <v>0</v>
      </c>
      <c r="V426" s="9"/>
      <c r="W426" s="10">
        <f t="shared" si="102"/>
        <v>0</v>
      </c>
      <c r="X426" s="8">
        <f>IFERROR(W426/W444, "NA")</f>
        <v>0</v>
      </c>
      <c r="Y426" s="9"/>
      <c r="Z426" s="7">
        <v>0</v>
      </c>
      <c r="AA426" s="8">
        <f>IFERROR(Z426/Z444, "NA")</f>
        <v>0</v>
      </c>
      <c r="AB426" s="9"/>
      <c r="AC426" s="10">
        <f t="shared" si="103"/>
        <v>0</v>
      </c>
      <c r="AD426" s="8">
        <f>IFERROR(AC426/AC444, "NA")</f>
        <v>0</v>
      </c>
    </row>
    <row r="427" spans="1:30" ht="16.5" hidden="1" customHeight="1" x14ac:dyDescent="0.45">
      <c r="A427" s="6" t="s">
        <v>392</v>
      </c>
      <c r="B427" s="7">
        <v>0</v>
      </c>
      <c r="C427" s="8">
        <f>IFERROR(B427/B444, "NA")</f>
        <v>0</v>
      </c>
      <c r="D427" s="9"/>
      <c r="E427" s="7">
        <v>0</v>
      </c>
      <c r="F427" s="8">
        <f>IFERROR(E427/E444, "NA")</f>
        <v>0</v>
      </c>
      <c r="G427" s="9"/>
      <c r="H427" s="10">
        <f t="shared" si="100"/>
        <v>0</v>
      </c>
      <c r="I427" s="8">
        <f>IFERROR(H427/H444, "NA")</f>
        <v>0</v>
      </c>
      <c r="J427" s="9"/>
      <c r="K427" s="7">
        <v>0</v>
      </c>
      <c r="L427" s="8">
        <f>IFERROR(K427/K444, "NA")</f>
        <v>0</v>
      </c>
      <c r="M427" s="9"/>
      <c r="N427" s="10">
        <f t="shared" si="101"/>
        <v>0</v>
      </c>
      <c r="O427" s="8">
        <f>IFERROR(N427/N444, "NA")</f>
        <v>0</v>
      </c>
      <c r="P427" s="9"/>
      <c r="Q427" s="7">
        <v>0</v>
      </c>
      <c r="R427" s="8">
        <f>IFERROR(Q427/Q444, "NA")</f>
        <v>0</v>
      </c>
      <c r="S427" s="9"/>
      <c r="T427" s="7">
        <v>0</v>
      </c>
      <c r="U427" s="8">
        <f>IFERROR(T427/T444, "NA")</f>
        <v>0</v>
      </c>
      <c r="V427" s="9"/>
      <c r="W427" s="10">
        <f t="shared" si="102"/>
        <v>0</v>
      </c>
      <c r="X427" s="8">
        <f>IFERROR(W427/W444, "NA")</f>
        <v>0</v>
      </c>
      <c r="Y427" s="9"/>
      <c r="Z427" s="7">
        <v>0</v>
      </c>
      <c r="AA427" s="8">
        <f>IFERROR(Z427/Z444, "NA")</f>
        <v>0</v>
      </c>
      <c r="AB427" s="9"/>
      <c r="AC427" s="10">
        <f t="shared" si="103"/>
        <v>0</v>
      </c>
      <c r="AD427" s="8">
        <f>IFERROR(AC427/AC444, "NA")</f>
        <v>0</v>
      </c>
    </row>
    <row r="428" spans="1:30" ht="16.5" customHeight="1" x14ac:dyDescent="0.45">
      <c r="A428" s="19" t="s">
        <v>393</v>
      </c>
      <c r="B428" s="14">
        <f>IFERROR(B407+B408+B409+B410+B411+B412+B413+B414+B415+B416+B417+B418+B419+B420+B421+B422+B423+B424+B425+B426+B427, "NA")</f>
        <v>3404.42</v>
      </c>
      <c r="C428" s="15">
        <f>IFERROR(B428/B444, "NA")</f>
        <v>4.6950167111769393E-2</v>
      </c>
      <c r="D428" s="2"/>
      <c r="E428" s="14">
        <f>IFERROR(E407+E408+E409+E410+E411+E412+E413+E414+E415+E416+E417+E418+E419+E420+E421+E422+E423+E424+E425+E426+E427, "NA")</f>
        <v>3107.28</v>
      </c>
      <c r="F428" s="15">
        <f>IFERROR(E428/E444, "NA")</f>
        <v>4.5564450437691646E-2</v>
      </c>
      <c r="G428" s="2"/>
      <c r="H428" s="14">
        <f t="shared" si="100"/>
        <v>-297.13999999999987</v>
      </c>
      <c r="I428" s="15">
        <f>IFERROR(H428/H444, "NA")</f>
        <v>-6.8844877759448336E-2</v>
      </c>
      <c r="J428" s="2"/>
      <c r="K428" s="14">
        <f>IFERROR(K407+K408+K409+K410+K411+K412+K413+K414+K415+K416+K417+K418+K419+K420+K421+K422+K423+K424+K425+K426+K427, "NA")</f>
        <v>2994.9700000000003</v>
      </c>
      <c r="L428" s="15">
        <f>IFERROR(K428/K444, "NA")</f>
        <v>4.5564471101490665E-2</v>
      </c>
      <c r="M428" s="2"/>
      <c r="N428" s="14">
        <f t="shared" si="101"/>
        <v>-409.44999999999982</v>
      </c>
      <c r="O428" s="15">
        <f>IFERROR(N428/N444, "NA")</f>
        <v>-6.0382216703509933E-2</v>
      </c>
      <c r="P428" s="2"/>
      <c r="Q428" s="14">
        <f>IFERROR(Q407+Q408+Q409+Q410+Q411+Q412+Q413+Q414+Q415+Q416+Q417+Q418+Q419+Q420+Q421+Q422+Q423+Q424+Q425+Q426+Q427, "NA")</f>
        <v>3404.42</v>
      </c>
      <c r="R428" s="15">
        <f>IFERROR(Q428/Q444, "NA")</f>
        <v>4.6950167111769393E-2</v>
      </c>
      <c r="S428" s="2"/>
      <c r="T428" s="14">
        <f>IFERROR(T407+T408+T409+T410+T411+T412+T413+T414+T415+T416+T417+T418+T419+T420+T421+T422+T423+T424+T425+T426+T427, "NA")</f>
        <v>3107.28</v>
      </c>
      <c r="U428" s="15">
        <f>IFERROR(T428/T444, "NA")</f>
        <v>4.5564450437691646E-2</v>
      </c>
      <c r="V428" s="2"/>
      <c r="W428" s="14">
        <f t="shared" si="102"/>
        <v>-297.13999999999987</v>
      </c>
      <c r="X428" s="15">
        <f>IFERROR(W428/W444, "NA")</f>
        <v>-6.8844877759448336E-2</v>
      </c>
      <c r="Y428" s="2"/>
      <c r="Z428" s="14">
        <f>IFERROR(Z407+Z408+Z409+Z410+Z411+Z412+Z413+Z414+Z415+Z416+Z417+Z418+Z419+Z420+Z421+Z422+Z423+Z424+Z425+Z426+Z427, "NA")</f>
        <v>2994.9700000000003</v>
      </c>
      <c r="AA428" s="15">
        <f>IFERROR(Z428/Z444, "NA")</f>
        <v>4.5564471101490665E-2</v>
      </c>
      <c r="AB428" s="2"/>
      <c r="AC428" s="14">
        <f t="shared" si="103"/>
        <v>-409.44999999999982</v>
      </c>
      <c r="AD428" s="15">
        <f>IFERROR(AC428/AC444, "NA")</f>
        <v>-6.0382216703509933E-2</v>
      </c>
    </row>
    <row r="429" spans="1:30" ht="16.5" customHeight="1" x14ac:dyDescent="0.45">
      <c r="A429" s="21" t="s">
        <v>394</v>
      </c>
      <c r="B429" s="14">
        <f>IFERROR(B407+B408+B409+B410+B411+B412+B413+B414+B415+B416+B417+B418+B419+B420+B421+B422+B423+B424+B425+B426+B427, "NA")</f>
        <v>3404.42</v>
      </c>
      <c r="C429" s="15">
        <f>IFERROR(B429/B444, "NA")</f>
        <v>4.6950167111769393E-2</v>
      </c>
      <c r="D429" s="2"/>
      <c r="E429" s="14">
        <f>IFERROR(E407+E408+E409+E410+E411+E412+E413+E414+E415+E416+E417+E418+E419+E420+E421+E422+E423+E424+E425+E426+E427, "NA")</f>
        <v>3107.28</v>
      </c>
      <c r="F429" s="15">
        <f>IFERROR(E429/E444, "NA")</f>
        <v>4.5564450437691646E-2</v>
      </c>
      <c r="G429" s="2"/>
      <c r="H429" s="14">
        <f t="shared" si="100"/>
        <v>-297.13999999999987</v>
      </c>
      <c r="I429" s="15">
        <f>IFERROR(H429/H444, "NA")</f>
        <v>-6.8844877759448336E-2</v>
      </c>
      <c r="J429" s="2"/>
      <c r="K429" s="14">
        <f>IFERROR(K407+K408+K409+K410+K411+K412+K413+K414+K415+K416+K417+K418+K419+K420+K421+K422+K423+K424+K425+K426+K427, "NA")</f>
        <v>2994.9700000000003</v>
      </c>
      <c r="L429" s="15">
        <f>IFERROR(K429/K444, "NA")</f>
        <v>4.5564471101490665E-2</v>
      </c>
      <c r="M429" s="2"/>
      <c r="N429" s="14">
        <f t="shared" si="101"/>
        <v>-409.44999999999982</v>
      </c>
      <c r="O429" s="15">
        <f>IFERROR(N429/N444, "NA")</f>
        <v>-6.0382216703509933E-2</v>
      </c>
      <c r="P429" s="2"/>
      <c r="Q429" s="14">
        <f>IFERROR(Q407+Q408+Q409+Q410+Q411+Q412+Q413+Q414+Q415+Q416+Q417+Q418+Q419+Q420+Q421+Q422+Q423+Q424+Q425+Q426+Q427, "NA")</f>
        <v>3404.42</v>
      </c>
      <c r="R429" s="15">
        <f>IFERROR(Q429/Q444, "NA")</f>
        <v>4.6950167111769393E-2</v>
      </c>
      <c r="S429" s="2"/>
      <c r="T429" s="14">
        <f>IFERROR(T407+T408+T409+T410+T411+T412+T413+T414+T415+T416+T417+T418+T419+T420+T421+T422+T423+T424+T425+T426+T427, "NA")</f>
        <v>3107.28</v>
      </c>
      <c r="U429" s="15">
        <f>IFERROR(T429/T444, "NA")</f>
        <v>4.5564450437691646E-2</v>
      </c>
      <c r="V429" s="2"/>
      <c r="W429" s="14">
        <f t="shared" si="102"/>
        <v>-297.13999999999987</v>
      </c>
      <c r="X429" s="15">
        <f>IFERROR(W429/W444, "NA")</f>
        <v>-6.8844877759448336E-2</v>
      </c>
      <c r="Y429" s="2"/>
      <c r="Z429" s="14">
        <f>IFERROR(Z407+Z408+Z409+Z410+Z411+Z412+Z413+Z414+Z415+Z416+Z417+Z418+Z419+Z420+Z421+Z422+Z423+Z424+Z425+Z426+Z427, "NA")</f>
        <v>2994.9700000000003</v>
      </c>
      <c r="AA429" s="15">
        <f>IFERROR(Z429/Z444, "NA")</f>
        <v>4.5564471101490665E-2</v>
      </c>
      <c r="AB429" s="2"/>
      <c r="AC429" s="14">
        <f t="shared" si="103"/>
        <v>-409.44999999999982</v>
      </c>
      <c r="AD429" s="15">
        <f>IFERROR(AC429/AC444, "NA")</f>
        <v>-6.0382216703509933E-2</v>
      </c>
    </row>
    <row r="430" spans="1:30" ht="16.5" customHeight="1" x14ac:dyDescent="0.45">
      <c r="A430" s="1" t="s">
        <v>395</v>
      </c>
      <c r="B430" s="2"/>
      <c r="C430" s="3"/>
      <c r="D430" s="4"/>
      <c r="E430" s="2"/>
      <c r="F430" s="3"/>
      <c r="G430" s="4"/>
      <c r="H430" s="2"/>
      <c r="I430" s="3"/>
      <c r="J430" s="4"/>
      <c r="K430" s="2"/>
      <c r="L430" s="3"/>
      <c r="M430" s="4"/>
      <c r="N430" s="2"/>
      <c r="O430" s="3"/>
      <c r="P430" s="4"/>
      <c r="Q430" s="2"/>
      <c r="R430" s="3"/>
      <c r="S430" s="4"/>
      <c r="T430" s="2"/>
      <c r="U430" s="3"/>
      <c r="V430" s="4"/>
      <c r="W430" s="2"/>
      <c r="X430" s="3"/>
      <c r="Y430" s="4"/>
      <c r="Z430" s="2"/>
      <c r="AA430" s="3"/>
      <c r="AB430" s="4"/>
      <c r="AC430" s="2"/>
      <c r="AD430" s="3"/>
    </row>
    <row r="431" spans="1:30" ht="16.5" customHeight="1" x14ac:dyDescent="0.45">
      <c r="A431" s="5" t="s">
        <v>396</v>
      </c>
      <c r="B431" s="2"/>
      <c r="C431" s="3"/>
      <c r="D431" s="4"/>
      <c r="E431" s="2"/>
      <c r="F431" s="3"/>
      <c r="G431" s="4"/>
      <c r="H431" s="2"/>
      <c r="I431" s="3"/>
      <c r="J431" s="4"/>
      <c r="K431" s="2"/>
      <c r="L431" s="3"/>
      <c r="M431" s="4"/>
      <c r="N431" s="2"/>
      <c r="O431" s="3"/>
      <c r="P431" s="4"/>
      <c r="Q431" s="2"/>
      <c r="R431" s="3"/>
      <c r="S431" s="4"/>
      <c r="T431" s="2"/>
      <c r="U431" s="3"/>
      <c r="V431" s="4"/>
      <c r="W431" s="2"/>
      <c r="X431" s="3"/>
      <c r="Y431" s="4"/>
      <c r="Z431" s="2"/>
      <c r="AA431" s="3"/>
      <c r="AB431" s="4"/>
      <c r="AC431" s="2"/>
      <c r="AD431" s="3"/>
    </row>
    <row r="432" spans="1:30" ht="16.5" hidden="1" customHeight="1" x14ac:dyDescent="0.45">
      <c r="A432" s="6" t="s">
        <v>396</v>
      </c>
      <c r="B432" s="7">
        <v>0</v>
      </c>
      <c r="C432" s="8">
        <f>IFERROR(B432/B444, "NA")</f>
        <v>0</v>
      </c>
      <c r="D432" s="9"/>
      <c r="E432" s="7">
        <v>0</v>
      </c>
      <c r="F432" s="8">
        <f>IFERROR(E432/E444, "NA")</f>
        <v>0</v>
      </c>
      <c r="G432" s="9"/>
      <c r="H432" s="10">
        <f t="shared" ref="H432:H442" si="104">IFERROR(-(B432-E432), "NA")</f>
        <v>0</v>
      </c>
      <c r="I432" s="8">
        <f>IFERROR(H432/H444, "NA")</f>
        <v>0</v>
      </c>
      <c r="J432" s="9"/>
      <c r="K432" s="7">
        <v>0</v>
      </c>
      <c r="L432" s="8">
        <f>IFERROR(K432/K444, "NA")</f>
        <v>0</v>
      </c>
      <c r="M432" s="9"/>
      <c r="N432" s="10">
        <f t="shared" ref="N432:N442" si="105">IFERROR(-(B432-K432), "NA")</f>
        <v>0</v>
      </c>
      <c r="O432" s="8">
        <f>IFERROR(N432/N444, "NA")</f>
        <v>0</v>
      </c>
      <c r="P432" s="9"/>
      <c r="Q432" s="7">
        <v>0</v>
      </c>
      <c r="R432" s="8">
        <f>IFERROR(Q432/Q444, "NA")</f>
        <v>0</v>
      </c>
      <c r="S432" s="9"/>
      <c r="T432" s="7">
        <v>0</v>
      </c>
      <c r="U432" s="8">
        <f>IFERROR(T432/T444, "NA")</f>
        <v>0</v>
      </c>
      <c r="V432" s="9"/>
      <c r="W432" s="10">
        <f t="shared" ref="W432:W442" si="106">IFERROR(-(Q432-T432), "NA")</f>
        <v>0</v>
      </c>
      <c r="X432" s="8">
        <f>IFERROR(W432/W444, "NA")</f>
        <v>0</v>
      </c>
      <c r="Y432" s="9"/>
      <c r="Z432" s="7">
        <v>0</v>
      </c>
      <c r="AA432" s="8">
        <f>IFERROR(Z432/Z444, "NA")</f>
        <v>0</v>
      </c>
      <c r="AB432" s="9"/>
      <c r="AC432" s="10">
        <f t="shared" ref="AC432:AC442" si="107">IFERROR(-(Q432-Z432), "NA")</f>
        <v>0</v>
      </c>
      <c r="AD432" s="8">
        <f>IFERROR(AC432/AC444, "NA")</f>
        <v>0</v>
      </c>
    </row>
    <row r="433" spans="1:30" ht="16.5" hidden="1" customHeight="1" x14ac:dyDescent="0.45">
      <c r="A433" s="6" t="s">
        <v>397</v>
      </c>
      <c r="B433" s="7">
        <v>0</v>
      </c>
      <c r="C433" s="8">
        <f>IFERROR(B433/B444, "NA")</f>
        <v>0</v>
      </c>
      <c r="D433" s="9"/>
      <c r="E433" s="7">
        <v>0</v>
      </c>
      <c r="F433" s="8">
        <f>IFERROR(E433/E444, "NA")</f>
        <v>0</v>
      </c>
      <c r="G433" s="9"/>
      <c r="H433" s="10">
        <f t="shared" si="104"/>
        <v>0</v>
      </c>
      <c r="I433" s="8">
        <f>IFERROR(H433/H444, "NA")</f>
        <v>0</v>
      </c>
      <c r="J433" s="9"/>
      <c r="K433" s="7">
        <v>0</v>
      </c>
      <c r="L433" s="8">
        <f>IFERROR(K433/K444, "NA")</f>
        <v>0</v>
      </c>
      <c r="M433" s="9"/>
      <c r="N433" s="10">
        <f t="shared" si="105"/>
        <v>0</v>
      </c>
      <c r="O433" s="8">
        <f>IFERROR(N433/N444, "NA")</f>
        <v>0</v>
      </c>
      <c r="P433" s="9"/>
      <c r="Q433" s="7">
        <v>0</v>
      </c>
      <c r="R433" s="8">
        <f>IFERROR(Q433/Q444, "NA")</f>
        <v>0</v>
      </c>
      <c r="S433" s="9"/>
      <c r="T433" s="7">
        <v>0</v>
      </c>
      <c r="U433" s="8">
        <f>IFERROR(T433/T444, "NA")</f>
        <v>0</v>
      </c>
      <c r="V433" s="9"/>
      <c r="W433" s="10">
        <f t="shared" si="106"/>
        <v>0</v>
      </c>
      <c r="X433" s="8">
        <f>IFERROR(W433/W444, "NA")</f>
        <v>0</v>
      </c>
      <c r="Y433" s="9"/>
      <c r="Z433" s="7">
        <v>0</v>
      </c>
      <c r="AA433" s="8">
        <f>IFERROR(Z433/Z444, "NA")</f>
        <v>0</v>
      </c>
      <c r="AB433" s="9"/>
      <c r="AC433" s="10">
        <f t="shared" si="107"/>
        <v>0</v>
      </c>
      <c r="AD433" s="8">
        <f>IFERROR(AC433/AC444, "NA")</f>
        <v>0</v>
      </c>
    </row>
    <row r="434" spans="1:30" ht="16.5" hidden="1" customHeight="1" x14ac:dyDescent="0.45">
      <c r="A434" s="6" t="s">
        <v>398</v>
      </c>
      <c r="B434" s="7">
        <v>0</v>
      </c>
      <c r="C434" s="8">
        <f>IFERROR(B434/B444, "NA")</f>
        <v>0</v>
      </c>
      <c r="D434" s="9"/>
      <c r="E434" s="7">
        <v>0</v>
      </c>
      <c r="F434" s="8">
        <f>IFERROR(E434/E444, "NA")</f>
        <v>0</v>
      </c>
      <c r="G434" s="9"/>
      <c r="H434" s="10">
        <f t="shared" si="104"/>
        <v>0</v>
      </c>
      <c r="I434" s="8">
        <f>IFERROR(H434/H444, "NA")</f>
        <v>0</v>
      </c>
      <c r="J434" s="9"/>
      <c r="K434" s="7">
        <v>0</v>
      </c>
      <c r="L434" s="8">
        <f>IFERROR(K434/K444, "NA")</f>
        <v>0</v>
      </c>
      <c r="M434" s="9"/>
      <c r="N434" s="10">
        <f t="shared" si="105"/>
        <v>0</v>
      </c>
      <c r="O434" s="8">
        <f>IFERROR(N434/N444, "NA")</f>
        <v>0</v>
      </c>
      <c r="P434" s="9"/>
      <c r="Q434" s="7">
        <v>0</v>
      </c>
      <c r="R434" s="8">
        <f>IFERROR(Q434/Q444, "NA")</f>
        <v>0</v>
      </c>
      <c r="S434" s="9"/>
      <c r="T434" s="7">
        <v>0</v>
      </c>
      <c r="U434" s="8">
        <f>IFERROR(T434/T444, "NA")</f>
        <v>0</v>
      </c>
      <c r="V434" s="9"/>
      <c r="W434" s="10">
        <f t="shared" si="106"/>
        <v>0</v>
      </c>
      <c r="X434" s="8">
        <f>IFERROR(W434/W444, "NA")</f>
        <v>0</v>
      </c>
      <c r="Y434" s="9"/>
      <c r="Z434" s="7">
        <v>0</v>
      </c>
      <c r="AA434" s="8">
        <f>IFERROR(Z434/Z444, "NA")</f>
        <v>0</v>
      </c>
      <c r="AB434" s="9"/>
      <c r="AC434" s="10">
        <f t="shared" si="107"/>
        <v>0</v>
      </c>
      <c r="AD434" s="8">
        <f>IFERROR(AC434/AC444, "NA")</f>
        <v>0</v>
      </c>
    </row>
    <row r="435" spans="1:30" ht="16.5" hidden="1" customHeight="1" x14ac:dyDescent="0.45">
      <c r="A435" s="6" t="s">
        <v>399</v>
      </c>
      <c r="B435" s="7">
        <v>0</v>
      </c>
      <c r="C435" s="8">
        <f>IFERROR(B435/B444, "NA")</f>
        <v>0</v>
      </c>
      <c r="D435" s="9"/>
      <c r="E435" s="7">
        <v>0</v>
      </c>
      <c r="F435" s="8">
        <f>IFERROR(E435/E444, "NA")</f>
        <v>0</v>
      </c>
      <c r="G435" s="9"/>
      <c r="H435" s="10">
        <f t="shared" si="104"/>
        <v>0</v>
      </c>
      <c r="I435" s="8">
        <f>IFERROR(H435/H444, "NA")</f>
        <v>0</v>
      </c>
      <c r="J435" s="9"/>
      <c r="K435" s="7">
        <v>0</v>
      </c>
      <c r="L435" s="8">
        <f>IFERROR(K435/K444, "NA")</f>
        <v>0</v>
      </c>
      <c r="M435" s="9"/>
      <c r="N435" s="10">
        <f t="shared" si="105"/>
        <v>0</v>
      </c>
      <c r="O435" s="8">
        <f>IFERROR(N435/N444, "NA")</f>
        <v>0</v>
      </c>
      <c r="P435" s="9"/>
      <c r="Q435" s="7">
        <v>0</v>
      </c>
      <c r="R435" s="8">
        <f>IFERROR(Q435/Q444, "NA")</f>
        <v>0</v>
      </c>
      <c r="S435" s="9"/>
      <c r="T435" s="7">
        <v>0</v>
      </c>
      <c r="U435" s="8">
        <f>IFERROR(T435/T444, "NA")</f>
        <v>0</v>
      </c>
      <c r="V435" s="9"/>
      <c r="W435" s="10">
        <f t="shared" si="106"/>
        <v>0</v>
      </c>
      <c r="X435" s="8">
        <f>IFERROR(W435/W444, "NA")</f>
        <v>0</v>
      </c>
      <c r="Y435" s="9"/>
      <c r="Z435" s="7">
        <v>0</v>
      </c>
      <c r="AA435" s="8">
        <f>IFERROR(Z435/Z444, "NA")</f>
        <v>0</v>
      </c>
      <c r="AB435" s="9"/>
      <c r="AC435" s="10">
        <f t="shared" si="107"/>
        <v>0</v>
      </c>
      <c r="AD435" s="8">
        <f>IFERROR(AC435/AC444, "NA")</f>
        <v>0</v>
      </c>
    </row>
    <row r="436" spans="1:30" ht="16.5" hidden="1" customHeight="1" x14ac:dyDescent="0.45">
      <c r="A436" s="6" t="s">
        <v>400</v>
      </c>
      <c r="B436" s="7">
        <v>0</v>
      </c>
      <c r="C436" s="8">
        <f>IFERROR(B436/B444, "NA")</f>
        <v>0</v>
      </c>
      <c r="D436" s="9"/>
      <c r="E436" s="7">
        <v>0</v>
      </c>
      <c r="F436" s="8">
        <f>IFERROR(E436/E444, "NA")</f>
        <v>0</v>
      </c>
      <c r="G436" s="9"/>
      <c r="H436" s="10">
        <f t="shared" si="104"/>
        <v>0</v>
      </c>
      <c r="I436" s="8">
        <f>IFERROR(H436/H444, "NA")</f>
        <v>0</v>
      </c>
      <c r="J436" s="9"/>
      <c r="K436" s="7">
        <v>0</v>
      </c>
      <c r="L436" s="8">
        <f>IFERROR(K436/K444, "NA")</f>
        <v>0</v>
      </c>
      <c r="M436" s="9"/>
      <c r="N436" s="10">
        <f t="shared" si="105"/>
        <v>0</v>
      </c>
      <c r="O436" s="8">
        <f>IFERROR(N436/N444, "NA")</f>
        <v>0</v>
      </c>
      <c r="P436" s="9"/>
      <c r="Q436" s="7">
        <v>0</v>
      </c>
      <c r="R436" s="8">
        <f>IFERROR(Q436/Q444, "NA")</f>
        <v>0</v>
      </c>
      <c r="S436" s="9"/>
      <c r="T436" s="7">
        <v>0</v>
      </c>
      <c r="U436" s="8">
        <f>IFERROR(T436/T444, "NA")</f>
        <v>0</v>
      </c>
      <c r="V436" s="9"/>
      <c r="W436" s="10">
        <f t="shared" si="106"/>
        <v>0</v>
      </c>
      <c r="X436" s="8">
        <f>IFERROR(W436/W444, "NA")</f>
        <v>0</v>
      </c>
      <c r="Y436" s="9"/>
      <c r="Z436" s="7">
        <v>0</v>
      </c>
      <c r="AA436" s="8">
        <f>IFERROR(Z436/Z444, "NA")</f>
        <v>0</v>
      </c>
      <c r="AB436" s="9"/>
      <c r="AC436" s="10">
        <f t="shared" si="107"/>
        <v>0</v>
      </c>
      <c r="AD436" s="8">
        <f>IFERROR(AC436/AC444, "NA")</f>
        <v>0</v>
      </c>
    </row>
    <row r="437" spans="1:30" ht="16.5" hidden="1" customHeight="1" x14ac:dyDescent="0.45">
      <c r="A437" s="6" t="s">
        <v>401</v>
      </c>
      <c r="B437" s="7">
        <v>0</v>
      </c>
      <c r="C437" s="8">
        <f>IFERROR(B437/B444, "NA")</f>
        <v>0</v>
      </c>
      <c r="D437" s="9"/>
      <c r="E437" s="7">
        <v>0</v>
      </c>
      <c r="F437" s="8">
        <f>IFERROR(E437/E444, "NA")</f>
        <v>0</v>
      </c>
      <c r="G437" s="9"/>
      <c r="H437" s="10">
        <f t="shared" si="104"/>
        <v>0</v>
      </c>
      <c r="I437" s="8">
        <f>IFERROR(H437/H444, "NA")</f>
        <v>0</v>
      </c>
      <c r="J437" s="9"/>
      <c r="K437" s="7">
        <v>0</v>
      </c>
      <c r="L437" s="8">
        <f>IFERROR(K437/K444, "NA")</f>
        <v>0</v>
      </c>
      <c r="M437" s="9"/>
      <c r="N437" s="10">
        <f t="shared" si="105"/>
        <v>0</v>
      </c>
      <c r="O437" s="8">
        <f>IFERROR(N437/N444, "NA")</f>
        <v>0</v>
      </c>
      <c r="P437" s="9"/>
      <c r="Q437" s="7">
        <v>0</v>
      </c>
      <c r="R437" s="8">
        <f>IFERROR(Q437/Q444, "NA")</f>
        <v>0</v>
      </c>
      <c r="S437" s="9"/>
      <c r="T437" s="7">
        <v>0</v>
      </c>
      <c r="U437" s="8">
        <f>IFERROR(T437/T444, "NA")</f>
        <v>0</v>
      </c>
      <c r="V437" s="9"/>
      <c r="W437" s="10">
        <f t="shared" si="106"/>
        <v>0</v>
      </c>
      <c r="X437" s="8">
        <f>IFERROR(W437/W444, "NA")</f>
        <v>0</v>
      </c>
      <c r="Y437" s="9"/>
      <c r="Z437" s="7">
        <v>0</v>
      </c>
      <c r="AA437" s="8">
        <f>IFERROR(Z437/Z444, "NA")</f>
        <v>0</v>
      </c>
      <c r="AB437" s="9"/>
      <c r="AC437" s="10">
        <f t="shared" si="107"/>
        <v>0</v>
      </c>
      <c r="AD437" s="8">
        <f>IFERROR(AC437/AC444, "NA")</f>
        <v>0</v>
      </c>
    </row>
    <row r="438" spans="1:30" ht="30.75" hidden="1" customHeight="1" x14ac:dyDescent="0.45">
      <c r="A438" s="6" t="s">
        <v>402</v>
      </c>
      <c r="B438" s="7">
        <v>0</v>
      </c>
      <c r="C438" s="8">
        <f>IFERROR(B438/B444, "NA")</f>
        <v>0</v>
      </c>
      <c r="D438" s="9"/>
      <c r="E438" s="7">
        <v>0</v>
      </c>
      <c r="F438" s="8">
        <f>IFERROR(E438/E444, "NA")</f>
        <v>0</v>
      </c>
      <c r="G438" s="9"/>
      <c r="H438" s="10">
        <f t="shared" si="104"/>
        <v>0</v>
      </c>
      <c r="I438" s="8">
        <f>IFERROR(H438/H444, "NA")</f>
        <v>0</v>
      </c>
      <c r="J438" s="9"/>
      <c r="K438" s="7">
        <v>0</v>
      </c>
      <c r="L438" s="8">
        <f>IFERROR(K438/K444, "NA")</f>
        <v>0</v>
      </c>
      <c r="M438" s="9"/>
      <c r="N438" s="10">
        <f t="shared" si="105"/>
        <v>0</v>
      </c>
      <c r="O438" s="8">
        <f>IFERROR(N438/N444, "NA")</f>
        <v>0</v>
      </c>
      <c r="P438" s="9"/>
      <c r="Q438" s="7">
        <v>0</v>
      </c>
      <c r="R438" s="8">
        <f>IFERROR(Q438/Q444, "NA")</f>
        <v>0</v>
      </c>
      <c r="S438" s="9"/>
      <c r="T438" s="7">
        <v>0</v>
      </c>
      <c r="U438" s="8">
        <f>IFERROR(T438/T444, "NA")</f>
        <v>0</v>
      </c>
      <c r="V438" s="9"/>
      <c r="W438" s="10">
        <f t="shared" si="106"/>
        <v>0</v>
      </c>
      <c r="X438" s="8">
        <f>IFERROR(W438/W444, "NA")</f>
        <v>0</v>
      </c>
      <c r="Y438" s="9"/>
      <c r="Z438" s="7">
        <v>0</v>
      </c>
      <c r="AA438" s="8">
        <f>IFERROR(Z438/Z444, "NA")</f>
        <v>0</v>
      </c>
      <c r="AB438" s="9"/>
      <c r="AC438" s="10">
        <f t="shared" si="107"/>
        <v>0</v>
      </c>
      <c r="AD438" s="8">
        <f>IFERROR(AC438/AC444, "NA")</f>
        <v>0</v>
      </c>
    </row>
    <row r="439" spans="1:30" ht="16.5" hidden="1" customHeight="1" x14ac:dyDescent="0.45">
      <c r="A439" s="6" t="s">
        <v>403</v>
      </c>
      <c r="B439" s="7">
        <v>0</v>
      </c>
      <c r="C439" s="8">
        <f>IFERROR(B439/B444, "NA")</f>
        <v>0</v>
      </c>
      <c r="D439" s="9"/>
      <c r="E439" s="7">
        <v>0</v>
      </c>
      <c r="F439" s="8">
        <f>IFERROR(E439/E444, "NA")</f>
        <v>0</v>
      </c>
      <c r="G439" s="9"/>
      <c r="H439" s="10">
        <f t="shared" si="104"/>
        <v>0</v>
      </c>
      <c r="I439" s="8">
        <f>IFERROR(H439/H444, "NA")</f>
        <v>0</v>
      </c>
      <c r="J439" s="9"/>
      <c r="K439" s="7">
        <v>0</v>
      </c>
      <c r="L439" s="8">
        <f>IFERROR(K439/K444, "NA")</f>
        <v>0</v>
      </c>
      <c r="M439" s="9"/>
      <c r="N439" s="10">
        <f t="shared" si="105"/>
        <v>0</v>
      </c>
      <c r="O439" s="8">
        <f>IFERROR(N439/N444, "NA")</f>
        <v>0</v>
      </c>
      <c r="P439" s="9"/>
      <c r="Q439" s="7">
        <v>0</v>
      </c>
      <c r="R439" s="8">
        <f>IFERROR(Q439/Q444, "NA")</f>
        <v>0</v>
      </c>
      <c r="S439" s="9"/>
      <c r="T439" s="7">
        <v>0</v>
      </c>
      <c r="U439" s="8">
        <f>IFERROR(T439/T444, "NA")</f>
        <v>0</v>
      </c>
      <c r="V439" s="9"/>
      <c r="W439" s="10">
        <f t="shared" si="106"/>
        <v>0</v>
      </c>
      <c r="X439" s="8">
        <f>IFERROR(W439/W444, "NA")</f>
        <v>0</v>
      </c>
      <c r="Y439" s="9"/>
      <c r="Z439" s="7">
        <v>0</v>
      </c>
      <c r="AA439" s="8">
        <f>IFERROR(Z439/Z444, "NA")</f>
        <v>0</v>
      </c>
      <c r="AB439" s="9"/>
      <c r="AC439" s="10">
        <f t="shared" si="107"/>
        <v>0</v>
      </c>
      <c r="AD439" s="8">
        <f>IFERROR(AC439/AC444, "NA")</f>
        <v>0</v>
      </c>
    </row>
    <row r="440" spans="1:30" ht="30.75" hidden="1" customHeight="1" x14ac:dyDescent="0.45">
      <c r="A440" s="6" t="s">
        <v>404</v>
      </c>
      <c r="B440" s="7">
        <v>0</v>
      </c>
      <c r="C440" s="8">
        <f>IFERROR(B440/B444, "NA")</f>
        <v>0</v>
      </c>
      <c r="D440" s="9"/>
      <c r="E440" s="7">
        <v>0</v>
      </c>
      <c r="F440" s="8">
        <f>IFERROR(E440/E444, "NA")</f>
        <v>0</v>
      </c>
      <c r="G440" s="9"/>
      <c r="H440" s="10">
        <f t="shared" si="104"/>
        <v>0</v>
      </c>
      <c r="I440" s="8">
        <f>IFERROR(H440/H444, "NA")</f>
        <v>0</v>
      </c>
      <c r="J440" s="9"/>
      <c r="K440" s="7">
        <v>0</v>
      </c>
      <c r="L440" s="8">
        <f>IFERROR(K440/K444, "NA")</f>
        <v>0</v>
      </c>
      <c r="M440" s="9"/>
      <c r="N440" s="10">
        <f t="shared" si="105"/>
        <v>0</v>
      </c>
      <c r="O440" s="8">
        <f>IFERROR(N440/N444, "NA")</f>
        <v>0</v>
      </c>
      <c r="P440" s="9"/>
      <c r="Q440" s="7">
        <v>0</v>
      </c>
      <c r="R440" s="8">
        <f>IFERROR(Q440/Q444, "NA")</f>
        <v>0</v>
      </c>
      <c r="S440" s="9"/>
      <c r="T440" s="7">
        <v>0</v>
      </c>
      <c r="U440" s="8">
        <f>IFERROR(T440/T444, "NA")</f>
        <v>0</v>
      </c>
      <c r="V440" s="9"/>
      <c r="W440" s="10">
        <f t="shared" si="106"/>
        <v>0</v>
      </c>
      <c r="X440" s="8">
        <f>IFERROR(W440/W444, "NA")</f>
        <v>0</v>
      </c>
      <c r="Y440" s="9"/>
      <c r="Z440" s="7">
        <v>0</v>
      </c>
      <c r="AA440" s="8">
        <f>IFERROR(Z440/Z444, "NA")</f>
        <v>0</v>
      </c>
      <c r="AB440" s="9"/>
      <c r="AC440" s="10">
        <f t="shared" si="107"/>
        <v>0</v>
      </c>
      <c r="AD440" s="8">
        <f>IFERROR(AC440/AC444, "NA")</f>
        <v>0</v>
      </c>
    </row>
    <row r="441" spans="1:30" ht="16.5" customHeight="1" x14ac:dyDescent="0.45">
      <c r="A441" s="19" t="s">
        <v>405</v>
      </c>
      <c r="B441" s="14">
        <f>IFERROR(B432+B433+B434+B435+B436+B437+B438+B439+B440, "NA")</f>
        <v>0</v>
      </c>
      <c r="C441" s="15">
        <f>IFERROR(B441/B444, "NA")</f>
        <v>0</v>
      </c>
      <c r="D441" s="2"/>
      <c r="E441" s="14">
        <f>IFERROR(E432+E433+E434+E435+E436+E437+E438+E439+E440, "NA")</f>
        <v>0</v>
      </c>
      <c r="F441" s="15">
        <f>IFERROR(E441/E444, "NA")</f>
        <v>0</v>
      </c>
      <c r="G441" s="2"/>
      <c r="H441" s="14">
        <f t="shared" si="104"/>
        <v>0</v>
      </c>
      <c r="I441" s="15">
        <f>IFERROR(H441/H444, "NA")</f>
        <v>0</v>
      </c>
      <c r="J441" s="2"/>
      <c r="K441" s="14">
        <f>IFERROR(K432+K433+K434+K435+K436+K437+K438+K439+K440, "NA")</f>
        <v>0</v>
      </c>
      <c r="L441" s="15">
        <f>IFERROR(K441/K444, "NA")</f>
        <v>0</v>
      </c>
      <c r="M441" s="2"/>
      <c r="N441" s="14">
        <f t="shared" si="105"/>
        <v>0</v>
      </c>
      <c r="O441" s="15">
        <f>IFERROR(N441/N444, "NA")</f>
        <v>0</v>
      </c>
      <c r="P441" s="2"/>
      <c r="Q441" s="14">
        <f>IFERROR(Q432+Q433+Q434+Q435+Q436+Q437+Q438+Q439+Q440, "NA")</f>
        <v>0</v>
      </c>
      <c r="R441" s="15">
        <f>IFERROR(Q441/Q444, "NA")</f>
        <v>0</v>
      </c>
      <c r="S441" s="2"/>
      <c r="T441" s="14">
        <f>IFERROR(T432+T433+T434+T435+T436+T437+T438+T439+T440, "NA")</f>
        <v>0</v>
      </c>
      <c r="U441" s="15">
        <f>IFERROR(T441/T444, "NA")</f>
        <v>0</v>
      </c>
      <c r="V441" s="2"/>
      <c r="W441" s="14">
        <f t="shared" si="106"/>
        <v>0</v>
      </c>
      <c r="X441" s="15">
        <f>IFERROR(W441/W444, "NA")</f>
        <v>0</v>
      </c>
      <c r="Y441" s="2"/>
      <c r="Z441" s="14">
        <f>IFERROR(Z432+Z433+Z434+Z435+Z436+Z437+Z438+Z439+Z440, "NA")</f>
        <v>0</v>
      </c>
      <c r="AA441" s="15">
        <f>IFERROR(Z441/Z444, "NA")</f>
        <v>0</v>
      </c>
      <c r="AB441" s="2"/>
      <c r="AC441" s="14">
        <f t="shared" si="107"/>
        <v>0</v>
      </c>
      <c r="AD441" s="15">
        <f>IFERROR(AC441/AC444, "NA")</f>
        <v>0</v>
      </c>
    </row>
    <row r="442" spans="1:30" ht="16.5" customHeight="1" x14ac:dyDescent="0.45">
      <c r="A442" s="21" t="s">
        <v>406</v>
      </c>
      <c r="B442" s="14">
        <f>IFERROR(B432+B433+B434+B435+B436+B437+B438+B439+B440, "NA")</f>
        <v>0</v>
      </c>
      <c r="C442" s="15">
        <f>IFERROR(B442/B444, "NA")</f>
        <v>0</v>
      </c>
      <c r="D442" s="2"/>
      <c r="E442" s="14">
        <f>IFERROR(E432+E433+E434+E435+E436+E437+E438+E439+E440, "NA")</f>
        <v>0</v>
      </c>
      <c r="F442" s="15">
        <f>IFERROR(E442/E444, "NA")</f>
        <v>0</v>
      </c>
      <c r="G442" s="2"/>
      <c r="H442" s="14">
        <f t="shared" si="104"/>
        <v>0</v>
      </c>
      <c r="I442" s="15">
        <f>IFERROR(H442/H444, "NA")</f>
        <v>0</v>
      </c>
      <c r="J442" s="2"/>
      <c r="K442" s="14">
        <f>IFERROR(K432+K433+K434+K435+K436+K437+K438+K439+K440, "NA")</f>
        <v>0</v>
      </c>
      <c r="L442" s="15">
        <f>IFERROR(K442/K444, "NA")</f>
        <v>0</v>
      </c>
      <c r="M442" s="2"/>
      <c r="N442" s="14">
        <f t="shared" si="105"/>
        <v>0</v>
      </c>
      <c r="O442" s="15">
        <f>IFERROR(N442/N444, "NA")</f>
        <v>0</v>
      </c>
      <c r="P442" s="2"/>
      <c r="Q442" s="14">
        <f>IFERROR(Q432+Q433+Q434+Q435+Q436+Q437+Q438+Q439+Q440, "NA")</f>
        <v>0</v>
      </c>
      <c r="R442" s="15">
        <f>IFERROR(Q442/Q444, "NA")</f>
        <v>0</v>
      </c>
      <c r="S442" s="2"/>
      <c r="T442" s="14">
        <f>IFERROR(T432+T433+T434+T435+T436+T437+T438+T439+T440, "NA")</f>
        <v>0</v>
      </c>
      <c r="U442" s="15">
        <f>IFERROR(T442/T444, "NA")</f>
        <v>0</v>
      </c>
      <c r="V442" s="2"/>
      <c r="W442" s="14">
        <f t="shared" si="106"/>
        <v>0</v>
      </c>
      <c r="X442" s="15">
        <f>IFERROR(W442/W444, "NA")</f>
        <v>0</v>
      </c>
      <c r="Y442" s="2"/>
      <c r="Z442" s="14">
        <f>IFERROR(Z432+Z433+Z434+Z435+Z436+Z437+Z438+Z439+Z440, "NA")</f>
        <v>0</v>
      </c>
      <c r="AA442" s="15">
        <f>IFERROR(Z442/Z444, "NA")</f>
        <v>0</v>
      </c>
      <c r="AB442" s="2"/>
      <c r="AC442" s="14">
        <f t="shared" si="107"/>
        <v>0</v>
      </c>
      <c r="AD442" s="15">
        <f>IFERROR(AC442/AC444, "NA")</f>
        <v>0</v>
      </c>
    </row>
    <row r="443" spans="1:30" ht="16.5" customHeight="1" x14ac:dyDescent="0.45">
      <c r="A443" s="22" t="s">
        <v>407</v>
      </c>
      <c r="B443" s="23">
        <f>IFERROR(B404-B429-B442, "NA")</f>
        <v>-9186.200000000008</v>
      </c>
      <c r="C443" s="24">
        <f>IFERROR(B443/B444, "NA")</f>
        <v>-0.12668637392628887</v>
      </c>
      <c r="D443" s="25"/>
      <c r="E443" s="23">
        <f>IFERROR(E404-E429-E442, "NA")</f>
        <v>-8489.2300000000159</v>
      </c>
      <c r="F443" s="24">
        <f>IFERROR(E443/E444, "NA")</f>
        <v>-0.12448414677440262</v>
      </c>
      <c r="G443" s="25"/>
      <c r="H443" s="23">
        <f>IFERROR(B443-E443, "NA")</f>
        <v>-696.96999999999207</v>
      </c>
      <c r="I443" s="24">
        <f>IFERROR(H443/H444, "NA")</f>
        <v>-0.16148217827287534</v>
      </c>
      <c r="J443" s="25"/>
      <c r="K443" s="23">
        <f>IFERROR(K404-K429-K442, "NA")</f>
        <v>-9000.489999999998</v>
      </c>
      <c r="L443" s="24">
        <f>IFERROR(K443/K444, "NA")</f>
        <v>-0.13693044220952316</v>
      </c>
      <c r="M443" s="25"/>
      <c r="N443" s="23">
        <f>IFERROR(B443-K443, "NA")</f>
        <v>-185.71000000001004</v>
      </c>
      <c r="O443" s="24">
        <f>IFERROR(N443/N444, "NA")</f>
        <v>-2.7386937267088633E-2</v>
      </c>
      <c r="P443" s="25"/>
      <c r="Q443" s="23">
        <f>IFERROR(Q404-Q429-Q442, "NA")</f>
        <v>-9186.200000000008</v>
      </c>
      <c r="R443" s="24">
        <f>IFERROR(Q443/Q444, "NA")</f>
        <v>-0.12668637392628887</v>
      </c>
      <c r="S443" s="25"/>
      <c r="T443" s="23">
        <f>IFERROR(T404-T429-T442, "NA")</f>
        <v>-8489.2300000000159</v>
      </c>
      <c r="U443" s="24">
        <f>IFERROR(T443/T444, "NA")</f>
        <v>-0.12448414677440262</v>
      </c>
      <c r="V443" s="25"/>
      <c r="W443" s="23">
        <f>IFERROR(Q443-T443, "NA")</f>
        <v>-696.96999999999207</v>
      </c>
      <c r="X443" s="24">
        <f>IFERROR(W443/W444, "NA")</f>
        <v>-0.16148217827287534</v>
      </c>
      <c r="Y443" s="25"/>
      <c r="Z443" s="23">
        <f>IFERROR(Z404-Z429-Z442, "NA")</f>
        <v>-9000.489999999998</v>
      </c>
      <c r="AA443" s="24">
        <f>IFERROR(Z443/Z444, "NA")</f>
        <v>-0.13693044220952316</v>
      </c>
      <c r="AB443" s="25"/>
      <c r="AC443" s="23">
        <f>IFERROR(Q443-Z443, "NA")</f>
        <v>-185.71000000001004</v>
      </c>
      <c r="AD443" s="24">
        <f>IFERROR(AC443/AC444, "NA")</f>
        <v>-2.7386937267088633E-2</v>
      </c>
    </row>
    <row r="444" spans="1:30" ht="15.75" hidden="1" x14ac:dyDescent="0.45">
      <c r="A444" s="26" t="s">
        <v>117</v>
      </c>
      <c r="B444" s="7">
        <v>72511.350000000006</v>
      </c>
      <c r="C444" s="27"/>
      <c r="D444" s="9"/>
      <c r="E444" s="7">
        <v>68195.27</v>
      </c>
      <c r="F444" s="27"/>
      <c r="G444" s="9"/>
      <c r="H444" s="10">
        <f>IFERROR(B444-E444, "NA")</f>
        <v>4316.0800000000017</v>
      </c>
      <c r="I444" s="27"/>
      <c r="J444" s="9"/>
      <c r="K444" s="7">
        <v>65730.38</v>
      </c>
      <c r="L444" s="27"/>
      <c r="M444" s="9"/>
      <c r="N444" s="10">
        <f>IFERROR(B444-K444, "NA")</f>
        <v>6780.9700000000012</v>
      </c>
      <c r="O444" s="27"/>
      <c r="P444" s="9"/>
      <c r="Q444" s="7">
        <v>72511.350000000006</v>
      </c>
      <c r="R444" s="27"/>
      <c r="S444" s="9"/>
      <c r="T444" s="7">
        <v>68195.27</v>
      </c>
      <c r="U444" s="27"/>
      <c r="V444" s="9"/>
      <c r="W444" s="10">
        <f>IFERROR(Q444-T444, "NA")</f>
        <v>4316.0800000000017</v>
      </c>
      <c r="X444" s="27"/>
      <c r="Y444" s="9"/>
      <c r="Z444" s="7">
        <v>65730.38</v>
      </c>
      <c r="AA444" s="27"/>
      <c r="AB444" s="9"/>
      <c r="AC444" s="10">
        <f>IFERROR(Q444-Z444, "NA")</f>
        <v>6780.9700000000012</v>
      </c>
      <c r="AD444" s="27"/>
    </row>
    <row r="447" spans="1:30" ht="15.75" x14ac:dyDescent="0.5">
      <c r="A447" s="28" t="s">
        <v>408</v>
      </c>
    </row>
    <row r="448" spans="1:30" ht="15.75" x14ac:dyDescent="0.5">
      <c r="A448" s="28" t="s">
        <v>409</v>
      </c>
    </row>
    <row r="449" spans="1:1" ht="15.75" x14ac:dyDescent="0.5">
      <c r="A449" s="28" t="s">
        <v>410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4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AD44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25" x14ac:dyDescent="0.45"/>
  <cols>
    <col min="1" max="1" width="42.86328125" customWidth="1"/>
    <col min="2" max="2" width="17.1328125" customWidth="1"/>
    <col min="3" max="3" width="9.3984375" customWidth="1"/>
    <col min="4" max="4" width="1.3984375" customWidth="1"/>
    <col min="5" max="5" width="17.1328125" customWidth="1"/>
    <col min="6" max="6" width="9.3984375" customWidth="1"/>
    <col min="7" max="7" width="1.3984375" customWidth="1"/>
    <col min="8" max="8" width="17.1328125" customWidth="1"/>
    <col min="9" max="9" width="9.3984375" customWidth="1"/>
    <col min="10" max="10" width="1.3984375" customWidth="1"/>
    <col min="11" max="11" width="17.1328125" customWidth="1"/>
    <col min="12" max="12" width="9.3984375" customWidth="1"/>
    <col min="13" max="13" width="1.3984375" customWidth="1"/>
    <col min="14" max="14" width="17.1328125" customWidth="1"/>
    <col min="15" max="15" width="9.3984375" customWidth="1"/>
    <col min="16" max="16" width="1.3984375" customWidth="1"/>
    <col min="17" max="17" width="17.1328125" customWidth="1"/>
    <col min="18" max="18" width="9.3984375" customWidth="1"/>
    <col min="19" max="19" width="1.3984375" customWidth="1"/>
    <col min="20" max="20" width="17.1328125" customWidth="1"/>
    <col min="21" max="21" width="9.3984375" customWidth="1"/>
    <col min="22" max="22" width="1.3984375" customWidth="1"/>
    <col min="23" max="23" width="17.1328125" customWidth="1"/>
    <col min="24" max="24" width="9.3984375" customWidth="1"/>
    <col min="25" max="25" width="1.3984375" customWidth="1"/>
    <col min="26" max="26" width="17.1328125" customWidth="1"/>
    <col min="27" max="27" width="9.3984375" customWidth="1"/>
    <col min="28" max="28" width="1.3984375" customWidth="1"/>
    <col min="29" max="29" width="17.1328125" customWidth="1"/>
    <col min="30" max="30" width="9.3984375" customWidth="1"/>
  </cols>
  <sheetData>
    <row r="1" spans="1:30" ht="33.4" x14ac:dyDescent="0.45">
      <c r="A1" s="29" t="s">
        <v>0</v>
      </c>
      <c r="B1" s="29" t="s">
        <v>0</v>
      </c>
      <c r="C1" s="29" t="s">
        <v>0</v>
      </c>
      <c r="D1" s="29" t="s">
        <v>0</v>
      </c>
      <c r="E1" s="29" t="s">
        <v>0</v>
      </c>
      <c r="F1" s="29" t="s">
        <v>0</v>
      </c>
      <c r="G1" s="29" t="s">
        <v>0</v>
      </c>
      <c r="H1" s="29" t="s">
        <v>0</v>
      </c>
      <c r="I1" s="29" t="s">
        <v>0</v>
      </c>
      <c r="J1" s="29" t="s">
        <v>0</v>
      </c>
      <c r="K1" s="29" t="s">
        <v>0</v>
      </c>
      <c r="L1" s="29" t="s">
        <v>0</v>
      </c>
      <c r="M1" s="29" t="s">
        <v>0</v>
      </c>
      <c r="N1" s="29" t="s">
        <v>0</v>
      </c>
      <c r="O1" s="29" t="s">
        <v>0</v>
      </c>
      <c r="P1" s="29" t="s">
        <v>0</v>
      </c>
      <c r="Q1" s="29" t="s">
        <v>0</v>
      </c>
      <c r="R1" s="29" t="s">
        <v>0</v>
      </c>
      <c r="S1" s="29" t="s">
        <v>0</v>
      </c>
      <c r="T1" s="29" t="s">
        <v>0</v>
      </c>
      <c r="U1" s="29" t="s">
        <v>0</v>
      </c>
      <c r="V1" s="29" t="s">
        <v>0</v>
      </c>
      <c r="W1" s="29" t="s">
        <v>0</v>
      </c>
      <c r="X1" s="29" t="s">
        <v>0</v>
      </c>
      <c r="Y1" s="29" t="s">
        <v>0</v>
      </c>
      <c r="Z1" s="29" t="s">
        <v>0</v>
      </c>
      <c r="AA1" s="29" t="s">
        <v>0</v>
      </c>
      <c r="AB1" s="29" t="s">
        <v>0</v>
      </c>
      <c r="AC1" s="29" t="s">
        <v>0</v>
      </c>
      <c r="AD1" s="29" t="s">
        <v>0</v>
      </c>
    </row>
    <row r="2" spans="1:30" ht="23.25" x14ac:dyDescent="0.45">
      <c r="A2" s="30" t="s">
        <v>1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0" t="s">
        <v>1</v>
      </c>
      <c r="O2" s="30" t="s">
        <v>1</v>
      </c>
      <c r="P2" s="30" t="s">
        <v>1</v>
      </c>
      <c r="Q2" s="30" t="s">
        <v>1</v>
      </c>
      <c r="R2" s="30" t="s">
        <v>1</v>
      </c>
      <c r="S2" s="30" t="s">
        <v>1</v>
      </c>
      <c r="T2" s="30" t="s">
        <v>1</v>
      </c>
      <c r="U2" s="30" t="s">
        <v>1</v>
      </c>
      <c r="V2" s="30" t="s">
        <v>1</v>
      </c>
      <c r="W2" s="30" t="s">
        <v>1</v>
      </c>
      <c r="X2" s="30" t="s">
        <v>1</v>
      </c>
      <c r="Y2" s="30" t="s">
        <v>1</v>
      </c>
      <c r="Z2" s="30" t="s">
        <v>1</v>
      </c>
      <c r="AA2" s="30" t="s">
        <v>1</v>
      </c>
      <c r="AB2" s="30" t="s">
        <v>1</v>
      </c>
      <c r="AC2" s="30" t="s">
        <v>1</v>
      </c>
      <c r="AD2" s="30" t="s">
        <v>1</v>
      </c>
    </row>
    <row r="3" spans="1:30" ht="15.75" x14ac:dyDescent="0.45">
      <c r="A3" s="31" t="s">
        <v>415</v>
      </c>
      <c r="B3" s="31" t="s">
        <v>415</v>
      </c>
      <c r="C3" s="31" t="s">
        <v>415</v>
      </c>
      <c r="D3" s="31" t="s">
        <v>415</v>
      </c>
      <c r="E3" s="31" t="s">
        <v>415</v>
      </c>
      <c r="F3" s="31" t="s">
        <v>415</v>
      </c>
      <c r="G3" s="31" t="s">
        <v>415</v>
      </c>
      <c r="H3" s="31" t="s">
        <v>415</v>
      </c>
      <c r="I3" s="31" t="s">
        <v>415</v>
      </c>
      <c r="J3" s="31" t="s">
        <v>415</v>
      </c>
      <c r="K3" s="31" t="s">
        <v>415</v>
      </c>
      <c r="L3" s="31" t="s">
        <v>415</v>
      </c>
      <c r="M3" s="31" t="s">
        <v>415</v>
      </c>
      <c r="N3" s="31" t="s">
        <v>415</v>
      </c>
      <c r="O3" s="31" t="s">
        <v>415</v>
      </c>
      <c r="P3" s="31" t="s">
        <v>415</v>
      </c>
      <c r="Q3" s="31" t="s">
        <v>415</v>
      </c>
      <c r="R3" s="31" t="s">
        <v>415</v>
      </c>
      <c r="S3" s="31" t="s">
        <v>415</v>
      </c>
      <c r="T3" s="31" t="s">
        <v>415</v>
      </c>
      <c r="U3" s="31" t="s">
        <v>415</v>
      </c>
      <c r="V3" s="31" t="s">
        <v>415</v>
      </c>
      <c r="W3" s="31" t="s">
        <v>415</v>
      </c>
      <c r="X3" s="31" t="s">
        <v>415</v>
      </c>
      <c r="Y3" s="31" t="s">
        <v>415</v>
      </c>
      <c r="Z3" s="31" t="s">
        <v>415</v>
      </c>
      <c r="AA3" s="31" t="s">
        <v>415</v>
      </c>
      <c r="AB3" s="31" t="s">
        <v>415</v>
      </c>
      <c r="AC3" s="31" t="s">
        <v>415</v>
      </c>
      <c r="AD3" s="31" t="s">
        <v>415</v>
      </c>
    </row>
    <row r="5" spans="1:30" ht="16.5" customHeight="1" x14ac:dyDescent="0.45">
      <c r="A5" s="32" t="s">
        <v>3</v>
      </c>
      <c r="B5" s="33" t="s">
        <v>4</v>
      </c>
      <c r="C5" s="34" t="s">
        <v>3</v>
      </c>
      <c r="D5" s="32" t="s">
        <v>3</v>
      </c>
      <c r="E5" s="33" t="s">
        <v>5</v>
      </c>
      <c r="F5" s="34" t="s">
        <v>3</v>
      </c>
      <c r="G5" s="32" t="s">
        <v>3</v>
      </c>
      <c r="H5" s="33" t="s">
        <v>6</v>
      </c>
      <c r="I5" s="34" t="s">
        <v>3</v>
      </c>
      <c r="J5" s="32" t="s">
        <v>3</v>
      </c>
      <c r="K5" s="33" t="s">
        <v>7</v>
      </c>
      <c r="L5" s="34" t="s">
        <v>3</v>
      </c>
      <c r="M5" s="32" t="s">
        <v>3</v>
      </c>
      <c r="N5" s="33" t="s">
        <v>6</v>
      </c>
      <c r="O5" s="34" t="s">
        <v>3</v>
      </c>
      <c r="P5" s="32" t="s">
        <v>3</v>
      </c>
      <c r="Q5" s="33" t="s">
        <v>8</v>
      </c>
      <c r="R5" s="34" t="s">
        <v>3</v>
      </c>
      <c r="S5" s="32" t="s">
        <v>3</v>
      </c>
      <c r="T5" s="33" t="s">
        <v>9</v>
      </c>
      <c r="U5" s="34" t="s">
        <v>3</v>
      </c>
      <c r="V5" s="32" t="s">
        <v>3</v>
      </c>
      <c r="W5" s="33" t="s">
        <v>6</v>
      </c>
      <c r="X5" s="34" t="s">
        <v>3</v>
      </c>
      <c r="Y5" s="32" t="s">
        <v>3</v>
      </c>
      <c r="Z5" s="33" t="s">
        <v>10</v>
      </c>
      <c r="AA5" s="34" t="s">
        <v>3</v>
      </c>
      <c r="AB5" s="32" t="s">
        <v>3</v>
      </c>
      <c r="AC5" s="33" t="s">
        <v>6</v>
      </c>
      <c r="AD5" s="34" t="s">
        <v>3</v>
      </c>
    </row>
    <row r="6" spans="1:30" ht="16.5" customHeight="1" x14ac:dyDescent="0.45">
      <c r="A6" s="1" t="s">
        <v>11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45">
      <c r="A7" s="5" t="s">
        <v>11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45">
      <c r="A8" s="6" t="s">
        <v>11</v>
      </c>
      <c r="B8" s="7">
        <v>0</v>
      </c>
      <c r="C8" s="8">
        <f>IFERROR(B8/B444, "NA")</f>
        <v>0</v>
      </c>
      <c r="D8" s="9"/>
      <c r="E8" s="7">
        <v>0</v>
      </c>
      <c r="F8" s="8">
        <f>IFERROR(E8/E444, "NA")</f>
        <v>0</v>
      </c>
      <c r="G8" s="9"/>
      <c r="H8" s="10">
        <f>IFERROR(B8-E8, "NA")</f>
        <v>0</v>
      </c>
      <c r="I8" s="8">
        <f>IFERROR(H8/H444, "NA")</f>
        <v>0</v>
      </c>
      <c r="J8" s="9"/>
      <c r="K8" s="7">
        <v>0</v>
      </c>
      <c r="L8" s="8">
        <f>IFERROR(K8/K444, "NA")</f>
        <v>0</v>
      </c>
      <c r="M8" s="9"/>
      <c r="N8" s="10">
        <f>IFERROR(B8-K8, "NA")</f>
        <v>0</v>
      </c>
      <c r="O8" s="8">
        <f>IFERROR(N8/N444, "NA")</f>
        <v>0</v>
      </c>
      <c r="P8" s="9"/>
      <c r="Q8" s="7">
        <v>0</v>
      </c>
      <c r="R8" s="8">
        <f>IFERROR(Q8/Q444, "NA")</f>
        <v>0</v>
      </c>
      <c r="S8" s="9"/>
      <c r="T8" s="7">
        <v>0</v>
      </c>
      <c r="U8" s="8">
        <f>IFERROR(T8/T444, "NA")</f>
        <v>0</v>
      </c>
      <c r="V8" s="9"/>
      <c r="W8" s="10">
        <f>IFERROR(Q8-T8, "NA")</f>
        <v>0</v>
      </c>
      <c r="X8" s="8">
        <f>IFERROR(W8/W444, "NA")</f>
        <v>0</v>
      </c>
      <c r="Y8" s="9"/>
      <c r="Z8" s="7">
        <v>0</v>
      </c>
      <c r="AA8" s="8">
        <f>IFERROR(Z8/Z444, "NA")</f>
        <v>0</v>
      </c>
      <c r="AB8" s="9"/>
      <c r="AC8" s="10">
        <f>IFERROR(Q8-Z8, "NA")</f>
        <v>0</v>
      </c>
      <c r="AD8" s="8">
        <f>IFERROR(AC8/AC444, "NA")</f>
        <v>0</v>
      </c>
    </row>
    <row r="9" spans="1:30" ht="16.5" customHeight="1" x14ac:dyDescent="0.45">
      <c r="A9" s="11" t="s">
        <v>12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45">
      <c r="A10" s="12" t="s">
        <v>12</v>
      </c>
      <c r="B10" s="7">
        <v>0</v>
      </c>
      <c r="C10" s="8">
        <f>IFERROR(B10/B444, "NA")</f>
        <v>0</v>
      </c>
      <c r="D10" s="9"/>
      <c r="E10" s="7">
        <v>41761.269999999997</v>
      </c>
      <c r="F10" s="8">
        <f>IFERROR(E10/E444, "NA")</f>
        <v>0.55200010680137024</v>
      </c>
      <c r="G10" s="9"/>
      <c r="H10" s="10">
        <f t="shared" ref="H10:H19" si="0">IFERROR(B10-E10, "NA")</f>
        <v>-41761.269999999997</v>
      </c>
      <c r="I10" s="8">
        <f>IFERROR(H10/H444, "NA")</f>
        <v>13.897446222245856</v>
      </c>
      <c r="J10" s="9"/>
      <c r="K10" s="7">
        <v>0</v>
      </c>
      <c r="L10" s="8">
        <f>IFERROR(K10/K444, "NA")</f>
        <v>0</v>
      </c>
      <c r="M10" s="9"/>
      <c r="N10" s="10">
        <f t="shared" ref="N10:N19" si="1">IFERROR(B10-K10, "NA")</f>
        <v>0</v>
      </c>
      <c r="O10" s="8">
        <f>IFERROR(N10/N444, "NA")</f>
        <v>0</v>
      </c>
      <c r="P10" s="9"/>
      <c r="Q10" s="7">
        <v>0</v>
      </c>
      <c r="R10" s="8">
        <f>IFERROR(Q10/Q444, "NA")</f>
        <v>0</v>
      </c>
      <c r="S10" s="9"/>
      <c r="T10" s="7">
        <v>41761.269999999997</v>
      </c>
      <c r="U10" s="8">
        <f>IFERROR(T10/T444, "NA")</f>
        <v>0.55200010680137024</v>
      </c>
      <c r="V10" s="9"/>
      <c r="W10" s="10">
        <f t="shared" ref="W10:W19" si="2">IFERROR(Q10-T10, "NA")</f>
        <v>-41761.269999999997</v>
      </c>
      <c r="X10" s="8">
        <f>IFERROR(W10/W444, "NA")</f>
        <v>13.897446222245856</v>
      </c>
      <c r="Y10" s="9"/>
      <c r="Z10" s="7">
        <v>0</v>
      </c>
      <c r="AA10" s="8">
        <f>IFERROR(Z10/Z444, "NA")</f>
        <v>0</v>
      </c>
      <c r="AB10" s="9"/>
      <c r="AC10" s="10">
        <f t="shared" ref="AC10:AC19" si="3">IFERROR(Q10-Z10, "NA")</f>
        <v>0</v>
      </c>
      <c r="AD10" s="8">
        <f>IFERROR(AC10/AC444, "NA")</f>
        <v>0</v>
      </c>
    </row>
    <row r="11" spans="1:30" ht="16.5" customHeight="1" x14ac:dyDescent="0.45">
      <c r="A11" s="12" t="s">
        <v>13</v>
      </c>
      <c r="B11" s="7">
        <v>37749.21</v>
      </c>
      <c r="C11" s="8">
        <f>IFERROR(B11/B444, "NA")</f>
        <v>0.51960729254846905</v>
      </c>
      <c r="D11" s="9"/>
      <c r="E11" s="7">
        <v>0</v>
      </c>
      <c r="F11" s="8">
        <f>IFERROR(E11/E444, "NA")</f>
        <v>0</v>
      </c>
      <c r="G11" s="9"/>
      <c r="H11" s="10">
        <f t="shared" si="0"/>
        <v>37749.21</v>
      </c>
      <c r="I11" s="8">
        <f>IFERROR(H11/H444, "NA")</f>
        <v>-12.56230033012084</v>
      </c>
      <c r="J11" s="9"/>
      <c r="K11" s="7">
        <v>33895.5</v>
      </c>
      <c r="L11" s="8">
        <f>IFERROR(K11/K444, "NA")</f>
        <v>0.46483144948750676</v>
      </c>
      <c r="M11" s="9"/>
      <c r="N11" s="10">
        <f t="shared" si="1"/>
        <v>3853.7099999999991</v>
      </c>
      <c r="O11" s="8">
        <f>IFERROR(N11/N444, "NA")</f>
        <v>-14.247670807453627</v>
      </c>
      <c r="P11" s="9"/>
      <c r="Q11" s="7">
        <v>37749.21</v>
      </c>
      <c r="R11" s="8">
        <f>IFERROR(Q11/Q444, "NA")</f>
        <v>0.51960729254846905</v>
      </c>
      <c r="S11" s="9"/>
      <c r="T11" s="7">
        <v>0</v>
      </c>
      <c r="U11" s="8">
        <f>IFERROR(T11/T444, "NA")</f>
        <v>0</v>
      </c>
      <c r="V11" s="9"/>
      <c r="W11" s="10">
        <f t="shared" si="2"/>
        <v>37749.21</v>
      </c>
      <c r="X11" s="8">
        <f>IFERROR(W11/W444, "NA")</f>
        <v>-12.56230033012084</v>
      </c>
      <c r="Y11" s="9"/>
      <c r="Z11" s="7">
        <v>33895.5</v>
      </c>
      <c r="AA11" s="8">
        <f>IFERROR(Z11/Z444, "NA")</f>
        <v>0.46483144948750676</v>
      </c>
      <c r="AB11" s="9"/>
      <c r="AC11" s="10">
        <f t="shared" si="3"/>
        <v>3853.7099999999991</v>
      </c>
      <c r="AD11" s="8">
        <f>IFERROR(AC11/AC444, "NA")</f>
        <v>-14.247670807453627</v>
      </c>
    </row>
    <row r="12" spans="1:30" ht="16.5" customHeight="1" x14ac:dyDescent="0.45">
      <c r="A12" s="12" t="s">
        <v>14</v>
      </c>
      <c r="B12" s="7">
        <v>3589.85</v>
      </c>
      <c r="C12" s="8">
        <f>IFERROR(B12/B444, "NA")</f>
        <v>4.9413278825043531E-2</v>
      </c>
      <c r="D12" s="9"/>
      <c r="E12" s="7">
        <v>0</v>
      </c>
      <c r="F12" s="8">
        <f>IFERROR(E12/E444, "NA")</f>
        <v>0</v>
      </c>
      <c r="G12" s="9"/>
      <c r="H12" s="10">
        <f t="shared" si="0"/>
        <v>3589.85</v>
      </c>
      <c r="I12" s="8">
        <f>IFERROR(H12/H444, "NA")</f>
        <v>-1.1946415260103269</v>
      </c>
      <c r="J12" s="9"/>
      <c r="K12" s="7">
        <v>3957.55</v>
      </c>
      <c r="L12" s="8">
        <f>IFERROR(K12/K444, "NA")</f>
        <v>5.4272505285931243E-2</v>
      </c>
      <c r="M12" s="9"/>
      <c r="N12" s="10">
        <f t="shared" si="1"/>
        <v>-367.70000000000027</v>
      </c>
      <c r="O12" s="8">
        <f>IFERROR(N12/N444, "NA")</f>
        <v>1.3594350783791993</v>
      </c>
      <c r="P12" s="9"/>
      <c r="Q12" s="7">
        <v>3589.85</v>
      </c>
      <c r="R12" s="8">
        <f>IFERROR(Q12/Q444, "NA")</f>
        <v>4.9413278825043531E-2</v>
      </c>
      <c r="S12" s="9"/>
      <c r="T12" s="7">
        <v>0</v>
      </c>
      <c r="U12" s="8">
        <f>IFERROR(T12/T444, "NA")</f>
        <v>0</v>
      </c>
      <c r="V12" s="9"/>
      <c r="W12" s="10">
        <f t="shared" si="2"/>
        <v>3589.85</v>
      </c>
      <c r="X12" s="8">
        <f>IFERROR(W12/W444, "NA")</f>
        <v>-1.1946415260103269</v>
      </c>
      <c r="Y12" s="9"/>
      <c r="Z12" s="7">
        <v>3957.55</v>
      </c>
      <c r="AA12" s="8">
        <f>IFERROR(Z12/Z444, "NA")</f>
        <v>5.4272505285931243E-2</v>
      </c>
      <c r="AB12" s="9"/>
      <c r="AC12" s="10">
        <f t="shared" si="3"/>
        <v>-367.70000000000027</v>
      </c>
      <c r="AD12" s="8">
        <f>IFERROR(AC12/AC444, "NA")</f>
        <v>1.3594350783791993</v>
      </c>
    </row>
    <row r="13" spans="1:30" ht="16.5" customHeight="1" x14ac:dyDescent="0.45">
      <c r="A13" s="12" t="s">
        <v>15</v>
      </c>
      <c r="B13" s="7">
        <v>48</v>
      </c>
      <c r="C13" s="8">
        <f>IFERROR(B13/B444, "NA")</f>
        <v>6.6070654305948426E-4</v>
      </c>
      <c r="D13" s="9"/>
      <c r="E13" s="7">
        <v>0</v>
      </c>
      <c r="F13" s="8">
        <f>IFERROR(E13/E444, "NA")</f>
        <v>0</v>
      </c>
      <c r="G13" s="9"/>
      <c r="H13" s="10">
        <f t="shared" si="0"/>
        <v>48</v>
      </c>
      <c r="I13" s="8">
        <f>IFERROR(H13/H444, "NA")</f>
        <v>-1.5973590330653285E-2</v>
      </c>
      <c r="J13" s="9"/>
      <c r="K13" s="7">
        <v>108</v>
      </c>
      <c r="L13" s="8">
        <f>IFERROR(K13/K444, "NA")</f>
        <v>1.481075557069544E-3</v>
      </c>
      <c r="M13" s="9"/>
      <c r="N13" s="10">
        <f t="shared" si="1"/>
        <v>-60</v>
      </c>
      <c r="O13" s="8">
        <f>IFERROR(N13/N444, "NA")</f>
        <v>0.22182786157941772</v>
      </c>
      <c r="P13" s="9"/>
      <c r="Q13" s="7">
        <v>48</v>
      </c>
      <c r="R13" s="8">
        <f>IFERROR(Q13/Q444, "NA")</f>
        <v>6.6070654305948426E-4</v>
      </c>
      <c r="S13" s="9"/>
      <c r="T13" s="7">
        <v>0</v>
      </c>
      <c r="U13" s="8">
        <f>IFERROR(T13/T444, "NA")</f>
        <v>0</v>
      </c>
      <c r="V13" s="9"/>
      <c r="W13" s="10">
        <f t="shared" si="2"/>
        <v>48</v>
      </c>
      <c r="X13" s="8">
        <f>IFERROR(W13/W444, "NA")</f>
        <v>-1.5973590330653285E-2</v>
      </c>
      <c r="Y13" s="9"/>
      <c r="Z13" s="7">
        <v>108</v>
      </c>
      <c r="AA13" s="8">
        <f>IFERROR(Z13/Z444, "NA")</f>
        <v>1.481075557069544E-3</v>
      </c>
      <c r="AB13" s="9"/>
      <c r="AC13" s="10">
        <f t="shared" si="3"/>
        <v>-60</v>
      </c>
      <c r="AD13" s="8">
        <f>IFERROR(AC13/AC444, "NA")</f>
        <v>0.22182786157941772</v>
      </c>
    </row>
    <row r="14" spans="1:30" ht="16.5" customHeight="1" x14ac:dyDescent="0.45">
      <c r="A14" s="12" t="s">
        <v>16</v>
      </c>
      <c r="B14" s="7">
        <v>0</v>
      </c>
      <c r="C14" s="8">
        <f>IFERROR(B14/B444, "NA")</f>
        <v>0</v>
      </c>
      <c r="D14" s="9"/>
      <c r="E14" s="7">
        <v>0</v>
      </c>
      <c r="F14" s="8">
        <f>IFERROR(E14/E444, "NA")</f>
        <v>0</v>
      </c>
      <c r="G14" s="9"/>
      <c r="H14" s="10">
        <f t="shared" si="0"/>
        <v>0</v>
      </c>
      <c r="I14" s="8">
        <f>IFERROR(H14/H444, "NA")</f>
        <v>0</v>
      </c>
      <c r="J14" s="9"/>
      <c r="K14" s="7">
        <v>285</v>
      </c>
      <c r="L14" s="8">
        <f>IFERROR(K14/K444, "NA")</f>
        <v>3.908393831155741E-3</v>
      </c>
      <c r="M14" s="9"/>
      <c r="N14" s="10">
        <f t="shared" si="1"/>
        <v>-285</v>
      </c>
      <c r="O14" s="8">
        <f>IFERROR(N14/N444, "NA")</f>
        <v>1.0536823425022341</v>
      </c>
      <c r="P14" s="9"/>
      <c r="Q14" s="7">
        <v>0</v>
      </c>
      <c r="R14" s="8">
        <f>IFERROR(Q14/Q444, "NA")</f>
        <v>0</v>
      </c>
      <c r="S14" s="9"/>
      <c r="T14" s="7">
        <v>0</v>
      </c>
      <c r="U14" s="8">
        <f>IFERROR(T14/T444, "NA")</f>
        <v>0</v>
      </c>
      <c r="V14" s="9"/>
      <c r="W14" s="10">
        <f t="shared" si="2"/>
        <v>0</v>
      </c>
      <c r="X14" s="8">
        <f>IFERROR(W14/W444, "NA")</f>
        <v>0</v>
      </c>
      <c r="Y14" s="9"/>
      <c r="Z14" s="7">
        <v>285</v>
      </c>
      <c r="AA14" s="8">
        <f>IFERROR(Z14/Z444, "NA")</f>
        <v>3.908393831155741E-3</v>
      </c>
      <c r="AB14" s="9"/>
      <c r="AC14" s="10">
        <f t="shared" si="3"/>
        <v>-285</v>
      </c>
      <c r="AD14" s="8">
        <f>IFERROR(AC14/AC444, "NA")</f>
        <v>1.0536823425022341</v>
      </c>
    </row>
    <row r="15" spans="1:30" ht="16.5" customHeight="1" x14ac:dyDescent="0.45">
      <c r="A15" s="12" t="s">
        <v>17</v>
      </c>
      <c r="B15" s="7">
        <v>8</v>
      </c>
      <c r="C15" s="8">
        <f>IFERROR(B15/B444, "NA")</f>
        <v>1.101177571765807E-4</v>
      </c>
      <c r="D15" s="9"/>
      <c r="E15" s="7">
        <v>0</v>
      </c>
      <c r="F15" s="8">
        <f>IFERROR(E15/E444, "NA")</f>
        <v>0</v>
      </c>
      <c r="G15" s="9"/>
      <c r="H15" s="10">
        <f t="shared" si="0"/>
        <v>8</v>
      </c>
      <c r="I15" s="8">
        <f>IFERROR(H15/H444, "NA")</f>
        <v>-2.662265055108881E-3</v>
      </c>
      <c r="J15" s="9"/>
      <c r="K15" s="7">
        <v>21</v>
      </c>
      <c r="L15" s="8">
        <f>IFERROR(K15/K444, "NA")</f>
        <v>2.8798691387463358E-4</v>
      </c>
      <c r="M15" s="9"/>
      <c r="N15" s="10">
        <f t="shared" si="1"/>
        <v>-13</v>
      </c>
      <c r="O15" s="8">
        <f>IFERROR(N15/N444, "NA")</f>
        <v>4.8062703342207171E-2</v>
      </c>
      <c r="P15" s="9"/>
      <c r="Q15" s="7">
        <v>8</v>
      </c>
      <c r="R15" s="8">
        <f>IFERROR(Q15/Q444, "NA")</f>
        <v>1.101177571765807E-4</v>
      </c>
      <c r="S15" s="9"/>
      <c r="T15" s="7">
        <v>0</v>
      </c>
      <c r="U15" s="8">
        <f>IFERROR(T15/T444, "NA")</f>
        <v>0</v>
      </c>
      <c r="V15" s="9"/>
      <c r="W15" s="10">
        <f t="shared" si="2"/>
        <v>8</v>
      </c>
      <c r="X15" s="8">
        <f>IFERROR(W15/W444, "NA")</f>
        <v>-2.662265055108881E-3</v>
      </c>
      <c r="Y15" s="9"/>
      <c r="Z15" s="7">
        <v>21</v>
      </c>
      <c r="AA15" s="8">
        <f>IFERROR(Z15/Z444, "NA")</f>
        <v>2.8798691387463358E-4</v>
      </c>
      <c r="AB15" s="9"/>
      <c r="AC15" s="10">
        <f t="shared" si="3"/>
        <v>-13</v>
      </c>
      <c r="AD15" s="8">
        <f>IFERROR(AC15/AC444, "NA")</f>
        <v>4.8062703342207171E-2</v>
      </c>
    </row>
    <row r="16" spans="1:30" ht="16.5" hidden="1" customHeight="1" x14ac:dyDescent="0.45">
      <c r="A16" s="12" t="s">
        <v>18</v>
      </c>
      <c r="B16" s="7">
        <v>0</v>
      </c>
      <c r="C16" s="8">
        <f>IFERROR(B16/B444, "NA")</f>
        <v>0</v>
      </c>
      <c r="D16" s="9"/>
      <c r="E16" s="7">
        <v>0</v>
      </c>
      <c r="F16" s="8">
        <f>IFERROR(E16/E444, "NA")</f>
        <v>0</v>
      </c>
      <c r="G16" s="9"/>
      <c r="H16" s="10">
        <f t="shared" si="0"/>
        <v>0</v>
      </c>
      <c r="I16" s="8">
        <f>IFERROR(H16/H444, "NA")</f>
        <v>0</v>
      </c>
      <c r="J16" s="9"/>
      <c r="K16" s="7">
        <v>0</v>
      </c>
      <c r="L16" s="8">
        <f>IFERROR(K16/K444, "NA")</f>
        <v>0</v>
      </c>
      <c r="M16" s="9"/>
      <c r="N16" s="10">
        <f t="shared" si="1"/>
        <v>0</v>
      </c>
      <c r="O16" s="8">
        <f>IFERROR(N16/N444, "NA")</f>
        <v>0</v>
      </c>
      <c r="P16" s="9"/>
      <c r="Q16" s="7">
        <v>0</v>
      </c>
      <c r="R16" s="8">
        <f>IFERROR(Q16/Q444, "NA")</f>
        <v>0</v>
      </c>
      <c r="S16" s="9"/>
      <c r="T16" s="7">
        <v>0</v>
      </c>
      <c r="U16" s="8">
        <f>IFERROR(T16/T444, "NA")</f>
        <v>0</v>
      </c>
      <c r="V16" s="9"/>
      <c r="W16" s="10">
        <f t="shared" si="2"/>
        <v>0</v>
      </c>
      <c r="X16" s="8">
        <f>IFERROR(W16/W444, "NA")</f>
        <v>0</v>
      </c>
      <c r="Y16" s="9"/>
      <c r="Z16" s="7">
        <v>0</v>
      </c>
      <c r="AA16" s="8">
        <f>IFERROR(Z16/Z444, "NA")</f>
        <v>0</v>
      </c>
      <c r="AB16" s="9"/>
      <c r="AC16" s="10">
        <f t="shared" si="3"/>
        <v>0</v>
      </c>
      <c r="AD16" s="8">
        <f>IFERROR(AC16/AC444, "NA")</f>
        <v>0</v>
      </c>
    </row>
    <row r="17" spans="1:30" ht="16.5" hidden="1" customHeight="1" x14ac:dyDescent="0.45">
      <c r="A17" s="12" t="s">
        <v>19</v>
      </c>
      <c r="B17" s="7">
        <v>0</v>
      </c>
      <c r="C17" s="8">
        <f>IFERROR(B17/B444, "NA")</f>
        <v>0</v>
      </c>
      <c r="D17" s="9"/>
      <c r="E17" s="7">
        <v>0</v>
      </c>
      <c r="F17" s="8">
        <f>IFERROR(E17/E444, "NA")</f>
        <v>0</v>
      </c>
      <c r="G17" s="9"/>
      <c r="H17" s="10">
        <f t="shared" si="0"/>
        <v>0</v>
      </c>
      <c r="I17" s="8">
        <f>IFERROR(H17/H444, "NA")</f>
        <v>0</v>
      </c>
      <c r="J17" s="9"/>
      <c r="K17" s="7">
        <v>0</v>
      </c>
      <c r="L17" s="8">
        <f>IFERROR(K17/K444, "NA")</f>
        <v>0</v>
      </c>
      <c r="M17" s="9"/>
      <c r="N17" s="10">
        <f t="shared" si="1"/>
        <v>0</v>
      </c>
      <c r="O17" s="8">
        <f>IFERROR(N17/N444, "NA")</f>
        <v>0</v>
      </c>
      <c r="P17" s="9"/>
      <c r="Q17" s="7">
        <v>0</v>
      </c>
      <c r="R17" s="8">
        <f>IFERROR(Q17/Q444, "NA")</f>
        <v>0</v>
      </c>
      <c r="S17" s="9"/>
      <c r="T17" s="7">
        <v>0</v>
      </c>
      <c r="U17" s="8">
        <f>IFERROR(T17/T444, "NA")</f>
        <v>0</v>
      </c>
      <c r="V17" s="9"/>
      <c r="W17" s="10">
        <f t="shared" si="2"/>
        <v>0</v>
      </c>
      <c r="X17" s="8">
        <f>IFERROR(W17/W444, "NA")</f>
        <v>0</v>
      </c>
      <c r="Y17" s="9"/>
      <c r="Z17" s="7">
        <v>0</v>
      </c>
      <c r="AA17" s="8">
        <f>IFERROR(Z17/Z444, "NA")</f>
        <v>0</v>
      </c>
      <c r="AB17" s="9"/>
      <c r="AC17" s="10">
        <f t="shared" si="3"/>
        <v>0</v>
      </c>
      <c r="AD17" s="8">
        <f>IFERROR(AC17/AC444, "NA")</f>
        <v>0</v>
      </c>
    </row>
    <row r="18" spans="1:30" ht="16.5" customHeight="1" x14ac:dyDescent="0.45">
      <c r="A18" s="13" t="s">
        <v>20</v>
      </c>
      <c r="B18" s="14">
        <f>IFERROR(B10+B11+B12+B13+B14+B15+B16+B17, "NA")</f>
        <v>41395.06</v>
      </c>
      <c r="C18" s="15">
        <f>IFERROR(B18/B444, "NA")</f>
        <v>0.56979139567374859</v>
      </c>
      <c r="D18" s="2"/>
      <c r="E18" s="14">
        <f>IFERROR(E10+E11+E12+E13+E14+E15+E16+E17, "NA")</f>
        <v>41761.269999999997</v>
      </c>
      <c r="F18" s="15">
        <f>IFERROR(E18/E444, "NA")</f>
        <v>0.55200010680137024</v>
      </c>
      <c r="G18" s="2"/>
      <c r="H18" s="14">
        <f t="shared" si="0"/>
        <v>-366.20999999999913</v>
      </c>
      <c r="I18" s="15">
        <f>IFERROR(H18/H444, "NA")</f>
        <v>0.12186851072892763</v>
      </c>
      <c r="J18" s="2"/>
      <c r="K18" s="14">
        <f>IFERROR(K10+K11+K12+K13+K14+K15+K16+K17, "NA")</f>
        <v>38267.050000000003</v>
      </c>
      <c r="L18" s="15">
        <f>IFERROR(K18/K444, "NA")</f>
        <v>0.52478141107553788</v>
      </c>
      <c r="M18" s="2"/>
      <c r="N18" s="14">
        <f t="shared" si="1"/>
        <v>3128.0099999999948</v>
      </c>
      <c r="O18" s="15">
        <f>IFERROR(N18/N444, "NA")</f>
        <v>-11.564662821650554</v>
      </c>
      <c r="P18" s="2"/>
      <c r="Q18" s="14">
        <f>IFERROR(Q10+Q11+Q12+Q13+Q14+Q15+Q16+Q17, "NA")</f>
        <v>41395.06</v>
      </c>
      <c r="R18" s="15">
        <f>IFERROR(Q18/Q444, "NA")</f>
        <v>0.56979139567374859</v>
      </c>
      <c r="S18" s="2"/>
      <c r="T18" s="14">
        <f>IFERROR(T10+T11+T12+T13+T14+T15+T16+T17, "NA")</f>
        <v>41761.269999999997</v>
      </c>
      <c r="U18" s="15">
        <f>IFERROR(T18/T444, "NA")</f>
        <v>0.55200010680137024</v>
      </c>
      <c r="V18" s="2"/>
      <c r="W18" s="14">
        <f t="shared" si="2"/>
        <v>-366.20999999999913</v>
      </c>
      <c r="X18" s="15">
        <f>IFERROR(W18/W444, "NA")</f>
        <v>0.12186851072892763</v>
      </c>
      <c r="Y18" s="2"/>
      <c r="Z18" s="14">
        <f>IFERROR(Z10+Z11+Z12+Z13+Z14+Z15+Z16+Z17, "NA")</f>
        <v>38267.050000000003</v>
      </c>
      <c r="AA18" s="15">
        <f>IFERROR(Z18/Z444, "NA")</f>
        <v>0.52478141107553788</v>
      </c>
      <c r="AB18" s="2"/>
      <c r="AC18" s="14">
        <f t="shared" si="3"/>
        <v>3128.0099999999948</v>
      </c>
      <c r="AD18" s="15">
        <f>IFERROR(AC18/AC444, "NA")</f>
        <v>-11.564662821650554</v>
      </c>
    </row>
    <row r="19" spans="1:30" ht="16.5" hidden="1" customHeight="1" x14ac:dyDescent="0.45">
      <c r="A19" s="6" t="s">
        <v>21</v>
      </c>
      <c r="B19" s="7">
        <v>0</v>
      </c>
      <c r="C19" s="8">
        <f>IFERROR(B19/B444, "NA")</f>
        <v>0</v>
      </c>
      <c r="D19" s="9"/>
      <c r="E19" s="7">
        <v>0</v>
      </c>
      <c r="F19" s="8">
        <f>IFERROR(E19/E444, "NA")</f>
        <v>0</v>
      </c>
      <c r="G19" s="9"/>
      <c r="H19" s="10">
        <f t="shared" si="0"/>
        <v>0</v>
      </c>
      <c r="I19" s="8">
        <f>IFERROR(H19/H444, "NA")</f>
        <v>0</v>
      </c>
      <c r="J19" s="9"/>
      <c r="K19" s="7">
        <v>0</v>
      </c>
      <c r="L19" s="8">
        <f>IFERROR(K19/K444, "NA")</f>
        <v>0</v>
      </c>
      <c r="M19" s="9"/>
      <c r="N19" s="10">
        <f t="shared" si="1"/>
        <v>0</v>
      </c>
      <c r="O19" s="8">
        <f>IFERROR(N19/N444, "NA")</f>
        <v>0</v>
      </c>
      <c r="P19" s="9"/>
      <c r="Q19" s="7">
        <v>0</v>
      </c>
      <c r="R19" s="8">
        <f>IFERROR(Q19/Q444, "NA")</f>
        <v>0</v>
      </c>
      <c r="S19" s="9"/>
      <c r="T19" s="7">
        <v>0</v>
      </c>
      <c r="U19" s="8">
        <f>IFERROR(T19/T444, "NA")</f>
        <v>0</v>
      </c>
      <c r="V19" s="9"/>
      <c r="W19" s="10">
        <f t="shared" si="2"/>
        <v>0</v>
      </c>
      <c r="X19" s="8">
        <f>IFERROR(W19/W444, "NA")</f>
        <v>0</v>
      </c>
      <c r="Y19" s="9"/>
      <c r="Z19" s="7">
        <v>0</v>
      </c>
      <c r="AA19" s="8">
        <f>IFERROR(Z19/Z444, "NA")</f>
        <v>0</v>
      </c>
      <c r="AB19" s="9"/>
      <c r="AC19" s="10">
        <f t="shared" si="3"/>
        <v>0</v>
      </c>
      <c r="AD19" s="8">
        <f>IFERROR(AC19/AC444, "NA")</f>
        <v>0</v>
      </c>
    </row>
    <row r="20" spans="1:30" ht="16.5" customHeight="1" x14ac:dyDescent="0.45">
      <c r="A20" s="11" t="s">
        <v>22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45">
      <c r="A21" s="12" t="s">
        <v>22</v>
      </c>
      <c r="B21" s="7">
        <v>0</v>
      </c>
      <c r="C21" s="8">
        <f>IFERROR(B21/B444, "NA")</f>
        <v>0</v>
      </c>
      <c r="D21" s="9"/>
      <c r="E21" s="7">
        <v>6960.21</v>
      </c>
      <c r="F21" s="8">
        <f>IFERROR(E21/E444, "NA")</f>
        <v>9.1999995770242746E-2</v>
      </c>
      <c r="G21" s="9"/>
      <c r="H21" s="10">
        <f t="shared" ref="H21:H29" si="4">IFERROR(B21-E21, "NA")</f>
        <v>-6960.21</v>
      </c>
      <c r="I21" s="8">
        <f>IFERROR(H21/H444, "NA")</f>
        <v>2.316240482402423</v>
      </c>
      <c r="J21" s="9"/>
      <c r="K21" s="7">
        <v>0</v>
      </c>
      <c r="L21" s="8">
        <f>IFERROR(K21/K444, "NA")</f>
        <v>0</v>
      </c>
      <c r="M21" s="9"/>
      <c r="N21" s="10">
        <f t="shared" ref="N21:N29" si="5">IFERROR(B21-K21, "NA")</f>
        <v>0</v>
      </c>
      <c r="O21" s="8">
        <f>IFERROR(N21/N444, "NA")</f>
        <v>0</v>
      </c>
      <c r="P21" s="9"/>
      <c r="Q21" s="7">
        <v>0</v>
      </c>
      <c r="R21" s="8">
        <f>IFERROR(Q21/Q444, "NA")</f>
        <v>0</v>
      </c>
      <c r="S21" s="9"/>
      <c r="T21" s="7">
        <v>6960.21</v>
      </c>
      <c r="U21" s="8">
        <f>IFERROR(T21/T444, "NA")</f>
        <v>9.1999995770242746E-2</v>
      </c>
      <c r="V21" s="9"/>
      <c r="W21" s="10">
        <f t="shared" ref="W21:W29" si="6">IFERROR(Q21-T21, "NA")</f>
        <v>-6960.21</v>
      </c>
      <c r="X21" s="8">
        <f>IFERROR(W21/W444, "NA")</f>
        <v>2.316240482402423</v>
      </c>
      <c r="Y21" s="9"/>
      <c r="Z21" s="7">
        <v>0</v>
      </c>
      <c r="AA21" s="8">
        <f>IFERROR(Z21/Z444, "NA")</f>
        <v>0</v>
      </c>
      <c r="AB21" s="9"/>
      <c r="AC21" s="10">
        <f t="shared" ref="AC21:AC29" si="7">IFERROR(Q21-Z21, "NA")</f>
        <v>0</v>
      </c>
      <c r="AD21" s="8">
        <f>IFERROR(AC21/AC444, "NA")</f>
        <v>0</v>
      </c>
    </row>
    <row r="22" spans="1:30" ht="16.5" customHeight="1" x14ac:dyDescent="0.45">
      <c r="A22" s="12" t="s">
        <v>23</v>
      </c>
      <c r="B22" s="7">
        <v>2778.59</v>
      </c>
      <c r="C22" s="8">
        <f>IFERROR(B22/B444, "NA")</f>
        <v>3.8246512364159428E-2</v>
      </c>
      <c r="D22" s="9"/>
      <c r="E22" s="7">
        <v>0</v>
      </c>
      <c r="F22" s="8">
        <f>IFERROR(E22/E444, "NA")</f>
        <v>0</v>
      </c>
      <c r="G22" s="9"/>
      <c r="H22" s="10">
        <f t="shared" si="4"/>
        <v>2778.59</v>
      </c>
      <c r="I22" s="8">
        <f>IFERROR(H22/H444, "NA")</f>
        <v>-0.92466788243437326</v>
      </c>
      <c r="J22" s="9"/>
      <c r="K22" s="7">
        <v>5276.05</v>
      </c>
      <c r="L22" s="8">
        <f>IFERROR(K22/K444, "NA")</f>
        <v>7.2353969378488592E-2</v>
      </c>
      <c r="M22" s="9"/>
      <c r="N22" s="10">
        <f t="shared" si="5"/>
        <v>-2497.46</v>
      </c>
      <c r="O22" s="8">
        <f>IFERROR(N22/N444, "NA")</f>
        <v>9.2334368530022104</v>
      </c>
      <c r="P22" s="9"/>
      <c r="Q22" s="7">
        <v>2778.59</v>
      </c>
      <c r="R22" s="8">
        <f>IFERROR(Q22/Q444, "NA")</f>
        <v>3.8246512364159428E-2</v>
      </c>
      <c r="S22" s="9"/>
      <c r="T22" s="7">
        <v>0</v>
      </c>
      <c r="U22" s="8">
        <f>IFERROR(T22/T444, "NA")</f>
        <v>0</v>
      </c>
      <c r="V22" s="9"/>
      <c r="W22" s="10">
        <f t="shared" si="6"/>
        <v>2778.59</v>
      </c>
      <c r="X22" s="8">
        <f>IFERROR(W22/W444, "NA")</f>
        <v>-0.92466788243437326</v>
      </c>
      <c r="Y22" s="9"/>
      <c r="Z22" s="7">
        <v>5276.05</v>
      </c>
      <c r="AA22" s="8">
        <f>IFERROR(Z22/Z444, "NA")</f>
        <v>7.2353969378488592E-2</v>
      </c>
      <c r="AB22" s="9"/>
      <c r="AC22" s="10">
        <f t="shared" si="7"/>
        <v>-2497.46</v>
      </c>
      <c r="AD22" s="8">
        <f>IFERROR(AC22/AC444, "NA")</f>
        <v>9.2334368530022104</v>
      </c>
    </row>
    <row r="23" spans="1:30" ht="16.5" customHeight="1" x14ac:dyDescent="0.45">
      <c r="A23" s="12" t="s">
        <v>24</v>
      </c>
      <c r="B23" s="7">
        <v>2776.4</v>
      </c>
      <c r="C23" s="8">
        <f>IFERROR(B23/B444, "NA")</f>
        <v>3.8216367628132332E-2</v>
      </c>
      <c r="D23" s="9"/>
      <c r="E23" s="7">
        <v>0</v>
      </c>
      <c r="F23" s="8">
        <f>IFERROR(E23/E444, "NA")</f>
        <v>0</v>
      </c>
      <c r="G23" s="9"/>
      <c r="H23" s="10">
        <f t="shared" si="4"/>
        <v>2776.4</v>
      </c>
      <c r="I23" s="8">
        <f>IFERROR(H23/H444, "NA")</f>
        <v>-0.9239390873755372</v>
      </c>
      <c r="J23" s="9"/>
      <c r="K23" s="7">
        <v>0</v>
      </c>
      <c r="L23" s="8">
        <f>IFERROR(K23/K444, "NA")</f>
        <v>0</v>
      </c>
      <c r="M23" s="9"/>
      <c r="N23" s="10">
        <f t="shared" si="5"/>
        <v>2776.4</v>
      </c>
      <c r="O23" s="8">
        <f>IFERROR(N23/N444, "NA")</f>
        <v>-10.264714581484922</v>
      </c>
      <c r="P23" s="9"/>
      <c r="Q23" s="7">
        <v>2776.4</v>
      </c>
      <c r="R23" s="8">
        <f>IFERROR(Q23/Q444, "NA")</f>
        <v>3.8216367628132332E-2</v>
      </c>
      <c r="S23" s="9"/>
      <c r="T23" s="7">
        <v>0</v>
      </c>
      <c r="U23" s="8">
        <f>IFERROR(T23/T444, "NA")</f>
        <v>0</v>
      </c>
      <c r="V23" s="9"/>
      <c r="W23" s="10">
        <f t="shared" si="6"/>
        <v>2776.4</v>
      </c>
      <c r="X23" s="8">
        <f>IFERROR(W23/W444, "NA")</f>
        <v>-0.9239390873755372</v>
      </c>
      <c r="Y23" s="9"/>
      <c r="Z23" s="7">
        <v>0</v>
      </c>
      <c r="AA23" s="8">
        <f>IFERROR(Z23/Z444, "NA")</f>
        <v>0</v>
      </c>
      <c r="AB23" s="9"/>
      <c r="AC23" s="10">
        <f t="shared" si="7"/>
        <v>2776.4</v>
      </c>
      <c r="AD23" s="8">
        <f>IFERROR(AC23/AC444, "NA")</f>
        <v>-10.264714581484922</v>
      </c>
    </row>
    <row r="24" spans="1:30" ht="16.5" customHeight="1" x14ac:dyDescent="0.45">
      <c r="A24" s="12" t="s">
        <v>25</v>
      </c>
      <c r="B24" s="7">
        <v>662.98</v>
      </c>
      <c r="C24" s="8">
        <f>IFERROR(B24/B444, "NA")</f>
        <v>9.1257338316161844E-3</v>
      </c>
      <c r="D24" s="9"/>
      <c r="E24" s="7">
        <v>0</v>
      </c>
      <c r="F24" s="8">
        <f>IFERROR(E24/E444, "NA")</f>
        <v>0</v>
      </c>
      <c r="G24" s="9"/>
      <c r="H24" s="10">
        <f t="shared" si="4"/>
        <v>662.98</v>
      </c>
      <c r="I24" s="8">
        <f>IFERROR(H24/H444, "NA")</f>
        <v>-0.22062856077951074</v>
      </c>
      <c r="J24" s="9"/>
      <c r="K24" s="7">
        <v>645.64</v>
      </c>
      <c r="L24" s="8">
        <f>IFERROR(K24/K444, "NA")</f>
        <v>8.8540890987627817E-3</v>
      </c>
      <c r="M24" s="9"/>
      <c r="N24" s="10">
        <f t="shared" si="5"/>
        <v>17.340000000000032</v>
      </c>
      <c r="O24" s="8">
        <f>IFERROR(N24/N444, "NA")</f>
        <v>-6.4108251996451843E-2</v>
      </c>
      <c r="P24" s="9"/>
      <c r="Q24" s="7">
        <v>662.98</v>
      </c>
      <c r="R24" s="8">
        <f>IFERROR(Q24/Q444, "NA")</f>
        <v>9.1257338316161844E-3</v>
      </c>
      <c r="S24" s="9"/>
      <c r="T24" s="7">
        <v>0</v>
      </c>
      <c r="U24" s="8">
        <f>IFERROR(T24/T444, "NA")</f>
        <v>0</v>
      </c>
      <c r="V24" s="9"/>
      <c r="W24" s="10">
        <f t="shared" si="6"/>
        <v>662.98</v>
      </c>
      <c r="X24" s="8">
        <f>IFERROR(W24/W444, "NA")</f>
        <v>-0.22062856077951074</v>
      </c>
      <c r="Y24" s="9"/>
      <c r="Z24" s="7">
        <v>645.64</v>
      </c>
      <c r="AA24" s="8">
        <f>IFERROR(Z24/Z444, "NA")</f>
        <v>8.8540890987627817E-3</v>
      </c>
      <c r="AB24" s="9"/>
      <c r="AC24" s="10">
        <f t="shared" si="7"/>
        <v>17.340000000000032</v>
      </c>
      <c r="AD24" s="8">
        <f>IFERROR(AC24/AC444, "NA")</f>
        <v>-6.4108251996451843E-2</v>
      </c>
    </row>
    <row r="25" spans="1:30" ht="16.5" customHeight="1" x14ac:dyDescent="0.45">
      <c r="A25" s="12" t="s">
        <v>26</v>
      </c>
      <c r="B25" s="7">
        <v>75.81</v>
      </c>
      <c r="C25" s="8">
        <f>IFERROR(B25/B444, "NA")</f>
        <v>1.043503396444573E-3</v>
      </c>
      <c r="D25" s="9"/>
      <c r="E25" s="7">
        <v>0</v>
      </c>
      <c r="F25" s="8">
        <f>IFERROR(E25/E444, "NA")</f>
        <v>0</v>
      </c>
      <c r="G25" s="9"/>
      <c r="H25" s="10">
        <f t="shared" si="4"/>
        <v>75.81</v>
      </c>
      <c r="I25" s="8">
        <f>IFERROR(H25/H444, "NA")</f>
        <v>-2.5228289228475535E-2</v>
      </c>
      <c r="J25" s="9"/>
      <c r="K25" s="7">
        <v>0</v>
      </c>
      <c r="L25" s="8">
        <f>IFERROR(K25/K444, "NA")</f>
        <v>0</v>
      </c>
      <c r="M25" s="9"/>
      <c r="N25" s="10">
        <f t="shared" si="5"/>
        <v>75.81</v>
      </c>
      <c r="O25" s="8">
        <f>IFERROR(N25/N444, "NA")</f>
        <v>-0.2802795031055943</v>
      </c>
      <c r="P25" s="9"/>
      <c r="Q25" s="7">
        <v>75.81</v>
      </c>
      <c r="R25" s="8">
        <f>IFERROR(Q25/Q444, "NA")</f>
        <v>1.043503396444573E-3</v>
      </c>
      <c r="S25" s="9"/>
      <c r="T25" s="7">
        <v>0</v>
      </c>
      <c r="U25" s="8">
        <f>IFERROR(T25/T444, "NA")</f>
        <v>0</v>
      </c>
      <c r="V25" s="9"/>
      <c r="W25" s="10">
        <f t="shared" si="6"/>
        <v>75.81</v>
      </c>
      <c r="X25" s="8">
        <f>IFERROR(W25/W444, "NA")</f>
        <v>-2.5228289228475535E-2</v>
      </c>
      <c r="Y25" s="9"/>
      <c r="Z25" s="7">
        <v>0</v>
      </c>
      <c r="AA25" s="8">
        <f>IFERROR(Z25/Z444, "NA")</f>
        <v>0</v>
      </c>
      <c r="AB25" s="9"/>
      <c r="AC25" s="10">
        <f t="shared" si="7"/>
        <v>75.81</v>
      </c>
      <c r="AD25" s="8">
        <f>IFERROR(AC25/AC444, "NA")</f>
        <v>-0.2802795031055943</v>
      </c>
    </row>
    <row r="26" spans="1:30" ht="16.5" customHeight="1" x14ac:dyDescent="0.45">
      <c r="A26" s="12" t="s">
        <v>27</v>
      </c>
      <c r="B26" s="7">
        <v>352.23</v>
      </c>
      <c r="C26" s="8">
        <f>IFERROR(B26/B444, "NA")</f>
        <v>4.8483472012883777E-3</v>
      </c>
      <c r="D26" s="9"/>
      <c r="E26" s="7">
        <v>0</v>
      </c>
      <c r="F26" s="8">
        <f>IFERROR(E26/E444, "NA")</f>
        <v>0</v>
      </c>
      <c r="G26" s="9"/>
      <c r="H26" s="10">
        <f t="shared" si="4"/>
        <v>352.23</v>
      </c>
      <c r="I26" s="8">
        <f>IFERROR(H26/H444, "NA")</f>
        <v>-0.11721620254512514</v>
      </c>
      <c r="J26" s="9"/>
      <c r="K26" s="7">
        <v>0</v>
      </c>
      <c r="L26" s="8">
        <f>IFERROR(K26/K444, "NA")</f>
        <v>0</v>
      </c>
      <c r="M26" s="9"/>
      <c r="N26" s="10">
        <f t="shared" si="5"/>
        <v>352.23</v>
      </c>
      <c r="O26" s="8">
        <f>IFERROR(N26/N444, "NA")</f>
        <v>-1.3022404614019718</v>
      </c>
      <c r="P26" s="9"/>
      <c r="Q26" s="7">
        <v>352.23</v>
      </c>
      <c r="R26" s="8">
        <f>IFERROR(Q26/Q444, "NA")</f>
        <v>4.8483472012883777E-3</v>
      </c>
      <c r="S26" s="9"/>
      <c r="T26" s="7">
        <v>0</v>
      </c>
      <c r="U26" s="8">
        <f>IFERROR(T26/T444, "NA")</f>
        <v>0</v>
      </c>
      <c r="V26" s="9"/>
      <c r="W26" s="10">
        <f t="shared" si="6"/>
        <v>352.23</v>
      </c>
      <c r="X26" s="8">
        <f>IFERROR(W26/W444, "NA")</f>
        <v>-0.11721620254512514</v>
      </c>
      <c r="Y26" s="9"/>
      <c r="Z26" s="7">
        <v>0</v>
      </c>
      <c r="AA26" s="8">
        <f>IFERROR(Z26/Z444, "NA")</f>
        <v>0</v>
      </c>
      <c r="AB26" s="9"/>
      <c r="AC26" s="10">
        <f t="shared" si="7"/>
        <v>352.23</v>
      </c>
      <c r="AD26" s="8">
        <f>IFERROR(AC26/AC444, "NA")</f>
        <v>-1.3022404614019718</v>
      </c>
    </row>
    <row r="27" spans="1:30" ht="16.5" hidden="1" customHeight="1" x14ac:dyDescent="0.45">
      <c r="A27" s="12" t="s">
        <v>28</v>
      </c>
      <c r="B27" s="7">
        <v>0</v>
      </c>
      <c r="C27" s="8">
        <f>IFERROR(B27/B444, "NA")</f>
        <v>0</v>
      </c>
      <c r="D27" s="9"/>
      <c r="E27" s="7">
        <v>0</v>
      </c>
      <c r="F27" s="8">
        <f>IFERROR(E27/E444, "NA")</f>
        <v>0</v>
      </c>
      <c r="G27" s="9"/>
      <c r="H27" s="10">
        <f t="shared" si="4"/>
        <v>0</v>
      </c>
      <c r="I27" s="8">
        <f>IFERROR(H27/H444, "NA")</f>
        <v>0</v>
      </c>
      <c r="J27" s="9"/>
      <c r="K27" s="7">
        <v>0</v>
      </c>
      <c r="L27" s="8">
        <f>IFERROR(K27/K444, "NA")</f>
        <v>0</v>
      </c>
      <c r="M27" s="9"/>
      <c r="N27" s="10">
        <f t="shared" si="5"/>
        <v>0</v>
      </c>
      <c r="O27" s="8">
        <f>IFERROR(N27/N444, "NA")</f>
        <v>0</v>
      </c>
      <c r="P27" s="9"/>
      <c r="Q27" s="7">
        <v>0</v>
      </c>
      <c r="R27" s="8">
        <f>IFERROR(Q27/Q444, "NA")</f>
        <v>0</v>
      </c>
      <c r="S27" s="9"/>
      <c r="T27" s="7">
        <v>0</v>
      </c>
      <c r="U27" s="8">
        <f>IFERROR(T27/T444, "NA")</f>
        <v>0</v>
      </c>
      <c r="V27" s="9"/>
      <c r="W27" s="10">
        <f t="shared" si="6"/>
        <v>0</v>
      </c>
      <c r="X27" s="8">
        <f>IFERROR(W27/W444, "NA")</f>
        <v>0</v>
      </c>
      <c r="Y27" s="9"/>
      <c r="Z27" s="7">
        <v>0</v>
      </c>
      <c r="AA27" s="8">
        <f>IFERROR(Z27/Z444, "NA")</f>
        <v>0</v>
      </c>
      <c r="AB27" s="9"/>
      <c r="AC27" s="10">
        <f t="shared" si="7"/>
        <v>0</v>
      </c>
      <c r="AD27" s="8">
        <f>IFERROR(AC27/AC444, "NA")</f>
        <v>0</v>
      </c>
    </row>
    <row r="28" spans="1:30" ht="16.5" customHeight="1" x14ac:dyDescent="0.45">
      <c r="A28" s="12" t="s">
        <v>29</v>
      </c>
      <c r="B28" s="7">
        <v>838.6</v>
      </c>
      <c r="C28" s="8">
        <f>IFERROR(B28/B444, "NA")</f>
        <v>1.1543093896035073E-2</v>
      </c>
      <c r="D28" s="9"/>
      <c r="E28" s="7">
        <v>0</v>
      </c>
      <c r="F28" s="8">
        <f>IFERROR(E28/E444, "NA")</f>
        <v>0</v>
      </c>
      <c r="G28" s="9"/>
      <c r="H28" s="10">
        <f t="shared" si="4"/>
        <v>838.6</v>
      </c>
      <c r="I28" s="8">
        <f>IFERROR(H28/H444, "NA")</f>
        <v>-0.27907193440178846</v>
      </c>
      <c r="J28" s="9"/>
      <c r="K28" s="7">
        <v>880.53</v>
      </c>
      <c r="L28" s="8">
        <f>IFERROR(K28/K444, "NA")</f>
        <v>1.2075291298763384E-2</v>
      </c>
      <c r="M28" s="9"/>
      <c r="N28" s="10">
        <f t="shared" si="5"/>
        <v>-41.92999999999995</v>
      </c>
      <c r="O28" s="8">
        <f>IFERROR(N28/N444, "NA")</f>
        <v>0.15502070393374956</v>
      </c>
      <c r="P28" s="9"/>
      <c r="Q28" s="7">
        <v>838.6</v>
      </c>
      <c r="R28" s="8">
        <f>IFERROR(Q28/Q444, "NA")</f>
        <v>1.1543093896035073E-2</v>
      </c>
      <c r="S28" s="9"/>
      <c r="T28" s="7">
        <v>0</v>
      </c>
      <c r="U28" s="8">
        <f>IFERROR(T28/T444, "NA")</f>
        <v>0</v>
      </c>
      <c r="V28" s="9"/>
      <c r="W28" s="10">
        <f t="shared" si="6"/>
        <v>838.6</v>
      </c>
      <c r="X28" s="8">
        <f>IFERROR(W28/W444, "NA")</f>
        <v>-0.27907193440178846</v>
      </c>
      <c r="Y28" s="9"/>
      <c r="Z28" s="7">
        <v>880.53</v>
      </c>
      <c r="AA28" s="8">
        <f>IFERROR(Z28/Z444, "NA")</f>
        <v>1.2075291298763384E-2</v>
      </c>
      <c r="AB28" s="9"/>
      <c r="AC28" s="10">
        <f t="shared" si="7"/>
        <v>-41.92999999999995</v>
      </c>
      <c r="AD28" s="8">
        <f>IFERROR(AC28/AC444, "NA")</f>
        <v>0.15502070393374956</v>
      </c>
    </row>
    <row r="29" spans="1:30" ht="16.5" customHeight="1" x14ac:dyDescent="0.45">
      <c r="A29" s="13" t="s">
        <v>30</v>
      </c>
      <c r="B29" s="14">
        <f>IFERROR(B21+B22+B23+B24+B25+B26+B27+B28, "NA")</f>
        <v>7484.6100000000006</v>
      </c>
      <c r="C29" s="15">
        <f>IFERROR(B29/B444, "NA")</f>
        <v>0.10302355831767597</v>
      </c>
      <c r="D29" s="2"/>
      <c r="E29" s="14">
        <f>IFERROR(E21+E22+E23+E24+E25+E26+E27+E28, "NA")</f>
        <v>6960.21</v>
      </c>
      <c r="F29" s="15">
        <f>IFERROR(E29/E444, "NA")</f>
        <v>9.1999995770242746E-2</v>
      </c>
      <c r="G29" s="2"/>
      <c r="H29" s="14">
        <f t="shared" si="4"/>
        <v>524.40000000000055</v>
      </c>
      <c r="I29" s="15">
        <f>IFERROR(H29/H444, "NA")</f>
        <v>-0.17451147436238734</v>
      </c>
      <c r="J29" s="2"/>
      <c r="K29" s="14">
        <f>IFERROR(K21+K22+K23+K24+K25+K26+K27+K28, "NA")</f>
        <v>6802.22</v>
      </c>
      <c r="L29" s="15">
        <f>IFERROR(K29/K444, "NA")</f>
        <v>9.3283349776014754E-2</v>
      </c>
      <c r="M29" s="2"/>
      <c r="N29" s="14">
        <f t="shared" si="5"/>
        <v>682.39000000000033</v>
      </c>
      <c r="O29" s="15">
        <f>IFERROR(N29/N444, "NA")</f>
        <v>-2.5228852410529821</v>
      </c>
      <c r="P29" s="2"/>
      <c r="Q29" s="14">
        <f>IFERROR(Q21+Q22+Q23+Q24+Q25+Q26+Q27+Q28, "NA")</f>
        <v>7484.6100000000006</v>
      </c>
      <c r="R29" s="15">
        <f>IFERROR(Q29/Q444, "NA")</f>
        <v>0.10302355831767597</v>
      </c>
      <c r="S29" s="2"/>
      <c r="T29" s="14">
        <f>IFERROR(T21+T22+T23+T24+T25+T26+T27+T28, "NA")</f>
        <v>6960.21</v>
      </c>
      <c r="U29" s="15">
        <f>IFERROR(T29/T444, "NA")</f>
        <v>9.1999995770242746E-2</v>
      </c>
      <c r="V29" s="2"/>
      <c r="W29" s="14">
        <f t="shared" si="6"/>
        <v>524.40000000000055</v>
      </c>
      <c r="X29" s="15">
        <f>IFERROR(W29/W444, "NA")</f>
        <v>-0.17451147436238734</v>
      </c>
      <c r="Y29" s="2"/>
      <c r="Z29" s="14">
        <f>IFERROR(Z21+Z22+Z23+Z24+Z25+Z26+Z27+Z28, "NA")</f>
        <v>6802.22</v>
      </c>
      <c r="AA29" s="15">
        <f>IFERROR(Z29/Z444, "NA")</f>
        <v>9.3283349776014754E-2</v>
      </c>
      <c r="AB29" s="2"/>
      <c r="AC29" s="14">
        <f t="shared" si="7"/>
        <v>682.39000000000033</v>
      </c>
      <c r="AD29" s="15">
        <f>IFERROR(AC29/AC444, "NA")</f>
        <v>-2.5228852410529821</v>
      </c>
    </row>
    <row r="30" spans="1:30" ht="16.5" customHeight="1" x14ac:dyDescent="0.45">
      <c r="A30" s="11" t="s">
        <v>31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45">
      <c r="A31" s="12" t="s">
        <v>31</v>
      </c>
      <c r="B31" s="7">
        <v>0</v>
      </c>
      <c r="C31" s="8">
        <f>IFERROR(B31/B444, "NA")</f>
        <v>0</v>
      </c>
      <c r="D31" s="9"/>
      <c r="E31" s="7">
        <v>13088.22</v>
      </c>
      <c r="F31" s="8">
        <f>IFERROR(E31/E444, "NA")</f>
        <v>0.1729999791155736</v>
      </c>
      <c r="G31" s="9"/>
      <c r="H31" s="10">
        <f t="shared" ref="H31:H40" si="8">IFERROR(B31-E31, "NA")</f>
        <v>-13088.22</v>
      </c>
      <c r="I31" s="8">
        <f>IFERROR(H31/H444, "NA")</f>
        <v>4.3555388424471442</v>
      </c>
      <c r="J31" s="9"/>
      <c r="K31" s="7">
        <v>0</v>
      </c>
      <c r="L31" s="8">
        <f>IFERROR(K31/K444, "NA")</f>
        <v>0</v>
      </c>
      <c r="M31" s="9"/>
      <c r="N31" s="10">
        <f t="shared" ref="N31:N40" si="9">IFERROR(B31-K31, "NA")</f>
        <v>0</v>
      </c>
      <c r="O31" s="8">
        <f>IFERROR(N31/N444, "NA")</f>
        <v>0</v>
      </c>
      <c r="P31" s="9"/>
      <c r="Q31" s="7">
        <v>0</v>
      </c>
      <c r="R31" s="8">
        <f>IFERROR(Q31/Q444, "NA")</f>
        <v>0</v>
      </c>
      <c r="S31" s="9"/>
      <c r="T31" s="7">
        <v>13088.22</v>
      </c>
      <c r="U31" s="8">
        <f>IFERROR(T31/T444, "NA")</f>
        <v>0.1729999791155736</v>
      </c>
      <c r="V31" s="9"/>
      <c r="W31" s="10">
        <f t="shared" ref="W31:W40" si="10">IFERROR(Q31-T31, "NA")</f>
        <v>-13088.22</v>
      </c>
      <c r="X31" s="8">
        <f>IFERROR(W31/W444, "NA")</f>
        <v>4.3555388424471442</v>
      </c>
      <c r="Y31" s="9"/>
      <c r="Z31" s="7">
        <v>0</v>
      </c>
      <c r="AA31" s="8">
        <f>IFERROR(Z31/Z444, "NA")</f>
        <v>0</v>
      </c>
      <c r="AB31" s="9"/>
      <c r="AC31" s="10">
        <f t="shared" ref="AC31:AC40" si="11">IFERROR(Q31-Z31, "NA")</f>
        <v>0</v>
      </c>
      <c r="AD31" s="8">
        <f>IFERROR(AC31/AC444, "NA")</f>
        <v>0</v>
      </c>
    </row>
    <row r="32" spans="1:30" ht="16.5" hidden="1" customHeight="1" x14ac:dyDescent="0.45">
      <c r="A32" s="12" t="s">
        <v>32</v>
      </c>
      <c r="B32" s="7">
        <v>0</v>
      </c>
      <c r="C32" s="8">
        <f>IFERROR(B32/B444, "NA")</f>
        <v>0</v>
      </c>
      <c r="D32" s="9"/>
      <c r="E32" s="7">
        <v>0</v>
      </c>
      <c r="F32" s="8">
        <f>IFERROR(E32/E444, "NA")</f>
        <v>0</v>
      </c>
      <c r="G32" s="9"/>
      <c r="H32" s="10">
        <f t="shared" si="8"/>
        <v>0</v>
      </c>
      <c r="I32" s="8">
        <f>IFERROR(H32/H444, "NA")</f>
        <v>0</v>
      </c>
      <c r="J32" s="9"/>
      <c r="K32" s="7">
        <v>0</v>
      </c>
      <c r="L32" s="8">
        <f>IFERROR(K32/K444, "NA")</f>
        <v>0</v>
      </c>
      <c r="M32" s="9"/>
      <c r="N32" s="10">
        <f t="shared" si="9"/>
        <v>0</v>
      </c>
      <c r="O32" s="8">
        <f>IFERROR(N32/N444, "NA")</f>
        <v>0</v>
      </c>
      <c r="P32" s="9"/>
      <c r="Q32" s="7">
        <v>0</v>
      </c>
      <c r="R32" s="8">
        <f>IFERROR(Q32/Q444, "NA")</f>
        <v>0</v>
      </c>
      <c r="S32" s="9"/>
      <c r="T32" s="7">
        <v>0</v>
      </c>
      <c r="U32" s="8">
        <f>IFERROR(T32/T444, "NA")</f>
        <v>0</v>
      </c>
      <c r="V32" s="9"/>
      <c r="W32" s="10">
        <f t="shared" si="10"/>
        <v>0</v>
      </c>
      <c r="X32" s="8">
        <f>IFERROR(W32/W444, "NA")</f>
        <v>0</v>
      </c>
      <c r="Y32" s="9"/>
      <c r="Z32" s="7">
        <v>0</v>
      </c>
      <c r="AA32" s="8">
        <f>IFERROR(Z32/Z444, "NA")</f>
        <v>0</v>
      </c>
      <c r="AB32" s="9"/>
      <c r="AC32" s="10">
        <f t="shared" si="11"/>
        <v>0</v>
      </c>
      <c r="AD32" s="8">
        <f>IFERROR(AC32/AC444, "NA")</f>
        <v>0</v>
      </c>
    </row>
    <row r="33" spans="1:30" ht="16.5" customHeight="1" x14ac:dyDescent="0.45">
      <c r="A33" s="12" t="s">
        <v>33</v>
      </c>
      <c r="B33" s="7">
        <v>8539.2000000000007</v>
      </c>
      <c r="C33" s="8">
        <f>IFERROR(B33/B444, "NA")</f>
        <v>0.11753969401028226</v>
      </c>
      <c r="D33" s="9"/>
      <c r="E33" s="7">
        <v>0</v>
      </c>
      <c r="F33" s="8">
        <f>IFERROR(E33/E444, "NA")</f>
        <v>0</v>
      </c>
      <c r="G33" s="9"/>
      <c r="H33" s="10">
        <f t="shared" si="8"/>
        <v>8539.2000000000007</v>
      </c>
      <c r="I33" s="8">
        <f>IFERROR(H33/H444, "NA")</f>
        <v>-2.8417017198232197</v>
      </c>
      <c r="J33" s="9"/>
      <c r="K33" s="7">
        <v>8169.92</v>
      </c>
      <c r="L33" s="8">
        <f>IFERROR(K33/K444, "NA")</f>
        <v>0.11203952606679267</v>
      </c>
      <c r="M33" s="9"/>
      <c r="N33" s="10">
        <f t="shared" si="9"/>
        <v>369.28000000000065</v>
      </c>
      <c r="O33" s="8">
        <f>IFERROR(N33/N444, "NA")</f>
        <v>-1.365276545400792</v>
      </c>
      <c r="P33" s="9"/>
      <c r="Q33" s="7">
        <v>8539.2000000000007</v>
      </c>
      <c r="R33" s="8">
        <f>IFERROR(Q33/Q444, "NA")</f>
        <v>0.11753969401028226</v>
      </c>
      <c r="S33" s="9"/>
      <c r="T33" s="7">
        <v>0</v>
      </c>
      <c r="U33" s="8">
        <f>IFERROR(T33/T444, "NA")</f>
        <v>0</v>
      </c>
      <c r="V33" s="9"/>
      <c r="W33" s="10">
        <f t="shared" si="10"/>
        <v>8539.2000000000007</v>
      </c>
      <c r="X33" s="8">
        <f>IFERROR(W33/W444, "NA")</f>
        <v>-2.8417017198232197</v>
      </c>
      <c r="Y33" s="9"/>
      <c r="Z33" s="7">
        <v>8169.92</v>
      </c>
      <c r="AA33" s="8">
        <f>IFERROR(Z33/Z444, "NA")</f>
        <v>0.11203952606679267</v>
      </c>
      <c r="AB33" s="9"/>
      <c r="AC33" s="10">
        <f t="shared" si="11"/>
        <v>369.28000000000065</v>
      </c>
      <c r="AD33" s="8">
        <f>IFERROR(AC33/AC444, "NA")</f>
        <v>-1.365276545400792</v>
      </c>
    </row>
    <row r="34" spans="1:30" ht="16.5" hidden="1" customHeight="1" x14ac:dyDescent="0.45">
      <c r="A34" s="12" t="s">
        <v>34</v>
      </c>
      <c r="B34" s="7">
        <v>0</v>
      </c>
      <c r="C34" s="8">
        <f>IFERROR(B34/B444, "NA")</f>
        <v>0</v>
      </c>
      <c r="D34" s="9"/>
      <c r="E34" s="7">
        <v>0</v>
      </c>
      <c r="F34" s="8">
        <f>IFERROR(E34/E444, "NA")</f>
        <v>0</v>
      </c>
      <c r="G34" s="9"/>
      <c r="H34" s="10">
        <f t="shared" si="8"/>
        <v>0</v>
      </c>
      <c r="I34" s="8">
        <f>IFERROR(H34/H444, "NA")</f>
        <v>0</v>
      </c>
      <c r="J34" s="9"/>
      <c r="K34" s="7">
        <v>0</v>
      </c>
      <c r="L34" s="8">
        <f>IFERROR(K34/K444, "NA")</f>
        <v>0</v>
      </c>
      <c r="M34" s="9"/>
      <c r="N34" s="10">
        <f t="shared" si="9"/>
        <v>0</v>
      </c>
      <c r="O34" s="8">
        <f>IFERROR(N34/N444, "NA")</f>
        <v>0</v>
      </c>
      <c r="P34" s="9"/>
      <c r="Q34" s="7">
        <v>0</v>
      </c>
      <c r="R34" s="8">
        <f>IFERROR(Q34/Q444, "NA")</f>
        <v>0</v>
      </c>
      <c r="S34" s="9"/>
      <c r="T34" s="7">
        <v>0</v>
      </c>
      <c r="U34" s="8">
        <f>IFERROR(T34/T444, "NA")</f>
        <v>0</v>
      </c>
      <c r="V34" s="9"/>
      <c r="W34" s="10">
        <f t="shared" si="10"/>
        <v>0</v>
      </c>
      <c r="X34" s="8">
        <f>IFERROR(W34/W444, "NA")</f>
        <v>0</v>
      </c>
      <c r="Y34" s="9"/>
      <c r="Z34" s="7">
        <v>0</v>
      </c>
      <c r="AA34" s="8">
        <f>IFERROR(Z34/Z444, "NA")</f>
        <v>0</v>
      </c>
      <c r="AB34" s="9"/>
      <c r="AC34" s="10">
        <f t="shared" si="11"/>
        <v>0</v>
      </c>
      <c r="AD34" s="8">
        <f>IFERROR(AC34/AC444, "NA")</f>
        <v>0</v>
      </c>
    </row>
    <row r="35" spans="1:30" ht="16.5" customHeight="1" x14ac:dyDescent="0.45">
      <c r="A35" s="12" t="s">
        <v>35</v>
      </c>
      <c r="B35" s="7">
        <v>627.64</v>
      </c>
      <c r="C35" s="8">
        <f>IFERROR(B35/B444, "NA")</f>
        <v>8.6392886392886396E-3</v>
      </c>
      <c r="D35" s="9"/>
      <c r="E35" s="7">
        <v>0</v>
      </c>
      <c r="F35" s="8">
        <f>IFERROR(E35/E444, "NA")</f>
        <v>0</v>
      </c>
      <c r="G35" s="9"/>
      <c r="H35" s="10">
        <f t="shared" si="8"/>
        <v>627.64</v>
      </c>
      <c r="I35" s="8">
        <f>IFERROR(H35/H444, "NA")</f>
        <v>-0.20886800489856724</v>
      </c>
      <c r="J35" s="9"/>
      <c r="K35" s="7">
        <v>967.85</v>
      </c>
      <c r="L35" s="8">
        <f>IFERROR(K35/K444, "NA")</f>
        <v>1.3272768313979243E-2</v>
      </c>
      <c r="M35" s="9"/>
      <c r="N35" s="10">
        <f t="shared" si="9"/>
        <v>-340.21000000000004</v>
      </c>
      <c r="O35" s="8">
        <f>IFERROR(N35/N444, "NA")</f>
        <v>1.2578009464655617</v>
      </c>
      <c r="P35" s="9"/>
      <c r="Q35" s="7">
        <v>627.64</v>
      </c>
      <c r="R35" s="8">
        <f>IFERROR(Q35/Q444, "NA")</f>
        <v>8.6392886392886396E-3</v>
      </c>
      <c r="S35" s="9"/>
      <c r="T35" s="7">
        <v>0</v>
      </c>
      <c r="U35" s="8">
        <f>IFERROR(T35/T444, "NA")</f>
        <v>0</v>
      </c>
      <c r="V35" s="9"/>
      <c r="W35" s="10">
        <f t="shared" si="10"/>
        <v>627.64</v>
      </c>
      <c r="X35" s="8">
        <f>IFERROR(W35/W444, "NA")</f>
        <v>-0.20886800489856724</v>
      </c>
      <c r="Y35" s="9"/>
      <c r="Z35" s="7">
        <v>967.85</v>
      </c>
      <c r="AA35" s="8">
        <f>IFERROR(Z35/Z444, "NA")</f>
        <v>1.3272768313979243E-2</v>
      </c>
      <c r="AB35" s="9"/>
      <c r="AC35" s="10">
        <f t="shared" si="11"/>
        <v>-340.21000000000004</v>
      </c>
      <c r="AD35" s="8">
        <f>IFERROR(AC35/AC444, "NA")</f>
        <v>1.2578009464655617</v>
      </c>
    </row>
    <row r="36" spans="1:30" ht="16.5" customHeight="1" x14ac:dyDescent="0.45">
      <c r="A36" s="12" t="s">
        <v>36</v>
      </c>
      <c r="B36" s="7">
        <v>3913.69</v>
      </c>
      <c r="C36" s="8">
        <f>IFERROR(B36/B444, "NA")</f>
        <v>5.3870845635551522E-2</v>
      </c>
      <c r="D36" s="9"/>
      <c r="E36" s="7">
        <v>0</v>
      </c>
      <c r="F36" s="8">
        <f>IFERROR(E36/E444, "NA")</f>
        <v>0</v>
      </c>
      <c r="G36" s="9"/>
      <c r="H36" s="10">
        <f t="shared" si="8"/>
        <v>3913.69</v>
      </c>
      <c r="I36" s="8">
        <f>IFERROR(H36/H444, "NA")</f>
        <v>-1.3024100154411347</v>
      </c>
      <c r="J36" s="9"/>
      <c r="K36" s="7">
        <v>6312.56</v>
      </c>
      <c r="L36" s="8">
        <f>IFERROR(K36/K444, "NA")</f>
        <v>8.6568317764212227E-2</v>
      </c>
      <c r="M36" s="9"/>
      <c r="N36" s="10">
        <f t="shared" si="9"/>
        <v>-2398.8700000000003</v>
      </c>
      <c r="O36" s="8">
        <f>IFERROR(N36/N444, "NA")</f>
        <v>8.8689367051169636</v>
      </c>
      <c r="P36" s="9"/>
      <c r="Q36" s="7">
        <v>3913.69</v>
      </c>
      <c r="R36" s="8">
        <f>IFERROR(Q36/Q444, "NA")</f>
        <v>5.3870845635551522E-2</v>
      </c>
      <c r="S36" s="9"/>
      <c r="T36" s="7">
        <v>0</v>
      </c>
      <c r="U36" s="8">
        <f>IFERROR(T36/T444, "NA")</f>
        <v>0</v>
      </c>
      <c r="V36" s="9"/>
      <c r="W36" s="10">
        <f t="shared" si="10"/>
        <v>3913.69</v>
      </c>
      <c r="X36" s="8">
        <f>IFERROR(W36/W444, "NA")</f>
        <v>-1.3024100154411347</v>
      </c>
      <c r="Y36" s="9"/>
      <c r="Z36" s="7">
        <v>6312.56</v>
      </c>
      <c r="AA36" s="8">
        <f>IFERROR(Z36/Z444, "NA")</f>
        <v>8.6568317764212227E-2</v>
      </c>
      <c r="AB36" s="9"/>
      <c r="AC36" s="10">
        <f t="shared" si="11"/>
        <v>-2398.8700000000003</v>
      </c>
      <c r="AD36" s="8">
        <f>IFERROR(AC36/AC444, "NA")</f>
        <v>8.8689367051169636</v>
      </c>
    </row>
    <row r="37" spans="1:30" ht="16.5" customHeight="1" x14ac:dyDescent="0.45">
      <c r="A37" s="12" t="s">
        <v>37</v>
      </c>
      <c r="B37" s="7">
        <v>589.65</v>
      </c>
      <c r="C37" s="8">
        <f>IFERROR(B37/B444, "NA")</f>
        <v>8.1163669398963516E-3</v>
      </c>
      <c r="D37" s="9"/>
      <c r="E37" s="7">
        <v>0</v>
      </c>
      <c r="F37" s="8">
        <f>IFERROR(E37/E444, "NA")</f>
        <v>0</v>
      </c>
      <c r="G37" s="9"/>
      <c r="H37" s="10">
        <f t="shared" si="8"/>
        <v>589.65</v>
      </c>
      <c r="I37" s="8">
        <f>IFERROR(H37/H444, "NA")</f>
        <v>-0.19622557371811894</v>
      </c>
      <c r="J37" s="9"/>
      <c r="K37" s="7">
        <v>0</v>
      </c>
      <c r="L37" s="8">
        <f>IFERROR(K37/K444, "NA")</f>
        <v>0</v>
      </c>
      <c r="M37" s="9"/>
      <c r="N37" s="10">
        <f t="shared" si="9"/>
        <v>589.65</v>
      </c>
      <c r="O37" s="8">
        <f>IFERROR(N37/N444, "NA")</f>
        <v>-2.1800133096717276</v>
      </c>
      <c r="P37" s="9"/>
      <c r="Q37" s="7">
        <v>589.65</v>
      </c>
      <c r="R37" s="8">
        <f>IFERROR(Q37/Q444, "NA")</f>
        <v>8.1163669398963516E-3</v>
      </c>
      <c r="S37" s="9"/>
      <c r="T37" s="7">
        <v>0</v>
      </c>
      <c r="U37" s="8">
        <f>IFERROR(T37/T444, "NA")</f>
        <v>0</v>
      </c>
      <c r="V37" s="9"/>
      <c r="W37" s="10">
        <f t="shared" si="10"/>
        <v>589.65</v>
      </c>
      <c r="X37" s="8">
        <f>IFERROR(W37/W444, "NA")</f>
        <v>-0.19622557371811894</v>
      </c>
      <c r="Y37" s="9"/>
      <c r="Z37" s="7">
        <v>0</v>
      </c>
      <c r="AA37" s="8">
        <f>IFERROR(Z37/Z444, "NA")</f>
        <v>0</v>
      </c>
      <c r="AB37" s="9"/>
      <c r="AC37" s="10">
        <f t="shared" si="11"/>
        <v>589.65</v>
      </c>
      <c r="AD37" s="8">
        <f>IFERROR(AC37/AC444, "NA")</f>
        <v>-2.1800133096717276</v>
      </c>
    </row>
    <row r="38" spans="1:30" ht="16.5" hidden="1" customHeight="1" x14ac:dyDescent="0.45">
      <c r="A38" s="12" t="s">
        <v>38</v>
      </c>
      <c r="B38" s="7">
        <v>0</v>
      </c>
      <c r="C38" s="8">
        <f>IFERROR(B38/B444, "NA")</f>
        <v>0</v>
      </c>
      <c r="D38" s="9"/>
      <c r="E38" s="7">
        <v>0</v>
      </c>
      <c r="F38" s="8">
        <f>IFERROR(E38/E444, "NA")</f>
        <v>0</v>
      </c>
      <c r="G38" s="9"/>
      <c r="H38" s="10">
        <f t="shared" si="8"/>
        <v>0</v>
      </c>
      <c r="I38" s="8">
        <f>IFERROR(H38/H444, "NA")</f>
        <v>0</v>
      </c>
      <c r="J38" s="9"/>
      <c r="K38" s="7">
        <v>0</v>
      </c>
      <c r="L38" s="8">
        <f>IFERROR(K38/K444, "NA")</f>
        <v>0</v>
      </c>
      <c r="M38" s="9"/>
      <c r="N38" s="10">
        <f t="shared" si="9"/>
        <v>0</v>
      </c>
      <c r="O38" s="8">
        <f>IFERROR(N38/N444, "NA")</f>
        <v>0</v>
      </c>
      <c r="P38" s="9"/>
      <c r="Q38" s="7">
        <v>0</v>
      </c>
      <c r="R38" s="8">
        <f>IFERROR(Q38/Q444, "NA")</f>
        <v>0</v>
      </c>
      <c r="S38" s="9"/>
      <c r="T38" s="7">
        <v>0</v>
      </c>
      <c r="U38" s="8">
        <f>IFERROR(T38/T444, "NA")</f>
        <v>0</v>
      </c>
      <c r="V38" s="9"/>
      <c r="W38" s="10">
        <f t="shared" si="10"/>
        <v>0</v>
      </c>
      <c r="X38" s="8">
        <f>IFERROR(W38/W444, "NA")</f>
        <v>0</v>
      </c>
      <c r="Y38" s="9"/>
      <c r="Z38" s="7">
        <v>0</v>
      </c>
      <c r="AA38" s="8">
        <f>IFERROR(Z38/Z444, "NA")</f>
        <v>0</v>
      </c>
      <c r="AB38" s="9"/>
      <c r="AC38" s="10">
        <f t="shared" si="11"/>
        <v>0</v>
      </c>
      <c r="AD38" s="8">
        <f>IFERROR(AC38/AC444, "NA")</f>
        <v>0</v>
      </c>
    </row>
    <row r="39" spans="1:30" ht="16.5" customHeight="1" x14ac:dyDescent="0.45">
      <c r="A39" s="12" t="s">
        <v>39</v>
      </c>
      <c r="B39" s="7">
        <v>0</v>
      </c>
      <c r="C39" s="8">
        <f>IFERROR(B39/B444, "NA")</f>
        <v>0</v>
      </c>
      <c r="D39" s="9"/>
      <c r="E39" s="7">
        <v>0</v>
      </c>
      <c r="F39" s="8">
        <f>IFERROR(E39/E444, "NA")</f>
        <v>0</v>
      </c>
      <c r="G39" s="9"/>
      <c r="H39" s="10">
        <f t="shared" si="8"/>
        <v>0</v>
      </c>
      <c r="I39" s="8">
        <f>IFERROR(H39/H444, "NA")</f>
        <v>0</v>
      </c>
      <c r="J39" s="9"/>
      <c r="K39" s="7">
        <v>766.75</v>
      </c>
      <c r="L39" s="8">
        <f>IFERROR(K39/K444, "NA")</f>
        <v>1.051495077206549E-2</v>
      </c>
      <c r="M39" s="9"/>
      <c r="N39" s="10">
        <f t="shared" si="9"/>
        <v>-766.75</v>
      </c>
      <c r="O39" s="8">
        <f>IFERROR(N39/N444, "NA")</f>
        <v>2.8347752144336424</v>
      </c>
      <c r="P39" s="9"/>
      <c r="Q39" s="7">
        <v>0</v>
      </c>
      <c r="R39" s="8">
        <f>IFERROR(Q39/Q444, "NA")</f>
        <v>0</v>
      </c>
      <c r="S39" s="9"/>
      <c r="T39" s="7">
        <v>0</v>
      </c>
      <c r="U39" s="8">
        <f>IFERROR(T39/T444, "NA")</f>
        <v>0</v>
      </c>
      <c r="V39" s="9"/>
      <c r="W39" s="10">
        <f t="shared" si="10"/>
        <v>0</v>
      </c>
      <c r="X39" s="8">
        <f>IFERROR(W39/W444, "NA")</f>
        <v>0</v>
      </c>
      <c r="Y39" s="9"/>
      <c r="Z39" s="7">
        <v>766.75</v>
      </c>
      <c r="AA39" s="8">
        <f>IFERROR(Z39/Z444, "NA")</f>
        <v>1.051495077206549E-2</v>
      </c>
      <c r="AB39" s="9"/>
      <c r="AC39" s="10">
        <f t="shared" si="11"/>
        <v>-766.75</v>
      </c>
      <c r="AD39" s="8">
        <f>IFERROR(AC39/AC444, "NA")</f>
        <v>2.8347752144336424</v>
      </c>
    </row>
    <row r="40" spans="1:30" ht="16.5" customHeight="1" x14ac:dyDescent="0.45">
      <c r="A40" s="13" t="s">
        <v>40</v>
      </c>
      <c r="B40" s="14">
        <f>IFERROR(B31+B32+B33+B34+B35+B36+B37+B38+B39, "NA")</f>
        <v>13670.18</v>
      </c>
      <c r="C40" s="15">
        <f>IFERROR(B40/B444, "NA")</f>
        <v>0.18816619522501876</v>
      </c>
      <c r="D40" s="2"/>
      <c r="E40" s="14">
        <f>IFERROR(E31+E32+E33+E34+E35+E36+E37+E38+E39, "NA")</f>
        <v>13088.22</v>
      </c>
      <c r="F40" s="15">
        <f>IFERROR(E40/E444, "NA")</f>
        <v>0.1729999791155736</v>
      </c>
      <c r="G40" s="2"/>
      <c r="H40" s="14">
        <f t="shared" si="8"/>
        <v>581.96000000000095</v>
      </c>
      <c r="I40" s="15">
        <f>IFERROR(H40/H444, "NA")</f>
        <v>-0.19366647143389587</v>
      </c>
      <c r="J40" s="2"/>
      <c r="K40" s="14">
        <f>IFERROR(K31+K32+K33+K34+K35+K36+K37+K38+K39, "NA")</f>
        <v>16217.080000000002</v>
      </c>
      <c r="L40" s="15">
        <f>IFERROR(K40/K444, "NA")</f>
        <v>0.22239556291704965</v>
      </c>
      <c r="M40" s="2"/>
      <c r="N40" s="14">
        <f t="shared" si="9"/>
        <v>-2546.9000000000015</v>
      </c>
      <c r="O40" s="15">
        <f>IFERROR(N40/N444, "NA")</f>
        <v>9.4162230109436553</v>
      </c>
      <c r="P40" s="2"/>
      <c r="Q40" s="14">
        <f>IFERROR(Q31+Q32+Q33+Q34+Q35+Q36+Q37+Q38+Q39, "NA")</f>
        <v>13670.18</v>
      </c>
      <c r="R40" s="15">
        <f>IFERROR(Q40/Q444, "NA")</f>
        <v>0.18816619522501876</v>
      </c>
      <c r="S40" s="2"/>
      <c r="T40" s="14">
        <f>IFERROR(T31+T32+T33+T34+T35+T36+T37+T38+T39, "NA")</f>
        <v>13088.22</v>
      </c>
      <c r="U40" s="15">
        <f>IFERROR(T40/T444, "NA")</f>
        <v>0.1729999791155736</v>
      </c>
      <c r="V40" s="2"/>
      <c r="W40" s="14">
        <f t="shared" si="10"/>
        <v>581.96000000000095</v>
      </c>
      <c r="X40" s="15">
        <f>IFERROR(W40/W444, "NA")</f>
        <v>-0.19366647143389587</v>
      </c>
      <c r="Y40" s="2"/>
      <c r="Z40" s="14">
        <f>IFERROR(Z31+Z32+Z33+Z34+Z35+Z36+Z37+Z38+Z39, "NA")</f>
        <v>16217.080000000002</v>
      </c>
      <c r="AA40" s="15">
        <f>IFERROR(Z40/Z444, "NA")</f>
        <v>0.22239556291704965</v>
      </c>
      <c r="AB40" s="2"/>
      <c r="AC40" s="14">
        <f t="shared" si="11"/>
        <v>-2546.9000000000015</v>
      </c>
      <c r="AD40" s="15">
        <f>IFERROR(AC40/AC444, "NA")</f>
        <v>9.4162230109436553</v>
      </c>
    </row>
    <row r="41" spans="1:30" ht="16.5" customHeight="1" x14ac:dyDescent="0.45">
      <c r="A41" s="11" t="s">
        <v>41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45">
      <c r="A42" s="12" t="s">
        <v>41</v>
      </c>
      <c r="B42" s="7">
        <v>0</v>
      </c>
      <c r="C42" s="8">
        <f>IFERROR(B42/B444, "NA")</f>
        <v>0</v>
      </c>
      <c r="D42" s="9"/>
      <c r="E42" s="7">
        <v>14374.35</v>
      </c>
      <c r="F42" s="8">
        <f>IFERROR(E42/E444, "NA")</f>
        <v>0.19000003436677756</v>
      </c>
      <c r="G42" s="9"/>
      <c r="H42" s="10">
        <f>IFERROR(B42-E42, "NA")</f>
        <v>-14374.35</v>
      </c>
      <c r="I42" s="8">
        <f>IFERROR(H42/H444, "NA")</f>
        <v>4.7835412118630432</v>
      </c>
      <c r="J42" s="9"/>
      <c r="K42" s="7">
        <v>0</v>
      </c>
      <c r="L42" s="8">
        <f>IFERROR(K42/K444, "NA")</f>
        <v>0</v>
      </c>
      <c r="M42" s="9"/>
      <c r="N42" s="10">
        <f>IFERROR(B42-K42, "NA")</f>
        <v>0</v>
      </c>
      <c r="O42" s="8">
        <f>IFERROR(N42/N444, "NA")</f>
        <v>0</v>
      </c>
      <c r="P42" s="9"/>
      <c r="Q42" s="7">
        <v>0</v>
      </c>
      <c r="R42" s="8">
        <f>IFERROR(Q42/Q444, "NA")</f>
        <v>0</v>
      </c>
      <c r="S42" s="9"/>
      <c r="T42" s="7">
        <v>14374.35</v>
      </c>
      <c r="U42" s="8">
        <f>IFERROR(T42/T444, "NA")</f>
        <v>0.19000003436677756</v>
      </c>
      <c r="V42" s="9"/>
      <c r="W42" s="10">
        <f>IFERROR(Q42-T42, "NA")</f>
        <v>-14374.35</v>
      </c>
      <c r="X42" s="8">
        <f>IFERROR(W42/W444, "NA")</f>
        <v>4.7835412118630432</v>
      </c>
      <c r="Y42" s="9"/>
      <c r="Z42" s="7">
        <v>0</v>
      </c>
      <c r="AA42" s="8">
        <f>IFERROR(Z42/Z444, "NA")</f>
        <v>0</v>
      </c>
      <c r="AB42" s="9"/>
      <c r="AC42" s="10">
        <f>IFERROR(Q42-Z42, "NA")</f>
        <v>0</v>
      </c>
      <c r="AD42" s="8">
        <f>IFERROR(AC42/AC444, "NA")</f>
        <v>0</v>
      </c>
    </row>
    <row r="43" spans="1:30" ht="16.5" customHeight="1" x14ac:dyDescent="0.45">
      <c r="A43" s="12" t="s">
        <v>42</v>
      </c>
      <c r="B43" s="7">
        <v>1758.93</v>
      </c>
      <c r="C43" s="8">
        <f>IFERROR(B43/B444, "NA")</f>
        <v>2.4211178328825387E-2</v>
      </c>
      <c r="D43" s="9"/>
      <c r="E43" s="7">
        <v>0</v>
      </c>
      <c r="F43" s="8">
        <f>IFERROR(E43/E444, "NA")</f>
        <v>0</v>
      </c>
      <c r="G43" s="9"/>
      <c r="H43" s="10">
        <f>IFERROR(B43-E43, "NA")</f>
        <v>1758.93</v>
      </c>
      <c r="I43" s="8">
        <f>IFERROR(H43/H444, "NA")</f>
        <v>-0.58534223417283304</v>
      </c>
      <c r="J43" s="9"/>
      <c r="K43" s="7">
        <v>2591.14</v>
      </c>
      <c r="L43" s="8">
        <f>IFERROR(K43/K444, "NA")</f>
        <v>3.5534019619862758E-2</v>
      </c>
      <c r="M43" s="9"/>
      <c r="N43" s="10">
        <f>IFERROR(B43-K43, "NA")</f>
        <v>-832.20999999999981</v>
      </c>
      <c r="O43" s="8">
        <f>IFERROR(N43/N444, "NA")</f>
        <v>3.0767894114167862</v>
      </c>
      <c r="P43" s="9"/>
      <c r="Q43" s="7">
        <v>1758.93</v>
      </c>
      <c r="R43" s="8">
        <f>IFERROR(Q43/Q444, "NA")</f>
        <v>2.4211178328825387E-2</v>
      </c>
      <c r="S43" s="9"/>
      <c r="T43" s="7">
        <v>0</v>
      </c>
      <c r="U43" s="8">
        <f>IFERROR(T43/T444, "NA")</f>
        <v>0</v>
      </c>
      <c r="V43" s="9"/>
      <c r="W43" s="10">
        <f>IFERROR(Q43-T43, "NA")</f>
        <v>1758.93</v>
      </c>
      <c r="X43" s="8">
        <f>IFERROR(W43/W444, "NA")</f>
        <v>-0.58534223417283304</v>
      </c>
      <c r="Y43" s="9"/>
      <c r="Z43" s="7">
        <v>2591.14</v>
      </c>
      <c r="AA43" s="8">
        <f>IFERROR(Z43/Z444, "NA")</f>
        <v>3.5534019619862758E-2</v>
      </c>
      <c r="AB43" s="9"/>
      <c r="AC43" s="10">
        <f>IFERROR(Q43-Z43, "NA")</f>
        <v>-832.20999999999981</v>
      </c>
      <c r="AD43" s="8">
        <f>IFERROR(AC43/AC444, "NA")</f>
        <v>3.0767894114167862</v>
      </c>
    </row>
    <row r="44" spans="1:30" ht="16.5" hidden="1" customHeight="1" x14ac:dyDescent="0.45">
      <c r="A44" s="12" t="s">
        <v>43</v>
      </c>
      <c r="B44" s="7">
        <v>0</v>
      </c>
      <c r="C44" s="8">
        <f>IFERROR(B44/B444, "NA")</f>
        <v>0</v>
      </c>
      <c r="D44" s="9"/>
      <c r="E44" s="7">
        <v>0</v>
      </c>
      <c r="F44" s="8">
        <f>IFERROR(E44/E444, "NA")</f>
        <v>0</v>
      </c>
      <c r="G44" s="9"/>
      <c r="H44" s="10">
        <f>IFERROR(B44-E44, "NA")</f>
        <v>0</v>
      </c>
      <c r="I44" s="8">
        <f>IFERROR(H44/H444, "NA")</f>
        <v>0</v>
      </c>
      <c r="J44" s="9"/>
      <c r="K44" s="7">
        <v>0</v>
      </c>
      <c r="L44" s="8">
        <f>IFERROR(K44/K444, "NA")</f>
        <v>0</v>
      </c>
      <c r="M44" s="9"/>
      <c r="N44" s="10">
        <f>IFERROR(B44-K44, "NA")</f>
        <v>0</v>
      </c>
      <c r="O44" s="8">
        <f>IFERROR(N44/N444, "NA")</f>
        <v>0</v>
      </c>
      <c r="P44" s="9"/>
      <c r="Q44" s="7">
        <v>0</v>
      </c>
      <c r="R44" s="8">
        <f>IFERROR(Q44/Q444, "NA")</f>
        <v>0</v>
      </c>
      <c r="S44" s="9"/>
      <c r="T44" s="7">
        <v>0</v>
      </c>
      <c r="U44" s="8">
        <f>IFERROR(T44/T444, "NA")</f>
        <v>0</v>
      </c>
      <c r="V44" s="9"/>
      <c r="W44" s="10">
        <f>IFERROR(Q44-T44, "NA")</f>
        <v>0</v>
      </c>
      <c r="X44" s="8">
        <f>IFERROR(W44/W444, "NA")</f>
        <v>0</v>
      </c>
      <c r="Y44" s="9"/>
      <c r="Z44" s="7">
        <v>0</v>
      </c>
      <c r="AA44" s="8">
        <f>IFERROR(Z44/Z444, "NA")</f>
        <v>0</v>
      </c>
      <c r="AB44" s="9"/>
      <c r="AC44" s="10">
        <f>IFERROR(Q44-Z44, "NA")</f>
        <v>0</v>
      </c>
      <c r="AD44" s="8">
        <f>IFERROR(AC44/AC444, "NA")</f>
        <v>0</v>
      </c>
    </row>
    <row r="45" spans="1:30" ht="16.5" customHeight="1" x14ac:dyDescent="0.45">
      <c r="A45" s="16" t="s">
        <v>44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45">
      <c r="A46" s="17" t="s">
        <v>44</v>
      </c>
      <c r="B46" s="7">
        <v>0</v>
      </c>
      <c r="C46" s="8">
        <f>IFERROR(B46/B444, "NA")</f>
        <v>0</v>
      </c>
      <c r="D46" s="9"/>
      <c r="E46" s="7">
        <v>0</v>
      </c>
      <c r="F46" s="8">
        <f>IFERROR(E46/E444, "NA")</f>
        <v>0</v>
      </c>
      <c r="G46" s="9"/>
      <c r="H46" s="10">
        <f t="shared" ref="H46:H62" si="12">IFERROR(B46-E46, "NA")</f>
        <v>0</v>
      </c>
      <c r="I46" s="8">
        <f>IFERROR(H46/H444, "NA")</f>
        <v>0</v>
      </c>
      <c r="J46" s="9"/>
      <c r="K46" s="7">
        <v>0</v>
      </c>
      <c r="L46" s="8">
        <f>IFERROR(K46/K444, "NA")</f>
        <v>0</v>
      </c>
      <c r="M46" s="9"/>
      <c r="N46" s="10">
        <f t="shared" ref="N46:N62" si="13">IFERROR(B46-K46, "NA")</f>
        <v>0</v>
      </c>
      <c r="O46" s="8">
        <f>IFERROR(N46/N444, "NA")</f>
        <v>0</v>
      </c>
      <c r="P46" s="9"/>
      <c r="Q46" s="7">
        <v>0</v>
      </c>
      <c r="R46" s="8">
        <f>IFERROR(Q46/Q444, "NA")</f>
        <v>0</v>
      </c>
      <c r="S46" s="9"/>
      <c r="T46" s="7">
        <v>0</v>
      </c>
      <c r="U46" s="8">
        <f>IFERROR(T46/T444, "NA")</f>
        <v>0</v>
      </c>
      <c r="V46" s="9"/>
      <c r="W46" s="10">
        <f t="shared" ref="W46:W62" si="14">IFERROR(Q46-T46, "NA")</f>
        <v>0</v>
      </c>
      <c r="X46" s="8">
        <f>IFERROR(W46/W444, "NA")</f>
        <v>0</v>
      </c>
      <c r="Y46" s="9"/>
      <c r="Z46" s="7">
        <v>0</v>
      </c>
      <c r="AA46" s="8">
        <f>IFERROR(Z46/Z444, "NA")</f>
        <v>0</v>
      </c>
      <c r="AB46" s="9"/>
      <c r="AC46" s="10">
        <f t="shared" ref="AC46:AC62" si="15">IFERROR(Q46-Z46, "NA")</f>
        <v>0</v>
      </c>
      <c r="AD46" s="8">
        <f>IFERROR(AC46/AC444, "NA")</f>
        <v>0</v>
      </c>
    </row>
    <row r="47" spans="1:30" ht="16.5" hidden="1" customHeight="1" x14ac:dyDescent="0.45">
      <c r="A47" s="17" t="s">
        <v>45</v>
      </c>
      <c r="B47" s="7">
        <v>0</v>
      </c>
      <c r="C47" s="8">
        <f>IFERROR(B47/B444, "NA")</f>
        <v>0</v>
      </c>
      <c r="D47" s="9"/>
      <c r="E47" s="7">
        <v>0</v>
      </c>
      <c r="F47" s="8">
        <f>IFERROR(E47/E444, "NA")</f>
        <v>0</v>
      </c>
      <c r="G47" s="9"/>
      <c r="H47" s="10">
        <f t="shared" si="12"/>
        <v>0</v>
      </c>
      <c r="I47" s="8">
        <f>IFERROR(H47/H444, "NA")</f>
        <v>0</v>
      </c>
      <c r="J47" s="9"/>
      <c r="K47" s="7">
        <v>0</v>
      </c>
      <c r="L47" s="8">
        <f>IFERROR(K47/K444, "NA")</f>
        <v>0</v>
      </c>
      <c r="M47" s="9"/>
      <c r="N47" s="10">
        <f t="shared" si="13"/>
        <v>0</v>
      </c>
      <c r="O47" s="8">
        <f>IFERROR(N47/N444, "NA")</f>
        <v>0</v>
      </c>
      <c r="P47" s="9"/>
      <c r="Q47" s="7">
        <v>0</v>
      </c>
      <c r="R47" s="8">
        <f>IFERROR(Q47/Q444, "NA")</f>
        <v>0</v>
      </c>
      <c r="S47" s="9"/>
      <c r="T47" s="7">
        <v>0</v>
      </c>
      <c r="U47" s="8">
        <f>IFERROR(T47/T444, "NA")</f>
        <v>0</v>
      </c>
      <c r="V47" s="9"/>
      <c r="W47" s="10">
        <f t="shared" si="14"/>
        <v>0</v>
      </c>
      <c r="X47" s="8">
        <f>IFERROR(W47/W444, "NA")</f>
        <v>0</v>
      </c>
      <c r="Y47" s="9"/>
      <c r="Z47" s="7">
        <v>0</v>
      </c>
      <c r="AA47" s="8">
        <f>IFERROR(Z47/Z444, "NA")</f>
        <v>0</v>
      </c>
      <c r="AB47" s="9"/>
      <c r="AC47" s="10">
        <f t="shared" si="15"/>
        <v>0</v>
      </c>
      <c r="AD47" s="8">
        <f>IFERROR(AC47/AC444, "NA")</f>
        <v>0</v>
      </c>
    </row>
    <row r="48" spans="1:30" ht="16.5" customHeight="1" x14ac:dyDescent="0.45">
      <c r="A48" s="17" t="s">
        <v>46</v>
      </c>
      <c r="B48" s="7">
        <v>10366.44</v>
      </c>
      <c r="C48" s="8">
        <f>IFERROR(B48/B444, "NA")</f>
        <v>0.14269114033819916</v>
      </c>
      <c r="D48" s="9"/>
      <c r="E48" s="7">
        <v>0</v>
      </c>
      <c r="F48" s="8">
        <f>IFERROR(E48/E444, "NA")</f>
        <v>0</v>
      </c>
      <c r="G48" s="9"/>
      <c r="H48" s="10">
        <f t="shared" si="12"/>
        <v>10366.44</v>
      </c>
      <c r="I48" s="8">
        <f>IFERROR(H48/H444, "NA")</f>
        <v>-3.4497763697353636</v>
      </c>
      <c r="J48" s="9"/>
      <c r="K48" s="7">
        <v>13090.46</v>
      </c>
      <c r="L48" s="8">
        <f>IFERROR(K48/K444, "NA")</f>
        <v>0.17951815126663501</v>
      </c>
      <c r="M48" s="9"/>
      <c r="N48" s="10">
        <f t="shared" si="13"/>
        <v>-2724.0199999999986</v>
      </c>
      <c r="O48" s="8">
        <f>IFERROR(N48/N444, "NA")</f>
        <v>10.071058858326086</v>
      </c>
      <c r="P48" s="9"/>
      <c r="Q48" s="7">
        <v>10366.44</v>
      </c>
      <c r="R48" s="8">
        <f>IFERROR(Q48/Q444, "NA")</f>
        <v>0.14269114033819916</v>
      </c>
      <c r="S48" s="9"/>
      <c r="T48" s="7">
        <v>0</v>
      </c>
      <c r="U48" s="8">
        <f>IFERROR(T48/T444, "NA")</f>
        <v>0</v>
      </c>
      <c r="V48" s="9"/>
      <c r="W48" s="10">
        <f t="shared" si="14"/>
        <v>10366.44</v>
      </c>
      <c r="X48" s="8">
        <f>IFERROR(W48/W444, "NA")</f>
        <v>-3.4497763697353636</v>
      </c>
      <c r="Y48" s="9"/>
      <c r="Z48" s="7">
        <v>13090.46</v>
      </c>
      <c r="AA48" s="8">
        <f>IFERROR(Z48/Z444, "NA")</f>
        <v>0.17951815126663501</v>
      </c>
      <c r="AB48" s="9"/>
      <c r="AC48" s="10">
        <f t="shared" si="15"/>
        <v>-2724.0199999999986</v>
      </c>
      <c r="AD48" s="8">
        <f>IFERROR(AC48/AC444, "NA")</f>
        <v>10.071058858326086</v>
      </c>
    </row>
    <row r="49" spans="1:30" ht="16.5" hidden="1" customHeight="1" x14ac:dyDescent="0.45">
      <c r="A49" s="17" t="s">
        <v>47</v>
      </c>
      <c r="B49" s="7">
        <v>0</v>
      </c>
      <c r="C49" s="8">
        <f>IFERROR(B49/B444, "NA")</f>
        <v>0</v>
      </c>
      <c r="D49" s="9"/>
      <c r="E49" s="7">
        <v>0</v>
      </c>
      <c r="F49" s="8">
        <f>IFERROR(E49/E444, "NA")</f>
        <v>0</v>
      </c>
      <c r="G49" s="9"/>
      <c r="H49" s="10">
        <f t="shared" si="12"/>
        <v>0</v>
      </c>
      <c r="I49" s="8">
        <f>IFERROR(H49/H444, "NA")</f>
        <v>0</v>
      </c>
      <c r="J49" s="9"/>
      <c r="K49" s="7">
        <v>0</v>
      </c>
      <c r="L49" s="8">
        <f>IFERROR(K49/K444, "NA")</f>
        <v>0</v>
      </c>
      <c r="M49" s="9"/>
      <c r="N49" s="10">
        <f t="shared" si="13"/>
        <v>0</v>
      </c>
      <c r="O49" s="8">
        <f>IFERROR(N49/N444, "NA")</f>
        <v>0</v>
      </c>
      <c r="P49" s="9"/>
      <c r="Q49" s="7">
        <v>0</v>
      </c>
      <c r="R49" s="8">
        <f>IFERROR(Q49/Q444, "NA")</f>
        <v>0</v>
      </c>
      <c r="S49" s="9"/>
      <c r="T49" s="7">
        <v>0</v>
      </c>
      <c r="U49" s="8">
        <f>IFERROR(T49/T444, "NA")</f>
        <v>0</v>
      </c>
      <c r="V49" s="9"/>
      <c r="W49" s="10">
        <f t="shared" si="14"/>
        <v>0</v>
      </c>
      <c r="X49" s="8">
        <f>IFERROR(W49/W444, "NA")</f>
        <v>0</v>
      </c>
      <c r="Y49" s="9"/>
      <c r="Z49" s="7">
        <v>0</v>
      </c>
      <c r="AA49" s="8">
        <f>IFERROR(Z49/Z444, "NA")</f>
        <v>0</v>
      </c>
      <c r="AB49" s="9"/>
      <c r="AC49" s="10">
        <f t="shared" si="15"/>
        <v>0</v>
      </c>
      <c r="AD49" s="8">
        <f>IFERROR(AC49/AC444, "NA")</f>
        <v>0</v>
      </c>
    </row>
    <row r="50" spans="1:30" ht="16.5" hidden="1" customHeight="1" x14ac:dyDescent="0.45">
      <c r="A50" s="17" t="s">
        <v>48</v>
      </c>
      <c r="B50" s="7">
        <v>0</v>
      </c>
      <c r="C50" s="8">
        <f>IFERROR(B50/B444, "NA")</f>
        <v>0</v>
      </c>
      <c r="D50" s="9"/>
      <c r="E50" s="7">
        <v>0</v>
      </c>
      <c r="F50" s="8">
        <f>IFERROR(E50/E444, "NA")</f>
        <v>0</v>
      </c>
      <c r="G50" s="9"/>
      <c r="H50" s="10">
        <f t="shared" si="12"/>
        <v>0</v>
      </c>
      <c r="I50" s="8">
        <f>IFERROR(H50/H444, "NA")</f>
        <v>0</v>
      </c>
      <c r="J50" s="9"/>
      <c r="K50" s="7">
        <v>0</v>
      </c>
      <c r="L50" s="8">
        <f>IFERROR(K50/K444, "NA")</f>
        <v>0</v>
      </c>
      <c r="M50" s="9"/>
      <c r="N50" s="10">
        <f t="shared" si="13"/>
        <v>0</v>
      </c>
      <c r="O50" s="8">
        <f>IFERROR(N50/N444, "NA")</f>
        <v>0</v>
      </c>
      <c r="P50" s="9"/>
      <c r="Q50" s="7">
        <v>0</v>
      </c>
      <c r="R50" s="8">
        <f>IFERROR(Q50/Q444, "NA")</f>
        <v>0</v>
      </c>
      <c r="S50" s="9"/>
      <c r="T50" s="7">
        <v>0</v>
      </c>
      <c r="U50" s="8">
        <f>IFERROR(T50/T444, "NA")</f>
        <v>0</v>
      </c>
      <c r="V50" s="9"/>
      <c r="W50" s="10">
        <f t="shared" si="14"/>
        <v>0</v>
      </c>
      <c r="X50" s="8">
        <f>IFERROR(W50/W444, "NA")</f>
        <v>0</v>
      </c>
      <c r="Y50" s="9"/>
      <c r="Z50" s="7">
        <v>0</v>
      </c>
      <c r="AA50" s="8">
        <f>IFERROR(Z50/Z444, "NA")</f>
        <v>0</v>
      </c>
      <c r="AB50" s="9"/>
      <c r="AC50" s="10">
        <f t="shared" si="15"/>
        <v>0</v>
      </c>
      <c r="AD50" s="8">
        <f>IFERROR(AC50/AC444, "NA")</f>
        <v>0</v>
      </c>
    </row>
    <row r="51" spans="1:30" ht="16.5" hidden="1" customHeight="1" x14ac:dyDescent="0.45">
      <c r="A51" s="17" t="s">
        <v>49</v>
      </c>
      <c r="B51" s="7">
        <v>0</v>
      </c>
      <c r="C51" s="8">
        <f>IFERROR(B51/B444, "NA")</f>
        <v>0</v>
      </c>
      <c r="D51" s="9"/>
      <c r="E51" s="7">
        <v>0</v>
      </c>
      <c r="F51" s="8">
        <f>IFERROR(E51/E444, "NA")</f>
        <v>0</v>
      </c>
      <c r="G51" s="9"/>
      <c r="H51" s="10">
        <f t="shared" si="12"/>
        <v>0</v>
      </c>
      <c r="I51" s="8">
        <f>IFERROR(H51/H444, "NA")</f>
        <v>0</v>
      </c>
      <c r="J51" s="9"/>
      <c r="K51" s="7">
        <v>0</v>
      </c>
      <c r="L51" s="8">
        <f>IFERROR(K51/K444, "NA")</f>
        <v>0</v>
      </c>
      <c r="M51" s="9"/>
      <c r="N51" s="10">
        <f t="shared" si="13"/>
        <v>0</v>
      </c>
      <c r="O51" s="8">
        <f>IFERROR(N51/N444, "NA")</f>
        <v>0</v>
      </c>
      <c r="P51" s="9"/>
      <c r="Q51" s="7">
        <v>0</v>
      </c>
      <c r="R51" s="8">
        <f>IFERROR(Q51/Q444, "NA")</f>
        <v>0</v>
      </c>
      <c r="S51" s="9"/>
      <c r="T51" s="7">
        <v>0</v>
      </c>
      <c r="U51" s="8">
        <f>IFERROR(T51/T444, "NA")</f>
        <v>0</v>
      </c>
      <c r="V51" s="9"/>
      <c r="W51" s="10">
        <f t="shared" si="14"/>
        <v>0</v>
      </c>
      <c r="X51" s="8">
        <f>IFERROR(W51/W444, "NA")</f>
        <v>0</v>
      </c>
      <c r="Y51" s="9"/>
      <c r="Z51" s="7">
        <v>0</v>
      </c>
      <c r="AA51" s="8">
        <f>IFERROR(Z51/Z444, "NA")</f>
        <v>0</v>
      </c>
      <c r="AB51" s="9"/>
      <c r="AC51" s="10">
        <f t="shared" si="15"/>
        <v>0</v>
      </c>
      <c r="AD51" s="8">
        <f>IFERROR(AC51/AC444, "NA")</f>
        <v>0</v>
      </c>
    </row>
    <row r="52" spans="1:30" ht="16.5" hidden="1" customHeight="1" x14ac:dyDescent="0.45">
      <c r="A52" s="17" t="s">
        <v>50</v>
      </c>
      <c r="B52" s="7">
        <v>0</v>
      </c>
      <c r="C52" s="8">
        <f>IFERROR(B52/B444, "NA")</f>
        <v>0</v>
      </c>
      <c r="D52" s="9"/>
      <c r="E52" s="7">
        <v>0</v>
      </c>
      <c r="F52" s="8">
        <f>IFERROR(E52/E444, "NA")</f>
        <v>0</v>
      </c>
      <c r="G52" s="9"/>
      <c r="H52" s="10">
        <f t="shared" si="12"/>
        <v>0</v>
      </c>
      <c r="I52" s="8">
        <f>IFERROR(H52/H444, "NA")</f>
        <v>0</v>
      </c>
      <c r="J52" s="9"/>
      <c r="K52" s="7">
        <v>0</v>
      </c>
      <c r="L52" s="8">
        <f>IFERROR(K52/K444, "NA")</f>
        <v>0</v>
      </c>
      <c r="M52" s="9"/>
      <c r="N52" s="10">
        <f t="shared" si="13"/>
        <v>0</v>
      </c>
      <c r="O52" s="8">
        <f>IFERROR(N52/N444, "NA")</f>
        <v>0</v>
      </c>
      <c r="P52" s="9"/>
      <c r="Q52" s="7">
        <v>0</v>
      </c>
      <c r="R52" s="8">
        <f>IFERROR(Q52/Q444, "NA")</f>
        <v>0</v>
      </c>
      <c r="S52" s="9"/>
      <c r="T52" s="7">
        <v>0</v>
      </c>
      <c r="U52" s="8">
        <f>IFERROR(T52/T444, "NA")</f>
        <v>0</v>
      </c>
      <c r="V52" s="9"/>
      <c r="W52" s="10">
        <f t="shared" si="14"/>
        <v>0</v>
      </c>
      <c r="X52" s="8">
        <f>IFERROR(W52/W444, "NA")</f>
        <v>0</v>
      </c>
      <c r="Y52" s="9"/>
      <c r="Z52" s="7">
        <v>0</v>
      </c>
      <c r="AA52" s="8">
        <f>IFERROR(Z52/Z444, "NA")</f>
        <v>0</v>
      </c>
      <c r="AB52" s="9"/>
      <c r="AC52" s="10">
        <f t="shared" si="15"/>
        <v>0</v>
      </c>
      <c r="AD52" s="8">
        <f>IFERROR(AC52/AC444, "NA")</f>
        <v>0</v>
      </c>
    </row>
    <row r="53" spans="1:30" ht="16.5" hidden="1" customHeight="1" x14ac:dyDescent="0.45">
      <c r="A53" s="17" t="s">
        <v>51</v>
      </c>
      <c r="B53" s="7">
        <v>0</v>
      </c>
      <c r="C53" s="8">
        <f>IFERROR(B53/B444, "NA")</f>
        <v>0</v>
      </c>
      <c r="D53" s="9"/>
      <c r="E53" s="7">
        <v>0</v>
      </c>
      <c r="F53" s="8">
        <f>IFERROR(E53/E444, "NA")</f>
        <v>0</v>
      </c>
      <c r="G53" s="9"/>
      <c r="H53" s="10">
        <f t="shared" si="12"/>
        <v>0</v>
      </c>
      <c r="I53" s="8">
        <f>IFERROR(H53/H444, "NA")</f>
        <v>0</v>
      </c>
      <c r="J53" s="9"/>
      <c r="K53" s="7">
        <v>0</v>
      </c>
      <c r="L53" s="8">
        <f>IFERROR(K53/K444, "NA")</f>
        <v>0</v>
      </c>
      <c r="M53" s="9"/>
      <c r="N53" s="10">
        <f t="shared" si="13"/>
        <v>0</v>
      </c>
      <c r="O53" s="8">
        <f>IFERROR(N53/N444, "NA")</f>
        <v>0</v>
      </c>
      <c r="P53" s="9"/>
      <c r="Q53" s="7">
        <v>0</v>
      </c>
      <c r="R53" s="8">
        <f>IFERROR(Q53/Q444, "NA")</f>
        <v>0</v>
      </c>
      <c r="S53" s="9"/>
      <c r="T53" s="7">
        <v>0</v>
      </c>
      <c r="U53" s="8">
        <f>IFERROR(T53/T444, "NA")</f>
        <v>0</v>
      </c>
      <c r="V53" s="9"/>
      <c r="W53" s="10">
        <f t="shared" si="14"/>
        <v>0</v>
      </c>
      <c r="X53" s="8">
        <f>IFERROR(W53/W444, "NA")</f>
        <v>0</v>
      </c>
      <c r="Y53" s="9"/>
      <c r="Z53" s="7">
        <v>0</v>
      </c>
      <c r="AA53" s="8">
        <f>IFERROR(Z53/Z444, "NA")</f>
        <v>0</v>
      </c>
      <c r="AB53" s="9"/>
      <c r="AC53" s="10">
        <f t="shared" si="15"/>
        <v>0</v>
      </c>
      <c r="AD53" s="8">
        <f>IFERROR(AC53/AC444, "NA")</f>
        <v>0</v>
      </c>
    </row>
    <row r="54" spans="1:30" ht="16.5" hidden="1" customHeight="1" x14ac:dyDescent="0.45">
      <c r="A54" s="17" t="s">
        <v>52</v>
      </c>
      <c r="B54" s="7">
        <v>0</v>
      </c>
      <c r="C54" s="8">
        <f>IFERROR(B54/B444, "NA")</f>
        <v>0</v>
      </c>
      <c r="D54" s="9"/>
      <c r="E54" s="7">
        <v>0</v>
      </c>
      <c r="F54" s="8">
        <f>IFERROR(E54/E444, "NA")</f>
        <v>0</v>
      </c>
      <c r="G54" s="9"/>
      <c r="H54" s="10">
        <f t="shared" si="12"/>
        <v>0</v>
      </c>
      <c r="I54" s="8">
        <f>IFERROR(H54/H444, "NA")</f>
        <v>0</v>
      </c>
      <c r="J54" s="9"/>
      <c r="K54" s="7">
        <v>0</v>
      </c>
      <c r="L54" s="8">
        <f>IFERROR(K54/K444, "NA")</f>
        <v>0</v>
      </c>
      <c r="M54" s="9"/>
      <c r="N54" s="10">
        <f t="shared" si="13"/>
        <v>0</v>
      </c>
      <c r="O54" s="8">
        <f>IFERROR(N54/N444, "NA")</f>
        <v>0</v>
      </c>
      <c r="P54" s="9"/>
      <c r="Q54" s="7">
        <v>0</v>
      </c>
      <c r="R54" s="8">
        <f>IFERROR(Q54/Q444, "NA")</f>
        <v>0</v>
      </c>
      <c r="S54" s="9"/>
      <c r="T54" s="7">
        <v>0</v>
      </c>
      <c r="U54" s="8">
        <f>IFERROR(T54/T444, "NA")</f>
        <v>0</v>
      </c>
      <c r="V54" s="9"/>
      <c r="W54" s="10">
        <f t="shared" si="14"/>
        <v>0</v>
      </c>
      <c r="X54" s="8">
        <f>IFERROR(W54/W444, "NA")</f>
        <v>0</v>
      </c>
      <c r="Y54" s="9"/>
      <c r="Z54" s="7">
        <v>0</v>
      </c>
      <c r="AA54" s="8">
        <f>IFERROR(Z54/Z444, "NA")</f>
        <v>0</v>
      </c>
      <c r="AB54" s="9"/>
      <c r="AC54" s="10">
        <f t="shared" si="15"/>
        <v>0</v>
      </c>
      <c r="AD54" s="8">
        <f>IFERROR(AC54/AC444, "NA")</f>
        <v>0</v>
      </c>
    </row>
    <row r="55" spans="1:30" ht="16.5" hidden="1" customHeight="1" x14ac:dyDescent="0.45">
      <c r="A55" s="17" t="s">
        <v>53</v>
      </c>
      <c r="B55" s="7">
        <v>0</v>
      </c>
      <c r="C55" s="8">
        <f>IFERROR(B55/B444, "NA")</f>
        <v>0</v>
      </c>
      <c r="D55" s="9"/>
      <c r="E55" s="7">
        <v>0</v>
      </c>
      <c r="F55" s="8">
        <f>IFERROR(E55/E444, "NA")</f>
        <v>0</v>
      </c>
      <c r="G55" s="9"/>
      <c r="H55" s="10">
        <f t="shared" si="12"/>
        <v>0</v>
      </c>
      <c r="I55" s="8">
        <f>IFERROR(H55/H444, "NA")</f>
        <v>0</v>
      </c>
      <c r="J55" s="9"/>
      <c r="K55" s="7">
        <v>0</v>
      </c>
      <c r="L55" s="8">
        <f>IFERROR(K55/K444, "NA")</f>
        <v>0</v>
      </c>
      <c r="M55" s="9"/>
      <c r="N55" s="10">
        <f t="shared" si="13"/>
        <v>0</v>
      </c>
      <c r="O55" s="8">
        <f>IFERROR(N55/N444, "NA")</f>
        <v>0</v>
      </c>
      <c r="P55" s="9"/>
      <c r="Q55" s="7">
        <v>0</v>
      </c>
      <c r="R55" s="8">
        <f>IFERROR(Q55/Q444, "NA")</f>
        <v>0</v>
      </c>
      <c r="S55" s="9"/>
      <c r="T55" s="7">
        <v>0</v>
      </c>
      <c r="U55" s="8">
        <f>IFERROR(T55/T444, "NA")</f>
        <v>0</v>
      </c>
      <c r="V55" s="9"/>
      <c r="W55" s="10">
        <f t="shared" si="14"/>
        <v>0</v>
      </c>
      <c r="X55" s="8">
        <f>IFERROR(W55/W444, "NA")</f>
        <v>0</v>
      </c>
      <c r="Y55" s="9"/>
      <c r="Z55" s="7">
        <v>0</v>
      </c>
      <c r="AA55" s="8">
        <f>IFERROR(Z55/Z444, "NA")</f>
        <v>0</v>
      </c>
      <c r="AB55" s="9"/>
      <c r="AC55" s="10">
        <f t="shared" si="15"/>
        <v>0</v>
      </c>
      <c r="AD55" s="8">
        <f>IFERROR(AC55/AC444, "NA")</f>
        <v>0</v>
      </c>
    </row>
    <row r="56" spans="1:30" ht="16.5" hidden="1" customHeight="1" x14ac:dyDescent="0.45">
      <c r="A56" s="17" t="s">
        <v>54</v>
      </c>
      <c r="B56" s="7">
        <v>0</v>
      </c>
      <c r="C56" s="8">
        <f>IFERROR(B56/B444, "NA")</f>
        <v>0</v>
      </c>
      <c r="D56" s="9"/>
      <c r="E56" s="7">
        <v>0</v>
      </c>
      <c r="F56" s="8">
        <f>IFERROR(E56/E444, "NA")</f>
        <v>0</v>
      </c>
      <c r="G56" s="9"/>
      <c r="H56" s="10">
        <f t="shared" si="12"/>
        <v>0</v>
      </c>
      <c r="I56" s="8">
        <f>IFERROR(H56/H444, "NA")</f>
        <v>0</v>
      </c>
      <c r="J56" s="9"/>
      <c r="K56" s="7">
        <v>0</v>
      </c>
      <c r="L56" s="8">
        <f>IFERROR(K56/K444, "NA")</f>
        <v>0</v>
      </c>
      <c r="M56" s="9"/>
      <c r="N56" s="10">
        <f t="shared" si="13"/>
        <v>0</v>
      </c>
      <c r="O56" s="8">
        <f>IFERROR(N56/N444, "NA")</f>
        <v>0</v>
      </c>
      <c r="P56" s="9"/>
      <c r="Q56" s="7">
        <v>0</v>
      </c>
      <c r="R56" s="8">
        <f>IFERROR(Q56/Q444, "NA")</f>
        <v>0</v>
      </c>
      <c r="S56" s="9"/>
      <c r="T56" s="7">
        <v>0</v>
      </c>
      <c r="U56" s="8">
        <f>IFERROR(T56/T444, "NA")</f>
        <v>0</v>
      </c>
      <c r="V56" s="9"/>
      <c r="W56" s="10">
        <f t="shared" si="14"/>
        <v>0</v>
      </c>
      <c r="X56" s="8">
        <f>IFERROR(W56/W444, "NA")</f>
        <v>0</v>
      </c>
      <c r="Y56" s="9"/>
      <c r="Z56" s="7">
        <v>0</v>
      </c>
      <c r="AA56" s="8">
        <f>IFERROR(Z56/Z444, "NA")</f>
        <v>0</v>
      </c>
      <c r="AB56" s="9"/>
      <c r="AC56" s="10">
        <f t="shared" si="15"/>
        <v>0</v>
      </c>
      <c r="AD56" s="8">
        <f>IFERROR(AC56/AC444, "NA")</f>
        <v>0</v>
      </c>
    </row>
    <row r="57" spans="1:30" ht="16.5" hidden="1" customHeight="1" x14ac:dyDescent="0.45">
      <c r="A57" s="17" t="s">
        <v>55</v>
      </c>
      <c r="B57" s="7">
        <v>0</v>
      </c>
      <c r="C57" s="8">
        <f>IFERROR(B57/B444, "NA")</f>
        <v>0</v>
      </c>
      <c r="D57" s="9"/>
      <c r="E57" s="7">
        <v>0</v>
      </c>
      <c r="F57" s="8">
        <f>IFERROR(E57/E444, "NA")</f>
        <v>0</v>
      </c>
      <c r="G57" s="9"/>
      <c r="H57" s="10">
        <f t="shared" si="12"/>
        <v>0</v>
      </c>
      <c r="I57" s="8">
        <f>IFERROR(H57/H444, "NA")</f>
        <v>0</v>
      </c>
      <c r="J57" s="9"/>
      <c r="K57" s="7">
        <v>0</v>
      </c>
      <c r="L57" s="8">
        <f>IFERROR(K57/K444, "NA")</f>
        <v>0</v>
      </c>
      <c r="M57" s="9"/>
      <c r="N57" s="10">
        <f t="shared" si="13"/>
        <v>0</v>
      </c>
      <c r="O57" s="8">
        <f>IFERROR(N57/N444, "NA")</f>
        <v>0</v>
      </c>
      <c r="P57" s="9"/>
      <c r="Q57" s="7">
        <v>0</v>
      </c>
      <c r="R57" s="8">
        <f>IFERROR(Q57/Q444, "NA")</f>
        <v>0</v>
      </c>
      <c r="S57" s="9"/>
      <c r="T57" s="7">
        <v>0</v>
      </c>
      <c r="U57" s="8">
        <f>IFERROR(T57/T444, "NA")</f>
        <v>0</v>
      </c>
      <c r="V57" s="9"/>
      <c r="W57" s="10">
        <f t="shared" si="14"/>
        <v>0</v>
      </c>
      <c r="X57" s="8">
        <f>IFERROR(W57/W444, "NA")</f>
        <v>0</v>
      </c>
      <c r="Y57" s="9"/>
      <c r="Z57" s="7">
        <v>0</v>
      </c>
      <c r="AA57" s="8">
        <f>IFERROR(Z57/Z444, "NA")</f>
        <v>0</v>
      </c>
      <c r="AB57" s="9"/>
      <c r="AC57" s="10">
        <f t="shared" si="15"/>
        <v>0</v>
      </c>
      <c r="AD57" s="8">
        <f>IFERROR(AC57/AC444, "NA")</f>
        <v>0</v>
      </c>
    </row>
    <row r="58" spans="1:30" ht="16.5" hidden="1" customHeight="1" x14ac:dyDescent="0.45">
      <c r="A58" s="17" t="s">
        <v>56</v>
      </c>
      <c r="B58" s="7">
        <v>0</v>
      </c>
      <c r="C58" s="8">
        <f>IFERROR(B58/B444, "NA")</f>
        <v>0</v>
      </c>
      <c r="D58" s="9"/>
      <c r="E58" s="7">
        <v>0</v>
      </c>
      <c r="F58" s="8">
        <f>IFERROR(E58/E444, "NA")</f>
        <v>0</v>
      </c>
      <c r="G58" s="9"/>
      <c r="H58" s="10">
        <f t="shared" si="12"/>
        <v>0</v>
      </c>
      <c r="I58" s="8">
        <f>IFERROR(H58/H444, "NA")</f>
        <v>0</v>
      </c>
      <c r="J58" s="9"/>
      <c r="K58" s="7">
        <v>0</v>
      </c>
      <c r="L58" s="8">
        <f>IFERROR(K58/K444, "NA")</f>
        <v>0</v>
      </c>
      <c r="M58" s="9"/>
      <c r="N58" s="10">
        <f t="shared" si="13"/>
        <v>0</v>
      </c>
      <c r="O58" s="8">
        <f>IFERROR(N58/N444, "NA")</f>
        <v>0</v>
      </c>
      <c r="P58" s="9"/>
      <c r="Q58" s="7">
        <v>0</v>
      </c>
      <c r="R58" s="8">
        <f>IFERROR(Q58/Q444, "NA")</f>
        <v>0</v>
      </c>
      <c r="S58" s="9"/>
      <c r="T58" s="7">
        <v>0</v>
      </c>
      <c r="U58" s="8">
        <f>IFERROR(T58/T444, "NA")</f>
        <v>0</v>
      </c>
      <c r="V58" s="9"/>
      <c r="W58" s="10">
        <f t="shared" si="14"/>
        <v>0</v>
      </c>
      <c r="X58" s="8">
        <f>IFERROR(W58/W444, "NA")</f>
        <v>0</v>
      </c>
      <c r="Y58" s="9"/>
      <c r="Z58" s="7">
        <v>0</v>
      </c>
      <c r="AA58" s="8">
        <f>IFERROR(Z58/Z444, "NA")</f>
        <v>0</v>
      </c>
      <c r="AB58" s="9"/>
      <c r="AC58" s="10">
        <f t="shared" si="15"/>
        <v>0</v>
      </c>
      <c r="AD58" s="8">
        <f>IFERROR(AC58/AC444, "NA")</f>
        <v>0</v>
      </c>
    </row>
    <row r="59" spans="1:30" ht="16.5" hidden="1" customHeight="1" x14ac:dyDescent="0.45">
      <c r="A59" s="17" t="s">
        <v>57</v>
      </c>
      <c r="B59" s="7">
        <v>0</v>
      </c>
      <c r="C59" s="8">
        <f>IFERROR(B59/B444, "NA")</f>
        <v>0</v>
      </c>
      <c r="D59" s="9"/>
      <c r="E59" s="7">
        <v>0</v>
      </c>
      <c r="F59" s="8">
        <f>IFERROR(E59/E444, "NA")</f>
        <v>0</v>
      </c>
      <c r="G59" s="9"/>
      <c r="H59" s="10">
        <f t="shared" si="12"/>
        <v>0</v>
      </c>
      <c r="I59" s="8">
        <f>IFERROR(H59/H444, "NA")</f>
        <v>0</v>
      </c>
      <c r="J59" s="9"/>
      <c r="K59" s="7">
        <v>0</v>
      </c>
      <c r="L59" s="8">
        <f>IFERROR(K59/K444, "NA")</f>
        <v>0</v>
      </c>
      <c r="M59" s="9"/>
      <c r="N59" s="10">
        <f t="shared" si="13"/>
        <v>0</v>
      </c>
      <c r="O59" s="8">
        <f>IFERROR(N59/N444, "NA")</f>
        <v>0</v>
      </c>
      <c r="P59" s="9"/>
      <c r="Q59" s="7">
        <v>0</v>
      </c>
      <c r="R59" s="8">
        <f>IFERROR(Q59/Q444, "NA")</f>
        <v>0</v>
      </c>
      <c r="S59" s="9"/>
      <c r="T59" s="7">
        <v>0</v>
      </c>
      <c r="U59" s="8">
        <f>IFERROR(T59/T444, "NA")</f>
        <v>0</v>
      </c>
      <c r="V59" s="9"/>
      <c r="W59" s="10">
        <f t="shared" si="14"/>
        <v>0</v>
      </c>
      <c r="X59" s="8">
        <f>IFERROR(W59/W444, "NA")</f>
        <v>0</v>
      </c>
      <c r="Y59" s="9"/>
      <c r="Z59" s="7">
        <v>0</v>
      </c>
      <c r="AA59" s="8">
        <f>IFERROR(Z59/Z444, "NA")</f>
        <v>0</v>
      </c>
      <c r="AB59" s="9"/>
      <c r="AC59" s="10">
        <f t="shared" si="15"/>
        <v>0</v>
      </c>
      <c r="AD59" s="8">
        <f>IFERROR(AC59/AC444, "NA")</f>
        <v>0</v>
      </c>
    </row>
    <row r="60" spans="1:30" ht="16.5" hidden="1" customHeight="1" x14ac:dyDescent="0.45">
      <c r="A60" s="17" t="s">
        <v>58</v>
      </c>
      <c r="B60" s="7">
        <v>0</v>
      </c>
      <c r="C60" s="8">
        <f>IFERROR(B60/B444, "NA")</f>
        <v>0</v>
      </c>
      <c r="D60" s="9"/>
      <c r="E60" s="7">
        <v>0</v>
      </c>
      <c r="F60" s="8">
        <f>IFERROR(E60/E444, "NA")</f>
        <v>0</v>
      </c>
      <c r="G60" s="9"/>
      <c r="H60" s="10">
        <f t="shared" si="12"/>
        <v>0</v>
      </c>
      <c r="I60" s="8">
        <f>IFERROR(H60/H444, "NA")</f>
        <v>0</v>
      </c>
      <c r="J60" s="9"/>
      <c r="K60" s="7">
        <v>0</v>
      </c>
      <c r="L60" s="8">
        <f>IFERROR(K60/K444, "NA")</f>
        <v>0</v>
      </c>
      <c r="M60" s="9"/>
      <c r="N60" s="10">
        <f t="shared" si="13"/>
        <v>0</v>
      </c>
      <c r="O60" s="8">
        <f>IFERROR(N60/N444, "NA")</f>
        <v>0</v>
      </c>
      <c r="P60" s="9"/>
      <c r="Q60" s="7">
        <v>0</v>
      </c>
      <c r="R60" s="8">
        <f>IFERROR(Q60/Q444, "NA")</f>
        <v>0</v>
      </c>
      <c r="S60" s="9"/>
      <c r="T60" s="7">
        <v>0</v>
      </c>
      <c r="U60" s="8">
        <f>IFERROR(T60/T444, "NA")</f>
        <v>0</v>
      </c>
      <c r="V60" s="9"/>
      <c r="W60" s="10">
        <f t="shared" si="14"/>
        <v>0</v>
      </c>
      <c r="X60" s="8">
        <f>IFERROR(W60/W444, "NA")</f>
        <v>0</v>
      </c>
      <c r="Y60" s="9"/>
      <c r="Z60" s="7">
        <v>0</v>
      </c>
      <c r="AA60" s="8">
        <f>IFERROR(Z60/Z444, "NA")</f>
        <v>0</v>
      </c>
      <c r="AB60" s="9"/>
      <c r="AC60" s="10">
        <f t="shared" si="15"/>
        <v>0</v>
      </c>
      <c r="AD60" s="8">
        <f>IFERROR(AC60/AC444, "NA")</f>
        <v>0</v>
      </c>
    </row>
    <row r="61" spans="1:30" ht="16.5" customHeight="1" x14ac:dyDescent="0.45">
      <c r="A61" s="18" t="s">
        <v>59</v>
      </c>
      <c r="B61" s="14">
        <f>IFERROR(B46+B47+B48+B49+B50+B51+B52+B53+B54+B55+B56+B57+B58+B59+B60, "NA")</f>
        <v>10366.44</v>
      </c>
      <c r="C61" s="15">
        <f>IFERROR(B61/B444, "NA")</f>
        <v>0.14269114033819916</v>
      </c>
      <c r="D61" s="2"/>
      <c r="E61" s="14">
        <f>IFERROR(E46+E47+E48+E49+E50+E51+E52+E53+E54+E55+E56+E57+E58+E59+E60, "NA")</f>
        <v>0</v>
      </c>
      <c r="F61" s="15">
        <f>IFERROR(E61/E444, "NA")</f>
        <v>0</v>
      </c>
      <c r="G61" s="2"/>
      <c r="H61" s="14">
        <f t="shared" si="12"/>
        <v>10366.44</v>
      </c>
      <c r="I61" s="15">
        <f>IFERROR(H61/H444, "NA")</f>
        <v>-3.4497763697353636</v>
      </c>
      <c r="J61" s="2"/>
      <c r="K61" s="14">
        <f>IFERROR(K46+K47+K48+K49+K50+K51+K52+K53+K54+K55+K56+K57+K58+K59+K60, "NA")</f>
        <v>13090.46</v>
      </c>
      <c r="L61" s="15">
        <f>IFERROR(K61/K444, "NA")</f>
        <v>0.17951815126663501</v>
      </c>
      <c r="M61" s="2"/>
      <c r="N61" s="14">
        <f t="shared" si="13"/>
        <v>-2724.0199999999986</v>
      </c>
      <c r="O61" s="15">
        <f>IFERROR(N61/N444, "NA")</f>
        <v>10.071058858326086</v>
      </c>
      <c r="P61" s="2"/>
      <c r="Q61" s="14">
        <f>IFERROR(Q46+Q47+Q48+Q49+Q50+Q51+Q52+Q53+Q54+Q55+Q56+Q57+Q58+Q59+Q60, "NA")</f>
        <v>10366.44</v>
      </c>
      <c r="R61" s="15">
        <f>IFERROR(Q61/Q444, "NA")</f>
        <v>0.14269114033819916</v>
      </c>
      <c r="S61" s="2"/>
      <c r="T61" s="14">
        <f>IFERROR(T46+T47+T48+T49+T50+T51+T52+T53+T54+T55+T56+T57+T58+T59+T60, "NA")</f>
        <v>0</v>
      </c>
      <c r="U61" s="15">
        <f>IFERROR(T61/T444, "NA")</f>
        <v>0</v>
      </c>
      <c r="V61" s="2"/>
      <c r="W61" s="14">
        <f t="shared" si="14"/>
        <v>10366.44</v>
      </c>
      <c r="X61" s="15">
        <f>IFERROR(W61/W444, "NA")</f>
        <v>-3.4497763697353636</v>
      </c>
      <c r="Y61" s="2"/>
      <c r="Z61" s="14">
        <f>IFERROR(Z46+Z47+Z48+Z49+Z50+Z51+Z52+Z53+Z54+Z55+Z56+Z57+Z58+Z59+Z60, "NA")</f>
        <v>13090.46</v>
      </c>
      <c r="AA61" s="15">
        <f>IFERROR(Z61/Z444, "NA")</f>
        <v>0.17951815126663501</v>
      </c>
      <c r="AB61" s="2"/>
      <c r="AC61" s="14">
        <f t="shared" si="15"/>
        <v>-2724.0199999999986</v>
      </c>
      <c r="AD61" s="15">
        <f>IFERROR(AC61/AC444, "NA")</f>
        <v>10.071058858326086</v>
      </c>
    </row>
    <row r="62" spans="1:30" ht="16.5" customHeight="1" x14ac:dyDescent="0.45">
      <c r="A62" s="13" t="s">
        <v>60</v>
      </c>
      <c r="B62" s="14">
        <f>IFERROR(B42+B43+B44+B46+B47+B48+B49+B50+B51+B52+B53+B54+B55+B56+B57+B58+B59+B60, "NA")</f>
        <v>12125.37</v>
      </c>
      <c r="C62" s="15">
        <f>IFERROR(B62/B444, "NA")</f>
        <v>0.16690231866702457</v>
      </c>
      <c r="D62" s="2"/>
      <c r="E62" s="14">
        <f>IFERROR(E42+E43+E44+E46+E47+E48+E49+E50+E51+E52+E53+E54+E55+E56+E57+E58+E59+E60, "NA")</f>
        <v>14374.35</v>
      </c>
      <c r="F62" s="15">
        <f>IFERROR(E62/E444, "NA")</f>
        <v>0.19000003436677756</v>
      </c>
      <c r="G62" s="2"/>
      <c r="H62" s="14">
        <f t="shared" si="12"/>
        <v>-2248.9799999999996</v>
      </c>
      <c r="I62" s="15">
        <f>IFERROR(H62/H444, "NA")</f>
        <v>0.74842260795484628</v>
      </c>
      <c r="J62" s="2"/>
      <c r="K62" s="14">
        <f>IFERROR(K42+K43+K44+K46+K47+K48+K49+K50+K51+K52+K53+K54+K55+K56+K57+K58+K59+K60, "NA")</f>
        <v>15681.599999999999</v>
      </c>
      <c r="L62" s="15">
        <f>IFERROR(K62/K444, "NA")</f>
        <v>0.21505217088649778</v>
      </c>
      <c r="M62" s="2"/>
      <c r="N62" s="14">
        <f t="shared" si="13"/>
        <v>-3556.2299999999977</v>
      </c>
      <c r="O62" s="15">
        <f>IFERROR(N62/N444, "NA")</f>
        <v>13.14784826974287</v>
      </c>
      <c r="P62" s="2"/>
      <c r="Q62" s="14">
        <f>IFERROR(Q42+Q43+Q44+Q46+Q47+Q48+Q49+Q50+Q51+Q52+Q53+Q54+Q55+Q56+Q57+Q58+Q59+Q60, "NA")</f>
        <v>12125.37</v>
      </c>
      <c r="R62" s="15">
        <f>IFERROR(Q62/Q444, "NA")</f>
        <v>0.16690231866702457</v>
      </c>
      <c r="S62" s="2"/>
      <c r="T62" s="14">
        <f>IFERROR(T42+T43+T44+T46+T47+T48+T49+T50+T51+T52+T53+T54+T55+T56+T57+T58+T59+T60, "NA")</f>
        <v>14374.35</v>
      </c>
      <c r="U62" s="15">
        <f>IFERROR(T62/T444, "NA")</f>
        <v>0.19000003436677756</v>
      </c>
      <c r="V62" s="2"/>
      <c r="W62" s="14">
        <f t="shared" si="14"/>
        <v>-2248.9799999999996</v>
      </c>
      <c r="X62" s="15">
        <f>IFERROR(W62/W444, "NA")</f>
        <v>0.74842260795484628</v>
      </c>
      <c r="Y62" s="2"/>
      <c r="Z62" s="14">
        <f>IFERROR(Z42+Z43+Z44+Z46+Z47+Z48+Z49+Z50+Z51+Z52+Z53+Z54+Z55+Z56+Z57+Z58+Z59+Z60, "NA")</f>
        <v>15681.599999999999</v>
      </c>
      <c r="AA62" s="15">
        <f>IFERROR(Z62/Z444, "NA")</f>
        <v>0.21505217088649778</v>
      </c>
      <c r="AB62" s="2"/>
      <c r="AC62" s="14">
        <f t="shared" si="15"/>
        <v>-3556.2299999999977</v>
      </c>
      <c r="AD62" s="15">
        <f>IFERROR(AC62/AC444, "NA")</f>
        <v>13.14784826974287</v>
      </c>
    </row>
    <row r="63" spans="1:30" ht="16.5" customHeight="1" x14ac:dyDescent="0.45">
      <c r="A63" s="11" t="s">
        <v>61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45">
      <c r="A64" s="12" t="s">
        <v>61</v>
      </c>
      <c r="B64" s="7">
        <v>0</v>
      </c>
      <c r="C64" s="8">
        <f>IFERROR(B64/B444, "NA")</f>
        <v>0</v>
      </c>
      <c r="D64" s="9"/>
      <c r="E64" s="7">
        <v>3101.83</v>
      </c>
      <c r="F64" s="8">
        <f>IFERROR(E64/E444, "NA")</f>
        <v>4.0999962196544656E-2</v>
      </c>
      <c r="G64" s="9"/>
      <c r="H64" s="10">
        <f t="shared" ref="H64:H73" si="16">IFERROR(B64-E64, "NA")</f>
        <v>-3101.83</v>
      </c>
      <c r="I64" s="8">
        <f>IFERROR(H64/H444, "NA")</f>
        <v>1.0322367019860474</v>
      </c>
      <c r="J64" s="9"/>
      <c r="K64" s="7">
        <v>0</v>
      </c>
      <c r="L64" s="8">
        <f>IFERROR(K64/K444, "NA")</f>
        <v>0</v>
      </c>
      <c r="M64" s="9"/>
      <c r="N64" s="10">
        <f t="shared" ref="N64:N73" si="17">IFERROR(B64-K64, "NA")</f>
        <v>0</v>
      </c>
      <c r="O64" s="8">
        <f>IFERROR(N64/N444, "NA")</f>
        <v>0</v>
      </c>
      <c r="P64" s="9"/>
      <c r="Q64" s="7">
        <v>0</v>
      </c>
      <c r="R64" s="8">
        <f>IFERROR(Q64/Q444, "NA")</f>
        <v>0</v>
      </c>
      <c r="S64" s="9"/>
      <c r="T64" s="7">
        <v>3101.83</v>
      </c>
      <c r="U64" s="8">
        <f>IFERROR(T64/T444, "NA")</f>
        <v>4.0999962196544656E-2</v>
      </c>
      <c r="V64" s="9"/>
      <c r="W64" s="10">
        <f t="shared" ref="W64:W73" si="18">IFERROR(Q64-T64, "NA")</f>
        <v>-3101.83</v>
      </c>
      <c r="X64" s="8">
        <f>IFERROR(W64/W444, "NA")</f>
        <v>1.0322367019860474</v>
      </c>
      <c r="Y64" s="9"/>
      <c r="Z64" s="7">
        <v>0</v>
      </c>
      <c r="AA64" s="8">
        <f>IFERROR(Z64/Z444, "NA")</f>
        <v>0</v>
      </c>
      <c r="AB64" s="9"/>
      <c r="AC64" s="10">
        <f t="shared" ref="AC64:AC73" si="19">IFERROR(Q64-Z64, "NA")</f>
        <v>0</v>
      </c>
      <c r="AD64" s="8">
        <f>IFERROR(AC64/AC444, "NA")</f>
        <v>0</v>
      </c>
    </row>
    <row r="65" spans="1:30" ht="16.5" customHeight="1" x14ac:dyDescent="0.45">
      <c r="A65" s="12" t="s">
        <v>62</v>
      </c>
      <c r="B65" s="7">
        <v>1078.77</v>
      </c>
      <c r="C65" s="8">
        <f>IFERROR(B65/B444, "NA")</f>
        <v>1.4848966613672496E-2</v>
      </c>
      <c r="D65" s="9"/>
      <c r="E65" s="7">
        <v>0</v>
      </c>
      <c r="F65" s="8">
        <f>IFERROR(E65/E444, "NA")</f>
        <v>0</v>
      </c>
      <c r="G65" s="9"/>
      <c r="H65" s="10">
        <f t="shared" si="16"/>
        <v>1078.77</v>
      </c>
      <c r="I65" s="8">
        <f>IFERROR(H65/H444, "NA")</f>
        <v>-0.35899645918747591</v>
      </c>
      <c r="J65" s="9"/>
      <c r="K65" s="7">
        <v>0</v>
      </c>
      <c r="L65" s="8">
        <f>IFERROR(K65/K444, "NA")</f>
        <v>0</v>
      </c>
      <c r="M65" s="9"/>
      <c r="N65" s="10">
        <f t="shared" si="17"/>
        <v>1078.77</v>
      </c>
      <c r="O65" s="8">
        <f>IFERROR(N65/N444, "NA")</f>
        <v>-3.9883540372671407</v>
      </c>
      <c r="P65" s="9"/>
      <c r="Q65" s="7">
        <v>1078.77</v>
      </c>
      <c r="R65" s="8">
        <f>IFERROR(Q65/Q444, "NA")</f>
        <v>1.4848966613672496E-2</v>
      </c>
      <c r="S65" s="9"/>
      <c r="T65" s="7">
        <v>0</v>
      </c>
      <c r="U65" s="8">
        <f>IFERROR(T65/T444, "NA")</f>
        <v>0</v>
      </c>
      <c r="V65" s="9"/>
      <c r="W65" s="10">
        <f t="shared" si="18"/>
        <v>1078.77</v>
      </c>
      <c r="X65" s="8">
        <f>IFERROR(W65/W444, "NA")</f>
        <v>-0.35899645918747591</v>
      </c>
      <c r="Y65" s="9"/>
      <c r="Z65" s="7">
        <v>0</v>
      </c>
      <c r="AA65" s="8">
        <f>IFERROR(Z65/Z444, "NA")</f>
        <v>0</v>
      </c>
      <c r="AB65" s="9"/>
      <c r="AC65" s="10">
        <f t="shared" si="19"/>
        <v>1078.77</v>
      </c>
      <c r="AD65" s="8">
        <f>IFERROR(AC65/AC444, "NA")</f>
        <v>-3.9883540372671407</v>
      </c>
    </row>
    <row r="66" spans="1:30" ht="16.5" hidden="1" customHeight="1" x14ac:dyDescent="0.45">
      <c r="A66" s="12" t="s">
        <v>63</v>
      </c>
      <c r="B66" s="7">
        <v>0</v>
      </c>
      <c r="C66" s="8">
        <f>IFERROR(B66/B444, "NA")</f>
        <v>0</v>
      </c>
      <c r="D66" s="9"/>
      <c r="E66" s="7">
        <v>0</v>
      </c>
      <c r="F66" s="8">
        <f>IFERROR(E66/E444, "NA")</f>
        <v>0</v>
      </c>
      <c r="G66" s="9"/>
      <c r="H66" s="10">
        <f t="shared" si="16"/>
        <v>0</v>
      </c>
      <c r="I66" s="8">
        <f>IFERROR(H66/H444, "NA")</f>
        <v>0</v>
      </c>
      <c r="J66" s="9"/>
      <c r="K66" s="7">
        <v>0</v>
      </c>
      <c r="L66" s="8">
        <f>IFERROR(K66/K444, "NA")</f>
        <v>0</v>
      </c>
      <c r="M66" s="9"/>
      <c r="N66" s="10">
        <f t="shared" si="17"/>
        <v>0</v>
      </c>
      <c r="O66" s="8">
        <f>IFERROR(N66/N444, "NA")</f>
        <v>0</v>
      </c>
      <c r="P66" s="9"/>
      <c r="Q66" s="7">
        <v>0</v>
      </c>
      <c r="R66" s="8">
        <f>IFERROR(Q66/Q444, "NA")</f>
        <v>0</v>
      </c>
      <c r="S66" s="9"/>
      <c r="T66" s="7">
        <v>0</v>
      </c>
      <c r="U66" s="8">
        <f>IFERROR(T66/T444, "NA")</f>
        <v>0</v>
      </c>
      <c r="V66" s="9"/>
      <c r="W66" s="10">
        <f t="shared" si="18"/>
        <v>0</v>
      </c>
      <c r="X66" s="8">
        <f>IFERROR(W66/W444, "NA")</f>
        <v>0</v>
      </c>
      <c r="Y66" s="9"/>
      <c r="Z66" s="7">
        <v>0</v>
      </c>
      <c r="AA66" s="8">
        <f>IFERROR(Z66/Z444, "NA")</f>
        <v>0</v>
      </c>
      <c r="AB66" s="9"/>
      <c r="AC66" s="10">
        <f t="shared" si="19"/>
        <v>0</v>
      </c>
      <c r="AD66" s="8">
        <f>IFERROR(AC66/AC444, "NA")</f>
        <v>0</v>
      </c>
    </row>
    <row r="67" spans="1:30" ht="16.5" hidden="1" customHeight="1" x14ac:dyDescent="0.45">
      <c r="A67" s="12" t="s">
        <v>64</v>
      </c>
      <c r="B67" s="7">
        <v>0</v>
      </c>
      <c r="C67" s="8">
        <f>IFERROR(B67/B444, "NA")</f>
        <v>0</v>
      </c>
      <c r="D67" s="9"/>
      <c r="E67" s="7">
        <v>0</v>
      </c>
      <c r="F67" s="8">
        <f>IFERROR(E67/E444, "NA")</f>
        <v>0</v>
      </c>
      <c r="G67" s="9"/>
      <c r="H67" s="10">
        <f t="shared" si="16"/>
        <v>0</v>
      </c>
      <c r="I67" s="8">
        <f>IFERROR(H67/H444, "NA")</f>
        <v>0</v>
      </c>
      <c r="J67" s="9"/>
      <c r="K67" s="7">
        <v>0</v>
      </c>
      <c r="L67" s="8">
        <f>IFERROR(K67/K444, "NA")</f>
        <v>0</v>
      </c>
      <c r="M67" s="9"/>
      <c r="N67" s="10">
        <f t="shared" si="17"/>
        <v>0</v>
      </c>
      <c r="O67" s="8">
        <f>IFERROR(N67/N444, "NA")</f>
        <v>0</v>
      </c>
      <c r="P67" s="9"/>
      <c r="Q67" s="7">
        <v>0</v>
      </c>
      <c r="R67" s="8">
        <f>IFERROR(Q67/Q444, "NA")</f>
        <v>0</v>
      </c>
      <c r="S67" s="9"/>
      <c r="T67" s="7">
        <v>0</v>
      </c>
      <c r="U67" s="8">
        <f>IFERROR(T67/T444, "NA")</f>
        <v>0</v>
      </c>
      <c r="V67" s="9"/>
      <c r="W67" s="10">
        <f t="shared" si="18"/>
        <v>0</v>
      </c>
      <c r="X67" s="8">
        <f>IFERROR(W67/W444, "NA")</f>
        <v>0</v>
      </c>
      <c r="Y67" s="9"/>
      <c r="Z67" s="7">
        <v>0</v>
      </c>
      <c r="AA67" s="8">
        <f>IFERROR(Z67/Z444, "NA")</f>
        <v>0</v>
      </c>
      <c r="AB67" s="9"/>
      <c r="AC67" s="10">
        <f t="shared" si="19"/>
        <v>0</v>
      </c>
      <c r="AD67" s="8">
        <f>IFERROR(AC67/AC444, "NA")</f>
        <v>0</v>
      </c>
    </row>
    <row r="68" spans="1:30" ht="16.5" hidden="1" customHeight="1" x14ac:dyDescent="0.45">
      <c r="A68" s="12" t="s">
        <v>65</v>
      </c>
      <c r="B68" s="7">
        <v>0</v>
      </c>
      <c r="C68" s="8">
        <f>IFERROR(B68/B444, "NA")</f>
        <v>0</v>
      </c>
      <c r="D68" s="9"/>
      <c r="E68" s="7">
        <v>0</v>
      </c>
      <c r="F68" s="8">
        <f>IFERROR(E68/E444, "NA")</f>
        <v>0</v>
      </c>
      <c r="G68" s="9"/>
      <c r="H68" s="10">
        <f t="shared" si="16"/>
        <v>0</v>
      </c>
      <c r="I68" s="8">
        <f>IFERROR(H68/H444, "NA")</f>
        <v>0</v>
      </c>
      <c r="J68" s="9"/>
      <c r="K68" s="7">
        <v>0</v>
      </c>
      <c r="L68" s="8">
        <f>IFERROR(K68/K444, "NA")</f>
        <v>0</v>
      </c>
      <c r="M68" s="9"/>
      <c r="N68" s="10">
        <f t="shared" si="17"/>
        <v>0</v>
      </c>
      <c r="O68" s="8">
        <f>IFERROR(N68/N444, "NA")</f>
        <v>0</v>
      </c>
      <c r="P68" s="9"/>
      <c r="Q68" s="7">
        <v>0</v>
      </c>
      <c r="R68" s="8">
        <f>IFERROR(Q68/Q444, "NA")</f>
        <v>0</v>
      </c>
      <c r="S68" s="9"/>
      <c r="T68" s="7">
        <v>0</v>
      </c>
      <c r="U68" s="8">
        <f>IFERROR(T68/T444, "NA")</f>
        <v>0</v>
      </c>
      <c r="V68" s="9"/>
      <c r="W68" s="10">
        <f t="shared" si="18"/>
        <v>0</v>
      </c>
      <c r="X68" s="8">
        <f>IFERROR(W68/W444, "NA")</f>
        <v>0</v>
      </c>
      <c r="Y68" s="9"/>
      <c r="Z68" s="7">
        <v>0</v>
      </c>
      <c r="AA68" s="8">
        <f>IFERROR(Z68/Z444, "NA")</f>
        <v>0</v>
      </c>
      <c r="AB68" s="9"/>
      <c r="AC68" s="10">
        <f t="shared" si="19"/>
        <v>0</v>
      </c>
      <c r="AD68" s="8">
        <f>IFERROR(AC68/AC444, "NA")</f>
        <v>0</v>
      </c>
    </row>
    <row r="69" spans="1:30" ht="16.5" hidden="1" customHeight="1" x14ac:dyDescent="0.45">
      <c r="A69" s="12" t="s">
        <v>66</v>
      </c>
      <c r="B69" s="7">
        <v>0</v>
      </c>
      <c r="C69" s="8">
        <f>IFERROR(B69/B444, "NA")</f>
        <v>0</v>
      </c>
      <c r="D69" s="9"/>
      <c r="E69" s="7">
        <v>0</v>
      </c>
      <c r="F69" s="8">
        <f>IFERROR(E69/E444, "NA")</f>
        <v>0</v>
      </c>
      <c r="G69" s="9"/>
      <c r="H69" s="10">
        <f t="shared" si="16"/>
        <v>0</v>
      </c>
      <c r="I69" s="8">
        <f>IFERROR(H69/H444, "NA")</f>
        <v>0</v>
      </c>
      <c r="J69" s="9"/>
      <c r="K69" s="7">
        <v>0</v>
      </c>
      <c r="L69" s="8">
        <f>IFERROR(K69/K444, "NA")</f>
        <v>0</v>
      </c>
      <c r="M69" s="9"/>
      <c r="N69" s="10">
        <f t="shared" si="17"/>
        <v>0</v>
      </c>
      <c r="O69" s="8">
        <f>IFERROR(N69/N444, "NA")</f>
        <v>0</v>
      </c>
      <c r="P69" s="9"/>
      <c r="Q69" s="7">
        <v>0</v>
      </c>
      <c r="R69" s="8">
        <f>IFERROR(Q69/Q444, "NA")</f>
        <v>0</v>
      </c>
      <c r="S69" s="9"/>
      <c r="T69" s="7">
        <v>0</v>
      </c>
      <c r="U69" s="8">
        <f>IFERROR(T69/T444, "NA")</f>
        <v>0</v>
      </c>
      <c r="V69" s="9"/>
      <c r="W69" s="10">
        <f t="shared" si="18"/>
        <v>0</v>
      </c>
      <c r="X69" s="8">
        <f>IFERROR(W69/W444, "NA")</f>
        <v>0</v>
      </c>
      <c r="Y69" s="9"/>
      <c r="Z69" s="7">
        <v>0</v>
      </c>
      <c r="AA69" s="8">
        <f>IFERROR(Z69/Z444, "NA")</f>
        <v>0</v>
      </c>
      <c r="AB69" s="9"/>
      <c r="AC69" s="10">
        <f t="shared" si="19"/>
        <v>0</v>
      </c>
      <c r="AD69" s="8">
        <f>IFERROR(AC69/AC444, "NA")</f>
        <v>0</v>
      </c>
    </row>
    <row r="70" spans="1:30" ht="16.5" hidden="1" customHeight="1" x14ac:dyDescent="0.45">
      <c r="A70" s="12" t="s">
        <v>67</v>
      </c>
      <c r="B70" s="7">
        <v>0</v>
      </c>
      <c r="C70" s="8">
        <f>IFERROR(B70/B444, "NA")</f>
        <v>0</v>
      </c>
      <c r="D70" s="9"/>
      <c r="E70" s="7">
        <v>0</v>
      </c>
      <c r="F70" s="8">
        <f>IFERROR(E70/E444, "NA")</f>
        <v>0</v>
      </c>
      <c r="G70" s="9"/>
      <c r="H70" s="10">
        <f t="shared" si="16"/>
        <v>0</v>
      </c>
      <c r="I70" s="8">
        <f>IFERROR(H70/H444, "NA")</f>
        <v>0</v>
      </c>
      <c r="J70" s="9"/>
      <c r="K70" s="7">
        <v>0</v>
      </c>
      <c r="L70" s="8">
        <f>IFERROR(K70/K444, "NA")</f>
        <v>0</v>
      </c>
      <c r="M70" s="9"/>
      <c r="N70" s="10">
        <f t="shared" si="17"/>
        <v>0</v>
      </c>
      <c r="O70" s="8">
        <f>IFERROR(N70/N444, "NA")</f>
        <v>0</v>
      </c>
      <c r="P70" s="9"/>
      <c r="Q70" s="7">
        <v>0</v>
      </c>
      <c r="R70" s="8">
        <f>IFERROR(Q70/Q444, "NA")</f>
        <v>0</v>
      </c>
      <c r="S70" s="9"/>
      <c r="T70" s="7">
        <v>0</v>
      </c>
      <c r="U70" s="8">
        <f>IFERROR(T70/T444, "NA")</f>
        <v>0</v>
      </c>
      <c r="V70" s="9"/>
      <c r="W70" s="10">
        <f t="shared" si="18"/>
        <v>0</v>
      </c>
      <c r="X70" s="8">
        <f>IFERROR(W70/W444, "NA")</f>
        <v>0</v>
      </c>
      <c r="Y70" s="9"/>
      <c r="Z70" s="7">
        <v>0</v>
      </c>
      <c r="AA70" s="8">
        <f>IFERROR(Z70/Z444, "NA")</f>
        <v>0</v>
      </c>
      <c r="AB70" s="9"/>
      <c r="AC70" s="10">
        <f t="shared" si="19"/>
        <v>0</v>
      </c>
      <c r="AD70" s="8">
        <f>IFERROR(AC70/AC444, "NA")</f>
        <v>0</v>
      </c>
    </row>
    <row r="71" spans="1:30" ht="16.5" hidden="1" customHeight="1" x14ac:dyDescent="0.45">
      <c r="A71" s="12" t="s">
        <v>68</v>
      </c>
      <c r="B71" s="7">
        <v>0</v>
      </c>
      <c r="C71" s="8">
        <f>IFERROR(B71/B444, "NA")</f>
        <v>0</v>
      </c>
      <c r="D71" s="9"/>
      <c r="E71" s="7">
        <v>0</v>
      </c>
      <c r="F71" s="8">
        <f>IFERROR(E71/E444, "NA")</f>
        <v>0</v>
      </c>
      <c r="G71" s="9"/>
      <c r="H71" s="10">
        <f t="shared" si="16"/>
        <v>0</v>
      </c>
      <c r="I71" s="8">
        <f>IFERROR(H71/H444, "NA")</f>
        <v>0</v>
      </c>
      <c r="J71" s="9"/>
      <c r="K71" s="7">
        <v>0</v>
      </c>
      <c r="L71" s="8">
        <f>IFERROR(K71/K444, "NA")</f>
        <v>0</v>
      </c>
      <c r="M71" s="9"/>
      <c r="N71" s="10">
        <f t="shared" si="17"/>
        <v>0</v>
      </c>
      <c r="O71" s="8">
        <f>IFERROR(N71/N444, "NA")</f>
        <v>0</v>
      </c>
      <c r="P71" s="9"/>
      <c r="Q71" s="7">
        <v>0</v>
      </c>
      <c r="R71" s="8">
        <f>IFERROR(Q71/Q444, "NA")</f>
        <v>0</v>
      </c>
      <c r="S71" s="9"/>
      <c r="T71" s="7">
        <v>0</v>
      </c>
      <c r="U71" s="8">
        <f>IFERROR(T71/T444, "NA")</f>
        <v>0</v>
      </c>
      <c r="V71" s="9"/>
      <c r="W71" s="10">
        <f t="shared" si="18"/>
        <v>0</v>
      </c>
      <c r="X71" s="8">
        <f>IFERROR(W71/W444, "NA")</f>
        <v>0</v>
      </c>
      <c r="Y71" s="9"/>
      <c r="Z71" s="7">
        <v>0</v>
      </c>
      <c r="AA71" s="8">
        <f>IFERROR(Z71/Z444, "NA")</f>
        <v>0</v>
      </c>
      <c r="AB71" s="9"/>
      <c r="AC71" s="10">
        <f t="shared" si="19"/>
        <v>0</v>
      </c>
      <c r="AD71" s="8">
        <f>IFERROR(AC71/AC444, "NA")</f>
        <v>0</v>
      </c>
    </row>
    <row r="72" spans="1:30" ht="16.5" hidden="1" customHeight="1" x14ac:dyDescent="0.45">
      <c r="A72" s="12" t="s">
        <v>69</v>
      </c>
      <c r="B72" s="7">
        <v>0</v>
      </c>
      <c r="C72" s="8">
        <f>IFERROR(B72/B444, "NA")</f>
        <v>0</v>
      </c>
      <c r="D72" s="9"/>
      <c r="E72" s="7">
        <v>0</v>
      </c>
      <c r="F72" s="8">
        <f>IFERROR(E72/E444, "NA")</f>
        <v>0</v>
      </c>
      <c r="G72" s="9"/>
      <c r="H72" s="10">
        <f t="shared" si="16"/>
        <v>0</v>
      </c>
      <c r="I72" s="8">
        <f>IFERROR(H72/H444, "NA")</f>
        <v>0</v>
      </c>
      <c r="J72" s="9"/>
      <c r="K72" s="7">
        <v>0</v>
      </c>
      <c r="L72" s="8">
        <f>IFERROR(K72/K444, "NA")</f>
        <v>0</v>
      </c>
      <c r="M72" s="9"/>
      <c r="N72" s="10">
        <f t="shared" si="17"/>
        <v>0</v>
      </c>
      <c r="O72" s="8">
        <f>IFERROR(N72/N444, "NA")</f>
        <v>0</v>
      </c>
      <c r="P72" s="9"/>
      <c r="Q72" s="7">
        <v>0</v>
      </c>
      <c r="R72" s="8">
        <f>IFERROR(Q72/Q444, "NA")</f>
        <v>0</v>
      </c>
      <c r="S72" s="9"/>
      <c r="T72" s="7">
        <v>0</v>
      </c>
      <c r="U72" s="8">
        <f>IFERROR(T72/T444, "NA")</f>
        <v>0</v>
      </c>
      <c r="V72" s="9"/>
      <c r="W72" s="10">
        <f t="shared" si="18"/>
        <v>0</v>
      </c>
      <c r="X72" s="8">
        <f>IFERROR(W72/W444, "NA")</f>
        <v>0</v>
      </c>
      <c r="Y72" s="9"/>
      <c r="Z72" s="7">
        <v>0</v>
      </c>
      <c r="AA72" s="8">
        <f>IFERROR(Z72/Z444, "NA")</f>
        <v>0</v>
      </c>
      <c r="AB72" s="9"/>
      <c r="AC72" s="10">
        <f t="shared" si="19"/>
        <v>0</v>
      </c>
      <c r="AD72" s="8">
        <f>IFERROR(AC72/AC444, "NA")</f>
        <v>0</v>
      </c>
    </row>
    <row r="73" spans="1:30" ht="16.5" customHeight="1" x14ac:dyDescent="0.45">
      <c r="A73" s="13" t="s">
        <v>70</v>
      </c>
      <c r="B73" s="14">
        <f>IFERROR(B64+B65+B66+B67+B68+B69+B70+B71+B72, "NA")</f>
        <v>1078.77</v>
      </c>
      <c r="C73" s="15">
        <f>IFERROR(B73/B444, "NA")</f>
        <v>1.4848966613672496E-2</v>
      </c>
      <c r="D73" s="2"/>
      <c r="E73" s="14">
        <f>IFERROR(E64+E65+E66+E67+E68+E69+E70+E71+E72, "NA")</f>
        <v>3101.83</v>
      </c>
      <c r="F73" s="15">
        <f>IFERROR(E73/E444, "NA")</f>
        <v>4.0999962196544656E-2</v>
      </c>
      <c r="G73" s="2"/>
      <c r="H73" s="14">
        <f t="shared" si="16"/>
        <v>-2023.06</v>
      </c>
      <c r="I73" s="15">
        <f>IFERROR(H73/H444, "NA")</f>
        <v>0.67324024279857153</v>
      </c>
      <c r="J73" s="2"/>
      <c r="K73" s="14">
        <f>IFERROR(K64+K65+K66+K67+K68+K69+K70+K71+K72, "NA")</f>
        <v>0</v>
      </c>
      <c r="L73" s="15">
        <f>IFERROR(K73/K444, "NA")</f>
        <v>0</v>
      </c>
      <c r="M73" s="2"/>
      <c r="N73" s="14">
        <f t="shared" si="17"/>
        <v>1078.77</v>
      </c>
      <c r="O73" s="15">
        <f>IFERROR(N73/N444, "NA")</f>
        <v>-3.9883540372671407</v>
      </c>
      <c r="P73" s="2"/>
      <c r="Q73" s="14">
        <f>IFERROR(Q64+Q65+Q66+Q67+Q68+Q69+Q70+Q71+Q72, "NA")</f>
        <v>1078.77</v>
      </c>
      <c r="R73" s="15">
        <f>IFERROR(Q73/Q444, "NA")</f>
        <v>1.4848966613672496E-2</v>
      </c>
      <c r="S73" s="2"/>
      <c r="T73" s="14">
        <f>IFERROR(T64+T65+T66+T67+T68+T69+T70+T71+T72, "NA")</f>
        <v>3101.83</v>
      </c>
      <c r="U73" s="15">
        <f>IFERROR(T73/T444, "NA")</f>
        <v>4.0999962196544656E-2</v>
      </c>
      <c r="V73" s="2"/>
      <c r="W73" s="14">
        <f t="shared" si="18"/>
        <v>-2023.06</v>
      </c>
      <c r="X73" s="15">
        <f>IFERROR(W73/W444, "NA")</f>
        <v>0.67324024279857153</v>
      </c>
      <c r="Y73" s="2"/>
      <c r="Z73" s="14">
        <f>IFERROR(Z64+Z65+Z66+Z67+Z68+Z69+Z70+Z71+Z72, "NA")</f>
        <v>0</v>
      </c>
      <c r="AA73" s="15">
        <f>IFERROR(Z73/Z444, "NA")</f>
        <v>0</v>
      </c>
      <c r="AB73" s="2"/>
      <c r="AC73" s="14">
        <f t="shared" si="19"/>
        <v>1078.77</v>
      </c>
      <c r="AD73" s="15">
        <f>IFERROR(AC73/AC444, "NA")</f>
        <v>-3.9883540372671407</v>
      </c>
    </row>
    <row r="74" spans="1:30" ht="16.5" customHeight="1" x14ac:dyDescent="0.45">
      <c r="A74" s="11" t="s">
        <v>71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45">
      <c r="A75" s="12" t="s">
        <v>71</v>
      </c>
      <c r="B75" s="7">
        <v>0</v>
      </c>
      <c r="C75" s="8">
        <f>IFERROR(B75/B444, "NA")</f>
        <v>0</v>
      </c>
      <c r="D75" s="9"/>
      <c r="E75" s="7">
        <v>1059.1600000000001</v>
      </c>
      <c r="F75" s="8">
        <f>IFERROR(E75/E444, "NA")</f>
        <v>1.3999967748101038E-2</v>
      </c>
      <c r="G75" s="9"/>
      <c r="H75" s="10">
        <f t="shared" ref="H75:H92" si="20">IFERROR(B75-E75, "NA")</f>
        <v>-1059.1600000000001</v>
      </c>
      <c r="I75" s="8">
        <f>IFERROR(H75/H444, "NA")</f>
        <v>0.35247058197114034</v>
      </c>
      <c r="J75" s="9"/>
      <c r="K75" s="7">
        <v>0</v>
      </c>
      <c r="L75" s="8">
        <f>IFERROR(K75/K444, "NA")</f>
        <v>0</v>
      </c>
      <c r="M75" s="9"/>
      <c r="N75" s="10">
        <f t="shared" ref="N75:N92" si="21">IFERROR(B75-K75, "NA")</f>
        <v>0</v>
      </c>
      <c r="O75" s="8">
        <f>IFERROR(N75/N444, "NA")</f>
        <v>0</v>
      </c>
      <c r="P75" s="9"/>
      <c r="Q75" s="7">
        <v>0</v>
      </c>
      <c r="R75" s="8">
        <f>IFERROR(Q75/Q444, "NA")</f>
        <v>0</v>
      </c>
      <c r="S75" s="9"/>
      <c r="T75" s="7">
        <v>1059.1600000000001</v>
      </c>
      <c r="U75" s="8">
        <f>IFERROR(T75/T444, "NA")</f>
        <v>1.3999967748101038E-2</v>
      </c>
      <c r="V75" s="9"/>
      <c r="W75" s="10">
        <f t="shared" ref="W75:W92" si="22">IFERROR(Q75-T75, "NA")</f>
        <v>-1059.1600000000001</v>
      </c>
      <c r="X75" s="8">
        <f>IFERROR(W75/W444, "NA")</f>
        <v>0.35247058197114034</v>
      </c>
      <c r="Y75" s="9"/>
      <c r="Z75" s="7">
        <v>0</v>
      </c>
      <c r="AA75" s="8">
        <f>IFERROR(Z75/Z444, "NA")</f>
        <v>0</v>
      </c>
      <c r="AB75" s="9"/>
      <c r="AC75" s="10">
        <f t="shared" ref="AC75:AC92" si="23">IFERROR(Q75-Z75, "NA")</f>
        <v>0</v>
      </c>
      <c r="AD75" s="8">
        <f>IFERROR(AC75/AC444, "NA")</f>
        <v>0</v>
      </c>
    </row>
    <row r="76" spans="1:30" ht="16.5" hidden="1" customHeight="1" x14ac:dyDescent="0.45">
      <c r="A76" s="12" t="s">
        <v>72</v>
      </c>
      <c r="B76" s="7">
        <v>0</v>
      </c>
      <c r="C76" s="8">
        <f>IFERROR(B76/B444, "NA")</f>
        <v>0</v>
      </c>
      <c r="D76" s="9"/>
      <c r="E76" s="7">
        <v>0</v>
      </c>
      <c r="F76" s="8">
        <f>IFERROR(E76/E444, "NA")</f>
        <v>0</v>
      </c>
      <c r="G76" s="9"/>
      <c r="H76" s="10">
        <f t="shared" si="20"/>
        <v>0</v>
      </c>
      <c r="I76" s="8">
        <f>IFERROR(H76/H444, "NA")</f>
        <v>0</v>
      </c>
      <c r="J76" s="9"/>
      <c r="K76" s="7">
        <v>0</v>
      </c>
      <c r="L76" s="8">
        <f>IFERROR(K76/K444, "NA")</f>
        <v>0</v>
      </c>
      <c r="M76" s="9"/>
      <c r="N76" s="10">
        <f t="shared" si="21"/>
        <v>0</v>
      </c>
      <c r="O76" s="8">
        <f>IFERROR(N76/N444, "NA")</f>
        <v>0</v>
      </c>
      <c r="P76" s="9"/>
      <c r="Q76" s="7">
        <v>0</v>
      </c>
      <c r="R76" s="8">
        <f>IFERROR(Q76/Q444, "NA")</f>
        <v>0</v>
      </c>
      <c r="S76" s="9"/>
      <c r="T76" s="7">
        <v>0</v>
      </c>
      <c r="U76" s="8">
        <f>IFERROR(T76/T444, "NA")</f>
        <v>0</v>
      </c>
      <c r="V76" s="9"/>
      <c r="W76" s="10">
        <f t="shared" si="22"/>
        <v>0</v>
      </c>
      <c r="X76" s="8">
        <f>IFERROR(W76/W444, "NA")</f>
        <v>0</v>
      </c>
      <c r="Y76" s="9"/>
      <c r="Z76" s="7">
        <v>0</v>
      </c>
      <c r="AA76" s="8">
        <f>IFERROR(Z76/Z444, "NA")</f>
        <v>0</v>
      </c>
      <c r="AB76" s="9"/>
      <c r="AC76" s="10">
        <f t="shared" si="23"/>
        <v>0</v>
      </c>
      <c r="AD76" s="8">
        <f>IFERROR(AC76/AC444, "NA")</f>
        <v>0</v>
      </c>
    </row>
    <row r="77" spans="1:30" ht="16.5" customHeight="1" x14ac:dyDescent="0.45">
      <c r="A77" s="12" t="s">
        <v>73</v>
      </c>
      <c r="B77" s="7">
        <v>139.86000000000001</v>
      </c>
      <c r="C77" s="8">
        <f>IFERROR(B77/B444, "NA")</f>
        <v>1.9251336898395723E-3</v>
      </c>
      <c r="D77" s="9"/>
      <c r="E77" s="7">
        <v>0</v>
      </c>
      <c r="F77" s="8">
        <f>IFERROR(E77/E444, "NA")</f>
        <v>0</v>
      </c>
      <c r="G77" s="9"/>
      <c r="H77" s="10">
        <f t="shared" si="20"/>
        <v>139.86000000000001</v>
      </c>
      <c r="I77" s="8">
        <f>IFERROR(H77/H444, "NA")</f>
        <v>-4.6543048825941014E-2</v>
      </c>
      <c r="J77" s="9"/>
      <c r="K77" s="7">
        <v>260.16000000000003</v>
      </c>
      <c r="L77" s="8">
        <f>IFERROR(K77/K444, "NA")</f>
        <v>3.5677464530297462E-3</v>
      </c>
      <c r="M77" s="9"/>
      <c r="N77" s="10">
        <f t="shared" si="21"/>
        <v>-120.30000000000001</v>
      </c>
      <c r="O77" s="8">
        <f>IFERROR(N77/N444, "NA")</f>
        <v>0.44476486246673258</v>
      </c>
      <c r="P77" s="9"/>
      <c r="Q77" s="7">
        <v>139.86000000000001</v>
      </c>
      <c r="R77" s="8">
        <f>IFERROR(Q77/Q444, "NA")</f>
        <v>1.9251336898395723E-3</v>
      </c>
      <c r="S77" s="9"/>
      <c r="T77" s="7">
        <v>0</v>
      </c>
      <c r="U77" s="8">
        <f>IFERROR(T77/T444, "NA")</f>
        <v>0</v>
      </c>
      <c r="V77" s="9"/>
      <c r="W77" s="10">
        <f t="shared" si="22"/>
        <v>139.86000000000001</v>
      </c>
      <c r="X77" s="8">
        <f>IFERROR(W77/W444, "NA")</f>
        <v>-4.6543048825941014E-2</v>
      </c>
      <c r="Y77" s="9"/>
      <c r="Z77" s="7">
        <v>260.16000000000003</v>
      </c>
      <c r="AA77" s="8">
        <f>IFERROR(Z77/Z444, "NA")</f>
        <v>3.5677464530297462E-3</v>
      </c>
      <c r="AB77" s="9"/>
      <c r="AC77" s="10">
        <f t="shared" si="23"/>
        <v>-120.30000000000001</v>
      </c>
      <c r="AD77" s="8">
        <f>IFERROR(AC77/AC444, "NA")</f>
        <v>0.44476486246673258</v>
      </c>
    </row>
    <row r="78" spans="1:30" ht="16.5" hidden="1" customHeight="1" x14ac:dyDescent="0.45">
      <c r="A78" s="12" t="s">
        <v>74</v>
      </c>
      <c r="B78" s="7">
        <v>0</v>
      </c>
      <c r="C78" s="8">
        <f>IFERROR(B78/B444, "NA")</f>
        <v>0</v>
      </c>
      <c r="D78" s="9"/>
      <c r="E78" s="7">
        <v>0</v>
      </c>
      <c r="F78" s="8">
        <f>IFERROR(E78/E444, "NA")</f>
        <v>0</v>
      </c>
      <c r="G78" s="9"/>
      <c r="H78" s="10">
        <f t="shared" si="20"/>
        <v>0</v>
      </c>
      <c r="I78" s="8">
        <f>IFERROR(H78/H444, "NA")</f>
        <v>0</v>
      </c>
      <c r="J78" s="9"/>
      <c r="K78" s="7">
        <v>0</v>
      </c>
      <c r="L78" s="8">
        <f>IFERROR(K78/K444, "NA")</f>
        <v>0</v>
      </c>
      <c r="M78" s="9"/>
      <c r="N78" s="10">
        <f t="shared" si="21"/>
        <v>0</v>
      </c>
      <c r="O78" s="8">
        <f>IFERROR(N78/N444, "NA")</f>
        <v>0</v>
      </c>
      <c r="P78" s="9"/>
      <c r="Q78" s="7">
        <v>0</v>
      </c>
      <c r="R78" s="8">
        <f>IFERROR(Q78/Q444, "NA")</f>
        <v>0</v>
      </c>
      <c r="S78" s="9"/>
      <c r="T78" s="7">
        <v>0</v>
      </c>
      <c r="U78" s="8">
        <f>IFERROR(T78/T444, "NA")</f>
        <v>0</v>
      </c>
      <c r="V78" s="9"/>
      <c r="W78" s="10">
        <f t="shared" si="22"/>
        <v>0</v>
      </c>
      <c r="X78" s="8">
        <f>IFERROR(W78/W444, "NA")</f>
        <v>0</v>
      </c>
      <c r="Y78" s="9"/>
      <c r="Z78" s="7">
        <v>0</v>
      </c>
      <c r="AA78" s="8">
        <f>IFERROR(Z78/Z444, "NA")</f>
        <v>0</v>
      </c>
      <c r="AB78" s="9"/>
      <c r="AC78" s="10">
        <f t="shared" si="23"/>
        <v>0</v>
      </c>
      <c r="AD78" s="8">
        <f>IFERROR(AC78/AC444, "NA")</f>
        <v>0</v>
      </c>
    </row>
    <row r="79" spans="1:30" ht="16.5" hidden="1" customHeight="1" x14ac:dyDescent="0.45">
      <c r="A79" s="12" t="s">
        <v>75</v>
      </c>
      <c r="B79" s="7">
        <v>0</v>
      </c>
      <c r="C79" s="8">
        <f>IFERROR(B79/B444, "NA")</f>
        <v>0</v>
      </c>
      <c r="D79" s="9"/>
      <c r="E79" s="7">
        <v>0</v>
      </c>
      <c r="F79" s="8">
        <f>IFERROR(E79/E444, "NA")</f>
        <v>0</v>
      </c>
      <c r="G79" s="9"/>
      <c r="H79" s="10">
        <f t="shared" si="20"/>
        <v>0</v>
      </c>
      <c r="I79" s="8">
        <f>IFERROR(H79/H444, "NA")</f>
        <v>0</v>
      </c>
      <c r="J79" s="9"/>
      <c r="K79" s="7">
        <v>0</v>
      </c>
      <c r="L79" s="8">
        <f>IFERROR(K79/K444, "NA")</f>
        <v>0</v>
      </c>
      <c r="M79" s="9"/>
      <c r="N79" s="10">
        <f t="shared" si="21"/>
        <v>0</v>
      </c>
      <c r="O79" s="8">
        <f>IFERROR(N79/N444, "NA")</f>
        <v>0</v>
      </c>
      <c r="P79" s="9"/>
      <c r="Q79" s="7">
        <v>0</v>
      </c>
      <c r="R79" s="8">
        <f>IFERROR(Q79/Q444, "NA")</f>
        <v>0</v>
      </c>
      <c r="S79" s="9"/>
      <c r="T79" s="7">
        <v>0</v>
      </c>
      <c r="U79" s="8">
        <f>IFERROR(T79/T444, "NA")</f>
        <v>0</v>
      </c>
      <c r="V79" s="9"/>
      <c r="W79" s="10">
        <f t="shared" si="22"/>
        <v>0</v>
      </c>
      <c r="X79" s="8">
        <f>IFERROR(W79/W444, "NA")</f>
        <v>0</v>
      </c>
      <c r="Y79" s="9"/>
      <c r="Z79" s="7">
        <v>0</v>
      </c>
      <c r="AA79" s="8">
        <f>IFERROR(Z79/Z444, "NA")</f>
        <v>0</v>
      </c>
      <c r="AB79" s="9"/>
      <c r="AC79" s="10">
        <f t="shared" si="23"/>
        <v>0</v>
      </c>
      <c r="AD79" s="8">
        <f>IFERROR(AC79/AC444, "NA")</f>
        <v>0</v>
      </c>
    </row>
    <row r="80" spans="1:30" ht="16.5" customHeight="1" x14ac:dyDescent="0.45">
      <c r="A80" s="12" t="s">
        <v>76</v>
      </c>
      <c r="B80" s="7">
        <v>904.31</v>
      </c>
      <c r="C80" s="8">
        <f>IFERROR(B80/B444, "NA")</f>
        <v>1.2447573624044212E-2</v>
      </c>
      <c r="D80" s="9"/>
      <c r="E80" s="7">
        <v>0</v>
      </c>
      <c r="F80" s="8">
        <f>IFERROR(E80/E444, "NA")</f>
        <v>0</v>
      </c>
      <c r="G80" s="9"/>
      <c r="H80" s="10">
        <f t="shared" si="20"/>
        <v>904.31</v>
      </c>
      <c r="I80" s="8">
        <f>IFERROR(H80/H444, "NA")</f>
        <v>-0.30093911399818901</v>
      </c>
      <c r="J80" s="9"/>
      <c r="K80" s="7">
        <v>1335.07</v>
      </c>
      <c r="L80" s="8">
        <f>IFERROR(K80/K444, "NA")</f>
        <v>1.8308699481267E-2</v>
      </c>
      <c r="M80" s="9"/>
      <c r="N80" s="10">
        <f t="shared" si="21"/>
        <v>-430.76</v>
      </c>
      <c r="O80" s="8">
        <f>IFERROR(N80/N444, "NA")</f>
        <v>1.5925761608991662</v>
      </c>
      <c r="P80" s="9"/>
      <c r="Q80" s="7">
        <v>904.31</v>
      </c>
      <c r="R80" s="8">
        <f>IFERROR(Q80/Q444, "NA")</f>
        <v>1.2447573624044212E-2</v>
      </c>
      <c r="S80" s="9"/>
      <c r="T80" s="7">
        <v>0</v>
      </c>
      <c r="U80" s="8">
        <f>IFERROR(T80/T444, "NA")</f>
        <v>0</v>
      </c>
      <c r="V80" s="9"/>
      <c r="W80" s="10">
        <f t="shared" si="22"/>
        <v>904.31</v>
      </c>
      <c r="X80" s="8">
        <f>IFERROR(W80/W444, "NA")</f>
        <v>-0.30093911399818901</v>
      </c>
      <c r="Y80" s="9"/>
      <c r="Z80" s="7">
        <v>1335.07</v>
      </c>
      <c r="AA80" s="8">
        <f>IFERROR(Z80/Z444, "NA")</f>
        <v>1.8308699481267E-2</v>
      </c>
      <c r="AB80" s="9"/>
      <c r="AC80" s="10">
        <f t="shared" si="23"/>
        <v>-430.76</v>
      </c>
      <c r="AD80" s="8">
        <f>IFERROR(AC80/AC444, "NA")</f>
        <v>1.5925761608991662</v>
      </c>
    </row>
    <row r="81" spans="1:30" ht="16.5" hidden="1" customHeight="1" x14ac:dyDescent="0.45">
      <c r="A81" s="12" t="s">
        <v>77</v>
      </c>
      <c r="B81" s="7">
        <v>0</v>
      </c>
      <c r="C81" s="8">
        <f>IFERROR(B81/B444, "NA")</f>
        <v>0</v>
      </c>
      <c r="D81" s="9"/>
      <c r="E81" s="7">
        <v>0</v>
      </c>
      <c r="F81" s="8">
        <f>IFERROR(E81/E444, "NA")</f>
        <v>0</v>
      </c>
      <c r="G81" s="9"/>
      <c r="H81" s="10">
        <f t="shared" si="20"/>
        <v>0</v>
      </c>
      <c r="I81" s="8">
        <f>IFERROR(H81/H444, "NA")</f>
        <v>0</v>
      </c>
      <c r="J81" s="9"/>
      <c r="K81" s="7">
        <v>0</v>
      </c>
      <c r="L81" s="8">
        <f>IFERROR(K81/K444, "NA")</f>
        <v>0</v>
      </c>
      <c r="M81" s="9"/>
      <c r="N81" s="10">
        <f t="shared" si="21"/>
        <v>0</v>
      </c>
      <c r="O81" s="8">
        <f>IFERROR(N81/N444, "NA")</f>
        <v>0</v>
      </c>
      <c r="P81" s="9"/>
      <c r="Q81" s="7">
        <v>0</v>
      </c>
      <c r="R81" s="8">
        <f>IFERROR(Q81/Q444, "NA")</f>
        <v>0</v>
      </c>
      <c r="S81" s="9"/>
      <c r="T81" s="7">
        <v>0</v>
      </c>
      <c r="U81" s="8">
        <f>IFERROR(T81/T444, "NA")</f>
        <v>0</v>
      </c>
      <c r="V81" s="9"/>
      <c r="W81" s="10">
        <f t="shared" si="22"/>
        <v>0</v>
      </c>
      <c r="X81" s="8">
        <f>IFERROR(W81/W444, "NA")</f>
        <v>0</v>
      </c>
      <c r="Y81" s="9"/>
      <c r="Z81" s="7">
        <v>0</v>
      </c>
      <c r="AA81" s="8">
        <f>IFERROR(Z81/Z444, "NA")</f>
        <v>0</v>
      </c>
      <c r="AB81" s="9"/>
      <c r="AC81" s="10">
        <f t="shared" si="23"/>
        <v>0</v>
      </c>
      <c r="AD81" s="8">
        <f>IFERROR(AC81/AC444, "NA")</f>
        <v>0</v>
      </c>
    </row>
    <row r="82" spans="1:30" ht="16.5" hidden="1" customHeight="1" x14ac:dyDescent="0.45">
      <c r="A82" s="12" t="s">
        <v>78</v>
      </c>
      <c r="B82" s="7">
        <v>0</v>
      </c>
      <c r="C82" s="8">
        <f>IFERROR(B82/B444, "NA")</f>
        <v>0</v>
      </c>
      <c r="D82" s="9"/>
      <c r="E82" s="7">
        <v>0</v>
      </c>
      <c r="F82" s="8">
        <f>IFERROR(E82/E444, "NA")</f>
        <v>0</v>
      </c>
      <c r="G82" s="9"/>
      <c r="H82" s="10">
        <f t="shared" si="20"/>
        <v>0</v>
      </c>
      <c r="I82" s="8">
        <f>IFERROR(H82/H444, "NA")</f>
        <v>0</v>
      </c>
      <c r="J82" s="9"/>
      <c r="K82" s="7">
        <v>0</v>
      </c>
      <c r="L82" s="8">
        <f>IFERROR(K82/K444, "NA")</f>
        <v>0</v>
      </c>
      <c r="M82" s="9"/>
      <c r="N82" s="10">
        <f t="shared" si="21"/>
        <v>0</v>
      </c>
      <c r="O82" s="8">
        <f>IFERROR(N82/N444, "NA")</f>
        <v>0</v>
      </c>
      <c r="P82" s="9"/>
      <c r="Q82" s="7">
        <v>0</v>
      </c>
      <c r="R82" s="8">
        <f>IFERROR(Q82/Q444, "NA")</f>
        <v>0</v>
      </c>
      <c r="S82" s="9"/>
      <c r="T82" s="7">
        <v>0</v>
      </c>
      <c r="U82" s="8">
        <f>IFERROR(T82/T444, "NA")</f>
        <v>0</v>
      </c>
      <c r="V82" s="9"/>
      <c r="W82" s="10">
        <f t="shared" si="22"/>
        <v>0</v>
      </c>
      <c r="X82" s="8">
        <f>IFERROR(W82/W444, "NA")</f>
        <v>0</v>
      </c>
      <c r="Y82" s="9"/>
      <c r="Z82" s="7">
        <v>0</v>
      </c>
      <c r="AA82" s="8">
        <f>IFERROR(Z82/Z444, "NA")</f>
        <v>0</v>
      </c>
      <c r="AB82" s="9"/>
      <c r="AC82" s="10">
        <f t="shared" si="23"/>
        <v>0</v>
      </c>
      <c r="AD82" s="8">
        <f>IFERROR(AC82/AC444, "NA")</f>
        <v>0</v>
      </c>
    </row>
    <row r="83" spans="1:30" ht="16.5" hidden="1" customHeight="1" x14ac:dyDescent="0.45">
      <c r="A83" s="12" t="s">
        <v>79</v>
      </c>
      <c r="B83" s="7">
        <v>0</v>
      </c>
      <c r="C83" s="8">
        <f>IFERROR(B83/B444, "NA")</f>
        <v>0</v>
      </c>
      <c r="D83" s="9"/>
      <c r="E83" s="7">
        <v>0</v>
      </c>
      <c r="F83" s="8">
        <f>IFERROR(E83/E444, "NA")</f>
        <v>0</v>
      </c>
      <c r="G83" s="9"/>
      <c r="H83" s="10">
        <f t="shared" si="20"/>
        <v>0</v>
      </c>
      <c r="I83" s="8">
        <f>IFERROR(H83/H444, "NA")</f>
        <v>0</v>
      </c>
      <c r="J83" s="9"/>
      <c r="K83" s="7">
        <v>0</v>
      </c>
      <c r="L83" s="8">
        <f>IFERROR(K83/K444, "NA")</f>
        <v>0</v>
      </c>
      <c r="M83" s="9"/>
      <c r="N83" s="10">
        <f t="shared" si="21"/>
        <v>0</v>
      </c>
      <c r="O83" s="8">
        <f>IFERROR(N83/N444, "NA")</f>
        <v>0</v>
      </c>
      <c r="P83" s="9"/>
      <c r="Q83" s="7">
        <v>0</v>
      </c>
      <c r="R83" s="8">
        <f>IFERROR(Q83/Q444, "NA")</f>
        <v>0</v>
      </c>
      <c r="S83" s="9"/>
      <c r="T83" s="7">
        <v>0</v>
      </c>
      <c r="U83" s="8">
        <f>IFERROR(T83/T444, "NA")</f>
        <v>0</v>
      </c>
      <c r="V83" s="9"/>
      <c r="W83" s="10">
        <f t="shared" si="22"/>
        <v>0</v>
      </c>
      <c r="X83" s="8">
        <f>IFERROR(W83/W444, "NA")</f>
        <v>0</v>
      </c>
      <c r="Y83" s="9"/>
      <c r="Z83" s="7">
        <v>0</v>
      </c>
      <c r="AA83" s="8">
        <f>IFERROR(Z83/Z444, "NA")</f>
        <v>0</v>
      </c>
      <c r="AB83" s="9"/>
      <c r="AC83" s="10">
        <f t="shared" si="23"/>
        <v>0</v>
      </c>
      <c r="AD83" s="8">
        <f>IFERROR(AC83/AC444, "NA")</f>
        <v>0</v>
      </c>
    </row>
    <row r="84" spans="1:30" ht="16.5" hidden="1" customHeight="1" x14ac:dyDescent="0.45">
      <c r="A84" s="12" t="s">
        <v>80</v>
      </c>
      <c r="B84" s="7">
        <v>0</v>
      </c>
      <c r="C84" s="8">
        <f>IFERROR(B84/B444, "NA")</f>
        <v>0</v>
      </c>
      <c r="D84" s="9"/>
      <c r="E84" s="7">
        <v>0</v>
      </c>
      <c r="F84" s="8">
        <f>IFERROR(E84/E444, "NA")</f>
        <v>0</v>
      </c>
      <c r="G84" s="9"/>
      <c r="H84" s="10">
        <f t="shared" si="20"/>
        <v>0</v>
      </c>
      <c r="I84" s="8">
        <f>IFERROR(H84/H444, "NA")</f>
        <v>0</v>
      </c>
      <c r="J84" s="9"/>
      <c r="K84" s="7">
        <v>0</v>
      </c>
      <c r="L84" s="8">
        <f>IFERROR(K84/K444, "NA")</f>
        <v>0</v>
      </c>
      <c r="M84" s="9"/>
      <c r="N84" s="10">
        <f t="shared" si="21"/>
        <v>0</v>
      </c>
      <c r="O84" s="8">
        <f>IFERROR(N84/N444, "NA")</f>
        <v>0</v>
      </c>
      <c r="P84" s="9"/>
      <c r="Q84" s="7">
        <v>0</v>
      </c>
      <c r="R84" s="8">
        <f>IFERROR(Q84/Q444, "NA")</f>
        <v>0</v>
      </c>
      <c r="S84" s="9"/>
      <c r="T84" s="7">
        <v>0</v>
      </c>
      <c r="U84" s="8">
        <f>IFERROR(T84/T444, "NA")</f>
        <v>0</v>
      </c>
      <c r="V84" s="9"/>
      <c r="W84" s="10">
        <f t="shared" si="22"/>
        <v>0</v>
      </c>
      <c r="X84" s="8">
        <f>IFERROR(W84/W444, "NA")</f>
        <v>0</v>
      </c>
      <c r="Y84" s="9"/>
      <c r="Z84" s="7">
        <v>0</v>
      </c>
      <c r="AA84" s="8">
        <f>IFERROR(Z84/Z444, "NA")</f>
        <v>0</v>
      </c>
      <c r="AB84" s="9"/>
      <c r="AC84" s="10">
        <f t="shared" si="23"/>
        <v>0</v>
      </c>
      <c r="AD84" s="8">
        <f>IFERROR(AC84/AC444, "NA")</f>
        <v>0</v>
      </c>
    </row>
    <row r="85" spans="1:30" ht="16.5" hidden="1" customHeight="1" x14ac:dyDescent="0.45">
      <c r="A85" s="12" t="s">
        <v>81</v>
      </c>
      <c r="B85" s="7">
        <v>0</v>
      </c>
      <c r="C85" s="8">
        <f>IFERROR(B85/B444, "NA")</f>
        <v>0</v>
      </c>
      <c r="D85" s="9"/>
      <c r="E85" s="7">
        <v>0</v>
      </c>
      <c r="F85" s="8">
        <f>IFERROR(E85/E444, "NA")</f>
        <v>0</v>
      </c>
      <c r="G85" s="9"/>
      <c r="H85" s="10">
        <f t="shared" si="20"/>
        <v>0</v>
      </c>
      <c r="I85" s="8">
        <f>IFERROR(H85/H444, "NA")</f>
        <v>0</v>
      </c>
      <c r="J85" s="9"/>
      <c r="K85" s="7">
        <v>0</v>
      </c>
      <c r="L85" s="8">
        <f>IFERROR(K85/K444, "NA")</f>
        <v>0</v>
      </c>
      <c r="M85" s="9"/>
      <c r="N85" s="10">
        <f t="shared" si="21"/>
        <v>0</v>
      </c>
      <c r="O85" s="8">
        <f>IFERROR(N85/N444, "NA")</f>
        <v>0</v>
      </c>
      <c r="P85" s="9"/>
      <c r="Q85" s="7">
        <v>0</v>
      </c>
      <c r="R85" s="8">
        <f>IFERROR(Q85/Q444, "NA")</f>
        <v>0</v>
      </c>
      <c r="S85" s="9"/>
      <c r="T85" s="7">
        <v>0</v>
      </c>
      <c r="U85" s="8">
        <f>IFERROR(T85/T444, "NA")</f>
        <v>0</v>
      </c>
      <c r="V85" s="9"/>
      <c r="W85" s="10">
        <f t="shared" si="22"/>
        <v>0</v>
      </c>
      <c r="X85" s="8">
        <f>IFERROR(W85/W444, "NA")</f>
        <v>0</v>
      </c>
      <c r="Y85" s="9"/>
      <c r="Z85" s="7">
        <v>0</v>
      </c>
      <c r="AA85" s="8">
        <f>IFERROR(Z85/Z444, "NA")</f>
        <v>0</v>
      </c>
      <c r="AB85" s="9"/>
      <c r="AC85" s="10">
        <f t="shared" si="23"/>
        <v>0</v>
      </c>
      <c r="AD85" s="8">
        <f>IFERROR(AC85/AC444, "NA")</f>
        <v>0</v>
      </c>
    </row>
    <row r="86" spans="1:30" ht="16.5" hidden="1" customHeight="1" x14ac:dyDescent="0.45">
      <c r="A86" s="12" t="s">
        <v>82</v>
      </c>
      <c r="B86" s="7">
        <v>0</v>
      </c>
      <c r="C86" s="8">
        <f>IFERROR(B86/B444, "NA")</f>
        <v>0</v>
      </c>
      <c r="D86" s="9"/>
      <c r="E86" s="7">
        <v>0</v>
      </c>
      <c r="F86" s="8">
        <f>IFERROR(E86/E444, "NA")</f>
        <v>0</v>
      </c>
      <c r="G86" s="9"/>
      <c r="H86" s="10">
        <f t="shared" si="20"/>
        <v>0</v>
      </c>
      <c r="I86" s="8">
        <f>IFERROR(H86/H444, "NA")</f>
        <v>0</v>
      </c>
      <c r="J86" s="9"/>
      <c r="K86" s="7">
        <v>0</v>
      </c>
      <c r="L86" s="8">
        <f>IFERROR(K86/K444, "NA")</f>
        <v>0</v>
      </c>
      <c r="M86" s="9"/>
      <c r="N86" s="10">
        <f t="shared" si="21"/>
        <v>0</v>
      </c>
      <c r="O86" s="8">
        <f>IFERROR(N86/N444, "NA")</f>
        <v>0</v>
      </c>
      <c r="P86" s="9"/>
      <c r="Q86" s="7">
        <v>0</v>
      </c>
      <c r="R86" s="8">
        <f>IFERROR(Q86/Q444, "NA")</f>
        <v>0</v>
      </c>
      <c r="S86" s="9"/>
      <c r="T86" s="7">
        <v>0</v>
      </c>
      <c r="U86" s="8">
        <f>IFERROR(T86/T444, "NA")</f>
        <v>0</v>
      </c>
      <c r="V86" s="9"/>
      <c r="W86" s="10">
        <f t="shared" si="22"/>
        <v>0</v>
      </c>
      <c r="X86" s="8">
        <f>IFERROR(W86/W444, "NA")</f>
        <v>0</v>
      </c>
      <c r="Y86" s="9"/>
      <c r="Z86" s="7">
        <v>0</v>
      </c>
      <c r="AA86" s="8">
        <f>IFERROR(Z86/Z444, "NA")</f>
        <v>0</v>
      </c>
      <c r="AB86" s="9"/>
      <c r="AC86" s="10">
        <f t="shared" si="23"/>
        <v>0</v>
      </c>
      <c r="AD86" s="8">
        <f>IFERROR(AC86/AC444, "NA")</f>
        <v>0</v>
      </c>
    </row>
    <row r="87" spans="1:30" ht="16.5" hidden="1" customHeight="1" x14ac:dyDescent="0.45">
      <c r="A87" s="12" t="s">
        <v>83</v>
      </c>
      <c r="B87" s="7">
        <v>0</v>
      </c>
      <c r="C87" s="8">
        <f>IFERROR(B87/B444, "NA")</f>
        <v>0</v>
      </c>
      <c r="D87" s="9"/>
      <c r="E87" s="7">
        <v>0</v>
      </c>
      <c r="F87" s="8">
        <f>IFERROR(E87/E444, "NA")</f>
        <v>0</v>
      </c>
      <c r="G87" s="9"/>
      <c r="H87" s="10">
        <f t="shared" si="20"/>
        <v>0</v>
      </c>
      <c r="I87" s="8">
        <f>IFERROR(H87/H444, "NA")</f>
        <v>0</v>
      </c>
      <c r="J87" s="9"/>
      <c r="K87" s="7">
        <v>0</v>
      </c>
      <c r="L87" s="8">
        <f>IFERROR(K87/K444, "NA")</f>
        <v>0</v>
      </c>
      <c r="M87" s="9"/>
      <c r="N87" s="10">
        <f t="shared" si="21"/>
        <v>0</v>
      </c>
      <c r="O87" s="8">
        <f>IFERROR(N87/N444, "NA")</f>
        <v>0</v>
      </c>
      <c r="P87" s="9"/>
      <c r="Q87" s="7">
        <v>0</v>
      </c>
      <c r="R87" s="8">
        <f>IFERROR(Q87/Q444, "NA")</f>
        <v>0</v>
      </c>
      <c r="S87" s="9"/>
      <c r="T87" s="7">
        <v>0</v>
      </c>
      <c r="U87" s="8">
        <f>IFERROR(T87/T444, "NA")</f>
        <v>0</v>
      </c>
      <c r="V87" s="9"/>
      <c r="W87" s="10">
        <f t="shared" si="22"/>
        <v>0</v>
      </c>
      <c r="X87" s="8">
        <f>IFERROR(W87/W444, "NA")</f>
        <v>0</v>
      </c>
      <c r="Y87" s="9"/>
      <c r="Z87" s="7">
        <v>0</v>
      </c>
      <c r="AA87" s="8">
        <f>IFERROR(Z87/Z444, "NA")</f>
        <v>0</v>
      </c>
      <c r="AB87" s="9"/>
      <c r="AC87" s="10">
        <f t="shared" si="23"/>
        <v>0</v>
      </c>
      <c r="AD87" s="8">
        <f>IFERROR(AC87/AC444, "NA")</f>
        <v>0</v>
      </c>
    </row>
    <row r="88" spans="1:30" ht="16.5" customHeight="1" x14ac:dyDescent="0.45">
      <c r="A88" s="13" t="s">
        <v>84</v>
      </c>
      <c r="B88" s="14">
        <f>IFERROR(B75+B76+B77+B78+B79+B80+B81+B82+B83+B84+B85+B86+B87, "NA")</f>
        <v>1044.17</v>
      </c>
      <c r="C88" s="15">
        <f>IFERROR(B88/B444, "NA")</f>
        <v>1.4372707313883785E-2</v>
      </c>
      <c r="D88" s="2"/>
      <c r="E88" s="14">
        <f>IFERROR(E75+E76+E77+E78+E79+E80+E81+E82+E83+E84+E85+E86+E87, "NA")</f>
        <v>1059.1600000000001</v>
      </c>
      <c r="F88" s="15">
        <f>IFERROR(E88/E444, "NA")</f>
        <v>1.3999967748101038E-2</v>
      </c>
      <c r="G88" s="2"/>
      <c r="H88" s="14">
        <f t="shared" si="20"/>
        <v>-14.990000000000009</v>
      </c>
      <c r="I88" s="15">
        <f>IFERROR(H88/H444, "NA")</f>
        <v>4.9884191470102686E-3</v>
      </c>
      <c r="J88" s="2"/>
      <c r="K88" s="14">
        <f>IFERROR(K75+K76+K77+K78+K79+K80+K81+K82+K83+K84+K85+K86+K87, "NA")</f>
        <v>1595.23</v>
      </c>
      <c r="L88" s="15">
        <f>IFERROR(K88/K444, "NA")</f>
        <v>2.1876445934296745E-2</v>
      </c>
      <c r="M88" s="2"/>
      <c r="N88" s="14">
        <f t="shared" si="21"/>
        <v>-551.05999999999995</v>
      </c>
      <c r="O88" s="15">
        <f>IFERROR(N88/N444, "NA")</f>
        <v>2.0373410233658986</v>
      </c>
      <c r="P88" s="2"/>
      <c r="Q88" s="14">
        <f>IFERROR(Q75+Q76+Q77+Q78+Q79+Q80+Q81+Q82+Q83+Q84+Q85+Q86+Q87, "NA")</f>
        <v>1044.17</v>
      </c>
      <c r="R88" s="15">
        <f>IFERROR(Q88/Q444, "NA")</f>
        <v>1.4372707313883785E-2</v>
      </c>
      <c r="S88" s="2"/>
      <c r="T88" s="14">
        <f>IFERROR(T75+T76+T77+T78+T79+T80+T81+T82+T83+T84+T85+T86+T87, "NA")</f>
        <v>1059.1600000000001</v>
      </c>
      <c r="U88" s="15">
        <f>IFERROR(T88/T444, "NA")</f>
        <v>1.3999967748101038E-2</v>
      </c>
      <c r="V88" s="2"/>
      <c r="W88" s="14">
        <f t="shared" si="22"/>
        <v>-14.990000000000009</v>
      </c>
      <c r="X88" s="15">
        <f>IFERROR(W88/W444, "NA")</f>
        <v>4.9884191470102686E-3</v>
      </c>
      <c r="Y88" s="2"/>
      <c r="Z88" s="14">
        <f>IFERROR(Z75+Z76+Z77+Z78+Z79+Z80+Z81+Z82+Z83+Z84+Z85+Z86+Z87, "NA")</f>
        <v>1595.23</v>
      </c>
      <c r="AA88" s="15">
        <f>IFERROR(Z88/Z444, "NA")</f>
        <v>2.1876445934296745E-2</v>
      </c>
      <c r="AB88" s="2"/>
      <c r="AC88" s="14">
        <f t="shared" si="23"/>
        <v>-551.05999999999995</v>
      </c>
      <c r="AD88" s="15">
        <f>IFERROR(AC88/AC444, "NA")</f>
        <v>2.0373410233658986</v>
      </c>
    </row>
    <row r="89" spans="1:30" ht="16.5" customHeight="1" x14ac:dyDescent="0.45">
      <c r="A89" s="6" t="s">
        <v>85</v>
      </c>
      <c r="B89" s="7">
        <v>0</v>
      </c>
      <c r="C89" s="8">
        <f>IFERROR(B89/B444, "NA")</f>
        <v>0</v>
      </c>
      <c r="D89" s="9"/>
      <c r="E89" s="7">
        <v>0</v>
      </c>
      <c r="F89" s="8">
        <f>IFERROR(E89/E444, "NA")</f>
        <v>0</v>
      </c>
      <c r="G89" s="9"/>
      <c r="H89" s="10">
        <f t="shared" si="20"/>
        <v>0</v>
      </c>
      <c r="I89" s="8">
        <f>IFERROR(H89/H444, "NA")</f>
        <v>0</v>
      </c>
      <c r="J89" s="9"/>
      <c r="K89" s="7">
        <v>-23.3</v>
      </c>
      <c r="L89" s="8">
        <f>IFERROR(K89/K444, "NA")</f>
        <v>-3.1952833777518865E-4</v>
      </c>
      <c r="M89" s="9"/>
      <c r="N89" s="10">
        <f t="shared" si="21"/>
        <v>23.3</v>
      </c>
      <c r="O89" s="8">
        <f>IFERROR(N89/N444, "NA")</f>
        <v>-8.6143152913340543E-2</v>
      </c>
      <c r="P89" s="9"/>
      <c r="Q89" s="7">
        <v>0</v>
      </c>
      <c r="R89" s="8">
        <f>IFERROR(Q89/Q444, "NA")</f>
        <v>0</v>
      </c>
      <c r="S89" s="9"/>
      <c r="T89" s="7">
        <v>0</v>
      </c>
      <c r="U89" s="8">
        <f>IFERROR(T89/T444, "NA")</f>
        <v>0</v>
      </c>
      <c r="V89" s="9"/>
      <c r="W89" s="10">
        <f t="shared" si="22"/>
        <v>0</v>
      </c>
      <c r="X89" s="8">
        <f>IFERROR(W89/W444, "NA")</f>
        <v>0</v>
      </c>
      <c r="Y89" s="9"/>
      <c r="Z89" s="7">
        <v>-23.3</v>
      </c>
      <c r="AA89" s="8">
        <f>IFERROR(Z89/Z444, "NA")</f>
        <v>-3.1952833777518865E-4</v>
      </c>
      <c r="AB89" s="9"/>
      <c r="AC89" s="10">
        <f t="shared" si="23"/>
        <v>23.3</v>
      </c>
      <c r="AD89" s="8">
        <f>IFERROR(AC89/AC444, "NA")</f>
        <v>-8.6143152913340543E-2</v>
      </c>
    </row>
    <row r="90" spans="1:30" ht="16.5" customHeight="1" x14ac:dyDescent="0.45">
      <c r="A90" s="6" t="s">
        <v>86</v>
      </c>
      <c r="B90" s="7">
        <v>-201.11</v>
      </c>
      <c r="C90" s="8">
        <f>IFERROR(B90/B444, "NA")</f>
        <v>-2.7682227682227683E-3</v>
      </c>
      <c r="D90" s="9"/>
      <c r="E90" s="7">
        <v>0</v>
      </c>
      <c r="F90" s="8">
        <f>IFERROR(E90/E444, "NA")</f>
        <v>0</v>
      </c>
      <c r="G90" s="9"/>
      <c r="H90" s="10">
        <f t="shared" si="20"/>
        <v>-201.11</v>
      </c>
      <c r="I90" s="8">
        <f>IFERROR(H90/H444, "NA")</f>
        <v>6.692601565411839E-2</v>
      </c>
      <c r="J90" s="9"/>
      <c r="K90" s="7">
        <v>0</v>
      </c>
      <c r="L90" s="8">
        <f>IFERROR(K90/K444, "NA")</f>
        <v>0</v>
      </c>
      <c r="M90" s="9"/>
      <c r="N90" s="10">
        <f t="shared" si="21"/>
        <v>-201.11</v>
      </c>
      <c r="O90" s="8">
        <f>IFERROR(N90/N444, "NA")</f>
        <v>0.74353002070394503</v>
      </c>
      <c r="P90" s="9"/>
      <c r="Q90" s="7">
        <v>-201.11</v>
      </c>
      <c r="R90" s="8">
        <f>IFERROR(Q90/Q444, "NA")</f>
        <v>-2.7682227682227683E-3</v>
      </c>
      <c r="S90" s="9"/>
      <c r="T90" s="7">
        <v>0</v>
      </c>
      <c r="U90" s="8">
        <f>IFERROR(T90/T444, "NA")</f>
        <v>0</v>
      </c>
      <c r="V90" s="9"/>
      <c r="W90" s="10">
        <f t="shared" si="22"/>
        <v>-201.11</v>
      </c>
      <c r="X90" s="8">
        <f>IFERROR(W90/W444, "NA")</f>
        <v>6.692601565411839E-2</v>
      </c>
      <c r="Y90" s="9"/>
      <c r="Z90" s="7">
        <v>0</v>
      </c>
      <c r="AA90" s="8">
        <f>IFERROR(Z90/Z444, "NA")</f>
        <v>0</v>
      </c>
      <c r="AB90" s="9"/>
      <c r="AC90" s="10">
        <f t="shared" si="23"/>
        <v>-201.11</v>
      </c>
      <c r="AD90" s="8">
        <f>IFERROR(AC90/AC444, "NA")</f>
        <v>0.74353002070394503</v>
      </c>
    </row>
    <row r="91" spans="1:30" ht="16.5" hidden="1" customHeight="1" x14ac:dyDescent="0.45">
      <c r="A91" s="6" t="s">
        <v>87</v>
      </c>
      <c r="B91" s="7">
        <v>0</v>
      </c>
      <c r="C91" s="8">
        <f>IFERROR(B91/B444, "NA")</f>
        <v>0</v>
      </c>
      <c r="D91" s="9"/>
      <c r="E91" s="7">
        <v>0</v>
      </c>
      <c r="F91" s="8">
        <f>IFERROR(E91/E444, "NA")</f>
        <v>0</v>
      </c>
      <c r="G91" s="9"/>
      <c r="H91" s="10">
        <f t="shared" si="20"/>
        <v>0</v>
      </c>
      <c r="I91" s="8">
        <f>IFERROR(H91/H444, "NA")</f>
        <v>0</v>
      </c>
      <c r="J91" s="9"/>
      <c r="K91" s="7">
        <v>0</v>
      </c>
      <c r="L91" s="8">
        <f>IFERROR(K91/K444, "NA")</f>
        <v>0</v>
      </c>
      <c r="M91" s="9"/>
      <c r="N91" s="10">
        <f t="shared" si="21"/>
        <v>0</v>
      </c>
      <c r="O91" s="8">
        <f>IFERROR(N91/N444, "NA")</f>
        <v>0</v>
      </c>
      <c r="P91" s="9"/>
      <c r="Q91" s="7">
        <v>0</v>
      </c>
      <c r="R91" s="8">
        <f>IFERROR(Q91/Q444, "NA")</f>
        <v>0</v>
      </c>
      <c r="S91" s="9"/>
      <c r="T91" s="7">
        <v>0</v>
      </c>
      <c r="U91" s="8">
        <f>IFERROR(T91/T444, "NA")</f>
        <v>0</v>
      </c>
      <c r="V91" s="9"/>
      <c r="W91" s="10">
        <f t="shared" si="22"/>
        <v>0</v>
      </c>
      <c r="X91" s="8">
        <f>IFERROR(W91/W444, "NA")</f>
        <v>0</v>
      </c>
      <c r="Y91" s="9"/>
      <c r="Z91" s="7">
        <v>0</v>
      </c>
      <c r="AA91" s="8">
        <f>IFERROR(Z91/Z444, "NA")</f>
        <v>0</v>
      </c>
      <c r="AB91" s="9"/>
      <c r="AC91" s="10">
        <f t="shared" si="23"/>
        <v>0</v>
      </c>
      <c r="AD91" s="8">
        <f>IFERROR(AC91/AC444, "NA")</f>
        <v>0</v>
      </c>
    </row>
    <row r="92" spans="1:30" ht="16.5" hidden="1" customHeight="1" x14ac:dyDescent="0.45">
      <c r="A92" s="6" t="s">
        <v>88</v>
      </c>
      <c r="B92" s="7">
        <v>0</v>
      </c>
      <c r="C92" s="8">
        <f>IFERROR(B92/B444, "NA")</f>
        <v>0</v>
      </c>
      <c r="D92" s="9"/>
      <c r="E92" s="7">
        <v>0</v>
      </c>
      <c r="F92" s="8">
        <f>IFERROR(E92/E444, "NA")</f>
        <v>0</v>
      </c>
      <c r="G92" s="9"/>
      <c r="H92" s="10">
        <f t="shared" si="20"/>
        <v>0</v>
      </c>
      <c r="I92" s="8">
        <f>IFERROR(H92/H444, "NA")</f>
        <v>0</v>
      </c>
      <c r="J92" s="9"/>
      <c r="K92" s="7">
        <v>0</v>
      </c>
      <c r="L92" s="8">
        <f>IFERROR(K92/K444, "NA")</f>
        <v>0</v>
      </c>
      <c r="M92" s="9"/>
      <c r="N92" s="10">
        <f t="shared" si="21"/>
        <v>0</v>
      </c>
      <c r="O92" s="8">
        <f>IFERROR(N92/N444, "NA")</f>
        <v>0</v>
      </c>
      <c r="P92" s="9"/>
      <c r="Q92" s="7">
        <v>0</v>
      </c>
      <c r="R92" s="8">
        <f>IFERROR(Q92/Q444, "NA")</f>
        <v>0</v>
      </c>
      <c r="S92" s="9"/>
      <c r="T92" s="7">
        <v>0</v>
      </c>
      <c r="U92" s="8">
        <f>IFERROR(T92/T444, "NA")</f>
        <v>0</v>
      </c>
      <c r="V92" s="9"/>
      <c r="W92" s="10">
        <f t="shared" si="22"/>
        <v>0</v>
      </c>
      <c r="X92" s="8">
        <f>IFERROR(W92/W444, "NA")</f>
        <v>0</v>
      </c>
      <c r="Y92" s="9"/>
      <c r="Z92" s="7">
        <v>0</v>
      </c>
      <c r="AA92" s="8">
        <f>IFERROR(Z92/Z444, "NA")</f>
        <v>0</v>
      </c>
      <c r="AB92" s="9"/>
      <c r="AC92" s="10">
        <f t="shared" si="23"/>
        <v>0</v>
      </c>
      <c r="AD92" s="8">
        <f>IFERROR(AC92/AC444, "NA")</f>
        <v>0</v>
      </c>
    </row>
    <row r="93" spans="1:30" ht="16.5" customHeight="1" x14ac:dyDescent="0.45">
      <c r="A93" s="11" t="s">
        <v>89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45">
      <c r="A94" s="12" t="s">
        <v>89</v>
      </c>
      <c r="B94" s="7">
        <v>0</v>
      </c>
      <c r="C94" s="8">
        <f>IFERROR(B94/B444, "NA")</f>
        <v>0</v>
      </c>
      <c r="D94" s="9"/>
      <c r="E94" s="7">
        <v>-4690.58</v>
      </c>
      <c r="F94" s="8">
        <f>IFERROR(E94/E444, "NA")</f>
        <v>-6.200004599860999E-2</v>
      </c>
      <c r="G94" s="9"/>
      <c r="H94" s="10">
        <f t="shared" ref="H94:H124" si="24">IFERROR(B94-E94, "NA")</f>
        <v>4690.58</v>
      </c>
      <c r="I94" s="8">
        <f>IFERROR(H94/H444, "NA")</f>
        <v>-1.5609459027740769</v>
      </c>
      <c r="J94" s="9"/>
      <c r="K94" s="7">
        <v>0</v>
      </c>
      <c r="L94" s="8">
        <f>IFERROR(K94/K444, "NA")</f>
        <v>0</v>
      </c>
      <c r="M94" s="9"/>
      <c r="N94" s="10">
        <f t="shared" ref="N94:N124" si="25">IFERROR(B94-K94, "NA")</f>
        <v>0</v>
      </c>
      <c r="O94" s="8">
        <f>IFERROR(N94/N444, "NA")</f>
        <v>0</v>
      </c>
      <c r="P94" s="9"/>
      <c r="Q94" s="7">
        <v>0</v>
      </c>
      <c r="R94" s="8">
        <f>IFERROR(Q94/Q444, "NA")</f>
        <v>0</v>
      </c>
      <c r="S94" s="9"/>
      <c r="T94" s="7">
        <v>-4690.58</v>
      </c>
      <c r="U94" s="8">
        <f>IFERROR(T94/T444, "NA")</f>
        <v>-6.200004599860999E-2</v>
      </c>
      <c r="V94" s="9"/>
      <c r="W94" s="10">
        <f t="shared" ref="W94:W124" si="26">IFERROR(Q94-T94, "NA")</f>
        <v>4690.58</v>
      </c>
      <c r="X94" s="8">
        <f>IFERROR(W94/W444, "NA")</f>
        <v>-1.5609459027740769</v>
      </c>
      <c r="Y94" s="9"/>
      <c r="Z94" s="7">
        <v>0</v>
      </c>
      <c r="AA94" s="8">
        <f>IFERROR(Z94/Z444, "NA")</f>
        <v>0</v>
      </c>
      <c r="AB94" s="9"/>
      <c r="AC94" s="10">
        <f t="shared" ref="AC94:AC124" si="27">IFERROR(Q94-Z94, "NA")</f>
        <v>0</v>
      </c>
      <c r="AD94" s="8">
        <f>IFERROR(AC94/AC444, "NA")</f>
        <v>0</v>
      </c>
    </row>
    <row r="95" spans="1:30" ht="16.5" hidden="1" customHeight="1" x14ac:dyDescent="0.45">
      <c r="A95" s="12" t="s">
        <v>90</v>
      </c>
      <c r="B95" s="7">
        <v>0</v>
      </c>
      <c r="C95" s="8">
        <f>IFERROR(B95/B444, "NA")</f>
        <v>0</v>
      </c>
      <c r="D95" s="9"/>
      <c r="E95" s="7">
        <v>0</v>
      </c>
      <c r="F95" s="8">
        <f>IFERROR(E95/E444, "NA")</f>
        <v>0</v>
      </c>
      <c r="G95" s="9"/>
      <c r="H95" s="10">
        <f t="shared" si="24"/>
        <v>0</v>
      </c>
      <c r="I95" s="8">
        <f>IFERROR(H95/H444, "NA")</f>
        <v>0</v>
      </c>
      <c r="J95" s="9"/>
      <c r="K95" s="7">
        <v>0</v>
      </c>
      <c r="L95" s="8">
        <f>IFERROR(K95/K444, "NA")</f>
        <v>0</v>
      </c>
      <c r="M95" s="9"/>
      <c r="N95" s="10">
        <f t="shared" si="25"/>
        <v>0</v>
      </c>
      <c r="O95" s="8">
        <f>IFERROR(N95/N444, "NA")</f>
        <v>0</v>
      </c>
      <c r="P95" s="9"/>
      <c r="Q95" s="7">
        <v>0</v>
      </c>
      <c r="R95" s="8">
        <f>IFERROR(Q95/Q444, "NA")</f>
        <v>0</v>
      </c>
      <c r="S95" s="9"/>
      <c r="T95" s="7">
        <v>0</v>
      </c>
      <c r="U95" s="8">
        <f>IFERROR(T95/T444, "NA")</f>
        <v>0</v>
      </c>
      <c r="V95" s="9"/>
      <c r="W95" s="10">
        <f t="shared" si="26"/>
        <v>0</v>
      </c>
      <c r="X95" s="8">
        <f>IFERROR(W95/W444, "NA")</f>
        <v>0</v>
      </c>
      <c r="Y95" s="9"/>
      <c r="Z95" s="7">
        <v>0</v>
      </c>
      <c r="AA95" s="8">
        <f>IFERROR(Z95/Z444, "NA")</f>
        <v>0</v>
      </c>
      <c r="AB95" s="9"/>
      <c r="AC95" s="10">
        <f t="shared" si="27"/>
        <v>0</v>
      </c>
      <c r="AD95" s="8">
        <f>IFERROR(AC95/AC444, "NA")</f>
        <v>0</v>
      </c>
    </row>
    <row r="96" spans="1:30" ht="16.5" customHeight="1" x14ac:dyDescent="0.45">
      <c r="A96" s="12" t="s">
        <v>91</v>
      </c>
      <c r="B96" s="7">
        <v>-684.43</v>
      </c>
      <c r="C96" s="8">
        <f>IFERROR(B96/B444, "NA")</f>
        <v>-9.4209870680458906E-3</v>
      </c>
      <c r="D96" s="9"/>
      <c r="E96" s="7">
        <v>0</v>
      </c>
      <c r="F96" s="8">
        <f>IFERROR(E96/E444, "NA")</f>
        <v>0</v>
      </c>
      <c r="G96" s="9"/>
      <c r="H96" s="10">
        <f t="shared" si="24"/>
        <v>-684.43</v>
      </c>
      <c r="I96" s="8">
        <f>IFERROR(H96/H444, "NA")</f>
        <v>0.22776675895852141</v>
      </c>
      <c r="J96" s="9"/>
      <c r="K96" s="7">
        <v>-1030.82</v>
      </c>
      <c r="L96" s="8">
        <f>IFERROR(K96/K444, "NA")</f>
        <v>-1.4136317645726178E-2</v>
      </c>
      <c r="M96" s="9"/>
      <c r="N96" s="10">
        <f t="shared" si="25"/>
        <v>346.39</v>
      </c>
      <c r="O96" s="8">
        <f>IFERROR(N96/N444, "NA")</f>
        <v>-1.2806492162082417</v>
      </c>
      <c r="P96" s="9"/>
      <c r="Q96" s="7">
        <v>-684.43</v>
      </c>
      <c r="R96" s="8">
        <f>IFERROR(Q96/Q444, "NA")</f>
        <v>-9.4209870680458906E-3</v>
      </c>
      <c r="S96" s="9"/>
      <c r="T96" s="7">
        <v>0</v>
      </c>
      <c r="U96" s="8">
        <f>IFERROR(T96/T444, "NA")</f>
        <v>0</v>
      </c>
      <c r="V96" s="9"/>
      <c r="W96" s="10">
        <f t="shared" si="26"/>
        <v>-684.43</v>
      </c>
      <c r="X96" s="8">
        <f>IFERROR(W96/W444, "NA")</f>
        <v>0.22776675895852141</v>
      </c>
      <c r="Y96" s="9"/>
      <c r="Z96" s="7">
        <v>-1030.82</v>
      </c>
      <c r="AA96" s="8">
        <f>IFERROR(Z96/Z444, "NA")</f>
        <v>-1.4136317645726178E-2</v>
      </c>
      <c r="AB96" s="9"/>
      <c r="AC96" s="10">
        <f t="shared" si="27"/>
        <v>346.39</v>
      </c>
      <c r="AD96" s="8">
        <f>IFERROR(AC96/AC444, "NA")</f>
        <v>-1.2806492162082417</v>
      </c>
    </row>
    <row r="97" spans="1:30" ht="16.5" hidden="1" customHeight="1" x14ac:dyDescent="0.45">
      <c r="A97" s="12" t="s">
        <v>92</v>
      </c>
      <c r="B97" s="7">
        <v>0</v>
      </c>
      <c r="C97" s="8">
        <f>IFERROR(B97/B444, "NA")</f>
        <v>0</v>
      </c>
      <c r="D97" s="9"/>
      <c r="E97" s="7">
        <v>0</v>
      </c>
      <c r="F97" s="8">
        <f>IFERROR(E97/E444, "NA")</f>
        <v>0</v>
      </c>
      <c r="G97" s="9"/>
      <c r="H97" s="10">
        <f t="shared" si="24"/>
        <v>0</v>
      </c>
      <c r="I97" s="8">
        <f>IFERROR(H97/H444, "NA")</f>
        <v>0</v>
      </c>
      <c r="J97" s="9"/>
      <c r="K97" s="7">
        <v>0</v>
      </c>
      <c r="L97" s="8">
        <f>IFERROR(K97/K444, "NA")</f>
        <v>0</v>
      </c>
      <c r="M97" s="9"/>
      <c r="N97" s="10">
        <f t="shared" si="25"/>
        <v>0</v>
      </c>
      <c r="O97" s="8">
        <f>IFERROR(N97/N444, "NA")</f>
        <v>0</v>
      </c>
      <c r="P97" s="9"/>
      <c r="Q97" s="7">
        <v>0</v>
      </c>
      <c r="R97" s="8">
        <f>IFERROR(Q97/Q444, "NA")</f>
        <v>0</v>
      </c>
      <c r="S97" s="9"/>
      <c r="T97" s="7">
        <v>0</v>
      </c>
      <c r="U97" s="8">
        <f>IFERROR(T97/T444, "NA")</f>
        <v>0</v>
      </c>
      <c r="V97" s="9"/>
      <c r="W97" s="10">
        <f t="shared" si="26"/>
        <v>0</v>
      </c>
      <c r="X97" s="8">
        <f>IFERROR(W97/W444, "NA")</f>
        <v>0</v>
      </c>
      <c r="Y97" s="9"/>
      <c r="Z97" s="7">
        <v>0</v>
      </c>
      <c r="AA97" s="8">
        <f>IFERROR(Z97/Z444, "NA")</f>
        <v>0</v>
      </c>
      <c r="AB97" s="9"/>
      <c r="AC97" s="10">
        <f t="shared" si="27"/>
        <v>0</v>
      </c>
      <c r="AD97" s="8">
        <f>IFERROR(AC97/AC444, "NA")</f>
        <v>0</v>
      </c>
    </row>
    <row r="98" spans="1:30" ht="16.5" customHeight="1" x14ac:dyDescent="0.45">
      <c r="A98" s="12" t="s">
        <v>93</v>
      </c>
      <c r="B98" s="7">
        <v>-1889.78</v>
      </c>
      <c r="C98" s="8">
        <f>IFERROR(B98/B444, "NA")</f>
        <v>-2.6012291894644834E-2</v>
      </c>
      <c r="D98" s="9"/>
      <c r="E98" s="7">
        <v>0</v>
      </c>
      <c r="F98" s="8">
        <f>IFERROR(E98/E444, "NA")</f>
        <v>0</v>
      </c>
      <c r="G98" s="9"/>
      <c r="H98" s="10">
        <f t="shared" si="24"/>
        <v>-1889.78</v>
      </c>
      <c r="I98" s="8">
        <f>IFERROR(H98/H444, "NA")</f>
        <v>0.62888690698045757</v>
      </c>
      <c r="J98" s="9"/>
      <c r="K98" s="7">
        <v>-1685.36</v>
      </c>
      <c r="L98" s="8">
        <f>IFERROR(K98/K444, "NA")</f>
        <v>-2.3112458341321543E-2</v>
      </c>
      <c r="M98" s="9"/>
      <c r="N98" s="10">
        <f t="shared" si="25"/>
        <v>-204.42000000000007</v>
      </c>
      <c r="O98" s="8">
        <f>IFERROR(N98/N444, "NA")</f>
        <v>0.75576752440107642</v>
      </c>
      <c r="P98" s="9"/>
      <c r="Q98" s="7">
        <v>-1889.78</v>
      </c>
      <c r="R98" s="8">
        <f>IFERROR(Q98/Q444, "NA")</f>
        <v>-2.6012291894644834E-2</v>
      </c>
      <c r="S98" s="9"/>
      <c r="T98" s="7">
        <v>0</v>
      </c>
      <c r="U98" s="8">
        <f>IFERROR(T98/T444, "NA")</f>
        <v>0</v>
      </c>
      <c r="V98" s="9"/>
      <c r="W98" s="10">
        <f t="shared" si="26"/>
        <v>-1889.78</v>
      </c>
      <c r="X98" s="8">
        <f>IFERROR(W98/W444, "NA")</f>
        <v>0.62888690698045757</v>
      </c>
      <c r="Y98" s="9"/>
      <c r="Z98" s="7">
        <v>-1685.36</v>
      </c>
      <c r="AA98" s="8">
        <f>IFERROR(Z98/Z444, "NA")</f>
        <v>-2.3112458341321543E-2</v>
      </c>
      <c r="AB98" s="9"/>
      <c r="AC98" s="10">
        <f t="shared" si="27"/>
        <v>-204.42000000000007</v>
      </c>
      <c r="AD98" s="8">
        <f>IFERROR(AC98/AC444, "NA")</f>
        <v>0.75576752440107642</v>
      </c>
    </row>
    <row r="99" spans="1:30" ht="16.5" hidden="1" customHeight="1" x14ac:dyDescent="0.45">
      <c r="A99" s="12" t="s">
        <v>94</v>
      </c>
      <c r="B99" s="7">
        <v>0</v>
      </c>
      <c r="C99" s="8">
        <f>IFERROR(B99/B444, "NA")</f>
        <v>0</v>
      </c>
      <c r="D99" s="9"/>
      <c r="E99" s="7">
        <v>0</v>
      </c>
      <c r="F99" s="8">
        <f>IFERROR(E99/E444, "NA")</f>
        <v>0</v>
      </c>
      <c r="G99" s="9"/>
      <c r="H99" s="10">
        <f t="shared" si="24"/>
        <v>0</v>
      </c>
      <c r="I99" s="8">
        <f>IFERROR(H99/H444, "NA")</f>
        <v>0</v>
      </c>
      <c r="J99" s="9"/>
      <c r="K99" s="7">
        <v>0</v>
      </c>
      <c r="L99" s="8">
        <f>IFERROR(K99/K444, "NA")</f>
        <v>0</v>
      </c>
      <c r="M99" s="9"/>
      <c r="N99" s="10">
        <f t="shared" si="25"/>
        <v>0</v>
      </c>
      <c r="O99" s="8">
        <f>IFERROR(N99/N444, "NA")</f>
        <v>0</v>
      </c>
      <c r="P99" s="9"/>
      <c r="Q99" s="7">
        <v>0</v>
      </c>
      <c r="R99" s="8">
        <f>IFERROR(Q99/Q444, "NA")</f>
        <v>0</v>
      </c>
      <c r="S99" s="9"/>
      <c r="T99" s="7">
        <v>0</v>
      </c>
      <c r="U99" s="8">
        <f>IFERROR(T99/T444, "NA")</f>
        <v>0</v>
      </c>
      <c r="V99" s="9"/>
      <c r="W99" s="10">
        <f t="shared" si="26"/>
        <v>0</v>
      </c>
      <c r="X99" s="8">
        <f>IFERROR(W99/W444, "NA")</f>
        <v>0</v>
      </c>
      <c r="Y99" s="9"/>
      <c r="Z99" s="7">
        <v>0</v>
      </c>
      <c r="AA99" s="8">
        <f>IFERROR(Z99/Z444, "NA")</f>
        <v>0</v>
      </c>
      <c r="AB99" s="9"/>
      <c r="AC99" s="10">
        <f t="shared" si="27"/>
        <v>0</v>
      </c>
      <c r="AD99" s="8">
        <f>IFERROR(AC99/AC444, "NA")</f>
        <v>0</v>
      </c>
    </row>
    <row r="100" spans="1:30" ht="16.5" hidden="1" customHeight="1" x14ac:dyDescent="0.45">
      <c r="A100" s="12" t="s">
        <v>95</v>
      </c>
      <c r="B100" s="7">
        <v>0</v>
      </c>
      <c r="C100" s="8">
        <f>IFERROR(B100/B444, "NA")</f>
        <v>0</v>
      </c>
      <c r="D100" s="9"/>
      <c r="E100" s="7">
        <v>0</v>
      </c>
      <c r="F100" s="8">
        <f>IFERROR(E100/E444, "NA")</f>
        <v>0</v>
      </c>
      <c r="G100" s="9"/>
      <c r="H100" s="10">
        <f t="shared" si="24"/>
        <v>0</v>
      </c>
      <c r="I100" s="8">
        <f>IFERROR(H100/H444, "NA")</f>
        <v>0</v>
      </c>
      <c r="J100" s="9"/>
      <c r="K100" s="7">
        <v>0</v>
      </c>
      <c r="L100" s="8">
        <f>IFERROR(K100/K444, "NA")</f>
        <v>0</v>
      </c>
      <c r="M100" s="9"/>
      <c r="N100" s="10">
        <f t="shared" si="25"/>
        <v>0</v>
      </c>
      <c r="O100" s="8">
        <f>IFERROR(N100/N444, "NA")</f>
        <v>0</v>
      </c>
      <c r="P100" s="9"/>
      <c r="Q100" s="7">
        <v>0</v>
      </c>
      <c r="R100" s="8">
        <f>IFERROR(Q100/Q444, "NA")</f>
        <v>0</v>
      </c>
      <c r="S100" s="9"/>
      <c r="T100" s="7">
        <v>0</v>
      </c>
      <c r="U100" s="8">
        <f>IFERROR(T100/T444, "NA")</f>
        <v>0</v>
      </c>
      <c r="V100" s="9"/>
      <c r="W100" s="10">
        <f t="shared" si="26"/>
        <v>0</v>
      </c>
      <c r="X100" s="8">
        <f>IFERROR(W100/W444, "NA")</f>
        <v>0</v>
      </c>
      <c r="Y100" s="9"/>
      <c r="Z100" s="7">
        <v>0</v>
      </c>
      <c r="AA100" s="8">
        <f>IFERROR(Z100/Z444, "NA")</f>
        <v>0</v>
      </c>
      <c r="AB100" s="9"/>
      <c r="AC100" s="10">
        <f t="shared" si="27"/>
        <v>0</v>
      </c>
      <c r="AD100" s="8">
        <f>IFERROR(AC100/AC444, "NA")</f>
        <v>0</v>
      </c>
    </row>
    <row r="101" spans="1:30" ht="16.5" hidden="1" customHeight="1" x14ac:dyDescent="0.45">
      <c r="A101" s="12" t="s">
        <v>96</v>
      </c>
      <c r="B101" s="7">
        <v>0</v>
      </c>
      <c r="C101" s="8">
        <f>IFERROR(B101/B444, "NA")</f>
        <v>0</v>
      </c>
      <c r="D101" s="9"/>
      <c r="E101" s="7">
        <v>0</v>
      </c>
      <c r="F101" s="8">
        <f>IFERROR(E101/E444, "NA")</f>
        <v>0</v>
      </c>
      <c r="G101" s="9"/>
      <c r="H101" s="10">
        <f t="shared" si="24"/>
        <v>0</v>
      </c>
      <c r="I101" s="8">
        <f>IFERROR(H101/H444, "NA")</f>
        <v>0</v>
      </c>
      <c r="J101" s="9"/>
      <c r="K101" s="7">
        <v>0</v>
      </c>
      <c r="L101" s="8">
        <f>IFERROR(K101/K444, "NA")</f>
        <v>0</v>
      </c>
      <c r="M101" s="9"/>
      <c r="N101" s="10">
        <f t="shared" si="25"/>
        <v>0</v>
      </c>
      <c r="O101" s="8">
        <f>IFERROR(N101/N444, "NA")</f>
        <v>0</v>
      </c>
      <c r="P101" s="9"/>
      <c r="Q101" s="7">
        <v>0</v>
      </c>
      <c r="R101" s="8">
        <f>IFERROR(Q101/Q444, "NA")</f>
        <v>0</v>
      </c>
      <c r="S101" s="9"/>
      <c r="T101" s="7">
        <v>0</v>
      </c>
      <c r="U101" s="8">
        <f>IFERROR(T101/T444, "NA")</f>
        <v>0</v>
      </c>
      <c r="V101" s="9"/>
      <c r="W101" s="10">
        <f t="shared" si="26"/>
        <v>0</v>
      </c>
      <c r="X101" s="8">
        <f>IFERROR(W101/W444, "NA")</f>
        <v>0</v>
      </c>
      <c r="Y101" s="9"/>
      <c r="Z101" s="7">
        <v>0</v>
      </c>
      <c r="AA101" s="8">
        <f>IFERROR(Z101/Z444, "NA")</f>
        <v>0</v>
      </c>
      <c r="AB101" s="9"/>
      <c r="AC101" s="10">
        <f t="shared" si="27"/>
        <v>0</v>
      </c>
      <c r="AD101" s="8">
        <f>IFERROR(AC101/AC444, "NA")</f>
        <v>0</v>
      </c>
    </row>
    <row r="102" spans="1:30" ht="16.5" customHeight="1" x14ac:dyDescent="0.45">
      <c r="A102" s="12" t="s">
        <v>97</v>
      </c>
      <c r="B102" s="7">
        <v>-812.74</v>
      </c>
      <c r="C102" s="8">
        <f>IFERROR(B102/B444, "NA")</f>
        <v>-1.1187138245961776E-2</v>
      </c>
      <c r="D102" s="9"/>
      <c r="E102" s="7">
        <v>0</v>
      </c>
      <c r="F102" s="8">
        <f>IFERROR(E102/E444, "NA")</f>
        <v>0</v>
      </c>
      <c r="G102" s="9"/>
      <c r="H102" s="10">
        <f t="shared" si="24"/>
        <v>-812.74</v>
      </c>
      <c r="I102" s="8">
        <f>IFERROR(H102/H444, "NA")</f>
        <v>0.27046616261114897</v>
      </c>
      <c r="J102" s="9"/>
      <c r="K102" s="7">
        <v>-1358.65</v>
      </c>
      <c r="L102" s="8">
        <f>IFERROR(K102/K444, "NA")</f>
        <v>-1.8632067644560518E-2</v>
      </c>
      <c r="M102" s="9"/>
      <c r="N102" s="10">
        <f t="shared" si="25"/>
        <v>545.91000000000008</v>
      </c>
      <c r="O102" s="8">
        <f>IFERROR(N102/N444, "NA")</f>
        <v>-2.0183007985803325</v>
      </c>
      <c r="P102" s="9"/>
      <c r="Q102" s="7">
        <v>-812.74</v>
      </c>
      <c r="R102" s="8">
        <f>IFERROR(Q102/Q444, "NA")</f>
        <v>-1.1187138245961776E-2</v>
      </c>
      <c r="S102" s="9"/>
      <c r="T102" s="7">
        <v>0</v>
      </c>
      <c r="U102" s="8">
        <f>IFERROR(T102/T444, "NA")</f>
        <v>0</v>
      </c>
      <c r="V102" s="9"/>
      <c r="W102" s="10">
        <f t="shared" si="26"/>
        <v>-812.74</v>
      </c>
      <c r="X102" s="8">
        <f>IFERROR(W102/W444, "NA")</f>
        <v>0.27046616261114897</v>
      </c>
      <c r="Y102" s="9"/>
      <c r="Z102" s="7">
        <v>-1358.65</v>
      </c>
      <c r="AA102" s="8">
        <f>IFERROR(Z102/Z444, "NA")</f>
        <v>-1.8632067644560518E-2</v>
      </c>
      <c r="AB102" s="9"/>
      <c r="AC102" s="10">
        <f t="shared" si="27"/>
        <v>545.91000000000008</v>
      </c>
      <c r="AD102" s="8">
        <f>IFERROR(AC102/AC444, "NA")</f>
        <v>-2.0183007985803325</v>
      </c>
    </row>
    <row r="103" spans="1:30" ht="16.5" customHeight="1" x14ac:dyDescent="0.45">
      <c r="A103" s="12" t="s">
        <v>98</v>
      </c>
      <c r="B103" s="7">
        <v>-15</v>
      </c>
      <c r="C103" s="8">
        <f>IFERROR(B103/B444, "NA")</f>
        <v>-2.0647079470608883E-4</v>
      </c>
      <c r="D103" s="9"/>
      <c r="E103" s="7">
        <v>0</v>
      </c>
      <c r="F103" s="8">
        <f>IFERROR(E103/E444, "NA")</f>
        <v>0</v>
      </c>
      <c r="G103" s="9"/>
      <c r="H103" s="10">
        <f t="shared" si="24"/>
        <v>-15</v>
      </c>
      <c r="I103" s="8">
        <f>IFERROR(H103/H444, "NA")</f>
        <v>4.9917469783291521E-3</v>
      </c>
      <c r="J103" s="9"/>
      <c r="K103" s="7">
        <v>0</v>
      </c>
      <c r="L103" s="8">
        <f>IFERROR(K103/K444, "NA")</f>
        <v>0</v>
      </c>
      <c r="M103" s="9"/>
      <c r="N103" s="10">
        <f t="shared" si="25"/>
        <v>-15</v>
      </c>
      <c r="O103" s="8">
        <f>IFERROR(N103/N444, "NA")</f>
        <v>5.5456965394854431E-2</v>
      </c>
      <c r="P103" s="9"/>
      <c r="Q103" s="7">
        <v>-15</v>
      </c>
      <c r="R103" s="8">
        <f>IFERROR(Q103/Q444, "NA")</f>
        <v>-2.0647079470608883E-4</v>
      </c>
      <c r="S103" s="9"/>
      <c r="T103" s="7">
        <v>0</v>
      </c>
      <c r="U103" s="8">
        <f>IFERROR(T103/T444, "NA")</f>
        <v>0</v>
      </c>
      <c r="V103" s="9"/>
      <c r="W103" s="10">
        <f t="shared" si="26"/>
        <v>-15</v>
      </c>
      <c r="X103" s="8">
        <f>IFERROR(W103/W444, "NA")</f>
        <v>4.9917469783291521E-3</v>
      </c>
      <c r="Y103" s="9"/>
      <c r="Z103" s="7">
        <v>0</v>
      </c>
      <c r="AA103" s="8">
        <f>IFERROR(Z103/Z444, "NA")</f>
        <v>0</v>
      </c>
      <c r="AB103" s="9"/>
      <c r="AC103" s="10">
        <f t="shared" si="27"/>
        <v>-15</v>
      </c>
      <c r="AD103" s="8">
        <f>IFERROR(AC103/AC444, "NA")</f>
        <v>5.5456965394854431E-2</v>
      </c>
    </row>
    <row r="104" spans="1:30" ht="16.5" customHeight="1" x14ac:dyDescent="0.45">
      <c r="A104" s="12" t="s">
        <v>99</v>
      </c>
      <c r="B104" s="7">
        <v>-545.6</v>
      </c>
      <c r="C104" s="8">
        <f>IFERROR(B104/B444, "NA")</f>
        <v>-7.5100310394428044E-3</v>
      </c>
      <c r="D104" s="9"/>
      <c r="E104" s="7">
        <v>0</v>
      </c>
      <c r="F104" s="8">
        <f>IFERROR(E104/E444, "NA")</f>
        <v>0</v>
      </c>
      <c r="G104" s="9"/>
      <c r="H104" s="10">
        <f t="shared" si="24"/>
        <v>-545.6</v>
      </c>
      <c r="I104" s="8">
        <f>IFERROR(H104/H444, "NA")</f>
        <v>0.18156647675842569</v>
      </c>
      <c r="J104" s="9"/>
      <c r="K104" s="7">
        <v>-700.33</v>
      </c>
      <c r="L104" s="8">
        <f>IFERROR(K104/K444, "NA")</f>
        <v>-9.6040893044677198E-3</v>
      </c>
      <c r="M104" s="9"/>
      <c r="N104" s="10">
        <f t="shared" si="25"/>
        <v>154.73000000000002</v>
      </c>
      <c r="O104" s="8">
        <f>IFERROR(N104/N444, "NA")</f>
        <v>-0.57205708370305508</v>
      </c>
      <c r="P104" s="9"/>
      <c r="Q104" s="7">
        <v>-545.6</v>
      </c>
      <c r="R104" s="8">
        <f>IFERROR(Q104/Q444, "NA")</f>
        <v>-7.5100310394428044E-3</v>
      </c>
      <c r="S104" s="9"/>
      <c r="T104" s="7">
        <v>0</v>
      </c>
      <c r="U104" s="8">
        <f>IFERROR(T104/T444, "NA")</f>
        <v>0</v>
      </c>
      <c r="V104" s="9"/>
      <c r="W104" s="10">
        <f t="shared" si="26"/>
        <v>-545.6</v>
      </c>
      <c r="X104" s="8">
        <f>IFERROR(W104/W444, "NA")</f>
        <v>0.18156647675842569</v>
      </c>
      <c r="Y104" s="9"/>
      <c r="Z104" s="7">
        <v>-700.33</v>
      </c>
      <c r="AA104" s="8">
        <f>IFERROR(Z104/Z444, "NA")</f>
        <v>-9.6040893044677198E-3</v>
      </c>
      <c r="AB104" s="9"/>
      <c r="AC104" s="10">
        <f t="shared" si="27"/>
        <v>154.73000000000002</v>
      </c>
      <c r="AD104" s="8">
        <f>IFERROR(AC104/AC444, "NA")</f>
        <v>-0.57205708370305508</v>
      </c>
    </row>
    <row r="105" spans="1:30" ht="16.5" hidden="1" customHeight="1" x14ac:dyDescent="0.45">
      <c r="A105" s="12" t="s">
        <v>100</v>
      </c>
      <c r="B105" s="7">
        <v>0</v>
      </c>
      <c r="C105" s="8">
        <f>IFERROR(B105/B444, "NA")</f>
        <v>0</v>
      </c>
      <c r="D105" s="9"/>
      <c r="E105" s="7">
        <v>0</v>
      </c>
      <c r="F105" s="8">
        <f>IFERROR(E105/E444, "NA")</f>
        <v>0</v>
      </c>
      <c r="G105" s="9"/>
      <c r="H105" s="10">
        <f t="shared" si="24"/>
        <v>0</v>
      </c>
      <c r="I105" s="8">
        <f>IFERROR(H105/H444, "NA")</f>
        <v>0</v>
      </c>
      <c r="J105" s="9"/>
      <c r="K105" s="7">
        <v>0</v>
      </c>
      <c r="L105" s="8">
        <f>IFERROR(K105/K444, "NA")</f>
        <v>0</v>
      </c>
      <c r="M105" s="9"/>
      <c r="N105" s="10">
        <f t="shared" si="25"/>
        <v>0</v>
      </c>
      <c r="O105" s="8">
        <f>IFERROR(N105/N444, "NA")</f>
        <v>0</v>
      </c>
      <c r="P105" s="9"/>
      <c r="Q105" s="7">
        <v>0</v>
      </c>
      <c r="R105" s="8">
        <f>IFERROR(Q105/Q444, "NA")</f>
        <v>0</v>
      </c>
      <c r="S105" s="9"/>
      <c r="T105" s="7">
        <v>0</v>
      </c>
      <c r="U105" s="8">
        <f>IFERROR(T105/T444, "NA")</f>
        <v>0</v>
      </c>
      <c r="V105" s="9"/>
      <c r="W105" s="10">
        <f t="shared" si="26"/>
        <v>0</v>
      </c>
      <c r="X105" s="8">
        <f>IFERROR(W105/W444, "NA")</f>
        <v>0</v>
      </c>
      <c r="Y105" s="9"/>
      <c r="Z105" s="7">
        <v>0</v>
      </c>
      <c r="AA105" s="8">
        <f>IFERROR(Z105/Z444, "NA")</f>
        <v>0</v>
      </c>
      <c r="AB105" s="9"/>
      <c r="AC105" s="10">
        <f t="shared" si="27"/>
        <v>0</v>
      </c>
      <c r="AD105" s="8">
        <f>IFERROR(AC105/AC444, "NA")</f>
        <v>0</v>
      </c>
    </row>
    <row r="106" spans="1:30" ht="16.5" customHeight="1" x14ac:dyDescent="0.45">
      <c r="A106" s="12" t="s">
        <v>101</v>
      </c>
      <c r="B106" s="7">
        <v>0</v>
      </c>
      <c r="C106" s="8">
        <f>IFERROR(B106/B444, "NA")</f>
        <v>0</v>
      </c>
      <c r="D106" s="9"/>
      <c r="E106" s="7">
        <v>0</v>
      </c>
      <c r="F106" s="8">
        <f>IFERROR(E106/E444, "NA")</f>
        <v>0</v>
      </c>
      <c r="G106" s="9"/>
      <c r="H106" s="10">
        <f t="shared" si="24"/>
        <v>0</v>
      </c>
      <c r="I106" s="8">
        <f>IFERROR(H106/H444, "NA")</f>
        <v>0</v>
      </c>
      <c r="J106" s="9"/>
      <c r="K106" s="7">
        <v>-844.74</v>
      </c>
      <c r="L106" s="8">
        <f>IFERROR(K106/K444, "NA")</f>
        <v>-1.1584479315545617E-2</v>
      </c>
      <c r="M106" s="9"/>
      <c r="N106" s="10">
        <f t="shared" si="25"/>
        <v>844.74</v>
      </c>
      <c r="O106" s="8">
        <f>IFERROR(N106/N444, "NA")</f>
        <v>-3.1231144631766221</v>
      </c>
      <c r="P106" s="9"/>
      <c r="Q106" s="7">
        <v>0</v>
      </c>
      <c r="R106" s="8">
        <f>IFERROR(Q106/Q444, "NA")</f>
        <v>0</v>
      </c>
      <c r="S106" s="9"/>
      <c r="T106" s="7">
        <v>0</v>
      </c>
      <c r="U106" s="8">
        <f>IFERROR(T106/T444, "NA")</f>
        <v>0</v>
      </c>
      <c r="V106" s="9"/>
      <c r="W106" s="10">
        <f t="shared" si="26"/>
        <v>0</v>
      </c>
      <c r="X106" s="8">
        <f>IFERROR(W106/W444, "NA")</f>
        <v>0</v>
      </c>
      <c r="Y106" s="9"/>
      <c r="Z106" s="7">
        <v>-844.74</v>
      </c>
      <c r="AA106" s="8">
        <f>IFERROR(Z106/Z444, "NA")</f>
        <v>-1.1584479315545617E-2</v>
      </c>
      <c r="AB106" s="9"/>
      <c r="AC106" s="10">
        <f t="shared" si="27"/>
        <v>844.74</v>
      </c>
      <c r="AD106" s="8">
        <f>IFERROR(AC106/AC444, "NA")</f>
        <v>-3.1231144631766221</v>
      </c>
    </row>
    <row r="107" spans="1:30" ht="16.5" hidden="1" customHeight="1" x14ac:dyDescent="0.45">
      <c r="A107" s="12" t="s">
        <v>102</v>
      </c>
      <c r="B107" s="7">
        <v>0</v>
      </c>
      <c r="C107" s="8">
        <f>IFERROR(B107/B444, "NA")</f>
        <v>0</v>
      </c>
      <c r="D107" s="9"/>
      <c r="E107" s="7">
        <v>0</v>
      </c>
      <c r="F107" s="8">
        <f>IFERROR(E107/E444, "NA")</f>
        <v>0</v>
      </c>
      <c r="G107" s="9"/>
      <c r="H107" s="10">
        <f t="shared" si="24"/>
        <v>0</v>
      </c>
      <c r="I107" s="8">
        <f>IFERROR(H107/H444, "NA")</f>
        <v>0</v>
      </c>
      <c r="J107" s="9"/>
      <c r="K107" s="7">
        <v>0</v>
      </c>
      <c r="L107" s="8">
        <f>IFERROR(K107/K444, "NA")</f>
        <v>0</v>
      </c>
      <c r="M107" s="9"/>
      <c r="N107" s="10">
        <f t="shared" si="25"/>
        <v>0</v>
      </c>
      <c r="O107" s="8">
        <f>IFERROR(N107/N444, "NA")</f>
        <v>0</v>
      </c>
      <c r="P107" s="9"/>
      <c r="Q107" s="7">
        <v>0</v>
      </c>
      <c r="R107" s="8">
        <f>IFERROR(Q107/Q444, "NA")</f>
        <v>0</v>
      </c>
      <c r="S107" s="9"/>
      <c r="T107" s="7">
        <v>0</v>
      </c>
      <c r="U107" s="8">
        <f>IFERROR(T107/T444, "NA")</f>
        <v>0</v>
      </c>
      <c r="V107" s="9"/>
      <c r="W107" s="10">
        <f t="shared" si="26"/>
        <v>0</v>
      </c>
      <c r="X107" s="8">
        <f>IFERROR(W107/W444, "NA")</f>
        <v>0</v>
      </c>
      <c r="Y107" s="9"/>
      <c r="Z107" s="7">
        <v>0</v>
      </c>
      <c r="AA107" s="8">
        <f>IFERROR(Z107/Z444, "NA")</f>
        <v>0</v>
      </c>
      <c r="AB107" s="9"/>
      <c r="AC107" s="10">
        <f t="shared" si="27"/>
        <v>0</v>
      </c>
      <c r="AD107" s="8">
        <f>IFERROR(AC107/AC444, "NA")</f>
        <v>0</v>
      </c>
    </row>
    <row r="108" spans="1:30" ht="16.5" hidden="1" customHeight="1" x14ac:dyDescent="0.45">
      <c r="A108" s="12" t="s">
        <v>103</v>
      </c>
      <c r="B108" s="7">
        <v>0</v>
      </c>
      <c r="C108" s="8">
        <f>IFERROR(B108/B444, "NA")</f>
        <v>0</v>
      </c>
      <c r="D108" s="9"/>
      <c r="E108" s="7">
        <v>0</v>
      </c>
      <c r="F108" s="8">
        <f>IFERROR(E108/E444, "NA")</f>
        <v>0</v>
      </c>
      <c r="G108" s="9"/>
      <c r="H108" s="10">
        <f t="shared" si="24"/>
        <v>0</v>
      </c>
      <c r="I108" s="8">
        <f>IFERROR(H108/H444, "NA")</f>
        <v>0</v>
      </c>
      <c r="J108" s="9"/>
      <c r="K108" s="7">
        <v>0</v>
      </c>
      <c r="L108" s="8">
        <f>IFERROR(K108/K444, "NA")</f>
        <v>0</v>
      </c>
      <c r="M108" s="9"/>
      <c r="N108" s="10">
        <f t="shared" si="25"/>
        <v>0</v>
      </c>
      <c r="O108" s="8">
        <f>IFERROR(N108/N444, "NA")</f>
        <v>0</v>
      </c>
      <c r="P108" s="9"/>
      <c r="Q108" s="7">
        <v>0</v>
      </c>
      <c r="R108" s="8">
        <f>IFERROR(Q108/Q444, "NA")</f>
        <v>0</v>
      </c>
      <c r="S108" s="9"/>
      <c r="T108" s="7">
        <v>0</v>
      </c>
      <c r="U108" s="8">
        <f>IFERROR(T108/T444, "NA")</f>
        <v>0</v>
      </c>
      <c r="V108" s="9"/>
      <c r="W108" s="10">
        <f t="shared" si="26"/>
        <v>0</v>
      </c>
      <c r="X108" s="8">
        <f>IFERROR(W108/W444, "NA")</f>
        <v>0</v>
      </c>
      <c r="Y108" s="9"/>
      <c r="Z108" s="7">
        <v>0</v>
      </c>
      <c r="AA108" s="8">
        <f>IFERROR(Z108/Z444, "NA")</f>
        <v>0</v>
      </c>
      <c r="AB108" s="9"/>
      <c r="AC108" s="10">
        <f t="shared" si="27"/>
        <v>0</v>
      </c>
      <c r="AD108" s="8">
        <f>IFERROR(AC108/AC444, "NA")</f>
        <v>0</v>
      </c>
    </row>
    <row r="109" spans="1:30" ht="16.5" hidden="1" customHeight="1" x14ac:dyDescent="0.45">
      <c r="A109" s="12" t="s">
        <v>104</v>
      </c>
      <c r="B109" s="7">
        <v>0</v>
      </c>
      <c r="C109" s="8">
        <f>IFERROR(B109/B444, "NA")</f>
        <v>0</v>
      </c>
      <c r="D109" s="9"/>
      <c r="E109" s="7">
        <v>0</v>
      </c>
      <c r="F109" s="8">
        <f>IFERROR(E109/E444, "NA")</f>
        <v>0</v>
      </c>
      <c r="G109" s="9"/>
      <c r="H109" s="10">
        <f t="shared" si="24"/>
        <v>0</v>
      </c>
      <c r="I109" s="8">
        <f>IFERROR(H109/H444, "NA")</f>
        <v>0</v>
      </c>
      <c r="J109" s="9"/>
      <c r="K109" s="7">
        <v>0</v>
      </c>
      <c r="L109" s="8">
        <f>IFERROR(K109/K444, "NA")</f>
        <v>0</v>
      </c>
      <c r="M109" s="9"/>
      <c r="N109" s="10">
        <f t="shared" si="25"/>
        <v>0</v>
      </c>
      <c r="O109" s="8">
        <f>IFERROR(N109/N444, "NA")</f>
        <v>0</v>
      </c>
      <c r="P109" s="9"/>
      <c r="Q109" s="7">
        <v>0</v>
      </c>
      <c r="R109" s="8">
        <f>IFERROR(Q109/Q444, "NA")</f>
        <v>0</v>
      </c>
      <c r="S109" s="9"/>
      <c r="T109" s="7">
        <v>0</v>
      </c>
      <c r="U109" s="8">
        <f>IFERROR(T109/T444, "NA")</f>
        <v>0</v>
      </c>
      <c r="V109" s="9"/>
      <c r="W109" s="10">
        <f t="shared" si="26"/>
        <v>0</v>
      </c>
      <c r="X109" s="8">
        <f>IFERROR(W109/W444, "NA")</f>
        <v>0</v>
      </c>
      <c r="Y109" s="9"/>
      <c r="Z109" s="7">
        <v>0</v>
      </c>
      <c r="AA109" s="8">
        <f>IFERROR(Z109/Z444, "NA")</f>
        <v>0</v>
      </c>
      <c r="AB109" s="9"/>
      <c r="AC109" s="10">
        <f t="shared" si="27"/>
        <v>0</v>
      </c>
      <c r="AD109" s="8">
        <f>IFERROR(AC109/AC444, "NA")</f>
        <v>0</v>
      </c>
    </row>
    <row r="110" spans="1:30" ht="16.5" hidden="1" customHeight="1" x14ac:dyDescent="0.45">
      <c r="A110" s="12" t="s">
        <v>105</v>
      </c>
      <c r="B110" s="7">
        <v>0</v>
      </c>
      <c r="C110" s="8">
        <f>IFERROR(B110/B444, "NA")</f>
        <v>0</v>
      </c>
      <c r="D110" s="9"/>
      <c r="E110" s="7">
        <v>0</v>
      </c>
      <c r="F110" s="8">
        <f>IFERROR(E110/E444, "NA")</f>
        <v>0</v>
      </c>
      <c r="G110" s="9"/>
      <c r="H110" s="10">
        <f t="shared" si="24"/>
        <v>0</v>
      </c>
      <c r="I110" s="8">
        <f>IFERROR(H110/H444, "NA")</f>
        <v>0</v>
      </c>
      <c r="J110" s="9"/>
      <c r="K110" s="7">
        <v>0</v>
      </c>
      <c r="L110" s="8">
        <f>IFERROR(K110/K444, "NA")</f>
        <v>0</v>
      </c>
      <c r="M110" s="9"/>
      <c r="N110" s="10">
        <f t="shared" si="25"/>
        <v>0</v>
      </c>
      <c r="O110" s="8">
        <f>IFERROR(N110/N444, "NA")</f>
        <v>0</v>
      </c>
      <c r="P110" s="9"/>
      <c r="Q110" s="7">
        <v>0</v>
      </c>
      <c r="R110" s="8">
        <f>IFERROR(Q110/Q444, "NA")</f>
        <v>0</v>
      </c>
      <c r="S110" s="9"/>
      <c r="T110" s="7">
        <v>0</v>
      </c>
      <c r="U110" s="8">
        <f>IFERROR(T110/T444, "NA")</f>
        <v>0</v>
      </c>
      <c r="V110" s="9"/>
      <c r="W110" s="10">
        <f t="shared" si="26"/>
        <v>0</v>
      </c>
      <c r="X110" s="8">
        <f>IFERROR(W110/W444, "NA")</f>
        <v>0</v>
      </c>
      <c r="Y110" s="9"/>
      <c r="Z110" s="7">
        <v>0</v>
      </c>
      <c r="AA110" s="8">
        <f>IFERROR(Z110/Z444, "NA")</f>
        <v>0</v>
      </c>
      <c r="AB110" s="9"/>
      <c r="AC110" s="10">
        <f t="shared" si="27"/>
        <v>0</v>
      </c>
      <c r="AD110" s="8">
        <f>IFERROR(AC110/AC444, "NA")</f>
        <v>0</v>
      </c>
    </row>
    <row r="111" spans="1:30" ht="16.5" hidden="1" customHeight="1" x14ac:dyDescent="0.45">
      <c r="A111" s="12" t="s">
        <v>106</v>
      </c>
      <c r="B111" s="7">
        <v>0</v>
      </c>
      <c r="C111" s="8">
        <f>IFERROR(B111/B444, "NA")</f>
        <v>0</v>
      </c>
      <c r="D111" s="9"/>
      <c r="E111" s="7">
        <v>0</v>
      </c>
      <c r="F111" s="8">
        <f>IFERROR(E111/E444, "NA")</f>
        <v>0</v>
      </c>
      <c r="G111" s="9"/>
      <c r="H111" s="10">
        <f t="shared" si="24"/>
        <v>0</v>
      </c>
      <c r="I111" s="8">
        <f>IFERROR(H111/H444, "NA")</f>
        <v>0</v>
      </c>
      <c r="J111" s="9"/>
      <c r="K111" s="7">
        <v>0</v>
      </c>
      <c r="L111" s="8">
        <f>IFERROR(K111/K444, "NA")</f>
        <v>0</v>
      </c>
      <c r="M111" s="9"/>
      <c r="N111" s="10">
        <f t="shared" si="25"/>
        <v>0</v>
      </c>
      <c r="O111" s="8">
        <f>IFERROR(N111/N444, "NA")</f>
        <v>0</v>
      </c>
      <c r="P111" s="9"/>
      <c r="Q111" s="7">
        <v>0</v>
      </c>
      <c r="R111" s="8">
        <f>IFERROR(Q111/Q444, "NA")</f>
        <v>0</v>
      </c>
      <c r="S111" s="9"/>
      <c r="T111" s="7">
        <v>0</v>
      </c>
      <c r="U111" s="8">
        <f>IFERROR(T111/T444, "NA")</f>
        <v>0</v>
      </c>
      <c r="V111" s="9"/>
      <c r="W111" s="10">
        <f t="shared" si="26"/>
        <v>0</v>
      </c>
      <c r="X111" s="8">
        <f>IFERROR(W111/W444, "NA")</f>
        <v>0</v>
      </c>
      <c r="Y111" s="9"/>
      <c r="Z111" s="7">
        <v>0</v>
      </c>
      <c r="AA111" s="8">
        <f>IFERROR(Z111/Z444, "NA")</f>
        <v>0</v>
      </c>
      <c r="AB111" s="9"/>
      <c r="AC111" s="10">
        <f t="shared" si="27"/>
        <v>0</v>
      </c>
      <c r="AD111" s="8">
        <f>IFERROR(AC111/AC444, "NA")</f>
        <v>0</v>
      </c>
    </row>
    <row r="112" spans="1:30" ht="16.5" hidden="1" customHeight="1" x14ac:dyDescent="0.45">
      <c r="A112" s="12" t="s">
        <v>107</v>
      </c>
      <c r="B112" s="7">
        <v>0</v>
      </c>
      <c r="C112" s="8">
        <f>IFERROR(B112/B444, "NA")</f>
        <v>0</v>
      </c>
      <c r="D112" s="9"/>
      <c r="E112" s="7">
        <v>0</v>
      </c>
      <c r="F112" s="8">
        <f>IFERROR(E112/E444, "NA")</f>
        <v>0</v>
      </c>
      <c r="G112" s="9"/>
      <c r="H112" s="10">
        <f t="shared" si="24"/>
        <v>0</v>
      </c>
      <c r="I112" s="8">
        <f>IFERROR(H112/H444, "NA")</f>
        <v>0</v>
      </c>
      <c r="J112" s="9"/>
      <c r="K112" s="7">
        <v>0</v>
      </c>
      <c r="L112" s="8">
        <f>IFERROR(K112/K444, "NA")</f>
        <v>0</v>
      </c>
      <c r="M112" s="9"/>
      <c r="N112" s="10">
        <f t="shared" si="25"/>
        <v>0</v>
      </c>
      <c r="O112" s="8">
        <f>IFERROR(N112/N444, "NA")</f>
        <v>0</v>
      </c>
      <c r="P112" s="9"/>
      <c r="Q112" s="7">
        <v>0</v>
      </c>
      <c r="R112" s="8">
        <f>IFERROR(Q112/Q444, "NA")</f>
        <v>0</v>
      </c>
      <c r="S112" s="9"/>
      <c r="T112" s="7">
        <v>0</v>
      </c>
      <c r="U112" s="8">
        <f>IFERROR(T112/T444, "NA")</f>
        <v>0</v>
      </c>
      <c r="V112" s="9"/>
      <c r="W112" s="10">
        <f t="shared" si="26"/>
        <v>0</v>
      </c>
      <c r="X112" s="8">
        <f>IFERROR(W112/W444, "NA")</f>
        <v>0</v>
      </c>
      <c r="Y112" s="9"/>
      <c r="Z112" s="7">
        <v>0</v>
      </c>
      <c r="AA112" s="8">
        <f>IFERROR(Z112/Z444, "NA")</f>
        <v>0</v>
      </c>
      <c r="AB112" s="9"/>
      <c r="AC112" s="10">
        <f t="shared" si="27"/>
        <v>0</v>
      </c>
      <c r="AD112" s="8">
        <f>IFERROR(AC112/AC444, "NA")</f>
        <v>0</v>
      </c>
    </row>
    <row r="113" spans="1:30" ht="16.5" hidden="1" customHeight="1" x14ac:dyDescent="0.45">
      <c r="A113" s="12" t="s">
        <v>108</v>
      </c>
      <c r="B113" s="7">
        <v>0</v>
      </c>
      <c r="C113" s="8">
        <f>IFERROR(B113/B444, "NA")</f>
        <v>0</v>
      </c>
      <c r="D113" s="9"/>
      <c r="E113" s="7">
        <v>0</v>
      </c>
      <c r="F113" s="8">
        <f>IFERROR(E113/E444, "NA")</f>
        <v>0</v>
      </c>
      <c r="G113" s="9"/>
      <c r="H113" s="10">
        <f t="shared" si="24"/>
        <v>0</v>
      </c>
      <c r="I113" s="8">
        <f>IFERROR(H113/H444, "NA")</f>
        <v>0</v>
      </c>
      <c r="J113" s="9"/>
      <c r="K113" s="7">
        <v>0</v>
      </c>
      <c r="L113" s="8">
        <f>IFERROR(K113/K444, "NA")</f>
        <v>0</v>
      </c>
      <c r="M113" s="9"/>
      <c r="N113" s="10">
        <f t="shared" si="25"/>
        <v>0</v>
      </c>
      <c r="O113" s="8">
        <f>IFERROR(N113/N444, "NA")</f>
        <v>0</v>
      </c>
      <c r="P113" s="9"/>
      <c r="Q113" s="7">
        <v>0</v>
      </c>
      <c r="R113" s="8">
        <f>IFERROR(Q113/Q444, "NA")</f>
        <v>0</v>
      </c>
      <c r="S113" s="9"/>
      <c r="T113" s="7">
        <v>0</v>
      </c>
      <c r="U113" s="8">
        <f>IFERROR(T113/T444, "NA")</f>
        <v>0</v>
      </c>
      <c r="V113" s="9"/>
      <c r="W113" s="10">
        <f t="shared" si="26"/>
        <v>0</v>
      </c>
      <c r="X113" s="8">
        <f>IFERROR(W113/W444, "NA")</f>
        <v>0</v>
      </c>
      <c r="Y113" s="9"/>
      <c r="Z113" s="7">
        <v>0</v>
      </c>
      <c r="AA113" s="8">
        <f>IFERROR(Z113/Z444, "NA")</f>
        <v>0</v>
      </c>
      <c r="AB113" s="9"/>
      <c r="AC113" s="10">
        <f t="shared" si="27"/>
        <v>0</v>
      </c>
      <c r="AD113" s="8">
        <f>IFERROR(AC113/AC444, "NA")</f>
        <v>0</v>
      </c>
    </row>
    <row r="114" spans="1:30" ht="16.5" hidden="1" customHeight="1" x14ac:dyDescent="0.45">
      <c r="A114" s="12" t="s">
        <v>109</v>
      </c>
      <c r="B114" s="7">
        <v>0</v>
      </c>
      <c r="C114" s="8">
        <f>IFERROR(B114/B444, "NA")</f>
        <v>0</v>
      </c>
      <c r="D114" s="9"/>
      <c r="E114" s="7">
        <v>0</v>
      </c>
      <c r="F114" s="8">
        <f>IFERROR(E114/E444, "NA")</f>
        <v>0</v>
      </c>
      <c r="G114" s="9"/>
      <c r="H114" s="10">
        <f t="shared" si="24"/>
        <v>0</v>
      </c>
      <c r="I114" s="8">
        <f>IFERROR(H114/H444, "NA")</f>
        <v>0</v>
      </c>
      <c r="J114" s="9"/>
      <c r="K114" s="7">
        <v>0</v>
      </c>
      <c r="L114" s="8">
        <f>IFERROR(K114/K444, "NA")</f>
        <v>0</v>
      </c>
      <c r="M114" s="9"/>
      <c r="N114" s="10">
        <f t="shared" si="25"/>
        <v>0</v>
      </c>
      <c r="O114" s="8">
        <f>IFERROR(N114/N444, "NA")</f>
        <v>0</v>
      </c>
      <c r="P114" s="9"/>
      <c r="Q114" s="7">
        <v>0</v>
      </c>
      <c r="R114" s="8">
        <f>IFERROR(Q114/Q444, "NA")</f>
        <v>0</v>
      </c>
      <c r="S114" s="9"/>
      <c r="T114" s="7">
        <v>0</v>
      </c>
      <c r="U114" s="8">
        <f>IFERROR(T114/T444, "NA")</f>
        <v>0</v>
      </c>
      <c r="V114" s="9"/>
      <c r="W114" s="10">
        <f t="shared" si="26"/>
        <v>0</v>
      </c>
      <c r="X114" s="8">
        <f>IFERROR(W114/W444, "NA")</f>
        <v>0</v>
      </c>
      <c r="Y114" s="9"/>
      <c r="Z114" s="7">
        <v>0</v>
      </c>
      <c r="AA114" s="8">
        <f>IFERROR(Z114/Z444, "NA")</f>
        <v>0</v>
      </c>
      <c r="AB114" s="9"/>
      <c r="AC114" s="10">
        <f t="shared" si="27"/>
        <v>0</v>
      </c>
      <c r="AD114" s="8">
        <f>IFERROR(AC114/AC444, "NA")</f>
        <v>0</v>
      </c>
    </row>
    <row r="115" spans="1:30" ht="16.5" hidden="1" customHeight="1" x14ac:dyDescent="0.45">
      <c r="A115" s="12" t="s">
        <v>110</v>
      </c>
      <c r="B115" s="7">
        <v>0</v>
      </c>
      <c r="C115" s="8">
        <f>IFERROR(B115/B444, "NA")</f>
        <v>0</v>
      </c>
      <c r="D115" s="9"/>
      <c r="E115" s="7">
        <v>0</v>
      </c>
      <c r="F115" s="8">
        <f>IFERROR(E115/E444, "NA")</f>
        <v>0</v>
      </c>
      <c r="G115" s="9"/>
      <c r="H115" s="10">
        <f t="shared" si="24"/>
        <v>0</v>
      </c>
      <c r="I115" s="8">
        <f>IFERROR(H115/H444, "NA")</f>
        <v>0</v>
      </c>
      <c r="J115" s="9"/>
      <c r="K115" s="7">
        <v>0</v>
      </c>
      <c r="L115" s="8">
        <f>IFERROR(K115/K444, "NA")</f>
        <v>0</v>
      </c>
      <c r="M115" s="9"/>
      <c r="N115" s="10">
        <f t="shared" si="25"/>
        <v>0</v>
      </c>
      <c r="O115" s="8">
        <f>IFERROR(N115/N444, "NA")</f>
        <v>0</v>
      </c>
      <c r="P115" s="9"/>
      <c r="Q115" s="7">
        <v>0</v>
      </c>
      <c r="R115" s="8">
        <f>IFERROR(Q115/Q444, "NA")</f>
        <v>0</v>
      </c>
      <c r="S115" s="9"/>
      <c r="T115" s="7">
        <v>0</v>
      </c>
      <c r="U115" s="8">
        <f>IFERROR(T115/T444, "NA")</f>
        <v>0</v>
      </c>
      <c r="V115" s="9"/>
      <c r="W115" s="10">
        <f t="shared" si="26"/>
        <v>0</v>
      </c>
      <c r="X115" s="8">
        <f>IFERROR(W115/W444, "NA")</f>
        <v>0</v>
      </c>
      <c r="Y115" s="9"/>
      <c r="Z115" s="7">
        <v>0</v>
      </c>
      <c r="AA115" s="8">
        <f>IFERROR(Z115/Z444, "NA")</f>
        <v>0</v>
      </c>
      <c r="AB115" s="9"/>
      <c r="AC115" s="10">
        <f t="shared" si="27"/>
        <v>0</v>
      </c>
      <c r="AD115" s="8">
        <f>IFERROR(AC115/AC444, "NA")</f>
        <v>0</v>
      </c>
    </row>
    <row r="116" spans="1:30" ht="16.5" hidden="1" customHeight="1" x14ac:dyDescent="0.45">
      <c r="A116" s="12" t="s">
        <v>111</v>
      </c>
      <c r="B116" s="7">
        <v>0</v>
      </c>
      <c r="C116" s="8">
        <f>IFERROR(B116/B444, "NA")</f>
        <v>0</v>
      </c>
      <c r="D116" s="9"/>
      <c r="E116" s="7">
        <v>0</v>
      </c>
      <c r="F116" s="8">
        <f>IFERROR(E116/E444, "NA")</f>
        <v>0</v>
      </c>
      <c r="G116" s="9"/>
      <c r="H116" s="10">
        <f t="shared" si="24"/>
        <v>0</v>
      </c>
      <c r="I116" s="8">
        <f>IFERROR(H116/H444, "NA")</f>
        <v>0</v>
      </c>
      <c r="J116" s="9"/>
      <c r="K116" s="7">
        <v>0</v>
      </c>
      <c r="L116" s="8">
        <f>IFERROR(K116/K444, "NA")</f>
        <v>0</v>
      </c>
      <c r="M116" s="9"/>
      <c r="N116" s="10">
        <f t="shared" si="25"/>
        <v>0</v>
      </c>
      <c r="O116" s="8">
        <f>IFERROR(N116/N444, "NA")</f>
        <v>0</v>
      </c>
      <c r="P116" s="9"/>
      <c r="Q116" s="7">
        <v>0</v>
      </c>
      <c r="R116" s="8">
        <f>IFERROR(Q116/Q444, "NA")</f>
        <v>0</v>
      </c>
      <c r="S116" s="9"/>
      <c r="T116" s="7">
        <v>0</v>
      </c>
      <c r="U116" s="8">
        <f>IFERROR(T116/T444, "NA")</f>
        <v>0</v>
      </c>
      <c r="V116" s="9"/>
      <c r="W116" s="10">
        <f t="shared" si="26"/>
        <v>0</v>
      </c>
      <c r="X116" s="8">
        <f>IFERROR(W116/W444, "NA")</f>
        <v>0</v>
      </c>
      <c r="Y116" s="9"/>
      <c r="Z116" s="7">
        <v>0</v>
      </c>
      <c r="AA116" s="8">
        <f>IFERROR(Z116/Z444, "NA")</f>
        <v>0</v>
      </c>
      <c r="AB116" s="9"/>
      <c r="AC116" s="10">
        <f t="shared" si="27"/>
        <v>0</v>
      </c>
      <c r="AD116" s="8">
        <f>IFERROR(AC116/AC444, "NA")</f>
        <v>0</v>
      </c>
    </row>
    <row r="117" spans="1:30" ht="16.5" hidden="1" customHeight="1" x14ac:dyDescent="0.45">
      <c r="A117" s="12" t="s">
        <v>112</v>
      </c>
      <c r="B117" s="7">
        <v>0</v>
      </c>
      <c r="C117" s="8">
        <f>IFERROR(B117/B444, "NA")</f>
        <v>0</v>
      </c>
      <c r="D117" s="9"/>
      <c r="E117" s="7">
        <v>0</v>
      </c>
      <c r="F117" s="8">
        <f>IFERROR(E117/E444, "NA")</f>
        <v>0</v>
      </c>
      <c r="G117" s="9"/>
      <c r="H117" s="10">
        <f t="shared" si="24"/>
        <v>0</v>
      </c>
      <c r="I117" s="8">
        <f>IFERROR(H117/H444, "NA")</f>
        <v>0</v>
      </c>
      <c r="J117" s="9"/>
      <c r="K117" s="7">
        <v>0</v>
      </c>
      <c r="L117" s="8">
        <f>IFERROR(K117/K444, "NA")</f>
        <v>0</v>
      </c>
      <c r="M117" s="9"/>
      <c r="N117" s="10">
        <f t="shared" si="25"/>
        <v>0</v>
      </c>
      <c r="O117" s="8">
        <f>IFERROR(N117/N444, "NA")</f>
        <v>0</v>
      </c>
      <c r="P117" s="9"/>
      <c r="Q117" s="7">
        <v>0</v>
      </c>
      <c r="R117" s="8">
        <f>IFERROR(Q117/Q444, "NA")</f>
        <v>0</v>
      </c>
      <c r="S117" s="9"/>
      <c r="T117" s="7">
        <v>0</v>
      </c>
      <c r="U117" s="8">
        <f>IFERROR(T117/T444, "NA")</f>
        <v>0</v>
      </c>
      <c r="V117" s="9"/>
      <c r="W117" s="10">
        <f t="shared" si="26"/>
        <v>0</v>
      </c>
      <c r="X117" s="8">
        <f>IFERROR(W117/W444, "NA")</f>
        <v>0</v>
      </c>
      <c r="Y117" s="9"/>
      <c r="Z117" s="7">
        <v>0</v>
      </c>
      <c r="AA117" s="8">
        <f>IFERROR(Z117/Z444, "NA")</f>
        <v>0</v>
      </c>
      <c r="AB117" s="9"/>
      <c r="AC117" s="10">
        <f t="shared" si="27"/>
        <v>0</v>
      </c>
      <c r="AD117" s="8">
        <f>IFERROR(AC117/AC444, "NA")</f>
        <v>0</v>
      </c>
    </row>
    <row r="118" spans="1:30" ht="16.5" customHeight="1" x14ac:dyDescent="0.45">
      <c r="A118" s="13" t="s">
        <v>113</v>
      </c>
      <c r="B118" s="14">
        <f>IFERROR(B94+B95+B96+B97+B98+B99+B100+B101+B102+B103+B104+B105+B106+B107+B108+B109+B110+B111+B112+B113+B114+B115+B116+B117, "NA")</f>
        <v>-3947.5499999999997</v>
      </c>
      <c r="C118" s="15">
        <f>IFERROR(B118/B444, "NA")</f>
        <v>-5.4336919042801392E-2</v>
      </c>
      <c r="D118" s="2"/>
      <c r="E118" s="14">
        <f>IFERROR(E94+E95+E96+E97+E98+E99+E100+E101+E102+E103+E104+E105+E106+E107+E108+E109+E110+E111+E112+E113+E114+E115+E116+E117, "NA")</f>
        <v>-4690.58</v>
      </c>
      <c r="F118" s="15">
        <f>IFERROR(E118/E444, "NA")</f>
        <v>-6.200004599860999E-2</v>
      </c>
      <c r="G118" s="2"/>
      <c r="H118" s="14">
        <f t="shared" si="24"/>
        <v>743.0300000000002</v>
      </c>
      <c r="I118" s="15">
        <f>IFERROR(H118/H444, "NA")</f>
        <v>-0.24726785048719405</v>
      </c>
      <c r="J118" s="2"/>
      <c r="K118" s="14">
        <f>IFERROR(K94+K95+K96+K97+K98+K99+K100+K101+K102+K103+K104+K105+K106+K107+K108+K109+K110+K111+K112+K113+K114+K115+K116+K117, "NA")</f>
        <v>-5619.9</v>
      </c>
      <c r="L118" s="15">
        <f>IFERROR(K118/K444, "NA")</f>
        <v>-7.7069412251621575E-2</v>
      </c>
      <c r="M118" s="2"/>
      <c r="N118" s="14">
        <f t="shared" si="25"/>
        <v>1672.35</v>
      </c>
      <c r="O118" s="15">
        <f>IFERROR(N118/N444, "NA")</f>
        <v>-6.1828970718723202</v>
      </c>
      <c r="P118" s="2"/>
      <c r="Q118" s="14">
        <f>IFERROR(Q94+Q95+Q96+Q97+Q98+Q99+Q100+Q101+Q102+Q103+Q104+Q105+Q106+Q107+Q108+Q109+Q110+Q111+Q112+Q113+Q114+Q115+Q116+Q117, "NA")</f>
        <v>-3947.5499999999997</v>
      </c>
      <c r="R118" s="15">
        <f>IFERROR(Q118/Q444, "NA")</f>
        <v>-5.4336919042801392E-2</v>
      </c>
      <c r="S118" s="2"/>
      <c r="T118" s="14">
        <f>IFERROR(T94+T95+T96+T97+T98+T99+T100+T101+T102+T103+T104+T105+T106+T107+T108+T109+T110+T111+T112+T113+T114+T115+T116+T117, "NA")</f>
        <v>-4690.58</v>
      </c>
      <c r="U118" s="15">
        <f>IFERROR(T118/T444, "NA")</f>
        <v>-6.200004599860999E-2</v>
      </c>
      <c r="V118" s="2"/>
      <c r="W118" s="14">
        <f t="shared" si="26"/>
        <v>743.0300000000002</v>
      </c>
      <c r="X118" s="15">
        <f>IFERROR(W118/W444, "NA")</f>
        <v>-0.24726785048719405</v>
      </c>
      <c r="Y118" s="2"/>
      <c r="Z118" s="14">
        <f>IFERROR(Z94+Z95+Z96+Z97+Z98+Z99+Z100+Z101+Z102+Z103+Z104+Z105+Z106+Z107+Z108+Z109+Z110+Z111+Z112+Z113+Z114+Z115+Z116+Z117, "NA")</f>
        <v>-5619.9</v>
      </c>
      <c r="AA118" s="15">
        <f>IFERROR(Z118/Z444, "NA")</f>
        <v>-7.7069412251621575E-2</v>
      </c>
      <c r="AB118" s="2"/>
      <c r="AC118" s="14">
        <f t="shared" si="27"/>
        <v>1672.35</v>
      </c>
      <c r="AD118" s="15">
        <f>IFERROR(AC118/AC444, "NA")</f>
        <v>-6.1828970718723202</v>
      </c>
    </row>
    <row r="119" spans="1:30" ht="16.5" hidden="1" customHeight="1" x14ac:dyDescent="0.45">
      <c r="A119" s="6" t="s">
        <v>114</v>
      </c>
      <c r="B119" s="7">
        <v>0</v>
      </c>
      <c r="C119" s="8">
        <f>IFERROR(B119/B444, "NA")</f>
        <v>0</v>
      </c>
      <c r="D119" s="9"/>
      <c r="E119" s="7">
        <v>0</v>
      </c>
      <c r="F119" s="8">
        <f>IFERROR(E119/E444, "NA")</f>
        <v>0</v>
      </c>
      <c r="G119" s="9"/>
      <c r="H119" s="10">
        <f t="shared" si="24"/>
        <v>0</v>
      </c>
      <c r="I119" s="8">
        <f>IFERROR(H119/H444, "NA")</f>
        <v>0</v>
      </c>
      <c r="J119" s="9"/>
      <c r="K119" s="7">
        <v>0</v>
      </c>
      <c r="L119" s="8">
        <f>IFERROR(K119/K444, "NA")</f>
        <v>0</v>
      </c>
      <c r="M119" s="9"/>
      <c r="N119" s="10">
        <f t="shared" si="25"/>
        <v>0</v>
      </c>
      <c r="O119" s="8">
        <f>IFERROR(N119/N444, "NA")</f>
        <v>0</v>
      </c>
      <c r="P119" s="9"/>
      <c r="Q119" s="7">
        <v>0</v>
      </c>
      <c r="R119" s="8">
        <f>IFERROR(Q119/Q444, "NA")</f>
        <v>0</v>
      </c>
      <c r="S119" s="9"/>
      <c r="T119" s="7">
        <v>0</v>
      </c>
      <c r="U119" s="8">
        <f>IFERROR(T119/T444, "NA")</f>
        <v>0</v>
      </c>
      <c r="V119" s="9"/>
      <c r="W119" s="10">
        <f t="shared" si="26"/>
        <v>0</v>
      </c>
      <c r="X119" s="8">
        <f>IFERROR(W119/W444, "NA")</f>
        <v>0</v>
      </c>
      <c r="Y119" s="9"/>
      <c r="Z119" s="7">
        <v>0</v>
      </c>
      <c r="AA119" s="8">
        <f>IFERROR(Z119/Z444, "NA")</f>
        <v>0</v>
      </c>
      <c r="AB119" s="9"/>
      <c r="AC119" s="10">
        <f t="shared" si="27"/>
        <v>0</v>
      </c>
      <c r="AD119" s="8">
        <f>IFERROR(AC119/AC444, "NA")</f>
        <v>0</v>
      </c>
    </row>
    <row r="120" spans="1:30" ht="16.5" hidden="1" customHeight="1" x14ac:dyDescent="0.45">
      <c r="A120" s="6" t="s">
        <v>115</v>
      </c>
      <c r="B120" s="7">
        <v>0</v>
      </c>
      <c r="C120" s="8">
        <f>IFERROR(B120/B444, "NA")</f>
        <v>0</v>
      </c>
      <c r="D120" s="9"/>
      <c r="E120" s="7">
        <v>0</v>
      </c>
      <c r="F120" s="8">
        <f>IFERROR(E120/E444, "NA")</f>
        <v>0</v>
      </c>
      <c r="G120" s="9"/>
      <c r="H120" s="10">
        <f t="shared" si="24"/>
        <v>0</v>
      </c>
      <c r="I120" s="8">
        <f>IFERROR(H120/H444, "NA")</f>
        <v>0</v>
      </c>
      <c r="J120" s="9"/>
      <c r="K120" s="7">
        <v>0</v>
      </c>
      <c r="L120" s="8">
        <f>IFERROR(K120/K444, "NA")</f>
        <v>0</v>
      </c>
      <c r="M120" s="9"/>
      <c r="N120" s="10">
        <f t="shared" si="25"/>
        <v>0</v>
      </c>
      <c r="O120" s="8">
        <f>IFERROR(N120/N444, "NA")</f>
        <v>0</v>
      </c>
      <c r="P120" s="9"/>
      <c r="Q120" s="7">
        <v>0</v>
      </c>
      <c r="R120" s="8">
        <f>IFERROR(Q120/Q444, "NA")</f>
        <v>0</v>
      </c>
      <c r="S120" s="9"/>
      <c r="T120" s="7">
        <v>0</v>
      </c>
      <c r="U120" s="8">
        <f>IFERROR(T120/T444, "NA")</f>
        <v>0</v>
      </c>
      <c r="V120" s="9"/>
      <c r="W120" s="10">
        <f t="shared" si="26"/>
        <v>0</v>
      </c>
      <c r="X120" s="8">
        <f>IFERROR(W120/W444, "NA")</f>
        <v>0</v>
      </c>
      <c r="Y120" s="9"/>
      <c r="Z120" s="7">
        <v>0</v>
      </c>
      <c r="AA120" s="8">
        <f>IFERROR(Z120/Z444, "NA")</f>
        <v>0</v>
      </c>
      <c r="AB120" s="9"/>
      <c r="AC120" s="10">
        <f t="shared" si="27"/>
        <v>0</v>
      </c>
      <c r="AD120" s="8">
        <f>IFERROR(AC120/AC444, "NA")</f>
        <v>0</v>
      </c>
    </row>
    <row r="121" spans="1:30" ht="16.5" hidden="1" customHeight="1" x14ac:dyDescent="0.45">
      <c r="A121" s="6" t="s">
        <v>116</v>
      </c>
      <c r="B121" s="7">
        <v>0</v>
      </c>
      <c r="C121" s="8">
        <f>IFERROR(B121/B444, "NA")</f>
        <v>0</v>
      </c>
      <c r="D121" s="9"/>
      <c r="E121" s="7">
        <v>0</v>
      </c>
      <c r="F121" s="8">
        <f>IFERROR(E121/E444, "NA")</f>
        <v>0</v>
      </c>
      <c r="G121" s="9"/>
      <c r="H121" s="10">
        <f t="shared" si="24"/>
        <v>0</v>
      </c>
      <c r="I121" s="8">
        <f>IFERROR(H121/H444, "NA")</f>
        <v>0</v>
      </c>
      <c r="J121" s="9"/>
      <c r="K121" s="7">
        <v>0</v>
      </c>
      <c r="L121" s="8">
        <f>IFERROR(K121/K444, "NA")</f>
        <v>0</v>
      </c>
      <c r="M121" s="9"/>
      <c r="N121" s="10">
        <f t="shared" si="25"/>
        <v>0</v>
      </c>
      <c r="O121" s="8">
        <f>IFERROR(N121/N444, "NA")</f>
        <v>0</v>
      </c>
      <c r="P121" s="9"/>
      <c r="Q121" s="7">
        <v>0</v>
      </c>
      <c r="R121" s="8">
        <f>IFERROR(Q121/Q444, "NA")</f>
        <v>0</v>
      </c>
      <c r="S121" s="9"/>
      <c r="T121" s="7">
        <v>0</v>
      </c>
      <c r="U121" s="8">
        <f>IFERROR(T121/T444, "NA")</f>
        <v>0</v>
      </c>
      <c r="V121" s="9"/>
      <c r="W121" s="10">
        <f t="shared" si="26"/>
        <v>0</v>
      </c>
      <c r="X121" s="8">
        <f>IFERROR(W121/W444, "NA")</f>
        <v>0</v>
      </c>
      <c r="Y121" s="9"/>
      <c r="Z121" s="7">
        <v>0</v>
      </c>
      <c r="AA121" s="8">
        <f>IFERROR(Z121/Z444, "NA")</f>
        <v>0</v>
      </c>
      <c r="AB121" s="9"/>
      <c r="AC121" s="10">
        <f t="shared" si="27"/>
        <v>0</v>
      </c>
      <c r="AD121" s="8">
        <f>IFERROR(AC121/AC444, "NA")</f>
        <v>0</v>
      </c>
    </row>
    <row r="122" spans="1:30" ht="16.5" customHeight="1" x14ac:dyDescent="0.45">
      <c r="A122" s="19" t="s">
        <v>117</v>
      </c>
      <c r="B122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72649.5</v>
      </c>
      <c r="C122" s="15">
        <f>IFERROR(B122/B444, "NA")</f>
        <v>1</v>
      </c>
      <c r="D122" s="2"/>
      <c r="E122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75654.460000000006</v>
      </c>
      <c r="F122" s="15">
        <f>IFERROR(E122/E444, "NA")</f>
        <v>1</v>
      </c>
      <c r="G122" s="2"/>
      <c r="H122" s="14">
        <f t="shared" si="24"/>
        <v>-3004.9600000000064</v>
      </c>
      <c r="I122" s="15">
        <f>IFERROR(H122/H444, "NA")</f>
        <v>1</v>
      </c>
      <c r="J122" s="2"/>
      <c r="K122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72919.98</v>
      </c>
      <c r="L122" s="15">
        <f>IFERROR(K122/K444, "NA")</f>
        <v>1</v>
      </c>
      <c r="M122" s="2"/>
      <c r="N122" s="14">
        <f t="shared" si="25"/>
        <v>-270.47999999999593</v>
      </c>
      <c r="O122" s="15">
        <f>IFERROR(N122/N444, "NA")</f>
        <v>1</v>
      </c>
      <c r="P122" s="2"/>
      <c r="Q122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72649.5</v>
      </c>
      <c r="R122" s="15">
        <f>IFERROR(Q122/Q444, "NA")</f>
        <v>1</v>
      </c>
      <c r="S122" s="2"/>
      <c r="T122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75654.460000000006</v>
      </c>
      <c r="U122" s="15">
        <f>IFERROR(T122/T444, "NA")</f>
        <v>1</v>
      </c>
      <c r="V122" s="2"/>
      <c r="W122" s="14">
        <f t="shared" si="26"/>
        <v>-3004.9600000000064</v>
      </c>
      <c r="X122" s="15">
        <f>IFERROR(W122/W444, "NA")</f>
        <v>1</v>
      </c>
      <c r="Y122" s="2"/>
      <c r="Z122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72919.98</v>
      </c>
      <c r="AA122" s="15">
        <f>IFERROR(Z122/Z444, "NA")</f>
        <v>1</v>
      </c>
      <c r="AB122" s="2"/>
      <c r="AC122" s="14">
        <f t="shared" si="27"/>
        <v>-270.47999999999593</v>
      </c>
      <c r="AD122" s="15">
        <f>IFERROR(AC122/AC444, "NA")</f>
        <v>1</v>
      </c>
    </row>
    <row r="123" spans="1:30" ht="16.5" hidden="1" customHeight="1" x14ac:dyDescent="0.45">
      <c r="A123" s="20" t="s">
        <v>118</v>
      </c>
      <c r="B123" s="7">
        <v>0</v>
      </c>
      <c r="C123" s="8">
        <f>IFERROR(B123/B444, "NA")</f>
        <v>0</v>
      </c>
      <c r="D123" s="9"/>
      <c r="E123" s="7">
        <v>0</v>
      </c>
      <c r="F123" s="8">
        <f>IFERROR(E123/E444, "NA")</f>
        <v>0</v>
      </c>
      <c r="G123" s="9"/>
      <c r="H123" s="10">
        <f t="shared" si="24"/>
        <v>0</v>
      </c>
      <c r="I123" s="8">
        <f>IFERROR(H123/H444, "NA")</f>
        <v>0</v>
      </c>
      <c r="J123" s="9"/>
      <c r="K123" s="7">
        <v>0</v>
      </c>
      <c r="L123" s="8">
        <f>IFERROR(K123/K444, "NA")</f>
        <v>0</v>
      </c>
      <c r="M123" s="9"/>
      <c r="N123" s="10">
        <f t="shared" si="25"/>
        <v>0</v>
      </c>
      <c r="O123" s="8">
        <f>IFERROR(N123/N444, "NA")</f>
        <v>0</v>
      </c>
      <c r="P123" s="9"/>
      <c r="Q123" s="7">
        <v>0</v>
      </c>
      <c r="R123" s="8">
        <f>IFERROR(Q123/Q444, "NA")</f>
        <v>0</v>
      </c>
      <c r="S123" s="9"/>
      <c r="T123" s="7">
        <v>0</v>
      </c>
      <c r="U123" s="8">
        <f>IFERROR(T123/T444, "NA")</f>
        <v>0</v>
      </c>
      <c r="V123" s="9"/>
      <c r="W123" s="10">
        <f t="shared" si="26"/>
        <v>0</v>
      </c>
      <c r="X123" s="8">
        <f>IFERROR(W123/W444, "NA")</f>
        <v>0</v>
      </c>
      <c r="Y123" s="9"/>
      <c r="Z123" s="7">
        <v>0</v>
      </c>
      <c r="AA123" s="8">
        <f>IFERROR(Z123/Z444, "NA")</f>
        <v>0</v>
      </c>
      <c r="AB123" s="9"/>
      <c r="AC123" s="10">
        <f t="shared" si="27"/>
        <v>0</v>
      </c>
      <c r="AD123" s="8">
        <f>IFERROR(AC123/AC444, "NA")</f>
        <v>0</v>
      </c>
    </row>
    <row r="124" spans="1:30" ht="16.5" customHeight="1" x14ac:dyDescent="0.45">
      <c r="A124" s="21" t="s">
        <v>117</v>
      </c>
      <c r="B124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72649.5</v>
      </c>
      <c r="C124" s="15">
        <f>IFERROR(B124/B444, "NA")</f>
        <v>1</v>
      </c>
      <c r="D124" s="2"/>
      <c r="E124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75654.460000000006</v>
      </c>
      <c r="F124" s="15">
        <f>IFERROR(E124/E444, "NA")</f>
        <v>1</v>
      </c>
      <c r="G124" s="2"/>
      <c r="H124" s="14">
        <f t="shared" si="24"/>
        <v>-3004.9600000000064</v>
      </c>
      <c r="I124" s="15">
        <f>IFERROR(H124/H444, "NA")</f>
        <v>1</v>
      </c>
      <c r="J124" s="2"/>
      <c r="K124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72919.98</v>
      </c>
      <c r="L124" s="15">
        <f>IFERROR(K124/K444, "NA")</f>
        <v>1</v>
      </c>
      <c r="M124" s="2"/>
      <c r="N124" s="14">
        <f t="shared" si="25"/>
        <v>-270.47999999999593</v>
      </c>
      <c r="O124" s="15">
        <f>IFERROR(N124/N444, "NA")</f>
        <v>1</v>
      </c>
      <c r="P124" s="2"/>
      <c r="Q124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72649.5</v>
      </c>
      <c r="R124" s="15">
        <f>IFERROR(Q124/Q444, "NA")</f>
        <v>1</v>
      </c>
      <c r="S124" s="2"/>
      <c r="T124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75654.460000000006</v>
      </c>
      <c r="U124" s="15">
        <f>IFERROR(T124/T444, "NA")</f>
        <v>1</v>
      </c>
      <c r="V124" s="2"/>
      <c r="W124" s="14">
        <f t="shared" si="26"/>
        <v>-3004.9600000000064</v>
      </c>
      <c r="X124" s="15">
        <f>IFERROR(W124/W444, "NA")</f>
        <v>1</v>
      </c>
      <c r="Y124" s="2"/>
      <c r="Z124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72919.98</v>
      </c>
      <c r="AA124" s="15">
        <f>IFERROR(Z124/Z444, "NA")</f>
        <v>1</v>
      </c>
      <c r="AB124" s="2"/>
      <c r="AC124" s="14">
        <f t="shared" si="27"/>
        <v>-270.47999999999593</v>
      </c>
      <c r="AD124" s="15">
        <f>IFERROR(AC124/AC444, "NA")</f>
        <v>1</v>
      </c>
    </row>
    <row r="125" spans="1:30" ht="16.5" customHeight="1" x14ac:dyDescent="0.45">
      <c r="A125" s="1" t="s">
        <v>119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45">
      <c r="A126" s="5" t="s">
        <v>120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45">
      <c r="A127" s="6" t="s">
        <v>120</v>
      </c>
      <c r="B127" s="7">
        <v>0</v>
      </c>
      <c r="C127" s="8">
        <f>IFERROR(B127/B444, "NA")</f>
        <v>0</v>
      </c>
      <c r="D127" s="9"/>
      <c r="E127" s="7">
        <v>0</v>
      </c>
      <c r="F127" s="8">
        <f>IFERROR(E127/E444, "NA")</f>
        <v>0</v>
      </c>
      <c r="G127" s="9"/>
      <c r="H127" s="10">
        <f>IFERROR(-(B127-E127), "NA")</f>
        <v>0</v>
      </c>
      <c r="I127" s="8">
        <f>IFERROR(H127/H444, "NA")</f>
        <v>0</v>
      </c>
      <c r="J127" s="9"/>
      <c r="K127" s="7">
        <v>0</v>
      </c>
      <c r="L127" s="8">
        <f>IFERROR(K127/K444, "NA")</f>
        <v>0</v>
      </c>
      <c r="M127" s="9"/>
      <c r="N127" s="10">
        <f>IFERROR(-(B127-K127), "NA")</f>
        <v>0</v>
      </c>
      <c r="O127" s="8">
        <f>IFERROR(N127/N444, "NA")</f>
        <v>0</v>
      </c>
      <c r="P127" s="9"/>
      <c r="Q127" s="7">
        <v>0</v>
      </c>
      <c r="R127" s="8">
        <f>IFERROR(Q127/Q444, "NA")</f>
        <v>0</v>
      </c>
      <c r="S127" s="9"/>
      <c r="T127" s="7">
        <v>0</v>
      </c>
      <c r="U127" s="8">
        <f>IFERROR(T127/T444, "NA")</f>
        <v>0</v>
      </c>
      <c r="V127" s="9"/>
      <c r="W127" s="10">
        <f>IFERROR(-(Q127-T127), "NA")</f>
        <v>0</v>
      </c>
      <c r="X127" s="8">
        <f>IFERROR(W127/W444, "NA")</f>
        <v>0</v>
      </c>
      <c r="Y127" s="9"/>
      <c r="Z127" s="7">
        <v>0</v>
      </c>
      <c r="AA127" s="8">
        <f>IFERROR(Z127/Z444, "NA")</f>
        <v>0</v>
      </c>
      <c r="AB127" s="9"/>
      <c r="AC127" s="10">
        <f>IFERROR(-(Q127-Z127), "NA")</f>
        <v>0</v>
      </c>
      <c r="AD127" s="8">
        <f>IFERROR(AC127/AC444, "NA")</f>
        <v>0</v>
      </c>
    </row>
    <row r="128" spans="1:30" ht="16.5" customHeight="1" x14ac:dyDescent="0.45">
      <c r="A128" s="11" t="s">
        <v>121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45">
      <c r="A129" s="12" t="s">
        <v>121</v>
      </c>
      <c r="B129" s="7">
        <v>0</v>
      </c>
      <c r="C129" s="8">
        <f>IFERROR(B129/B444, "NA")</f>
        <v>0</v>
      </c>
      <c r="D129" s="9"/>
      <c r="E129" s="7">
        <v>17022.259999999998</v>
      </c>
      <c r="F129" s="8">
        <f>IFERROR(E129/E444, "NA")</f>
        <v>0.22500008591694393</v>
      </c>
      <c r="G129" s="9"/>
      <c r="H129" s="10">
        <f t="shared" ref="H129:H141" si="28">IFERROR(-(B129-E129), "NA")</f>
        <v>17022.259999999998</v>
      </c>
      <c r="I129" s="8">
        <f>IFERROR(H129/H444, "NA")</f>
        <v>-5.6647209946222121</v>
      </c>
      <c r="J129" s="9"/>
      <c r="K129" s="7">
        <v>0</v>
      </c>
      <c r="L129" s="8">
        <f>IFERROR(K129/K444, "NA")</f>
        <v>0</v>
      </c>
      <c r="M129" s="9"/>
      <c r="N129" s="10">
        <f t="shared" ref="N129:N141" si="29">IFERROR(-(B129-K129), "NA")</f>
        <v>0</v>
      </c>
      <c r="O129" s="8">
        <f>IFERROR(N129/N444, "NA")</f>
        <v>0</v>
      </c>
      <c r="P129" s="9"/>
      <c r="Q129" s="7">
        <v>0</v>
      </c>
      <c r="R129" s="8">
        <f>IFERROR(Q129/Q444, "NA")</f>
        <v>0</v>
      </c>
      <c r="S129" s="9"/>
      <c r="T129" s="7">
        <v>17022.259999999998</v>
      </c>
      <c r="U129" s="8">
        <f>IFERROR(T129/T444, "NA")</f>
        <v>0.22500008591694393</v>
      </c>
      <c r="V129" s="9"/>
      <c r="W129" s="10">
        <f t="shared" ref="W129:W141" si="30">IFERROR(-(Q129-T129), "NA")</f>
        <v>17022.259999999998</v>
      </c>
      <c r="X129" s="8">
        <f>IFERROR(W129/W444, "NA")</f>
        <v>-5.6647209946222121</v>
      </c>
      <c r="Y129" s="9"/>
      <c r="Z129" s="7">
        <v>0</v>
      </c>
      <c r="AA129" s="8">
        <f>IFERROR(Z129/Z444, "NA")</f>
        <v>0</v>
      </c>
      <c r="AB129" s="9"/>
      <c r="AC129" s="10">
        <f t="shared" ref="AC129:AC141" si="31">IFERROR(-(Q129-Z129), "NA")</f>
        <v>0</v>
      </c>
      <c r="AD129" s="8">
        <f>IFERROR(AC129/AC444, "NA")</f>
        <v>0</v>
      </c>
    </row>
    <row r="130" spans="1:30" ht="16.5" customHeight="1" x14ac:dyDescent="0.45">
      <c r="A130" s="12" t="s">
        <v>122</v>
      </c>
      <c r="B130" s="7">
        <v>3525.14</v>
      </c>
      <c r="C130" s="8">
        <f>IFERROR(B130/B444, "NA")</f>
        <v>4.8522563816681463E-2</v>
      </c>
      <c r="D130" s="9"/>
      <c r="E130" s="7">
        <v>0</v>
      </c>
      <c r="F130" s="8">
        <f>IFERROR(E130/E444, "NA")</f>
        <v>0</v>
      </c>
      <c r="G130" s="9"/>
      <c r="H130" s="10">
        <f t="shared" si="28"/>
        <v>-3525.14</v>
      </c>
      <c r="I130" s="8">
        <f>IFERROR(H130/H444, "NA")</f>
        <v>1.1731071295458151</v>
      </c>
      <c r="J130" s="9"/>
      <c r="K130" s="7">
        <v>4072.91</v>
      </c>
      <c r="L130" s="8">
        <f>IFERROR(K130/K444, "NA")</f>
        <v>5.585451339948256E-2</v>
      </c>
      <c r="M130" s="9"/>
      <c r="N130" s="10">
        <f t="shared" si="29"/>
        <v>547.77</v>
      </c>
      <c r="O130" s="8">
        <f>IFERROR(N130/N444, "NA")</f>
        <v>-2.0251774622892942</v>
      </c>
      <c r="P130" s="9"/>
      <c r="Q130" s="7">
        <v>3525.14</v>
      </c>
      <c r="R130" s="8">
        <f>IFERROR(Q130/Q444, "NA")</f>
        <v>4.8522563816681463E-2</v>
      </c>
      <c r="S130" s="9"/>
      <c r="T130" s="7">
        <v>0</v>
      </c>
      <c r="U130" s="8">
        <f>IFERROR(T130/T444, "NA")</f>
        <v>0</v>
      </c>
      <c r="V130" s="9"/>
      <c r="W130" s="10">
        <f t="shared" si="30"/>
        <v>-3525.14</v>
      </c>
      <c r="X130" s="8">
        <f>IFERROR(W130/W444, "NA")</f>
        <v>1.1731071295458151</v>
      </c>
      <c r="Y130" s="9"/>
      <c r="Z130" s="7">
        <v>4072.91</v>
      </c>
      <c r="AA130" s="8">
        <f>IFERROR(Z130/Z444, "NA")</f>
        <v>5.585451339948256E-2</v>
      </c>
      <c r="AB130" s="9"/>
      <c r="AC130" s="10">
        <f t="shared" si="31"/>
        <v>547.77</v>
      </c>
      <c r="AD130" s="8">
        <f>IFERROR(AC130/AC444, "NA")</f>
        <v>-2.0251774622892942</v>
      </c>
    </row>
    <row r="131" spans="1:30" ht="16.5" customHeight="1" x14ac:dyDescent="0.45">
      <c r="A131" s="12" t="s">
        <v>123</v>
      </c>
      <c r="B131" s="7">
        <v>2172.02</v>
      </c>
      <c r="C131" s="8">
        <f>IFERROR(B131/B444, "NA")</f>
        <v>2.9897246367834602E-2</v>
      </c>
      <c r="D131" s="9"/>
      <c r="E131" s="7">
        <v>0</v>
      </c>
      <c r="F131" s="8">
        <f>IFERROR(E131/E444, "NA")</f>
        <v>0</v>
      </c>
      <c r="G131" s="9"/>
      <c r="H131" s="10">
        <f t="shared" si="28"/>
        <v>-2172.02</v>
      </c>
      <c r="I131" s="8">
        <f>IFERROR(H131/H444, "NA")</f>
        <v>0.72281161812469896</v>
      </c>
      <c r="J131" s="9"/>
      <c r="K131" s="7">
        <v>2806.39</v>
      </c>
      <c r="L131" s="8">
        <f>IFERROR(K131/K444, "NA")</f>
        <v>3.8485885487077751E-2</v>
      </c>
      <c r="M131" s="9"/>
      <c r="N131" s="10">
        <f t="shared" si="29"/>
        <v>634.36999999999989</v>
      </c>
      <c r="O131" s="8">
        <f>IFERROR(N131/N444, "NA")</f>
        <v>-2.34534900916892</v>
      </c>
      <c r="P131" s="9"/>
      <c r="Q131" s="7">
        <v>2172.02</v>
      </c>
      <c r="R131" s="8">
        <f>IFERROR(Q131/Q444, "NA")</f>
        <v>2.9897246367834602E-2</v>
      </c>
      <c r="S131" s="9"/>
      <c r="T131" s="7">
        <v>0</v>
      </c>
      <c r="U131" s="8">
        <f>IFERROR(T131/T444, "NA")</f>
        <v>0</v>
      </c>
      <c r="V131" s="9"/>
      <c r="W131" s="10">
        <f t="shared" si="30"/>
        <v>-2172.02</v>
      </c>
      <c r="X131" s="8">
        <f>IFERROR(W131/W444, "NA")</f>
        <v>0.72281161812469896</v>
      </c>
      <c r="Y131" s="9"/>
      <c r="Z131" s="7">
        <v>2806.39</v>
      </c>
      <c r="AA131" s="8">
        <f>IFERROR(Z131/Z444, "NA")</f>
        <v>3.8485885487077751E-2</v>
      </c>
      <c r="AB131" s="9"/>
      <c r="AC131" s="10">
        <f t="shared" si="31"/>
        <v>634.36999999999989</v>
      </c>
      <c r="AD131" s="8">
        <f>IFERROR(AC131/AC444, "NA")</f>
        <v>-2.34534900916892</v>
      </c>
    </row>
    <row r="132" spans="1:30" ht="16.5" customHeight="1" x14ac:dyDescent="0.45">
      <c r="A132" s="12" t="s">
        <v>124</v>
      </c>
      <c r="B132" s="7">
        <v>2023.82</v>
      </c>
      <c r="C132" s="8">
        <f>IFERROR(B132/B444, "NA")</f>
        <v>2.7857314916138444E-2</v>
      </c>
      <c r="D132" s="9"/>
      <c r="E132" s="7">
        <v>0</v>
      </c>
      <c r="F132" s="8">
        <f>IFERROR(E132/E444, "NA")</f>
        <v>0</v>
      </c>
      <c r="G132" s="9"/>
      <c r="H132" s="10">
        <f t="shared" si="28"/>
        <v>-2023.82</v>
      </c>
      <c r="I132" s="8">
        <f>IFERROR(H132/H444, "NA")</f>
        <v>0.67349315797880693</v>
      </c>
      <c r="J132" s="9"/>
      <c r="K132" s="7">
        <v>2864.1</v>
      </c>
      <c r="L132" s="8">
        <f>IFERROR(K132/K444, "NA")</f>
        <v>3.927730095373038E-2</v>
      </c>
      <c r="M132" s="9"/>
      <c r="N132" s="10">
        <f t="shared" si="29"/>
        <v>840.28</v>
      </c>
      <c r="O132" s="8">
        <f>IFERROR(N132/N444, "NA")</f>
        <v>-3.1066252587992187</v>
      </c>
      <c r="P132" s="9"/>
      <c r="Q132" s="7">
        <v>2023.82</v>
      </c>
      <c r="R132" s="8">
        <f>IFERROR(Q132/Q444, "NA")</f>
        <v>2.7857314916138444E-2</v>
      </c>
      <c r="S132" s="9"/>
      <c r="T132" s="7">
        <v>0</v>
      </c>
      <c r="U132" s="8">
        <f>IFERROR(T132/T444, "NA")</f>
        <v>0</v>
      </c>
      <c r="V132" s="9"/>
      <c r="W132" s="10">
        <f t="shared" si="30"/>
        <v>-2023.82</v>
      </c>
      <c r="X132" s="8">
        <f>IFERROR(W132/W444, "NA")</f>
        <v>0.67349315797880693</v>
      </c>
      <c r="Y132" s="9"/>
      <c r="Z132" s="7">
        <v>2864.1</v>
      </c>
      <c r="AA132" s="8">
        <f>IFERROR(Z132/Z444, "NA")</f>
        <v>3.927730095373038E-2</v>
      </c>
      <c r="AB132" s="9"/>
      <c r="AC132" s="10">
        <f t="shared" si="31"/>
        <v>840.28</v>
      </c>
      <c r="AD132" s="8">
        <f>IFERROR(AC132/AC444, "NA")</f>
        <v>-3.1066252587992187</v>
      </c>
    </row>
    <row r="133" spans="1:30" ht="16.5" customHeight="1" x14ac:dyDescent="0.45">
      <c r="A133" s="12" t="s">
        <v>125</v>
      </c>
      <c r="B133" s="7">
        <v>1666.73</v>
      </c>
      <c r="C133" s="8">
        <f>IFERROR(B133/B444, "NA")</f>
        <v>2.2942071177365294E-2</v>
      </c>
      <c r="D133" s="9"/>
      <c r="E133" s="7">
        <v>0</v>
      </c>
      <c r="F133" s="8">
        <f>IFERROR(E133/E444, "NA")</f>
        <v>0</v>
      </c>
      <c r="G133" s="9"/>
      <c r="H133" s="10">
        <f t="shared" si="28"/>
        <v>-1666.73</v>
      </c>
      <c r="I133" s="8">
        <f>IFERROR(H133/H444, "NA")</f>
        <v>0.55465962941270319</v>
      </c>
      <c r="J133" s="9"/>
      <c r="K133" s="7">
        <v>1905.41</v>
      </c>
      <c r="L133" s="8">
        <f>IFERROR(K133/K444, "NA")</f>
        <v>2.613014978885074E-2</v>
      </c>
      <c r="M133" s="9"/>
      <c r="N133" s="10">
        <f t="shared" si="29"/>
        <v>238.68000000000006</v>
      </c>
      <c r="O133" s="8">
        <f>IFERROR(N133/N444, "NA")</f>
        <v>-0.88243123336292395</v>
      </c>
      <c r="P133" s="9"/>
      <c r="Q133" s="7">
        <v>1666.73</v>
      </c>
      <c r="R133" s="8">
        <f>IFERROR(Q133/Q444, "NA")</f>
        <v>2.2942071177365294E-2</v>
      </c>
      <c r="S133" s="9"/>
      <c r="T133" s="7">
        <v>0</v>
      </c>
      <c r="U133" s="8">
        <f>IFERROR(T133/T444, "NA")</f>
        <v>0</v>
      </c>
      <c r="V133" s="9"/>
      <c r="W133" s="10">
        <f t="shared" si="30"/>
        <v>-1666.73</v>
      </c>
      <c r="X133" s="8">
        <f>IFERROR(W133/W444, "NA")</f>
        <v>0.55465962941270319</v>
      </c>
      <c r="Y133" s="9"/>
      <c r="Z133" s="7">
        <v>1905.41</v>
      </c>
      <c r="AA133" s="8">
        <f>IFERROR(Z133/Z444, "NA")</f>
        <v>2.613014978885074E-2</v>
      </c>
      <c r="AB133" s="9"/>
      <c r="AC133" s="10">
        <f t="shared" si="31"/>
        <v>238.68000000000006</v>
      </c>
      <c r="AD133" s="8">
        <f>IFERROR(AC133/AC444, "NA")</f>
        <v>-0.88243123336292395</v>
      </c>
    </row>
    <row r="134" spans="1:30" ht="16.5" customHeight="1" x14ac:dyDescent="0.45">
      <c r="A134" s="12" t="s">
        <v>126</v>
      </c>
      <c r="B134" s="7">
        <v>981.47</v>
      </c>
      <c r="C134" s="8">
        <f>IFERROR(B134/B444, "NA")</f>
        <v>1.3509659392012334E-2</v>
      </c>
      <c r="D134" s="9"/>
      <c r="E134" s="7">
        <v>0</v>
      </c>
      <c r="F134" s="8">
        <f>IFERROR(E134/E444, "NA")</f>
        <v>0</v>
      </c>
      <c r="G134" s="9"/>
      <c r="H134" s="10">
        <f t="shared" si="28"/>
        <v>-981.47</v>
      </c>
      <c r="I134" s="8">
        <f>IFERROR(H134/H444, "NA")</f>
        <v>0.32661666045471416</v>
      </c>
      <c r="J134" s="9"/>
      <c r="K134" s="7">
        <v>591.07000000000005</v>
      </c>
      <c r="L134" s="8">
        <f>IFERROR(K134/K444, "NA")</f>
        <v>8.105734532565698E-3</v>
      </c>
      <c r="M134" s="9"/>
      <c r="N134" s="10">
        <f t="shared" si="29"/>
        <v>-390.4</v>
      </c>
      <c r="O134" s="8">
        <f>IFERROR(N134/N444, "NA")</f>
        <v>1.4433599526767444</v>
      </c>
      <c r="P134" s="9"/>
      <c r="Q134" s="7">
        <v>981.47</v>
      </c>
      <c r="R134" s="8">
        <f>IFERROR(Q134/Q444, "NA")</f>
        <v>1.3509659392012334E-2</v>
      </c>
      <c r="S134" s="9"/>
      <c r="T134" s="7">
        <v>0</v>
      </c>
      <c r="U134" s="8">
        <f>IFERROR(T134/T444, "NA")</f>
        <v>0</v>
      </c>
      <c r="V134" s="9"/>
      <c r="W134" s="10">
        <f t="shared" si="30"/>
        <v>-981.47</v>
      </c>
      <c r="X134" s="8">
        <f>IFERROR(W134/W444, "NA")</f>
        <v>0.32661666045471416</v>
      </c>
      <c r="Y134" s="9"/>
      <c r="Z134" s="7">
        <v>591.07000000000005</v>
      </c>
      <c r="AA134" s="8">
        <f>IFERROR(Z134/Z444, "NA")</f>
        <v>8.105734532565698E-3</v>
      </c>
      <c r="AB134" s="9"/>
      <c r="AC134" s="10">
        <f t="shared" si="31"/>
        <v>-390.4</v>
      </c>
      <c r="AD134" s="8">
        <f>IFERROR(AC134/AC444, "NA")</f>
        <v>1.4433599526767444</v>
      </c>
    </row>
    <row r="135" spans="1:30" ht="16.5" customHeight="1" x14ac:dyDescent="0.45">
      <c r="A135" s="12" t="s">
        <v>127</v>
      </c>
      <c r="B135" s="7">
        <v>605.19000000000005</v>
      </c>
      <c r="C135" s="8">
        <f>IFERROR(B135/B444, "NA")</f>
        <v>8.3302706832118611E-3</v>
      </c>
      <c r="D135" s="9"/>
      <c r="E135" s="7">
        <v>0</v>
      </c>
      <c r="F135" s="8">
        <f>IFERROR(E135/E444, "NA")</f>
        <v>0</v>
      </c>
      <c r="G135" s="9"/>
      <c r="H135" s="10">
        <f t="shared" si="28"/>
        <v>-605.19000000000005</v>
      </c>
      <c r="I135" s="8">
        <f>IFERROR(H135/H444, "NA")</f>
        <v>0.20139702358766798</v>
      </c>
      <c r="J135" s="9"/>
      <c r="K135" s="7">
        <v>506.27</v>
      </c>
      <c r="L135" s="8">
        <f>IFERROR(K135/K444, "NA")</f>
        <v>6.9428159470147962E-3</v>
      </c>
      <c r="M135" s="9"/>
      <c r="N135" s="10">
        <f t="shared" si="29"/>
        <v>-98.920000000000073</v>
      </c>
      <c r="O135" s="8">
        <f>IFERROR(N135/N444, "NA")</f>
        <v>0.36572020112393361</v>
      </c>
      <c r="P135" s="9"/>
      <c r="Q135" s="7">
        <v>605.19000000000005</v>
      </c>
      <c r="R135" s="8">
        <f>IFERROR(Q135/Q444, "NA")</f>
        <v>8.3302706832118611E-3</v>
      </c>
      <c r="S135" s="9"/>
      <c r="T135" s="7">
        <v>0</v>
      </c>
      <c r="U135" s="8">
        <f>IFERROR(T135/T444, "NA")</f>
        <v>0</v>
      </c>
      <c r="V135" s="9"/>
      <c r="W135" s="10">
        <f t="shared" si="30"/>
        <v>-605.19000000000005</v>
      </c>
      <c r="X135" s="8">
        <f>IFERROR(W135/W444, "NA")</f>
        <v>0.20139702358766798</v>
      </c>
      <c r="Y135" s="9"/>
      <c r="Z135" s="7">
        <v>506.27</v>
      </c>
      <c r="AA135" s="8">
        <f>IFERROR(Z135/Z444, "NA")</f>
        <v>6.9428159470147962E-3</v>
      </c>
      <c r="AB135" s="9"/>
      <c r="AC135" s="10">
        <f t="shared" si="31"/>
        <v>-98.920000000000073</v>
      </c>
      <c r="AD135" s="8">
        <f>IFERROR(AC135/AC444, "NA")</f>
        <v>0.36572020112393361</v>
      </c>
    </row>
    <row r="136" spans="1:30" ht="16.5" customHeight="1" x14ac:dyDescent="0.45">
      <c r="A136" s="12" t="s">
        <v>128</v>
      </c>
      <c r="B136" s="7">
        <v>0</v>
      </c>
      <c r="C136" s="8">
        <f>IFERROR(B136/B444, "NA")</f>
        <v>0</v>
      </c>
      <c r="D136" s="9"/>
      <c r="E136" s="7">
        <v>0</v>
      </c>
      <c r="F136" s="8">
        <f>IFERROR(E136/E444, "NA")</f>
        <v>0</v>
      </c>
      <c r="G136" s="9"/>
      <c r="H136" s="10">
        <f t="shared" si="28"/>
        <v>0</v>
      </c>
      <c r="I136" s="8">
        <f>IFERROR(H136/H444, "NA")</f>
        <v>0</v>
      </c>
      <c r="J136" s="9"/>
      <c r="K136" s="7">
        <v>499.97</v>
      </c>
      <c r="L136" s="8">
        <f>IFERROR(K136/K444, "NA")</f>
        <v>6.8564198728524066E-3</v>
      </c>
      <c r="M136" s="9"/>
      <c r="N136" s="10">
        <f t="shared" si="29"/>
        <v>499.97</v>
      </c>
      <c r="O136" s="8">
        <f>IFERROR(N136/N444, "NA")</f>
        <v>-1.8484545992310246</v>
      </c>
      <c r="P136" s="9"/>
      <c r="Q136" s="7">
        <v>0</v>
      </c>
      <c r="R136" s="8">
        <f>IFERROR(Q136/Q444, "NA")</f>
        <v>0</v>
      </c>
      <c r="S136" s="9"/>
      <c r="T136" s="7">
        <v>0</v>
      </c>
      <c r="U136" s="8">
        <f>IFERROR(T136/T444, "NA")</f>
        <v>0</v>
      </c>
      <c r="V136" s="9"/>
      <c r="W136" s="10">
        <f t="shared" si="30"/>
        <v>0</v>
      </c>
      <c r="X136" s="8">
        <f>IFERROR(W136/W444, "NA")</f>
        <v>0</v>
      </c>
      <c r="Y136" s="9"/>
      <c r="Z136" s="7">
        <v>499.97</v>
      </c>
      <c r="AA136" s="8">
        <f>IFERROR(Z136/Z444, "NA")</f>
        <v>6.8564198728524066E-3</v>
      </c>
      <c r="AB136" s="9"/>
      <c r="AC136" s="10">
        <f t="shared" si="31"/>
        <v>499.97</v>
      </c>
      <c r="AD136" s="8">
        <f>IFERROR(AC136/AC444, "NA")</f>
        <v>-1.8484545992310246</v>
      </c>
    </row>
    <row r="137" spans="1:30" ht="16.5" customHeight="1" x14ac:dyDescent="0.45">
      <c r="A137" s="12" t="s">
        <v>129</v>
      </c>
      <c r="B137" s="7">
        <v>343.78</v>
      </c>
      <c r="C137" s="8">
        <f>IFERROR(B137/B444, "NA")</f>
        <v>4.7320353202706137E-3</v>
      </c>
      <c r="D137" s="9"/>
      <c r="E137" s="7">
        <v>0</v>
      </c>
      <c r="F137" s="8">
        <f>IFERROR(E137/E444, "NA")</f>
        <v>0</v>
      </c>
      <c r="G137" s="9"/>
      <c r="H137" s="10">
        <f t="shared" si="28"/>
        <v>-343.78</v>
      </c>
      <c r="I137" s="8">
        <f>IFERROR(H137/H444, "NA")</f>
        <v>0.11440418508066638</v>
      </c>
      <c r="J137" s="9"/>
      <c r="K137" s="7">
        <v>320.88</v>
      </c>
      <c r="L137" s="8">
        <f>IFERROR(K137/K444, "NA")</f>
        <v>4.4004400440044002E-3</v>
      </c>
      <c r="M137" s="9"/>
      <c r="N137" s="10">
        <f t="shared" si="29"/>
        <v>-22.899999999999977</v>
      </c>
      <c r="O137" s="8">
        <f>IFERROR(N137/N444, "NA")</f>
        <v>8.4664300502811013E-2</v>
      </c>
      <c r="P137" s="9"/>
      <c r="Q137" s="7">
        <v>343.78</v>
      </c>
      <c r="R137" s="8">
        <f>IFERROR(Q137/Q444, "NA")</f>
        <v>4.7320353202706137E-3</v>
      </c>
      <c r="S137" s="9"/>
      <c r="T137" s="7">
        <v>0</v>
      </c>
      <c r="U137" s="8">
        <f>IFERROR(T137/T444, "NA")</f>
        <v>0</v>
      </c>
      <c r="V137" s="9"/>
      <c r="W137" s="10">
        <f t="shared" si="30"/>
        <v>-343.78</v>
      </c>
      <c r="X137" s="8">
        <f>IFERROR(W137/W444, "NA")</f>
        <v>0.11440418508066638</v>
      </c>
      <c r="Y137" s="9"/>
      <c r="Z137" s="7">
        <v>320.88</v>
      </c>
      <c r="AA137" s="8">
        <f>IFERROR(Z137/Z444, "NA")</f>
        <v>4.4004400440044002E-3</v>
      </c>
      <c r="AB137" s="9"/>
      <c r="AC137" s="10">
        <f t="shared" si="31"/>
        <v>-22.899999999999977</v>
      </c>
      <c r="AD137" s="8">
        <f>IFERROR(AC137/AC444, "NA")</f>
        <v>8.4664300502811013E-2</v>
      </c>
    </row>
    <row r="138" spans="1:30" ht="16.5" customHeight="1" x14ac:dyDescent="0.45">
      <c r="A138" s="12" t="s">
        <v>130</v>
      </c>
      <c r="B138" s="7">
        <v>5564.77</v>
      </c>
      <c r="C138" s="8">
        <f>IFERROR(B138/B444, "NA")</f>
        <v>7.6597498950440129E-2</v>
      </c>
      <c r="D138" s="9"/>
      <c r="E138" s="7">
        <v>0</v>
      </c>
      <c r="F138" s="8">
        <f>IFERROR(E138/E444, "NA")</f>
        <v>0</v>
      </c>
      <c r="G138" s="9"/>
      <c r="H138" s="10">
        <f t="shared" si="28"/>
        <v>-5564.77</v>
      </c>
      <c r="I138" s="8">
        <f>IFERROR(H138/H444, "NA")</f>
        <v>1.8518615888397811</v>
      </c>
      <c r="J138" s="9"/>
      <c r="K138" s="7">
        <v>4000.38</v>
      </c>
      <c r="L138" s="8">
        <f>IFERROR(K138/K444, "NA")</f>
        <v>5.485986145360984E-2</v>
      </c>
      <c r="M138" s="9"/>
      <c r="N138" s="10">
        <f t="shared" si="29"/>
        <v>-1564.3900000000003</v>
      </c>
      <c r="O138" s="8">
        <f>IFERROR(N138/N444, "NA")</f>
        <v>5.7837548062704229</v>
      </c>
      <c r="P138" s="9"/>
      <c r="Q138" s="7">
        <v>5564.77</v>
      </c>
      <c r="R138" s="8">
        <f>IFERROR(Q138/Q444, "NA")</f>
        <v>7.6597498950440129E-2</v>
      </c>
      <c r="S138" s="9"/>
      <c r="T138" s="7">
        <v>0</v>
      </c>
      <c r="U138" s="8">
        <f>IFERROR(T138/T444, "NA")</f>
        <v>0</v>
      </c>
      <c r="V138" s="9"/>
      <c r="W138" s="10">
        <f t="shared" si="30"/>
        <v>-5564.77</v>
      </c>
      <c r="X138" s="8">
        <f>IFERROR(W138/W444, "NA")</f>
        <v>1.8518615888397811</v>
      </c>
      <c r="Y138" s="9"/>
      <c r="Z138" s="7">
        <v>4000.38</v>
      </c>
      <c r="AA138" s="8">
        <f>IFERROR(Z138/Z444, "NA")</f>
        <v>5.485986145360984E-2</v>
      </c>
      <c r="AB138" s="9"/>
      <c r="AC138" s="10">
        <f t="shared" si="31"/>
        <v>-1564.3900000000003</v>
      </c>
      <c r="AD138" s="8">
        <f>IFERROR(AC138/AC444, "NA")</f>
        <v>5.7837548062704229</v>
      </c>
    </row>
    <row r="139" spans="1:30" ht="16.5" hidden="1" customHeight="1" x14ac:dyDescent="0.45">
      <c r="A139" s="12" t="s">
        <v>131</v>
      </c>
      <c r="B139" s="7">
        <v>0</v>
      </c>
      <c r="C139" s="8">
        <f>IFERROR(B139/B444, "NA")</f>
        <v>0</v>
      </c>
      <c r="D139" s="9"/>
      <c r="E139" s="7">
        <v>0</v>
      </c>
      <c r="F139" s="8">
        <f>IFERROR(E139/E444, "NA")</f>
        <v>0</v>
      </c>
      <c r="G139" s="9"/>
      <c r="H139" s="10">
        <f t="shared" si="28"/>
        <v>0</v>
      </c>
      <c r="I139" s="8">
        <f>IFERROR(H139/H444, "NA")</f>
        <v>0</v>
      </c>
      <c r="J139" s="9"/>
      <c r="K139" s="7">
        <v>0</v>
      </c>
      <c r="L139" s="8">
        <f>IFERROR(K139/K444, "NA")</f>
        <v>0</v>
      </c>
      <c r="M139" s="9"/>
      <c r="N139" s="10">
        <f t="shared" si="29"/>
        <v>0</v>
      </c>
      <c r="O139" s="8">
        <f>IFERROR(N139/N444, "NA")</f>
        <v>0</v>
      </c>
      <c r="P139" s="9"/>
      <c r="Q139" s="7">
        <v>0</v>
      </c>
      <c r="R139" s="8">
        <f>IFERROR(Q139/Q444, "NA")</f>
        <v>0</v>
      </c>
      <c r="S139" s="9"/>
      <c r="T139" s="7">
        <v>0</v>
      </c>
      <c r="U139" s="8">
        <f>IFERROR(T139/T444, "NA")</f>
        <v>0</v>
      </c>
      <c r="V139" s="9"/>
      <c r="W139" s="10">
        <f t="shared" si="30"/>
        <v>0</v>
      </c>
      <c r="X139" s="8">
        <f>IFERROR(W139/W444, "NA")</f>
        <v>0</v>
      </c>
      <c r="Y139" s="9"/>
      <c r="Z139" s="7">
        <v>0</v>
      </c>
      <c r="AA139" s="8">
        <f>IFERROR(Z139/Z444, "NA")</f>
        <v>0</v>
      </c>
      <c r="AB139" s="9"/>
      <c r="AC139" s="10">
        <f t="shared" si="31"/>
        <v>0</v>
      </c>
      <c r="AD139" s="8">
        <f>IFERROR(AC139/AC444, "NA")</f>
        <v>0</v>
      </c>
    </row>
    <row r="140" spans="1:30" ht="16.5" hidden="1" customHeight="1" x14ac:dyDescent="0.45">
      <c r="A140" s="12" t="s">
        <v>132</v>
      </c>
      <c r="B140" s="7">
        <v>0</v>
      </c>
      <c r="C140" s="8">
        <f>IFERROR(B140/B444, "NA")</f>
        <v>0</v>
      </c>
      <c r="D140" s="9"/>
      <c r="E140" s="7">
        <v>0</v>
      </c>
      <c r="F140" s="8">
        <f>IFERROR(E140/E444, "NA")</f>
        <v>0</v>
      </c>
      <c r="G140" s="9"/>
      <c r="H140" s="10">
        <f t="shared" si="28"/>
        <v>0</v>
      </c>
      <c r="I140" s="8">
        <f>IFERROR(H140/H444, "NA")</f>
        <v>0</v>
      </c>
      <c r="J140" s="9"/>
      <c r="K140" s="7">
        <v>0</v>
      </c>
      <c r="L140" s="8">
        <f>IFERROR(K140/K444, "NA")</f>
        <v>0</v>
      </c>
      <c r="M140" s="9"/>
      <c r="N140" s="10">
        <f t="shared" si="29"/>
        <v>0</v>
      </c>
      <c r="O140" s="8">
        <f>IFERROR(N140/N444, "NA")</f>
        <v>0</v>
      </c>
      <c r="P140" s="9"/>
      <c r="Q140" s="7">
        <v>0</v>
      </c>
      <c r="R140" s="8">
        <f>IFERROR(Q140/Q444, "NA")</f>
        <v>0</v>
      </c>
      <c r="S140" s="9"/>
      <c r="T140" s="7">
        <v>0</v>
      </c>
      <c r="U140" s="8">
        <f>IFERROR(T140/T444, "NA")</f>
        <v>0</v>
      </c>
      <c r="V140" s="9"/>
      <c r="W140" s="10">
        <f t="shared" si="30"/>
        <v>0</v>
      </c>
      <c r="X140" s="8">
        <f>IFERROR(W140/W444, "NA")</f>
        <v>0</v>
      </c>
      <c r="Y140" s="9"/>
      <c r="Z140" s="7">
        <v>0</v>
      </c>
      <c r="AA140" s="8">
        <f>IFERROR(Z140/Z444, "NA")</f>
        <v>0</v>
      </c>
      <c r="AB140" s="9"/>
      <c r="AC140" s="10">
        <f t="shared" si="31"/>
        <v>0</v>
      </c>
      <c r="AD140" s="8">
        <f>IFERROR(AC140/AC444, "NA")</f>
        <v>0</v>
      </c>
    </row>
    <row r="141" spans="1:30" ht="16.5" customHeight="1" x14ac:dyDescent="0.45">
      <c r="A141" s="13" t="s">
        <v>133</v>
      </c>
      <c r="B141" s="14">
        <f>IFERROR(B129+B130+B131+B132+B133+B134+B135+B136+B137+B138+B139+B140, "NA")</f>
        <v>16882.919999999998</v>
      </c>
      <c r="C141" s="15">
        <f>IFERROR(B141/B444, "NA")</f>
        <v>0.23238866062395472</v>
      </c>
      <c r="D141" s="2"/>
      <c r="E141" s="14">
        <f>IFERROR(E129+E130+E131+E132+E133+E134+E135+E136+E137+E138+E139+E140, "NA")</f>
        <v>17022.259999999998</v>
      </c>
      <c r="F141" s="15">
        <f>IFERROR(E141/E444, "NA")</f>
        <v>0.22500008591694393</v>
      </c>
      <c r="G141" s="2"/>
      <c r="H141" s="14">
        <f t="shared" si="28"/>
        <v>139.34000000000015</v>
      </c>
      <c r="I141" s="15">
        <f>IFERROR(H141/H444, "NA")</f>
        <v>-4.6370001597358983E-2</v>
      </c>
      <c r="J141" s="2"/>
      <c r="K141" s="14">
        <f>IFERROR(K129+K130+K131+K132+K133+K134+K135+K136+K137+K138+K139+K140, "NA")</f>
        <v>17567.379999999997</v>
      </c>
      <c r="L141" s="15">
        <f>IFERROR(K141/K444, "NA")</f>
        <v>0.24091312147918853</v>
      </c>
      <c r="M141" s="2"/>
      <c r="N141" s="14">
        <f t="shared" si="29"/>
        <v>684.45999999999913</v>
      </c>
      <c r="O141" s="15">
        <f>IFERROR(N141/N444, "NA")</f>
        <v>-2.5305383022774675</v>
      </c>
      <c r="P141" s="2"/>
      <c r="Q141" s="14">
        <f>IFERROR(Q129+Q130+Q131+Q132+Q133+Q134+Q135+Q136+Q137+Q138+Q139+Q140, "NA")</f>
        <v>16882.919999999998</v>
      </c>
      <c r="R141" s="15">
        <f>IFERROR(Q141/Q444, "NA")</f>
        <v>0.23238866062395472</v>
      </c>
      <c r="S141" s="2"/>
      <c r="T141" s="14">
        <f>IFERROR(T129+T130+T131+T132+T133+T134+T135+T136+T137+T138+T139+T140, "NA")</f>
        <v>17022.259999999998</v>
      </c>
      <c r="U141" s="15">
        <f>IFERROR(T141/T444, "NA")</f>
        <v>0.22500008591694393</v>
      </c>
      <c r="V141" s="2"/>
      <c r="W141" s="14">
        <f t="shared" si="30"/>
        <v>139.34000000000015</v>
      </c>
      <c r="X141" s="15">
        <f>IFERROR(W141/W444, "NA")</f>
        <v>-4.6370001597358983E-2</v>
      </c>
      <c r="Y141" s="2"/>
      <c r="Z141" s="14">
        <f>IFERROR(Z129+Z130+Z131+Z132+Z133+Z134+Z135+Z136+Z137+Z138+Z139+Z140, "NA")</f>
        <v>17567.379999999997</v>
      </c>
      <c r="AA141" s="15">
        <f>IFERROR(Z141/Z444, "NA")</f>
        <v>0.24091312147918853</v>
      </c>
      <c r="AB141" s="2"/>
      <c r="AC141" s="14">
        <f t="shared" si="31"/>
        <v>684.45999999999913</v>
      </c>
      <c r="AD141" s="15">
        <f>IFERROR(AC141/AC444, "NA")</f>
        <v>-2.5305383022774675</v>
      </c>
    </row>
    <row r="142" spans="1:30" ht="16.5" customHeight="1" x14ac:dyDescent="0.45">
      <c r="A142" s="11" t="s">
        <v>134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45">
      <c r="A143" s="12" t="s">
        <v>134</v>
      </c>
      <c r="B143" s="7">
        <v>0</v>
      </c>
      <c r="C143" s="8">
        <f>IFERROR(B143/B444, "NA")</f>
        <v>0</v>
      </c>
      <c r="D143" s="9"/>
      <c r="E143" s="7">
        <v>832.2</v>
      </c>
      <c r="F143" s="8">
        <f>IFERROR(E143/E444, "NA")</f>
        <v>1.1000012424911896E-2</v>
      </c>
      <c r="G143" s="9"/>
      <c r="H143" s="10">
        <f t="shared" ref="H143:H149" si="32">IFERROR(-(B143-E143), "NA")</f>
        <v>832.2</v>
      </c>
      <c r="I143" s="8">
        <f>IFERROR(H143/H444, "NA")</f>
        <v>-0.27694212235770138</v>
      </c>
      <c r="J143" s="9"/>
      <c r="K143" s="7">
        <v>0</v>
      </c>
      <c r="L143" s="8">
        <f>IFERROR(K143/K444, "NA")</f>
        <v>0</v>
      </c>
      <c r="M143" s="9"/>
      <c r="N143" s="10">
        <f t="shared" ref="N143:N149" si="33">IFERROR(-(B143-K143), "NA")</f>
        <v>0</v>
      </c>
      <c r="O143" s="8">
        <f>IFERROR(N143/N444, "NA")</f>
        <v>0</v>
      </c>
      <c r="P143" s="9"/>
      <c r="Q143" s="7">
        <v>0</v>
      </c>
      <c r="R143" s="8">
        <f>IFERROR(Q143/Q444, "NA")</f>
        <v>0</v>
      </c>
      <c r="S143" s="9"/>
      <c r="T143" s="7">
        <v>832.2</v>
      </c>
      <c r="U143" s="8">
        <f>IFERROR(T143/T444, "NA")</f>
        <v>1.1000012424911896E-2</v>
      </c>
      <c r="V143" s="9"/>
      <c r="W143" s="10">
        <f t="shared" ref="W143:W149" si="34">IFERROR(-(Q143-T143), "NA")</f>
        <v>832.2</v>
      </c>
      <c r="X143" s="8">
        <f>IFERROR(W143/W444, "NA")</f>
        <v>-0.27694212235770138</v>
      </c>
      <c r="Y143" s="9"/>
      <c r="Z143" s="7">
        <v>0</v>
      </c>
      <c r="AA143" s="8">
        <f>IFERROR(Z143/Z444, "NA")</f>
        <v>0</v>
      </c>
      <c r="AB143" s="9"/>
      <c r="AC143" s="10">
        <f t="shared" ref="AC143:AC149" si="35">IFERROR(-(Q143-Z143), "NA")</f>
        <v>0</v>
      </c>
      <c r="AD143" s="8">
        <f>IFERROR(AC143/AC444, "NA")</f>
        <v>0</v>
      </c>
    </row>
    <row r="144" spans="1:30" ht="16.5" customHeight="1" x14ac:dyDescent="0.45">
      <c r="A144" s="12" t="s">
        <v>135</v>
      </c>
      <c r="B144" s="7">
        <v>1001.01</v>
      </c>
      <c r="C144" s="8">
        <f>IFERROR(B144/B444, "NA")</f>
        <v>1.3778622013916131E-2</v>
      </c>
      <c r="D144" s="9"/>
      <c r="E144" s="7">
        <v>0</v>
      </c>
      <c r="F144" s="8">
        <f>IFERROR(E144/E444, "NA")</f>
        <v>0</v>
      </c>
      <c r="G144" s="9"/>
      <c r="H144" s="10">
        <f t="shared" si="32"/>
        <v>-1001.01</v>
      </c>
      <c r="I144" s="8">
        <f>IFERROR(H144/H444, "NA")</f>
        <v>0.3331192428518176</v>
      </c>
      <c r="J144" s="9"/>
      <c r="K144" s="7">
        <v>1077.58</v>
      </c>
      <c r="L144" s="8">
        <f>IFERROR(K144/K444, "NA")</f>
        <v>1.4777568507287028E-2</v>
      </c>
      <c r="M144" s="9"/>
      <c r="N144" s="10">
        <f t="shared" si="33"/>
        <v>76.569999999999936</v>
      </c>
      <c r="O144" s="8">
        <f>IFERROR(N144/N444, "NA")</f>
        <v>-0.2830893226856</v>
      </c>
      <c r="P144" s="9"/>
      <c r="Q144" s="7">
        <v>1001.01</v>
      </c>
      <c r="R144" s="8">
        <f>IFERROR(Q144/Q444, "NA")</f>
        <v>1.3778622013916131E-2</v>
      </c>
      <c r="S144" s="9"/>
      <c r="T144" s="7">
        <v>0</v>
      </c>
      <c r="U144" s="8">
        <f>IFERROR(T144/T444, "NA")</f>
        <v>0</v>
      </c>
      <c r="V144" s="9"/>
      <c r="W144" s="10">
        <f t="shared" si="34"/>
        <v>-1001.01</v>
      </c>
      <c r="X144" s="8">
        <f>IFERROR(W144/W444, "NA")</f>
        <v>0.3331192428518176</v>
      </c>
      <c r="Y144" s="9"/>
      <c r="Z144" s="7">
        <v>1077.58</v>
      </c>
      <c r="AA144" s="8">
        <f>IFERROR(Z144/Z444, "NA")</f>
        <v>1.4777568507287028E-2</v>
      </c>
      <c r="AB144" s="9"/>
      <c r="AC144" s="10">
        <f t="shared" si="35"/>
        <v>76.569999999999936</v>
      </c>
      <c r="AD144" s="8">
        <f>IFERROR(AC144/AC444, "NA")</f>
        <v>-0.2830893226856</v>
      </c>
    </row>
    <row r="145" spans="1:30" ht="16.5" customHeight="1" x14ac:dyDescent="0.45">
      <c r="A145" s="12" t="s">
        <v>136</v>
      </c>
      <c r="B145" s="7">
        <v>14.54</v>
      </c>
      <c r="C145" s="8">
        <f>IFERROR(B145/B444, "NA")</f>
        <v>2.0013902366843543E-4</v>
      </c>
      <c r="D145" s="9"/>
      <c r="E145" s="7">
        <v>0</v>
      </c>
      <c r="F145" s="8">
        <f>IFERROR(E145/E444, "NA")</f>
        <v>0</v>
      </c>
      <c r="G145" s="9"/>
      <c r="H145" s="10">
        <f t="shared" si="32"/>
        <v>-14.54</v>
      </c>
      <c r="I145" s="8">
        <f>IFERROR(H145/H444, "NA")</f>
        <v>4.8386667376603913E-3</v>
      </c>
      <c r="J145" s="9"/>
      <c r="K145" s="7">
        <v>45.57</v>
      </c>
      <c r="L145" s="8">
        <f>IFERROR(K145/K444, "NA")</f>
        <v>6.2493160310795486E-4</v>
      </c>
      <c r="M145" s="9"/>
      <c r="N145" s="10">
        <f t="shared" si="33"/>
        <v>31.03</v>
      </c>
      <c r="O145" s="8">
        <f>IFERROR(N145/N444, "NA")</f>
        <v>-0.11472197574682221</v>
      </c>
      <c r="P145" s="9"/>
      <c r="Q145" s="7">
        <v>14.54</v>
      </c>
      <c r="R145" s="8">
        <f>IFERROR(Q145/Q444, "NA")</f>
        <v>2.0013902366843543E-4</v>
      </c>
      <c r="S145" s="9"/>
      <c r="T145" s="7">
        <v>0</v>
      </c>
      <c r="U145" s="8">
        <f>IFERROR(T145/T444, "NA")</f>
        <v>0</v>
      </c>
      <c r="V145" s="9"/>
      <c r="W145" s="10">
        <f t="shared" si="34"/>
        <v>-14.54</v>
      </c>
      <c r="X145" s="8">
        <f>IFERROR(W145/W444, "NA")</f>
        <v>4.8386667376603913E-3</v>
      </c>
      <c r="Y145" s="9"/>
      <c r="Z145" s="7">
        <v>45.57</v>
      </c>
      <c r="AA145" s="8">
        <f>IFERROR(Z145/Z444, "NA")</f>
        <v>6.2493160310795486E-4</v>
      </c>
      <c r="AB145" s="9"/>
      <c r="AC145" s="10">
        <f t="shared" si="35"/>
        <v>31.03</v>
      </c>
      <c r="AD145" s="8">
        <f>IFERROR(AC145/AC444, "NA")</f>
        <v>-0.11472197574682221</v>
      </c>
    </row>
    <row r="146" spans="1:30" ht="16.5" customHeight="1" x14ac:dyDescent="0.45">
      <c r="A146" s="12" t="s">
        <v>137</v>
      </c>
      <c r="B146" s="7">
        <v>29.9</v>
      </c>
      <c r="C146" s="8">
        <f>IFERROR(B146/B444, "NA")</f>
        <v>4.1156511744747039E-4</v>
      </c>
      <c r="D146" s="9"/>
      <c r="E146" s="7">
        <v>0</v>
      </c>
      <c r="F146" s="8">
        <f>IFERROR(E146/E444, "NA")</f>
        <v>0</v>
      </c>
      <c r="G146" s="9"/>
      <c r="H146" s="10">
        <f t="shared" si="32"/>
        <v>-29.9</v>
      </c>
      <c r="I146" s="8">
        <f>IFERROR(H146/H444, "NA")</f>
        <v>9.9502156434694428E-3</v>
      </c>
      <c r="J146" s="9"/>
      <c r="K146" s="7">
        <v>18.899999999999999</v>
      </c>
      <c r="L146" s="8">
        <f>IFERROR(K146/K444, "NA")</f>
        <v>2.5918822248717017E-4</v>
      </c>
      <c r="M146" s="9"/>
      <c r="N146" s="10">
        <f t="shared" si="33"/>
        <v>-11</v>
      </c>
      <c r="O146" s="8">
        <f>IFERROR(N146/N444, "NA")</f>
        <v>4.0668441289559917E-2</v>
      </c>
      <c r="P146" s="9"/>
      <c r="Q146" s="7">
        <v>29.9</v>
      </c>
      <c r="R146" s="8">
        <f>IFERROR(Q146/Q444, "NA")</f>
        <v>4.1156511744747039E-4</v>
      </c>
      <c r="S146" s="9"/>
      <c r="T146" s="7">
        <v>0</v>
      </c>
      <c r="U146" s="8">
        <f>IFERROR(T146/T444, "NA")</f>
        <v>0</v>
      </c>
      <c r="V146" s="9"/>
      <c r="W146" s="10">
        <f t="shared" si="34"/>
        <v>-29.9</v>
      </c>
      <c r="X146" s="8">
        <f>IFERROR(W146/W444, "NA")</f>
        <v>9.9502156434694428E-3</v>
      </c>
      <c r="Y146" s="9"/>
      <c r="Z146" s="7">
        <v>18.899999999999999</v>
      </c>
      <c r="AA146" s="8">
        <f>IFERROR(Z146/Z444, "NA")</f>
        <v>2.5918822248717017E-4</v>
      </c>
      <c r="AB146" s="9"/>
      <c r="AC146" s="10">
        <f t="shared" si="35"/>
        <v>-11</v>
      </c>
      <c r="AD146" s="8">
        <f>IFERROR(AC146/AC444, "NA")</f>
        <v>4.0668441289559917E-2</v>
      </c>
    </row>
    <row r="147" spans="1:30" ht="16.5" customHeight="1" x14ac:dyDescent="0.45">
      <c r="A147" s="12" t="s">
        <v>138</v>
      </c>
      <c r="B147" s="7">
        <v>21.71</v>
      </c>
      <c r="C147" s="8">
        <f>IFERROR(B147/B444, "NA")</f>
        <v>2.9883206353794592E-4</v>
      </c>
      <c r="D147" s="9"/>
      <c r="E147" s="7">
        <v>0</v>
      </c>
      <c r="F147" s="8">
        <f>IFERROR(E147/E444, "NA")</f>
        <v>0</v>
      </c>
      <c r="G147" s="9"/>
      <c r="H147" s="10">
        <f t="shared" si="32"/>
        <v>-21.71</v>
      </c>
      <c r="I147" s="8">
        <f>IFERROR(H147/H444, "NA")</f>
        <v>7.2247217933017263E-3</v>
      </c>
      <c r="J147" s="9"/>
      <c r="K147" s="7">
        <v>6.67</v>
      </c>
      <c r="L147" s="8">
        <f>IFERROR(K147/K444, "NA")</f>
        <v>9.1470129311609804E-5</v>
      </c>
      <c r="M147" s="9"/>
      <c r="N147" s="10">
        <f t="shared" si="33"/>
        <v>-15.040000000000001</v>
      </c>
      <c r="O147" s="8">
        <f>IFERROR(N147/N444, "NA")</f>
        <v>5.560485063590738E-2</v>
      </c>
      <c r="P147" s="9"/>
      <c r="Q147" s="7">
        <v>21.71</v>
      </c>
      <c r="R147" s="8">
        <f>IFERROR(Q147/Q444, "NA")</f>
        <v>2.9883206353794592E-4</v>
      </c>
      <c r="S147" s="9"/>
      <c r="T147" s="7">
        <v>0</v>
      </c>
      <c r="U147" s="8">
        <f>IFERROR(T147/T444, "NA")</f>
        <v>0</v>
      </c>
      <c r="V147" s="9"/>
      <c r="W147" s="10">
        <f t="shared" si="34"/>
        <v>-21.71</v>
      </c>
      <c r="X147" s="8">
        <f>IFERROR(W147/W444, "NA")</f>
        <v>7.2247217933017263E-3</v>
      </c>
      <c r="Y147" s="9"/>
      <c r="Z147" s="7">
        <v>6.67</v>
      </c>
      <c r="AA147" s="8">
        <f>IFERROR(Z147/Z444, "NA")</f>
        <v>9.1470129311609804E-5</v>
      </c>
      <c r="AB147" s="9"/>
      <c r="AC147" s="10">
        <f t="shared" si="35"/>
        <v>-15.040000000000001</v>
      </c>
      <c r="AD147" s="8">
        <f>IFERROR(AC147/AC444, "NA")</f>
        <v>5.560485063590738E-2</v>
      </c>
    </row>
    <row r="148" spans="1:30" ht="16.5" customHeight="1" x14ac:dyDescent="0.45">
      <c r="A148" s="13" t="s">
        <v>139</v>
      </c>
      <c r="B148" s="14">
        <f>IFERROR(B143+B144+B145+B146+B147, "NA")</f>
        <v>1067.1600000000001</v>
      </c>
      <c r="C148" s="15">
        <f>IFERROR(B148/B444, "NA")</f>
        <v>1.4689158218569984E-2</v>
      </c>
      <c r="D148" s="2"/>
      <c r="E148" s="14">
        <f>IFERROR(E143+E144+E145+E146+E147, "NA")</f>
        <v>832.2</v>
      </c>
      <c r="F148" s="15">
        <f>IFERROR(E148/E444, "NA")</f>
        <v>1.1000012424911896E-2</v>
      </c>
      <c r="G148" s="2"/>
      <c r="H148" s="14">
        <f t="shared" si="32"/>
        <v>-234.96000000000004</v>
      </c>
      <c r="I148" s="15">
        <f>IFERROR(H148/H444, "NA")</f>
        <v>7.8190724668547845E-2</v>
      </c>
      <c r="J148" s="2"/>
      <c r="K148" s="14">
        <f>IFERROR(K143+K144+K145+K146+K147, "NA")</f>
        <v>1148.72</v>
      </c>
      <c r="L148" s="15">
        <f>IFERROR(K148/K444, "NA")</f>
        <v>1.5753158462193766E-2</v>
      </c>
      <c r="M148" s="2"/>
      <c r="N148" s="14">
        <f t="shared" si="33"/>
        <v>81.559999999999945</v>
      </c>
      <c r="O148" s="15">
        <f>IFERROR(N148/N444, "NA")</f>
        <v>-0.30153800650695495</v>
      </c>
      <c r="P148" s="2"/>
      <c r="Q148" s="14">
        <f>IFERROR(Q143+Q144+Q145+Q146+Q147, "NA")</f>
        <v>1067.1600000000001</v>
      </c>
      <c r="R148" s="15">
        <f>IFERROR(Q148/Q444, "NA")</f>
        <v>1.4689158218569984E-2</v>
      </c>
      <c r="S148" s="2"/>
      <c r="T148" s="14">
        <f>IFERROR(T143+T144+T145+T146+T147, "NA")</f>
        <v>832.2</v>
      </c>
      <c r="U148" s="15">
        <f>IFERROR(T148/T444, "NA")</f>
        <v>1.1000012424911896E-2</v>
      </c>
      <c r="V148" s="2"/>
      <c r="W148" s="14">
        <f t="shared" si="34"/>
        <v>-234.96000000000004</v>
      </c>
      <c r="X148" s="15">
        <f>IFERROR(W148/W444, "NA")</f>
        <v>7.8190724668547845E-2</v>
      </c>
      <c r="Y148" s="2"/>
      <c r="Z148" s="14">
        <f>IFERROR(Z143+Z144+Z145+Z146+Z147, "NA")</f>
        <v>1148.72</v>
      </c>
      <c r="AA148" s="15">
        <f>IFERROR(Z148/Z444, "NA")</f>
        <v>1.5753158462193766E-2</v>
      </c>
      <c r="AB148" s="2"/>
      <c r="AC148" s="14">
        <f t="shared" si="35"/>
        <v>81.559999999999945</v>
      </c>
      <c r="AD148" s="15">
        <f>IFERROR(AC148/AC444, "NA")</f>
        <v>-0.30153800650695495</v>
      </c>
    </row>
    <row r="149" spans="1:30" ht="16.5" customHeight="1" x14ac:dyDescent="0.45">
      <c r="A149" s="19" t="s">
        <v>140</v>
      </c>
      <c r="B149" s="14">
        <f>IFERROR(B127+B129+B130+B131+B132+B133+B134+B135+B136+B137+B138+B139+B140+B143+B144+B145+B146+B147, "NA")</f>
        <v>17950.079999999998</v>
      </c>
      <c r="C149" s="15">
        <f>IFERROR(B149/B444, "NA")</f>
        <v>0.24707781884252469</v>
      </c>
      <c r="D149" s="2"/>
      <c r="E149" s="14">
        <f>IFERROR(E127+E129+E130+E131+E132+E133+E134+E135+E136+E137+E138+E139+E140+E143+E144+E145+E146+E147, "NA")</f>
        <v>17854.46</v>
      </c>
      <c r="F149" s="15">
        <f>IFERROR(E149/E444, "NA")</f>
        <v>0.23600009834185581</v>
      </c>
      <c r="G149" s="2"/>
      <c r="H149" s="14">
        <f t="shared" si="32"/>
        <v>-95.619999999998981</v>
      </c>
      <c r="I149" s="15">
        <f>IFERROR(H149/H444, "NA")</f>
        <v>3.1820723071188564E-2</v>
      </c>
      <c r="J149" s="2"/>
      <c r="K149" s="14">
        <f>IFERROR(K127+K129+K130+K131+K132+K133+K134+K135+K136+K137+K138+K139+K140+K143+K144+K145+K146+K147, "NA")</f>
        <v>18716.099999999999</v>
      </c>
      <c r="L149" s="15">
        <f>IFERROR(K149/K444, "NA")</f>
        <v>0.2566662799413823</v>
      </c>
      <c r="M149" s="2"/>
      <c r="N149" s="14">
        <f t="shared" si="33"/>
        <v>766.02000000000044</v>
      </c>
      <c r="O149" s="15">
        <f>IFERROR(N149/N444, "NA")</f>
        <v>-2.8320763087844276</v>
      </c>
      <c r="P149" s="2"/>
      <c r="Q149" s="14">
        <f>IFERROR(Q127+Q129+Q130+Q131+Q132+Q133+Q134+Q135+Q136+Q137+Q138+Q139+Q140+Q143+Q144+Q145+Q146+Q147, "NA")</f>
        <v>17950.079999999998</v>
      </c>
      <c r="R149" s="15">
        <f>IFERROR(Q149/Q444, "NA")</f>
        <v>0.24707781884252469</v>
      </c>
      <c r="S149" s="2"/>
      <c r="T149" s="14">
        <f>IFERROR(T127+T129+T130+T131+T132+T133+T134+T135+T136+T137+T138+T139+T140+T143+T144+T145+T146+T147, "NA")</f>
        <v>17854.46</v>
      </c>
      <c r="U149" s="15">
        <f>IFERROR(T149/T444, "NA")</f>
        <v>0.23600009834185581</v>
      </c>
      <c r="V149" s="2"/>
      <c r="W149" s="14">
        <f t="shared" si="34"/>
        <v>-95.619999999998981</v>
      </c>
      <c r="X149" s="15">
        <f>IFERROR(W149/W444, "NA")</f>
        <v>3.1820723071188564E-2</v>
      </c>
      <c r="Y149" s="2"/>
      <c r="Z149" s="14">
        <f>IFERROR(Z127+Z129+Z130+Z131+Z132+Z133+Z134+Z135+Z136+Z137+Z138+Z139+Z140+Z143+Z144+Z145+Z146+Z147, "NA")</f>
        <v>18716.099999999999</v>
      </c>
      <c r="AA149" s="15">
        <f>IFERROR(Z149/Z444, "NA")</f>
        <v>0.2566662799413823</v>
      </c>
      <c r="AB149" s="2"/>
      <c r="AC149" s="14">
        <f t="shared" si="35"/>
        <v>766.02000000000044</v>
      </c>
      <c r="AD149" s="15">
        <f>IFERROR(AC149/AC444, "NA")</f>
        <v>-2.8320763087844276</v>
      </c>
    </row>
    <row r="150" spans="1:30" ht="16.5" customHeight="1" x14ac:dyDescent="0.45">
      <c r="A150" s="5" t="s">
        <v>141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45">
      <c r="A151" s="6" t="s">
        <v>141</v>
      </c>
      <c r="B151" s="7">
        <v>0</v>
      </c>
      <c r="C151" s="8">
        <f>IFERROR(B151/B444, "NA")</f>
        <v>0</v>
      </c>
      <c r="D151" s="9"/>
      <c r="E151" s="7">
        <v>0</v>
      </c>
      <c r="F151" s="8">
        <f>IFERROR(E151/E444, "NA")</f>
        <v>0</v>
      </c>
      <c r="G151" s="9"/>
      <c r="H151" s="10">
        <f>IFERROR(-(B151-E151), "NA")</f>
        <v>0</v>
      </c>
      <c r="I151" s="8">
        <f>IFERROR(H151/H444, "NA")</f>
        <v>0</v>
      </c>
      <c r="J151" s="9"/>
      <c r="K151" s="7">
        <v>0</v>
      </c>
      <c r="L151" s="8">
        <f>IFERROR(K151/K444, "NA")</f>
        <v>0</v>
      </c>
      <c r="M151" s="9"/>
      <c r="N151" s="10">
        <f>IFERROR(-(B151-K151), "NA")</f>
        <v>0</v>
      </c>
      <c r="O151" s="8">
        <f>IFERROR(N151/N444, "NA")</f>
        <v>0</v>
      </c>
      <c r="P151" s="9"/>
      <c r="Q151" s="7">
        <v>0</v>
      </c>
      <c r="R151" s="8">
        <f>IFERROR(Q151/Q444, "NA")</f>
        <v>0</v>
      </c>
      <c r="S151" s="9"/>
      <c r="T151" s="7">
        <v>0</v>
      </c>
      <c r="U151" s="8">
        <f>IFERROR(T151/T444, "NA")</f>
        <v>0</v>
      </c>
      <c r="V151" s="9"/>
      <c r="W151" s="10">
        <f>IFERROR(-(Q151-T151), "NA")</f>
        <v>0</v>
      </c>
      <c r="X151" s="8">
        <f>IFERROR(W151/W444, "NA")</f>
        <v>0</v>
      </c>
      <c r="Y151" s="9"/>
      <c r="Z151" s="7">
        <v>0</v>
      </c>
      <c r="AA151" s="8">
        <f>IFERROR(Z151/Z444, "NA")</f>
        <v>0</v>
      </c>
      <c r="AB151" s="9"/>
      <c r="AC151" s="10">
        <f>IFERROR(-(Q151-Z151), "NA")</f>
        <v>0</v>
      </c>
      <c r="AD151" s="8">
        <f>IFERROR(AC151/AC444, "NA")</f>
        <v>0</v>
      </c>
    </row>
    <row r="152" spans="1:30" ht="16.5" customHeight="1" x14ac:dyDescent="0.45">
      <c r="A152" s="11" t="s">
        <v>142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45">
      <c r="A153" s="12" t="s">
        <v>142</v>
      </c>
      <c r="B153" s="7">
        <v>0</v>
      </c>
      <c r="C153" s="8">
        <f>IFERROR(B153/B444, "NA")</f>
        <v>0</v>
      </c>
      <c r="D153" s="9"/>
      <c r="E153" s="7">
        <v>3177.49</v>
      </c>
      <c r="F153" s="8">
        <f>IFERROR(E153/E444, "NA")</f>
        <v>4.2000035424216889E-2</v>
      </c>
      <c r="G153" s="9"/>
      <c r="H153" s="10">
        <f t="shared" ref="H153:H158" si="36">IFERROR(-(B153-E153), "NA")</f>
        <v>3177.49</v>
      </c>
      <c r="I153" s="8">
        <f>IFERROR(H153/H444, "NA")</f>
        <v>-1.0574150737447396</v>
      </c>
      <c r="J153" s="9"/>
      <c r="K153" s="7">
        <v>0</v>
      </c>
      <c r="L153" s="8">
        <f>IFERROR(K153/K444, "NA")</f>
        <v>0</v>
      </c>
      <c r="M153" s="9"/>
      <c r="N153" s="10">
        <f t="shared" ref="N153:N158" si="37">IFERROR(-(B153-K153), "NA")</f>
        <v>0</v>
      </c>
      <c r="O153" s="8">
        <f>IFERROR(N153/N444, "NA")</f>
        <v>0</v>
      </c>
      <c r="P153" s="9"/>
      <c r="Q153" s="7">
        <v>0</v>
      </c>
      <c r="R153" s="8">
        <f>IFERROR(Q153/Q444, "NA")</f>
        <v>0</v>
      </c>
      <c r="S153" s="9"/>
      <c r="T153" s="7">
        <v>3177.49</v>
      </c>
      <c r="U153" s="8">
        <f>IFERROR(T153/T444, "NA")</f>
        <v>4.2000035424216889E-2</v>
      </c>
      <c r="V153" s="9"/>
      <c r="W153" s="10">
        <f t="shared" ref="W153:W158" si="38">IFERROR(-(Q153-T153), "NA")</f>
        <v>3177.49</v>
      </c>
      <c r="X153" s="8">
        <f>IFERROR(W153/W444, "NA")</f>
        <v>-1.0574150737447396</v>
      </c>
      <c r="Y153" s="9"/>
      <c r="Z153" s="7">
        <v>0</v>
      </c>
      <c r="AA153" s="8">
        <f>IFERROR(Z153/Z444, "NA")</f>
        <v>0</v>
      </c>
      <c r="AB153" s="9"/>
      <c r="AC153" s="10">
        <f t="shared" ref="AC153:AC158" si="39">IFERROR(-(Q153-Z153), "NA")</f>
        <v>0</v>
      </c>
      <c r="AD153" s="8">
        <f>IFERROR(AC153/AC444, "NA")</f>
        <v>0</v>
      </c>
    </row>
    <row r="154" spans="1:30" ht="16.5" customHeight="1" x14ac:dyDescent="0.45">
      <c r="A154" s="12" t="s">
        <v>143</v>
      </c>
      <c r="B154" s="7">
        <v>2515.5100000000002</v>
      </c>
      <c r="C154" s="8">
        <f>IFERROR(B154/B444, "NA")</f>
        <v>3.4625289919407568E-2</v>
      </c>
      <c r="D154" s="9"/>
      <c r="E154" s="7">
        <v>0</v>
      </c>
      <c r="F154" s="8">
        <f>IFERROR(E154/E444, "NA")</f>
        <v>0</v>
      </c>
      <c r="G154" s="9"/>
      <c r="H154" s="10">
        <f t="shared" si="36"/>
        <v>-2515.5100000000002</v>
      </c>
      <c r="I154" s="8">
        <f>IFERROR(H154/H444, "NA")</f>
        <v>0.83711929609711777</v>
      </c>
      <c r="J154" s="9"/>
      <c r="K154" s="7">
        <v>2399.42</v>
      </c>
      <c r="L154" s="8">
        <f>IFERROR(K154/K444, "NA")</f>
        <v>3.2904836232813012E-2</v>
      </c>
      <c r="M154" s="9"/>
      <c r="N154" s="10">
        <f t="shared" si="37"/>
        <v>-116.09000000000015</v>
      </c>
      <c r="O154" s="8">
        <f>IFERROR(N154/N444, "NA")</f>
        <v>0.42919994084591057</v>
      </c>
      <c r="P154" s="9"/>
      <c r="Q154" s="7">
        <v>2515.5100000000002</v>
      </c>
      <c r="R154" s="8">
        <f>IFERROR(Q154/Q444, "NA")</f>
        <v>3.4625289919407568E-2</v>
      </c>
      <c r="S154" s="9"/>
      <c r="T154" s="7">
        <v>0</v>
      </c>
      <c r="U154" s="8">
        <f>IFERROR(T154/T444, "NA")</f>
        <v>0</v>
      </c>
      <c r="V154" s="9"/>
      <c r="W154" s="10">
        <f t="shared" si="38"/>
        <v>-2515.5100000000002</v>
      </c>
      <c r="X154" s="8">
        <f>IFERROR(W154/W444, "NA")</f>
        <v>0.83711929609711777</v>
      </c>
      <c r="Y154" s="9"/>
      <c r="Z154" s="7">
        <v>2399.42</v>
      </c>
      <c r="AA154" s="8">
        <f>IFERROR(Z154/Z444, "NA")</f>
        <v>3.2904836232813012E-2</v>
      </c>
      <c r="AB154" s="9"/>
      <c r="AC154" s="10">
        <f t="shared" si="39"/>
        <v>-116.09000000000015</v>
      </c>
      <c r="AD154" s="8">
        <f>IFERROR(AC154/AC444, "NA")</f>
        <v>0.42919994084591057</v>
      </c>
    </row>
    <row r="155" spans="1:30" ht="16.5" customHeight="1" x14ac:dyDescent="0.45">
      <c r="A155" s="12" t="s">
        <v>144</v>
      </c>
      <c r="B155" s="7">
        <v>771.04</v>
      </c>
      <c r="C155" s="8">
        <f>IFERROR(B155/B444, "NA")</f>
        <v>1.0613149436678848E-2</v>
      </c>
      <c r="D155" s="9"/>
      <c r="E155" s="7">
        <v>0</v>
      </c>
      <c r="F155" s="8">
        <f>IFERROR(E155/E444, "NA")</f>
        <v>0</v>
      </c>
      <c r="G155" s="9"/>
      <c r="H155" s="10">
        <f t="shared" si="36"/>
        <v>-771.04</v>
      </c>
      <c r="I155" s="8">
        <f>IFERROR(H155/H444, "NA")</f>
        <v>0.25658910601139395</v>
      </c>
      <c r="J155" s="9"/>
      <c r="K155" s="7">
        <v>830.4</v>
      </c>
      <c r="L155" s="8">
        <f>IFERROR(K155/K444, "NA")</f>
        <v>1.1387825394356938E-2</v>
      </c>
      <c r="M155" s="9"/>
      <c r="N155" s="10">
        <f t="shared" si="37"/>
        <v>59.360000000000014</v>
      </c>
      <c r="O155" s="8">
        <f>IFERROR(N155/N444, "NA")</f>
        <v>-0.21946169772257065</v>
      </c>
      <c r="P155" s="9"/>
      <c r="Q155" s="7">
        <v>771.04</v>
      </c>
      <c r="R155" s="8">
        <f>IFERROR(Q155/Q444, "NA")</f>
        <v>1.0613149436678848E-2</v>
      </c>
      <c r="S155" s="9"/>
      <c r="T155" s="7">
        <v>0</v>
      </c>
      <c r="U155" s="8">
        <f>IFERROR(T155/T444, "NA")</f>
        <v>0</v>
      </c>
      <c r="V155" s="9"/>
      <c r="W155" s="10">
        <f t="shared" si="38"/>
        <v>-771.04</v>
      </c>
      <c r="X155" s="8">
        <f>IFERROR(W155/W444, "NA")</f>
        <v>0.25658910601139395</v>
      </c>
      <c r="Y155" s="9"/>
      <c r="Z155" s="7">
        <v>830.4</v>
      </c>
      <c r="AA155" s="8">
        <f>IFERROR(Z155/Z444, "NA")</f>
        <v>1.1387825394356938E-2</v>
      </c>
      <c r="AB155" s="9"/>
      <c r="AC155" s="10">
        <f t="shared" si="39"/>
        <v>59.360000000000014</v>
      </c>
      <c r="AD155" s="8">
        <f>IFERROR(AC155/AC444, "NA")</f>
        <v>-0.21946169772257065</v>
      </c>
    </row>
    <row r="156" spans="1:30" ht="16.5" hidden="1" customHeight="1" x14ac:dyDescent="0.45">
      <c r="A156" s="12" t="s">
        <v>145</v>
      </c>
      <c r="B156" s="7">
        <v>0</v>
      </c>
      <c r="C156" s="8">
        <f>IFERROR(B156/B444, "NA")</f>
        <v>0</v>
      </c>
      <c r="D156" s="9"/>
      <c r="E156" s="7">
        <v>0</v>
      </c>
      <c r="F156" s="8">
        <f>IFERROR(E156/E444, "NA")</f>
        <v>0</v>
      </c>
      <c r="G156" s="9"/>
      <c r="H156" s="10">
        <f t="shared" si="36"/>
        <v>0</v>
      </c>
      <c r="I156" s="8">
        <f>IFERROR(H156/H444, "NA")</f>
        <v>0</v>
      </c>
      <c r="J156" s="9"/>
      <c r="K156" s="7">
        <v>0</v>
      </c>
      <c r="L156" s="8">
        <f>IFERROR(K156/K444, "NA")</f>
        <v>0</v>
      </c>
      <c r="M156" s="9"/>
      <c r="N156" s="10">
        <f t="shared" si="37"/>
        <v>0</v>
      </c>
      <c r="O156" s="8">
        <f>IFERROR(N156/N444, "NA")</f>
        <v>0</v>
      </c>
      <c r="P156" s="9"/>
      <c r="Q156" s="7">
        <v>0</v>
      </c>
      <c r="R156" s="8">
        <f>IFERROR(Q156/Q444, "NA")</f>
        <v>0</v>
      </c>
      <c r="S156" s="9"/>
      <c r="T156" s="7">
        <v>0</v>
      </c>
      <c r="U156" s="8">
        <f>IFERROR(T156/T444, "NA")</f>
        <v>0</v>
      </c>
      <c r="V156" s="9"/>
      <c r="W156" s="10">
        <f t="shared" si="38"/>
        <v>0</v>
      </c>
      <c r="X156" s="8">
        <f>IFERROR(W156/W444, "NA")</f>
        <v>0</v>
      </c>
      <c r="Y156" s="9"/>
      <c r="Z156" s="7">
        <v>0</v>
      </c>
      <c r="AA156" s="8">
        <f>IFERROR(Z156/Z444, "NA")</f>
        <v>0</v>
      </c>
      <c r="AB156" s="9"/>
      <c r="AC156" s="10">
        <f t="shared" si="39"/>
        <v>0</v>
      </c>
      <c r="AD156" s="8">
        <f>IFERROR(AC156/AC444, "NA")</f>
        <v>0</v>
      </c>
    </row>
    <row r="157" spans="1:30" ht="16.5" hidden="1" customHeight="1" x14ac:dyDescent="0.45">
      <c r="A157" s="12" t="s">
        <v>146</v>
      </c>
      <c r="B157" s="7">
        <v>0</v>
      </c>
      <c r="C157" s="8">
        <f>IFERROR(B157/B444, "NA")</f>
        <v>0</v>
      </c>
      <c r="D157" s="9"/>
      <c r="E157" s="7">
        <v>0</v>
      </c>
      <c r="F157" s="8">
        <f>IFERROR(E157/E444, "NA")</f>
        <v>0</v>
      </c>
      <c r="G157" s="9"/>
      <c r="H157" s="10">
        <f t="shared" si="36"/>
        <v>0</v>
      </c>
      <c r="I157" s="8">
        <f>IFERROR(H157/H444, "NA")</f>
        <v>0</v>
      </c>
      <c r="J157" s="9"/>
      <c r="K157" s="7">
        <v>0</v>
      </c>
      <c r="L157" s="8">
        <f>IFERROR(K157/K444, "NA")</f>
        <v>0</v>
      </c>
      <c r="M157" s="9"/>
      <c r="N157" s="10">
        <f t="shared" si="37"/>
        <v>0</v>
      </c>
      <c r="O157" s="8">
        <f>IFERROR(N157/N444, "NA")</f>
        <v>0</v>
      </c>
      <c r="P157" s="9"/>
      <c r="Q157" s="7">
        <v>0</v>
      </c>
      <c r="R157" s="8">
        <f>IFERROR(Q157/Q444, "NA")</f>
        <v>0</v>
      </c>
      <c r="S157" s="9"/>
      <c r="T157" s="7">
        <v>0</v>
      </c>
      <c r="U157" s="8">
        <f>IFERROR(T157/T444, "NA")</f>
        <v>0</v>
      </c>
      <c r="V157" s="9"/>
      <c r="W157" s="10">
        <f t="shared" si="38"/>
        <v>0</v>
      </c>
      <c r="X157" s="8">
        <f>IFERROR(W157/W444, "NA")</f>
        <v>0</v>
      </c>
      <c r="Y157" s="9"/>
      <c r="Z157" s="7">
        <v>0</v>
      </c>
      <c r="AA157" s="8">
        <f>IFERROR(Z157/Z444, "NA")</f>
        <v>0</v>
      </c>
      <c r="AB157" s="9"/>
      <c r="AC157" s="10">
        <f t="shared" si="39"/>
        <v>0</v>
      </c>
      <c r="AD157" s="8">
        <f>IFERROR(AC157/AC444, "NA")</f>
        <v>0</v>
      </c>
    </row>
    <row r="158" spans="1:30" ht="16.5" customHeight="1" x14ac:dyDescent="0.45">
      <c r="A158" s="13" t="s">
        <v>147</v>
      </c>
      <c r="B158" s="14">
        <f>IFERROR(B153+B154+B155+B156+B157, "NA")</f>
        <v>3286.55</v>
      </c>
      <c r="C158" s="15">
        <f>IFERROR(B158/B444, "NA")</f>
        <v>4.5238439356086416E-2</v>
      </c>
      <c r="D158" s="2"/>
      <c r="E158" s="14">
        <f>IFERROR(E153+E154+E155+E156+E157, "NA")</f>
        <v>3177.49</v>
      </c>
      <c r="F158" s="15">
        <f>IFERROR(E158/E444, "NA")</f>
        <v>4.2000035424216889E-2</v>
      </c>
      <c r="G158" s="2"/>
      <c r="H158" s="14">
        <f t="shared" si="36"/>
        <v>-109.0600000000004</v>
      </c>
      <c r="I158" s="15">
        <f>IFERROR(H158/H444, "NA")</f>
        <v>3.629332836377195E-2</v>
      </c>
      <c r="J158" s="2"/>
      <c r="K158" s="14">
        <f>IFERROR(K153+K154+K155+K156+K157, "NA")</f>
        <v>3229.82</v>
      </c>
      <c r="L158" s="15">
        <f>IFERROR(K158/K444, "NA")</f>
        <v>4.4292661627169952E-2</v>
      </c>
      <c r="M158" s="2"/>
      <c r="N158" s="14">
        <f t="shared" si="37"/>
        <v>-56.730000000000018</v>
      </c>
      <c r="O158" s="15">
        <f>IFERROR(N158/N444, "NA")</f>
        <v>0.20973824312333952</v>
      </c>
      <c r="P158" s="2"/>
      <c r="Q158" s="14">
        <f>IFERROR(Q153+Q154+Q155+Q156+Q157, "NA")</f>
        <v>3286.55</v>
      </c>
      <c r="R158" s="15">
        <f>IFERROR(Q158/Q444, "NA")</f>
        <v>4.5238439356086416E-2</v>
      </c>
      <c r="S158" s="2"/>
      <c r="T158" s="14">
        <f>IFERROR(T153+T154+T155+T156+T157, "NA")</f>
        <v>3177.49</v>
      </c>
      <c r="U158" s="15">
        <f>IFERROR(T158/T444, "NA")</f>
        <v>4.2000035424216889E-2</v>
      </c>
      <c r="V158" s="2"/>
      <c r="W158" s="14">
        <f t="shared" si="38"/>
        <v>-109.0600000000004</v>
      </c>
      <c r="X158" s="15">
        <f>IFERROR(W158/W444, "NA")</f>
        <v>3.629332836377195E-2</v>
      </c>
      <c r="Y158" s="2"/>
      <c r="Z158" s="14">
        <f>IFERROR(Z153+Z154+Z155+Z156+Z157, "NA")</f>
        <v>3229.82</v>
      </c>
      <c r="AA158" s="15">
        <f>IFERROR(Z158/Z444, "NA")</f>
        <v>4.4292661627169952E-2</v>
      </c>
      <c r="AB158" s="2"/>
      <c r="AC158" s="14">
        <f t="shared" si="39"/>
        <v>-56.730000000000018</v>
      </c>
      <c r="AD158" s="15">
        <f>IFERROR(AC158/AC444, "NA")</f>
        <v>0.20973824312333952</v>
      </c>
    </row>
    <row r="159" spans="1:30" ht="16.5" customHeight="1" x14ac:dyDescent="0.45">
      <c r="A159" s="11" t="s">
        <v>148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45">
      <c r="A160" s="12" t="s">
        <v>148</v>
      </c>
      <c r="B160" s="7">
        <v>0</v>
      </c>
      <c r="C160" s="8">
        <f>IFERROR(B160/B444, "NA")</f>
        <v>0</v>
      </c>
      <c r="D160" s="9"/>
      <c r="E160" s="7">
        <v>0</v>
      </c>
      <c r="F160" s="8">
        <f>IFERROR(E160/E444, "NA")</f>
        <v>0</v>
      </c>
      <c r="G160" s="9"/>
      <c r="H160" s="10">
        <f t="shared" ref="H160:H171" si="40">IFERROR(-(B160-E160), "NA")</f>
        <v>0</v>
      </c>
      <c r="I160" s="8">
        <f>IFERROR(H160/H444, "NA")</f>
        <v>0</v>
      </c>
      <c r="J160" s="9"/>
      <c r="K160" s="7">
        <v>0</v>
      </c>
      <c r="L160" s="8">
        <f>IFERROR(K160/K444, "NA")</f>
        <v>0</v>
      </c>
      <c r="M160" s="9"/>
      <c r="N160" s="10">
        <f t="shared" ref="N160:N171" si="41">IFERROR(-(B160-K160), "NA")</f>
        <v>0</v>
      </c>
      <c r="O160" s="8">
        <f>IFERROR(N160/N444, "NA")</f>
        <v>0</v>
      </c>
      <c r="P160" s="9"/>
      <c r="Q160" s="7">
        <v>0</v>
      </c>
      <c r="R160" s="8">
        <f>IFERROR(Q160/Q444, "NA")</f>
        <v>0</v>
      </c>
      <c r="S160" s="9"/>
      <c r="T160" s="7">
        <v>0</v>
      </c>
      <c r="U160" s="8">
        <f>IFERROR(T160/T444, "NA")</f>
        <v>0</v>
      </c>
      <c r="V160" s="9"/>
      <c r="W160" s="10">
        <f t="shared" ref="W160:W171" si="42">IFERROR(-(Q160-T160), "NA")</f>
        <v>0</v>
      </c>
      <c r="X160" s="8">
        <f>IFERROR(W160/W444, "NA")</f>
        <v>0</v>
      </c>
      <c r="Y160" s="9"/>
      <c r="Z160" s="7">
        <v>0</v>
      </c>
      <c r="AA160" s="8">
        <f>IFERROR(Z160/Z444, "NA")</f>
        <v>0</v>
      </c>
      <c r="AB160" s="9"/>
      <c r="AC160" s="10">
        <f t="shared" ref="AC160:AC171" si="43">IFERROR(-(Q160-Z160), "NA")</f>
        <v>0</v>
      </c>
      <c r="AD160" s="8">
        <f>IFERROR(AC160/AC444, "NA")</f>
        <v>0</v>
      </c>
    </row>
    <row r="161" spans="1:30" ht="16.5" customHeight="1" x14ac:dyDescent="0.45">
      <c r="A161" s="12" t="s">
        <v>149</v>
      </c>
      <c r="B161" s="7">
        <v>300.42</v>
      </c>
      <c r="C161" s="8">
        <f>IFERROR(B161/B444, "NA")</f>
        <v>4.1351970763735474E-3</v>
      </c>
      <c r="D161" s="9"/>
      <c r="E161" s="7">
        <v>0</v>
      </c>
      <c r="F161" s="8">
        <f>IFERROR(E161/E444, "NA")</f>
        <v>0</v>
      </c>
      <c r="G161" s="9"/>
      <c r="H161" s="10">
        <f t="shared" si="40"/>
        <v>-300.42</v>
      </c>
      <c r="I161" s="8">
        <f>IFERROR(H161/H444, "NA")</f>
        <v>9.997470848197626E-2</v>
      </c>
      <c r="J161" s="9"/>
      <c r="K161" s="7">
        <v>316.11</v>
      </c>
      <c r="L161" s="8">
        <f>IFERROR(K161/K444, "NA")</f>
        <v>4.3350258735671623E-3</v>
      </c>
      <c r="M161" s="9"/>
      <c r="N161" s="10">
        <f t="shared" si="41"/>
        <v>15.689999999999998</v>
      </c>
      <c r="O161" s="8">
        <f>IFERROR(N161/N444, "NA")</f>
        <v>-5.8007985803017727E-2</v>
      </c>
      <c r="P161" s="9"/>
      <c r="Q161" s="7">
        <v>300.42</v>
      </c>
      <c r="R161" s="8">
        <f>IFERROR(Q161/Q444, "NA")</f>
        <v>4.1351970763735474E-3</v>
      </c>
      <c r="S161" s="9"/>
      <c r="T161" s="7">
        <v>0</v>
      </c>
      <c r="U161" s="8">
        <f>IFERROR(T161/T444, "NA")</f>
        <v>0</v>
      </c>
      <c r="V161" s="9"/>
      <c r="W161" s="10">
        <f t="shared" si="42"/>
        <v>-300.42</v>
      </c>
      <c r="X161" s="8">
        <f>IFERROR(W161/W444, "NA")</f>
        <v>9.997470848197626E-2</v>
      </c>
      <c r="Y161" s="9"/>
      <c r="Z161" s="7">
        <v>316.11</v>
      </c>
      <c r="AA161" s="8">
        <f>IFERROR(Z161/Z444, "NA")</f>
        <v>4.3350258735671623E-3</v>
      </c>
      <c r="AB161" s="9"/>
      <c r="AC161" s="10">
        <f t="shared" si="43"/>
        <v>15.689999999999998</v>
      </c>
      <c r="AD161" s="8">
        <f>IFERROR(AC161/AC444, "NA")</f>
        <v>-5.8007985803017727E-2</v>
      </c>
    </row>
    <row r="162" spans="1:30" ht="16.5" hidden="1" customHeight="1" x14ac:dyDescent="0.45">
      <c r="A162" s="12" t="s">
        <v>150</v>
      </c>
      <c r="B162" s="7">
        <v>0</v>
      </c>
      <c r="C162" s="8">
        <f>IFERROR(B162/B444, "NA")</f>
        <v>0</v>
      </c>
      <c r="D162" s="9"/>
      <c r="E162" s="7">
        <v>0</v>
      </c>
      <c r="F162" s="8">
        <f>IFERROR(E162/E444, "NA")</f>
        <v>0</v>
      </c>
      <c r="G162" s="9"/>
      <c r="H162" s="10">
        <f t="shared" si="40"/>
        <v>0</v>
      </c>
      <c r="I162" s="8">
        <f>IFERROR(H162/H444, "NA")</f>
        <v>0</v>
      </c>
      <c r="J162" s="9"/>
      <c r="K162" s="7">
        <v>0</v>
      </c>
      <c r="L162" s="8">
        <f>IFERROR(K162/K444, "NA")</f>
        <v>0</v>
      </c>
      <c r="M162" s="9"/>
      <c r="N162" s="10">
        <f t="shared" si="41"/>
        <v>0</v>
      </c>
      <c r="O162" s="8">
        <f>IFERROR(N162/N444, "NA")</f>
        <v>0</v>
      </c>
      <c r="P162" s="9"/>
      <c r="Q162" s="7">
        <v>0</v>
      </c>
      <c r="R162" s="8">
        <f>IFERROR(Q162/Q444, "NA")</f>
        <v>0</v>
      </c>
      <c r="S162" s="9"/>
      <c r="T162" s="7">
        <v>0</v>
      </c>
      <c r="U162" s="8">
        <f>IFERROR(T162/T444, "NA")</f>
        <v>0</v>
      </c>
      <c r="V162" s="9"/>
      <c r="W162" s="10">
        <f t="shared" si="42"/>
        <v>0</v>
      </c>
      <c r="X162" s="8">
        <f>IFERROR(W162/W444, "NA")</f>
        <v>0</v>
      </c>
      <c r="Y162" s="9"/>
      <c r="Z162" s="7">
        <v>0</v>
      </c>
      <c r="AA162" s="8">
        <f>IFERROR(Z162/Z444, "NA")</f>
        <v>0</v>
      </c>
      <c r="AB162" s="9"/>
      <c r="AC162" s="10">
        <f t="shared" si="43"/>
        <v>0</v>
      </c>
      <c r="AD162" s="8">
        <f>IFERROR(AC162/AC444, "NA")</f>
        <v>0</v>
      </c>
    </row>
    <row r="163" spans="1:30" ht="16.5" hidden="1" customHeight="1" x14ac:dyDescent="0.45">
      <c r="A163" s="12" t="s">
        <v>151</v>
      </c>
      <c r="B163" s="7">
        <v>0</v>
      </c>
      <c r="C163" s="8">
        <f>IFERROR(B163/B444, "NA")</f>
        <v>0</v>
      </c>
      <c r="D163" s="9"/>
      <c r="E163" s="7">
        <v>0</v>
      </c>
      <c r="F163" s="8">
        <f>IFERROR(E163/E444, "NA")</f>
        <v>0</v>
      </c>
      <c r="G163" s="9"/>
      <c r="H163" s="10">
        <f t="shared" si="40"/>
        <v>0</v>
      </c>
      <c r="I163" s="8">
        <f>IFERROR(H163/H444, "NA")</f>
        <v>0</v>
      </c>
      <c r="J163" s="9"/>
      <c r="K163" s="7">
        <v>0</v>
      </c>
      <c r="L163" s="8">
        <f>IFERROR(K163/K444, "NA")</f>
        <v>0</v>
      </c>
      <c r="M163" s="9"/>
      <c r="N163" s="10">
        <f t="shared" si="41"/>
        <v>0</v>
      </c>
      <c r="O163" s="8">
        <f>IFERROR(N163/N444, "NA")</f>
        <v>0</v>
      </c>
      <c r="P163" s="9"/>
      <c r="Q163" s="7">
        <v>0</v>
      </c>
      <c r="R163" s="8">
        <f>IFERROR(Q163/Q444, "NA")</f>
        <v>0</v>
      </c>
      <c r="S163" s="9"/>
      <c r="T163" s="7">
        <v>0</v>
      </c>
      <c r="U163" s="8">
        <f>IFERROR(T163/T444, "NA")</f>
        <v>0</v>
      </c>
      <c r="V163" s="9"/>
      <c r="W163" s="10">
        <f t="shared" si="42"/>
        <v>0</v>
      </c>
      <c r="X163" s="8">
        <f>IFERROR(W163/W444, "NA")</f>
        <v>0</v>
      </c>
      <c r="Y163" s="9"/>
      <c r="Z163" s="7">
        <v>0</v>
      </c>
      <c r="AA163" s="8">
        <f>IFERROR(Z163/Z444, "NA")</f>
        <v>0</v>
      </c>
      <c r="AB163" s="9"/>
      <c r="AC163" s="10">
        <f t="shared" si="43"/>
        <v>0</v>
      </c>
      <c r="AD163" s="8">
        <f>IFERROR(AC163/AC444, "NA")</f>
        <v>0</v>
      </c>
    </row>
    <row r="164" spans="1:30" ht="16.5" hidden="1" customHeight="1" x14ac:dyDescent="0.45">
      <c r="A164" s="12" t="s">
        <v>152</v>
      </c>
      <c r="B164" s="7">
        <v>0</v>
      </c>
      <c r="C164" s="8">
        <f>IFERROR(B164/B444, "NA")</f>
        <v>0</v>
      </c>
      <c r="D164" s="9"/>
      <c r="E164" s="7">
        <v>0</v>
      </c>
      <c r="F164" s="8">
        <f>IFERROR(E164/E444, "NA")</f>
        <v>0</v>
      </c>
      <c r="G164" s="9"/>
      <c r="H164" s="10">
        <f t="shared" si="40"/>
        <v>0</v>
      </c>
      <c r="I164" s="8">
        <f>IFERROR(H164/H444, "NA")</f>
        <v>0</v>
      </c>
      <c r="J164" s="9"/>
      <c r="K164" s="7">
        <v>0</v>
      </c>
      <c r="L164" s="8">
        <f>IFERROR(K164/K444, "NA")</f>
        <v>0</v>
      </c>
      <c r="M164" s="9"/>
      <c r="N164" s="10">
        <f t="shared" si="41"/>
        <v>0</v>
      </c>
      <c r="O164" s="8">
        <f>IFERROR(N164/N444, "NA")</f>
        <v>0</v>
      </c>
      <c r="P164" s="9"/>
      <c r="Q164" s="7">
        <v>0</v>
      </c>
      <c r="R164" s="8">
        <f>IFERROR(Q164/Q444, "NA")</f>
        <v>0</v>
      </c>
      <c r="S164" s="9"/>
      <c r="T164" s="7">
        <v>0</v>
      </c>
      <c r="U164" s="8">
        <f>IFERROR(T164/T444, "NA")</f>
        <v>0</v>
      </c>
      <c r="V164" s="9"/>
      <c r="W164" s="10">
        <f t="shared" si="42"/>
        <v>0</v>
      </c>
      <c r="X164" s="8">
        <f>IFERROR(W164/W444, "NA")</f>
        <v>0</v>
      </c>
      <c r="Y164" s="9"/>
      <c r="Z164" s="7">
        <v>0</v>
      </c>
      <c r="AA164" s="8">
        <f>IFERROR(Z164/Z444, "NA")</f>
        <v>0</v>
      </c>
      <c r="AB164" s="9"/>
      <c r="AC164" s="10">
        <f t="shared" si="43"/>
        <v>0</v>
      </c>
      <c r="AD164" s="8">
        <f>IFERROR(AC164/AC444, "NA")</f>
        <v>0</v>
      </c>
    </row>
    <row r="165" spans="1:30" ht="16.5" hidden="1" customHeight="1" x14ac:dyDescent="0.45">
      <c r="A165" s="12" t="s">
        <v>153</v>
      </c>
      <c r="B165" s="7">
        <v>0</v>
      </c>
      <c r="C165" s="8">
        <f>IFERROR(B165/B444, "NA")</f>
        <v>0</v>
      </c>
      <c r="D165" s="9"/>
      <c r="E165" s="7">
        <v>0</v>
      </c>
      <c r="F165" s="8">
        <f>IFERROR(E165/E444, "NA")</f>
        <v>0</v>
      </c>
      <c r="G165" s="9"/>
      <c r="H165" s="10">
        <f t="shared" si="40"/>
        <v>0</v>
      </c>
      <c r="I165" s="8">
        <f>IFERROR(H165/H444, "NA")</f>
        <v>0</v>
      </c>
      <c r="J165" s="9"/>
      <c r="K165" s="7">
        <v>0</v>
      </c>
      <c r="L165" s="8">
        <f>IFERROR(K165/K444, "NA")</f>
        <v>0</v>
      </c>
      <c r="M165" s="9"/>
      <c r="N165" s="10">
        <f t="shared" si="41"/>
        <v>0</v>
      </c>
      <c r="O165" s="8">
        <f>IFERROR(N165/N444, "NA")</f>
        <v>0</v>
      </c>
      <c r="P165" s="9"/>
      <c r="Q165" s="7">
        <v>0</v>
      </c>
      <c r="R165" s="8">
        <f>IFERROR(Q165/Q444, "NA")</f>
        <v>0</v>
      </c>
      <c r="S165" s="9"/>
      <c r="T165" s="7">
        <v>0</v>
      </c>
      <c r="U165" s="8">
        <f>IFERROR(T165/T444, "NA")</f>
        <v>0</v>
      </c>
      <c r="V165" s="9"/>
      <c r="W165" s="10">
        <f t="shared" si="42"/>
        <v>0</v>
      </c>
      <c r="X165" s="8">
        <f>IFERROR(W165/W444, "NA")</f>
        <v>0</v>
      </c>
      <c r="Y165" s="9"/>
      <c r="Z165" s="7">
        <v>0</v>
      </c>
      <c r="AA165" s="8">
        <f>IFERROR(Z165/Z444, "NA")</f>
        <v>0</v>
      </c>
      <c r="AB165" s="9"/>
      <c r="AC165" s="10">
        <f t="shared" si="43"/>
        <v>0</v>
      </c>
      <c r="AD165" s="8">
        <f>IFERROR(AC165/AC444, "NA")</f>
        <v>0</v>
      </c>
    </row>
    <row r="166" spans="1:30" ht="16.5" customHeight="1" x14ac:dyDescent="0.45">
      <c r="A166" s="13" t="s">
        <v>154</v>
      </c>
      <c r="B166" s="14">
        <f>IFERROR(B160+B161+B162+B163+B164+B165, "NA")</f>
        <v>300.42</v>
      </c>
      <c r="C166" s="15">
        <f>IFERROR(B166/B444, "NA")</f>
        <v>4.1351970763735474E-3</v>
      </c>
      <c r="D166" s="2"/>
      <c r="E166" s="14">
        <f>IFERROR(E160+E161+E162+E163+E164+E165, "NA")</f>
        <v>0</v>
      </c>
      <c r="F166" s="15">
        <f>IFERROR(E166/E444, "NA")</f>
        <v>0</v>
      </c>
      <c r="G166" s="2"/>
      <c r="H166" s="14">
        <f t="shared" si="40"/>
        <v>-300.42</v>
      </c>
      <c r="I166" s="15">
        <f>IFERROR(H166/H444, "NA")</f>
        <v>9.997470848197626E-2</v>
      </c>
      <c r="J166" s="2"/>
      <c r="K166" s="14">
        <f>IFERROR(K160+K161+K162+K163+K164+K165, "NA")</f>
        <v>316.11</v>
      </c>
      <c r="L166" s="15">
        <f>IFERROR(K166/K444, "NA")</f>
        <v>4.3350258735671623E-3</v>
      </c>
      <c r="M166" s="2"/>
      <c r="N166" s="14">
        <f t="shared" si="41"/>
        <v>15.689999999999998</v>
      </c>
      <c r="O166" s="15">
        <f>IFERROR(N166/N444, "NA")</f>
        <v>-5.8007985803017727E-2</v>
      </c>
      <c r="P166" s="2"/>
      <c r="Q166" s="14">
        <f>IFERROR(Q160+Q161+Q162+Q163+Q164+Q165, "NA")</f>
        <v>300.42</v>
      </c>
      <c r="R166" s="15">
        <f>IFERROR(Q166/Q444, "NA")</f>
        <v>4.1351970763735474E-3</v>
      </c>
      <c r="S166" s="2"/>
      <c r="T166" s="14">
        <f>IFERROR(T160+T161+T162+T163+T164+T165, "NA")</f>
        <v>0</v>
      </c>
      <c r="U166" s="15">
        <f>IFERROR(T166/T444, "NA")</f>
        <v>0</v>
      </c>
      <c r="V166" s="2"/>
      <c r="W166" s="14">
        <f t="shared" si="42"/>
        <v>-300.42</v>
      </c>
      <c r="X166" s="15">
        <f>IFERROR(W166/W444, "NA")</f>
        <v>9.997470848197626E-2</v>
      </c>
      <c r="Y166" s="2"/>
      <c r="Z166" s="14">
        <f>IFERROR(Z160+Z161+Z162+Z163+Z164+Z165, "NA")</f>
        <v>316.11</v>
      </c>
      <c r="AA166" s="15">
        <f>IFERROR(Z166/Z444, "NA")</f>
        <v>4.3350258735671623E-3</v>
      </c>
      <c r="AB166" s="2"/>
      <c r="AC166" s="14">
        <f t="shared" si="43"/>
        <v>15.689999999999998</v>
      </c>
      <c r="AD166" s="15">
        <f>IFERROR(AC166/AC444, "NA")</f>
        <v>-5.8007985803017727E-2</v>
      </c>
    </row>
    <row r="167" spans="1:30" ht="16.5" customHeight="1" x14ac:dyDescent="0.45">
      <c r="A167" s="6" t="s">
        <v>155</v>
      </c>
      <c r="B167" s="7">
        <v>124.6</v>
      </c>
      <c r="C167" s="8">
        <f>IFERROR(B167/B444, "NA")</f>
        <v>1.7150840680252445E-3</v>
      </c>
      <c r="D167" s="9"/>
      <c r="E167" s="7">
        <v>0</v>
      </c>
      <c r="F167" s="8">
        <f>IFERROR(E167/E444, "NA")</f>
        <v>0</v>
      </c>
      <c r="G167" s="9"/>
      <c r="H167" s="10">
        <f t="shared" si="40"/>
        <v>-124.6</v>
      </c>
      <c r="I167" s="8">
        <f>IFERROR(H167/H444, "NA")</f>
        <v>4.1464778233320822E-2</v>
      </c>
      <c r="J167" s="9"/>
      <c r="K167" s="7">
        <v>101.61</v>
      </c>
      <c r="L167" s="8">
        <f>IFERROR(K167/K444, "NA")</f>
        <v>1.3934452532762627E-3</v>
      </c>
      <c r="M167" s="9"/>
      <c r="N167" s="10">
        <f t="shared" si="41"/>
        <v>-22.989999999999995</v>
      </c>
      <c r="O167" s="8">
        <f>IFERROR(N167/N444, "NA")</f>
        <v>8.4997042295180208E-2</v>
      </c>
      <c r="P167" s="9"/>
      <c r="Q167" s="7">
        <v>124.6</v>
      </c>
      <c r="R167" s="8">
        <f>IFERROR(Q167/Q444, "NA")</f>
        <v>1.7150840680252445E-3</v>
      </c>
      <c r="S167" s="9"/>
      <c r="T167" s="7">
        <v>0</v>
      </c>
      <c r="U167" s="8">
        <f>IFERROR(T167/T444, "NA")</f>
        <v>0</v>
      </c>
      <c r="V167" s="9"/>
      <c r="W167" s="10">
        <f t="shared" si="42"/>
        <v>-124.6</v>
      </c>
      <c r="X167" s="8">
        <f>IFERROR(W167/W444, "NA")</f>
        <v>4.1464778233320822E-2</v>
      </c>
      <c r="Y167" s="9"/>
      <c r="Z167" s="7">
        <v>101.61</v>
      </c>
      <c r="AA167" s="8">
        <f>IFERROR(Z167/Z444, "NA")</f>
        <v>1.3934452532762627E-3</v>
      </c>
      <c r="AB167" s="9"/>
      <c r="AC167" s="10">
        <f t="shared" si="43"/>
        <v>-22.989999999999995</v>
      </c>
      <c r="AD167" s="8">
        <f>IFERROR(AC167/AC444, "NA")</f>
        <v>8.4997042295180208E-2</v>
      </c>
    </row>
    <row r="168" spans="1:30" ht="16.5" customHeight="1" x14ac:dyDescent="0.45">
      <c r="A168" s="6" t="s">
        <v>156</v>
      </c>
      <c r="B168" s="7">
        <v>24.31</v>
      </c>
      <c r="C168" s="8">
        <f>IFERROR(B168/B444, "NA")</f>
        <v>3.3462033462033458E-4</v>
      </c>
      <c r="D168" s="9"/>
      <c r="E168" s="7">
        <v>0</v>
      </c>
      <c r="F168" s="8">
        <f>IFERROR(E168/E444, "NA")</f>
        <v>0</v>
      </c>
      <c r="G168" s="9"/>
      <c r="H168" s="10">
        <f t="shared" si="40"/>
        <v>-24.31</v>
      </c>
      <c r="I168" s="8">
        <f>IFERROR(H168/H444, "NA")</f>
        <v>8.0899579362121114E-3</v>
      </c>
      <c r="J168" s="9"/>
      <c r="K168" s="7">
        <v>38.799999999999997</v>
      </c>
      <c r="L168" s="8">
        <f>IFERROR(K168/K444, "NA")</f>
        <v>5.3209010753979904E-4</v>
      </c>
      <c r="M168" s="9"/>
      <c r="N168" s="10">
        <f t="shared" si="41"/>
        <v>14.489999999999998</v>
      </c>
      <c r="O168" s="8">
        <f>IFERROR(N168/N444, "NA")</f>
        <v>-5.3571428571429373E-2</v>
      </c>
      <c r="P168" s="9"/>
      <c r="Q168" s="7">
        <v>24.31</v>
      </c>
      <c r="R168" s="8">
        <f>IFERROR(Q168/Q444, "NA")</f>
        <v>3.3462033462033458E-4</v>
      </c>
      <c r="S168" s="9"/>
      <c r="T168" s="7">
        <v>0</v>
      </c>
      <c r="U168" s="8">
        <f>IFERROR(T168/T444, "NA")</f>
        <v>0</v>
      </c>
      <c r="V168" s="9"/>
      <c r="W168" s="10">
        <f t="shared" si="42"/>
        <v>-24.31</v>
      </c>
      <c r="X168" s="8">
        <f>IFERROR(W168/W444, "NA")</f>
        <v>8.0899579362121114E-3</v>
      </c>
      <c r="Y168" s="9"/>
      <c r="Z168" s="7">
        <v>38.799999999999997</v>
      </c>
      <c r="AA168" s="8">
        <f>IFERROR(Z168/Z444, "NA")</f>
        <v>5.3209010753979904E-4</v>
      </c>
      <c r="AB168" s="9"/>
      <c r="AC168" s="10">
        <f t="shared" si="43"/>
        <v>14.489999999999998</v>
      </c>
      <c r="AD168" s="8">
        <f>IFERROR(AC168/AC444, "NA")</f>
        <v>-5.3571428571429373E-2</v>
      </c>
    </row>
    <row r="169" spans="1:30" ht="16.5" customHeight="1" x14ac:dyDescent="0.45">
      <c r="A169" s="6" t="s">
        <v>157</v>
      </c>
      <c r="B169" s="7">
        <v>-983.14</v>
      </c>
      <c r="C169" s="8">
        <f>IFERROR(B169/B444, "NA")</f>
        <v>-1.3532646473822945E-2</v>
      </c>
      <c r="D169" s="9"/>
      <c r="E169" s="7">
        <v>0</v>
      </c>
      <c r="F169" s="8">
        <f>IFERROR(E169/E444, "NA")</f>
        <v>0</v>
      </c>
      <c r="G169" s="9"/>
      <c r="H169" s="10">
        <f t="shared" si="40"/>
        <v>983.14</v>
      </c>
      <c r="I169" s="8">
        <f>IFERROR(H169/H444, "NA")</f>
        <v>-0.32717240828496813</v>
      </c>
      <c r="J169" s="9"/>
      <c r="K169" s="7">
        <v>-2160.41</v>
      </c>
      <c r="L169" s="8">
        <f>IFERROR(K169/K444, "NA")</f>
        <v>-2.9627133743042714E-2</v>
      </c>
      <c r="M169" s="9"/>
      <c r="N169" s="10">
        <f t="shared" si="41"/>
        <v>-1177.27</v>
      </c>
      <c r="O169" s="8">
        <f>IFERROR(N169/N444, "NA")</f>
        <v>4.3525214433600183</v>
      </c>
      <c r="P169" s="9"/>
      <c r="Q169" s="7">
        <v>-983.14</v>
      </c>
      <c r="R169" s="8">
        <f>IFERROR(Q169/Q444, "NA")</f>
        <v>-1.3532646473822945E-2</v>
      </c>
      <c r="S169" s="9"/>
      <c r="T169" s="7">
        <v>0</v>
      </c>
      <c r="U169" s="8">
        <f>IFERROR(T169/T444, "NA")</f>
        <v>0</v>
      </c>
      <c r="V169" s="9"/>
      <c r="W169" s="10">
        <f t="shared" si="42"/>
        <v>983.14</v>
      </c>
      <c r="X169" s="8">
        <f>IFERROR(W169/W444, "NA")</f>
        <v>-0.32717240828496813</v>
      </c>
      <c r="Y169" s="9"/>
      <c r="Z169" s="7">
        <v>-2160.41</v>
      </c>
      <c r="AA169" s="8">
        <f>IFERROR(Z169/Z444, "NA")</f>
        <v>-2.9627133743042714E-2</v>
      </c>
      <c r="AB169" s="9"/>
      <c r="AC169" s="10">
        <f t="shared" si="43"/>
        <v>-1177.27</v>
      </c>
      <c r="AD169" s="8">
        <f>IFERROR(AC169/AC444, "NA")</f>
        <v>4.3525214433600183</v>
      </c>
    </row>
    <row r="170" spans="1:30" ht="16.5" customHeight="1" x14ac:dyDescent="0.45">
      <c r="A170" s="19" t="s">
        <v>158</v>
      </c>
      <c r="B170" s="14">
        <f>IFERROR(B151+B153+B154+B155+B156+B157+B160+B161+B162+B163+B164+B165+B167+B168+B169, "NA")</f>
        <v>2752.7400000000002</v>
      </c>
      <c r="C170" s="15">
        <f>IFERROR(B170/B444, "NA")</f>
        <v>3.7890694361282597E-2</v>
      </c>
      <c r="D170" s="2"/>
      <c r="E170" s="14">
        <f>IFERROR(E151+E153+E154+E155+E156+E157+E160+E161+E162+E163+E164+E165+E167+E168+E169, "NA")</f>
        <v>3177.49</v>
      </c>
      <c r="F170" s="15">
        <f>IFERROR(E170/E444, "NA")</f>
        <v>4.2000035424216889E-2</v>
      </c>
      <c r="G170" s="2"/>
      <c r="H170" s="14">
        <f t="shared" si="40"/>
        <v>424.74999999999955</v>
      </c>
      <c r="I170" s="15">
        <f>IFERROR(H170/H444, "NA")</f>
        <v>-0.141349635269687</v>
      </c>
      <c r="J170" s="2"/>
      <c r="K170" s="14">
        <f>IFERROR(K151+K153+K154+K155+K156+K157+K160+K161+K162+K163+K164+K165+K167+K168+K169, "NA")</f>
        <v>1525.9300000000007</v>
      </c>
      <c r="L170" s="15">
        <f>IFERROR(K170/K444, "NA")</f>
        <v>2.0926089118510467E-2</v>
      </c>
      <c r="M170" s="2"/>
      <c r="N170" s="14">
        <f t="shared" si="41"/>
        <v>-1226.8099999999995</v>
      </c>
      <c r="O170" s="15">
        <f>IFERROR(N170/N444, "NA")</f>
        <v>4.5356773144040892</v>
      </c>
      <c r="P170" s="2"/>
      <c r="Q170" s="14">
        <f>IFERROR(Q151+Q153+Q154+Q155+Q156+Q157+Q160+Q161+Q162+Q163+Q164+Q165+Q167+Q168+Q169, "NA")</f>
        <v>2752.7400000000002</v>
      </c>
      <c r="R170" s="15">
        <f>IFERROR(Q170/Q444, "NA")</f>
        <v>3.7890694361282597E-2</v>
      </c>
      <c r="S170" s="2"/>
      <c r="T170" s="14">
        <f>IFERROR(T151+T153+T154+T155+T156+T157+T160+T161+T162+T163+T164+T165+T167+T168+T169, "NA")</f>
        <v>3177.49</v>
      </c>
      <c r="U170" s="15">
        <f>IFERROR(T170/T444, "NA")</f>
        <v>4.2000035424216889E-2</v>
      </c>
      <c r="V170" s="2"/>
      <c r="W170" s="14">
        <f t="shared" si="42"/>
        <v>424.74999999999955</v>
      </c>
      <c r="X170" s="15">
        <f>IFERROR(W170/W444, "NA")</f>
        <v>-0.141349635269687</v>
      </c>
      <c r="Y170" s="2"/>
      <c r="Z170" s="14">
        <f>IFERROR(Z151+Z153+Z154+Z155+Z156+Z157+Z160+Z161+Z162+Z163+Z164+Z165+Z167+Z168+Z169, "NA")</f>
        <v>1525.9300000000007</v>
      </c>
      <c r="AA170" s="15">
        <f>IFERROR(Z170/Z444, "NA")</f>
        <v>2.0926089118510467E-2</v>
      </c>
      <c r="AB170" s="2"/>
      <c r="AC170" s="14">
        <f t="shared" si="43"/>
        <v>-1226.8099999999995</v>
      </c>
      <c r="AD170" s="15">
        <f>IFERROR(AC170/AC444, "NA")</f>
        <v>4.5356773144040892</v>
      </c>
    </row>
    <row r="171" spans="1:30" ht="16.5" customHeight="1" x14ac:dyDescent="0.45">
      <c r="A171" s="21" t="s">
        <v>159</v>
      </c>
      <c r="B171" s="14">
        <f>IFERROR(B127+B129+B130+B131+B132+B133+B134+B135+B136+B137+B138+B139+B140+B143+B144+B145+B146+B147+B151+B153+B154+B155+B156+B157+B160+B161+B162+B163+B164+B165+B167+B168+B169, "NA")</f>
        <v>20702.819999999996</v>
      </c>
      <c r="C171" s="15">
        <f>IFERROR(B171/B444, "NA")</f>
        <v>0.28496851320380728</v>
      </c>
      <c r="D171" s="2"/>
      <c r="E171" s="14">
        <f>IFERROR(E127+E129+E130+E131+E132+E133+E134+E135+E136+E137+E138+E139+E140+E143+E144+E145+E146+E147+E151+E153+E154+E155+E156+E157+E160+E161+E162+E163+E164+E165+E167+E168+E169, "NA")</f>
        <v>21031.949999999997</v>
      </c>
      <c r="F171" s="15">
        <f>IFERROR(E171/E444, "NA")</f>
        <v>0.27800013376607269</v>
      </c>
      <c r="G171" s="2"/>
      <c r="H171" s="14">
        <f t="shared" si="40"/>
        <v>329.13000000000102</v>
      </c>
      <c r="I171" s="15">
        <f>IFERROR(H171/H444, "NA")</f>
        <v>-0.10952891219849858</v>
      </c>
      <c r="J171" s="2"/>
      <c r="K171" s="14">
        <f>IFERROR(K127+K129+K130+K131+K132+K133+K134+K135+K136+K137+K138+K139+K140+K143+K144+K145+K146+K147+K151+K153+K154+K155+K156+K157+K160+K161+K162+K163+K164+K165+K167+K168+K169, "NA")</f>
        <v>20242.03</v>
      </c>
      <c r="L171" s="15">
        <f>IFERROR(K171/K444, "NA")</f>
        <v>0.27759236905989276</v>
      </c>
      <c r="M171" s="2"/>
      <c r="N171" s="14">
        <f t="shared" si="41"/>
        <v>-460.78999999999724</v>
      </c>
      <c r="O171" s="15">
        <f>IFERROR(N171/N444, "NA")</f>
        <v>1.7036010056196547</v>
      </c>
      <c r="P171" s="2"/>
      <c r="Q171" s="14">
        <f>IFERROR(Q127+Q129+Q130+Q131+Q132+Q133+Q134+Q135+Q136+Q137+Q138+Q139+Q140+Q143+Q144+Q145+Q146+Q147+Q151+Q153+Q154+Q155+Q156+Q157+Q160+Q161+Q162+Q163+Q164+Q165+Q167+Q168+Q169, "NA")</f>
        <v>20702.819999999996</v>
      </c>
      <c r="R171" s="15">
        <f>IFERROR(Q171/Q444, "NA")</f>
        <v>0.28496851320380728</v>
      </c>
      <c r="S171" s="2"/>
      <c r="T171" s="14">
        <f>IFERROR(T127+T129+T130+T131+T132+T133+T134+T135+T136+T137+T138+T139+T140+T143+T144+T145+T146+T147+T151+T153+T154+T155+T156+T157+T160+T161+T162+T163+T164+T165+T167+T168+T169, "NA")</f>
        <v>21031.949999999997</v>
      </c>
      <c r="U171" s="15">
        <f>IFERROR(T171/T444, "NA")</f>
        <v>0.27800013376607269</v>
      </c>
      <c r="V171" s="2"/>
      <c r="W171" s="14">
        <f t="shared" si="42"/>
        <v>329.13000000000102</v>
      </c>
      <c r="X171" s="15">
        <f>IFERROR(W171/W444, "NA")</f>
        <v>-0.10952891219849858</v>
      </c>
      <c r="Y171" s="2"/>
      <c r="Z171" s="14">
        <f>IFERROR(Z127+Z129+Z130+Z131+Z132+Z133+Z134+Z135+Z136+Z137+Z138+Z139+Z140+Z143+Z144+Z145+Z146+Z147+Z151+Z153+Z154+Z155+Z156+Z157+Z160+Z161+Z162+Z163+Z164+Z165+Z167+Z168+Z169, "NA")</f>
        <v>20242.03</v>
      </c>
      <c r="AA171" s="15">
        <f>IFERROR(Z171/Z444, "NA")</f>
        <v>0.27759236905989276</v>
      </c>
      <c r="AB171" s="2"/>
      <c r="AC171" s="14">
        <f t="shared" si="43"/>
        <v>-460.78999999999724</v>
      </c>
      <c r="AD171" s="15">
        <f>IFERROR(AC171/AC444, "NA")</f>
        <v>1.7036010056196547</v>
      </c>
    </row>
    <row r="172" spans="1:30" ht="16.5" customHeight="1" x14ac:dyDescent="0.45">
      <c r="A172" s="22" t="s">
        <v>160</v>
      </c>
      <c r="B172" s="23">
        <f>IFERROR(B124-B171, "NA")</f>
        <v>51946.680000000008</v>
      </c>
      <c r="C172" s="24">
        <f>IFERROR(B172/B444, "NA")</f>
        <v>0.71503148679619277</v>
      </c>
      <c r="D172" s="25"/>
      <c r="E172" s="23">
        <f>IFERROR(E124-E171, "NA")</f>
        <v>54622.510000000009</v>
      </c>
      <c r="F172" s="24">
        <f>IFERROR(E172/E444, "NA")</f>
        <v>0.72199986623392731</v>
      </c>
      <c r="G172" s="25"/>
      <c r="H172" s="23">
        <f>IFERROR(B172-E172, "NA")</f>
        <v>-2675.8300000000017</v>
      </c>
      <c r="I172" s="24">
        <f>IFERROR(H172/H444, "NA")</f>
        <v>0.89047108780150019</v>
      </c>
      <c r="J172" s="25"/>
      <c r="K172" s="23">
        <f>IFERROR(K124-K171, "NA")</f>
        <v>52677.95</v>
      </c>
      <c r="L172" s="24">
        <f>IFERROR(K172/K444, "NA")</f>
        <v>0.72240763094010718</v>
      </c>
      <c r="M172" s="25"/>
      <c r="N172" s="23">
        <f>IFERROR(B172-K172, "NA")</f>
        <v>-731.26999999998952</v>
      </c>
      <c r="O172" s="24">
        <f>IFERROR(N172/N444, "NA")</f>
        <v>2.7036010056196411</v>
      </c>
      <c r="P172" s="25"/>
      <c r="Q172" s="23">
        <f>IFERROR(Q124-Q171, "NA")</f>
        <v>51946.680000000008</v>
      </c>
      <c r="R172" s="24">
        <f>IFERROR(Q172/Q444, "NA")</f>
        <v>0.71503148679619277</v>
      </c>
      <c r="S172" s="25"/>
      <c r="T172" s="23">
        <f>IFERROR(T124-T171, "NA")</f>
        <v>54622.510000000009</v>
      </c>
      <c r="U172" s="24">
        <f>IFERROR(T172/T444, "NA")</f>
        <v>0.72199986623392731</v>
      </c>
      <c r="V172" s="25"/>
      <c r="W172" s="23">
        <f>IFERROR(Q172-T172, "NA")</f>
        <v>-2675.8300000000017</v>
      </c>
      <c r="X172" s="24">
        <f>IFERROR(W172/W444, "NA")</f>
        <v>0.89047108780150019</v>
      </c>
      <c r="Y172" s="25"/>
      <c r="Z172" s="23">
        <f>IFERROR(Z124-Z171, "NA")</f>
        <v>52677.95</v>
      </c>
      <c r="AA172" s="24">
        <f>IFERROR(Z172/Z444, "NA")</f>
        <v>0.72240763094010718</v>
      </c>
      <c r="AB172" s="25"/>
      <c r="AC172" s="23">
        <f>IFERROR(Q172-Z172, "NA")</f>
        <v>-731.26999999998952</v>
      </c>
      <c r="AD172" s="24">
        <f>IFERROR(AC172/AC444, "NA")</f>
        <v>2.7036010056196411</v>
      </c>
    </row>
    <row r="173" spans="1:30" ht="16.5" customHeight="1" x14ac:dyDescent="0.45">
      <c r="A173" s="1" t="s">
        <v>161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45">
      <c r="A174" s="5" t="s">
        <v>161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45">
      <c r="A175" s="6" t="s">
        <v>161</v>
      </c>
      <c r="B175" s="7">
        <v>0</v>
      </c>
      <c r="C175" s="8">
        <f>IFERROR(B175/B444, "NA")</f>
        <v>0</v>
      </c>
      <c r="D175" s="9"/>
      <c r="E175" s="7">
        <v>0</v>
      </c>
      <c r="F175" s="8">
        <f>IFERROR(E175/E444, "NA")</f>
        <v>0</v>
      </c>
      <c r="G175" s="9"/>
      <c r="H175" s="10">
        <f>IFERROR(-(B175-E175), "NA")</f>
        <v>0</v>
      </c>
      <c r="I175" s="8">
        <f>IFERROR(H175/H444, "NA")</f>
        <v>0</v>
      </c>
      <c r="J175" s="9"/>
      <c r="K175" s="7">
        <v>0</v>
      </c>
      <c r="L175" s="8">
        <f>IFERROR(K175/K444, "NA")</f>
        <v>0</v>
      </c>
      <c r="M175" s="9"/>
      <c r="N175" s="10">
        <f>IFERROR(-(B175-K175), "NA")</f>
        <v>0</v>
      </c>
      <c r="O175" s="8">
        <f>IFERROR(N175/N444, "NA")</f>
        <v>0</v>
      </c>
      <c r="P175" s="9"/>
      <c r="Q175" s="7">
        <v>0</v>
      </c>
      <c r="R175" s="8">
        <f>IFERROR(Q175/Q444, "NA")</f>
        <v>0</v>
      </c>
      <c r="S175" s="9"/>
      <c r="T175" s="7">
        <v>0</v>
      </c>
      <c r="U175" s="8">
        <f>IFERROR(T175/T444, "NA")</f>
        <v>0</v>
      </c>
      <c r="V175" s="9"/>
      <c r="W175" s="10">
        <f>IFERROR(-(Q175-T175), "NA")</f>
        <v>0</v>
      </c>
      <c r="X175" s="8">
        <f>IFERROR(W175/W444, "NA")</f>
        <v>0</v>
      </c>
      <c r="Y175" s="9"/>
      <c r="Z175" s="7">
        <v>0</v>
      </c>
      <c r="AA175" s="8">
        <f>IFERROR(Z175/Z444, "NA")</f>
        <v>0</v>
      </c>
      <c r="AB175" s="9"/>
      <c r="AC175" s="10">
        <f>IFERROR(-(Q175-Z175), "NA")</f>
        <v>0</v>
      </c>
      <c r="AD175" s="8">
        <f>IFERROR(AC175/AC444, "NA")</f>
        <v>0</v>
      </c>
    </row>
    <row r="176" spans="1:30" ht="16.5" customHeight="1" x14ac:dyDescent="0.45">
      <c r="A176" s="11" t="s">
        <v>162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45">
      <c r="A177" s="12" t="s">
        <v>162</v>
      </c>
      <c r="B177" s="7">
        <v>0</v>
      </c>
      <c r="C177" s="8">
        <f>IFERROR(B177/B444, "NA")</f>
        <v>0</v>
      </c>
      <c r="D177" s="9"/>
      <c r="E177" s="7">
        <v>0</v>
      </c>
      <c r="F177" s="8">
        <f>IFERROR(E177/E444, "NA")</f>
        <v>0</v>
      </c>
      <c r="G177" s="9"/>
      <c r="H177" s="10">
        <f t="shared" ref="H177:H184" si="44">IFERROR(-(B177-E177), "NA")</f>
        <v>0</v>
      </c>
      <c r="I177" s="8">
        <f>IFERROR(H177/H444, "NA")</f>
        <v>0</v>
      </c>
      <c r="J177" s="9"/>
      <c r="K177" s="7">
        <v>0</v>
      </c>
      <c r="L177" s="8">
        <f>IFERROR(K177/K444, "NA")</f>
        <v>0</v>
      </c>
      <c r="M177" s="9"/>
      <c r="N177" s="10">
        <f t="shared" ref="N177:N184" si="45">IFERROR(-(B177-K177), "NA")</f>
        <v>0</v>
      </c>
      <c r="O177" s="8">
        <f>IFERROR(N177/N444, "NA")</f>
        <v>0</v>
      </c>
      <c r="P177" s="9"/>
      <c r="Q177" s="7">
        <v>0</v>
      </c>
      <c r="R177" s="8">
        <f>IFERROR(Q177/Q444, "NA")</f>
        <v>0</v>
      </c>
      <c r="S177" s="9"/>
      <c r="T177" s="7">
        <v>0</v>
      </c>
      <c r="U177" s="8">
        <f>IFERROR(T177/T444, "NA")</f>
        <v>0</v>
      </c>
      <c r="V177" s="9"/>
      <c r="W177" s="10">
        <f t="shared" ref="W177:W184" si="46">IFERROR(-(Q177-T177), "NA")</f>
        <v>0</v>
      </c>
      <c r="X177" s="8">
        <f>IFERROR(W177/W444, "NA")</f>
        <v>0</v>
      </c>
      <c r="Y177" s="9"/>
      <c r="Z177" s="7">
        <v>0</v>
      </c>
      <c r="AA177" s="8">
        <f>IFERROR(Z177/Z444, "NA")</f>
        <v>0</v>
      </c>
      <c r="AB177" s="9"/>
      <c r="AC177" s="10">
        <f t="shared" ref="AC177:AC184" si="47">IFERROR(-(Q177-Z177), "NA")</f>
        <v>0</v>
      </c>
      <c r="AD177" s="8">
        <f>IFERROR(AC177/AC444, "NA")</f>
        <v>0</v>
      </c>
    </row>
    <row r="178" spans="1:30" ht="16.5" customHeight="1" x14ac:dyDescent="0.45">
      <c r="A178" s="12" t="s">
        <v>163</v>
      </c>
      <c r="B178" s="7">
        <v>5846.16</v>
      </c>
      <c r="C178" s="8">
        <f>IFERROR(B178/B444, "NA")</f>
        <v>8.0470753411929885E-2</v>
      </c>
      <c r="D178" s="9"/>
      <c r="E178" s="7">
        <v>5846.16</v>
      </c>
      <c r="F178" s="8">
        <f>IFERROR(E178/E444, "NA")</f>
        <v>7.7274492475394044E-2</v>
      </c>
      <c r="G178" s="9"/>
      <c r="H178" s="10">
        <f t="shared" si="44"/>
        <v>0</v>
      </c>
      <c r="I178" s="8">
        <f>IFERROR(H178/H444, "NA")</f>
        <v>0</v>
      </c>
      <c r="J178" s="9"/>
      <c r="K178" s="7">
        <v>5846.16</v>
      </c>
      <c r="L178" s="8">
        <f>IFERROR(K178/K444, "NA")</f>
        <v>8.0172265543682272E-2</v>
      </c>
      <c r="M178" s="9"/>
      <c r="N178" s="10">
        <f t="shared" si="45"/>
        <v>0</v>
      </c>
      <c r="O178" s="8">
        <f>IFERROR(N178/N444, "NA")</f>
        <v>0</v>
      </c>
      <c r="P178" s="9"/>
      <c r="Q178" s="7">
        <v>5846.16</v>
      </c>
      <c r="R178" s="8">
        <f>IFERROR(Q178/Q444, "NA")</f>
        <v>8.0470753411929885E-2</v>
      </c>
      <c r="S178" s="9"/>
      <c r="T178" s="7">
        <v>5846.16</v>
      </c>
      <c r="U178" s="8">
        <f>IFERROR(T178/T444, "NA")</f>
        <v>7.7274492475394044E-2</v>
      </c>
      <c r="V178" s="9"/>
      <c r="W178" s="10">
        <f t="shared" si="46"/>
        <v>0</v>
      </c>
      <c r="X178" s="8">
        <f>IFERROR(W178/W444, "NA")</f>
        <v>0</v>
      </c>
      <c r="Y178" s="9"/>
      <c r="Z178" s="7">
        <v>5846.16</v>
      </c>
      <c r="AA178" s="8">
        <f>IFERROR(Z178/Z444, "NA")</f>
        <v>8.0172265543682272E-2</v>
      </c>
      <c r="AB178" s="9"/>
      <c r="AC178" s="10">
        <f t="shared" si="47"/>
        <v>0</v>
      </c>
      <c r="AD178" s="8">
        <f>IFERROR(AC178/AC444, "NA")</f>
        <v>0</v>
      </c>
    </row>
    <row r="179" spans="1:30" ht="16.5" hidden="1" customHeight="1" x14ac:dyDescent="0.45">
      <c r="A179" s="12" t="s">
        <v>164</v>
      </c>
      <c r="B179" s="7">
        <v>0</v>
      </c>
      <c r="C179" s="8">
        <f>IFERROR(B179/B444, "NA")</f>
        <v>0</v>
      </c>
      <c r="D179" s="9"/>
      <c r="E179" s="7">
        <v>0</v>
      </c>
      <c r="F179" s="8">
        <f>IFERROR(E179/E444, "NA")</f>
        <v>0</v>
      </c>
      <c r="G179" s="9"/>
      <c r="H179" s="10">
        <f t="shared" si="44"/>
        <v>0</v>
      </c>
      <c r="I179" s="8">
        <f>IFERROR(H179/H444, "NA")</f>
        <v>0</v>
      </c>
      <c r="J179" s="9"/>
      <c r="K179" s="7">
        <v>0</v>
      </c>
      <c r="L179" s="8">
        <f>IFERROR(K179/K444, "NA")</f>
        <v>0</v>
      </c>
      <c r="M179" s="9"/>
      <c r="N179" s="10">
        <f t="shared" si="45"/>
        <v>0</v>
      </c>
      <c r="O179" s="8">
        <f>IFERROR(N179/N444, "NA")</f>
        <v>0</v>
      </c>
      <c r="P179" s="9"/>
      <c r="Q179" s="7">
        <v>0</v>
      </c>
      <c r="R179" s="8">
        <f>IFERROR(Q179/Q444, "NA")</f>
        <v>0</v>
      </c>
      <c r="S179" s="9"/>
      <c r="T179" s="7">
        <v>0</v>
      </c>
      <c r="U179" s="8">
        <f>IFERROR(T179/T444, "NA")</f>
        <v>0</v>
      </c>
      <c r="V179" s="9"/>
      <c r="W179" s="10">
        <f t="shared" si="46"/>
        <v>0</v>
      </c>
      <c r="X179" s="8">
        <f>IFERROR(W179/W444, "NA")</f>
        <v>0</v>
      </c>
      <c r="Y179" s="9"/>
      <c r="Z179" s="7">
        <v>0</v>
      </c>
      <c r="AA179" s="8">
        <f>IFERROR(Z179/Z444, "NA")</f>
        <v>0</v>
      </c>
      <c r="AB179" s="9"/>
      <c r="AC179" s="10">
        <f t="shared" si="47"/>
        <v>0</v>
      </c>
      <c r="AD179" s="8">
        <f>IFERROR(AC179/AC444, "NA")</f>
        <v>0</v>
      </c>
    </row>
    <row r="180" spans="1:30" ht="16.5" customHeight="1" x14ac:dyDescent="0.45">
      <c r="A180" s="12" t="s">
        <v>165</v>
      </c>
      <c r="B180" s="7">
        <v>14324.36</v>
      </c>
      <c r="C180" s="8">
        <f>IFERROR(B180/B444, "NA")</f>
        <v>0.1971707995237407</v>
      </c>
      <c r="D180" s="9"/>
      <c r="E180" s="7">
        <v>15130.9</v>
      </c>
      <c r="F180" s="8">
        <f>IFERROR(E180/E444, "NA")</f>
        <v>0.20000010574393101</v>
      </c>
      <c r="G180" s="9"/>
      <c r="H180" s="10">
        <f t="shared" si="44"/>
        <v>806.53999999999905</v>
      </c>
      <c r="I180" s="8">
        <f>IFERROR(H180/H444, "NA")</f>
        <v>-0.26840290719343929</v>
      </c>
      <c r="J180" s="9"/>
      <c r="K180" s="7">
        <v>14677.02</v>
      </c>
      <c r="L180" s="8">
        <f>IFERROR(K180/K444, "NA")</f>
        <v>0.20127569974648926</v>
      </c>
      <c r="M180" s="9"/>
      <c r="N180" s="10">
        <f t="shared" si="45"/>
        <v>352.65999999999985</v>
      </c>
      <c r="O180" s="8">
        <f>IFERROR(N180/N444, "NA")</f>
        <v>-1.3038302277432903</v>
      </c>
      <c r="P180" s="9"/>
      <c r="Q180" s="7">
        <v>14324.36</v>
      </c>
      <c r="R180" s="8">
        <f>IFERROR(Q180/Q444, "NA")</f>
        <v>0.1971707995237407</v>
      </c>
      <c r="S180" s="9"/>
      <c r="T180" s="7">
        <v>15130.9</v>
      </c>
      <c r="U180" s="8">
        <f>IFERROR(T180/T444, "NA")</f>
        <v>0.20000010574393101</v>
      </c>
      <c r="V180" s="9"/>
      <c r="W180" s="10">
        <f t="shared" si="46"/>
        <v>806.53999999999905</v>
      </c>
      <c r="X180" s="8">
        <f>IFERROR(W180/W444, "NA")</f>
        <v>-0.26840290719343929</v>
      </c>
      <c r="Y180" s="9"/>
      <c r="Z180" s="7">
        <v>14677.02</v>
      </c>
      <c r="AA180" s="8">
        <f>IFERROR(Z180/Z444, "NA")</f>
        <v>0.20127569974648926</v>
      </c>
      <c r="AB180" s="9"/>
      <c r="AC180" s="10">
        <f t="shared" si="47"/>
        <v>352.65999999999985</v>
      </c>
      <c r="AD180" s="8">
        <f>IFERROR(AC180/AC444, "NA")</f>
        <v>-1.3038302277432903</v>
      </c>
    </row>
    <row r="181" spans="1:30" ht="16.5" customHeight="1" x14ac:dyDescent="0.45">
      <c r="A181" s="12" t="s">
        <v>166</v>
      </c>
      <c r="B181" s="7">
        <v>11.96</v>
      </c>
      <c r="C181" s="8">
        <f>IFERROR(B181/B444, "NA")</f>
        <v>1.6462604697898816E-4</v>
      </c>
      <c r="D181" s="9"/>
      <c r="E181" s="7">
        <v>0</v>
      </c>
      <c r="F181" s="8">
        <f>IFERROR(E181/E444, "NA")</f>
        <v>0</v>
      </c>
      <c r="G181" s="9"/>
      <c r="H181" s="10">
        <f t="shared" si="44"/>
        <v>-11.96</v>
      </c>
      <c r="I181" s="8">
        <f>IFERROR(H181/H444, "NA")</f>
        <v>3.9800862573877776E-3</v>
      </c>
      <c r="J181" s="9"/>
      <c r="K181" s="7">
        <v>0</v>
      </c>
      <c r="L181" s="8">
        <f>IFERROR(K181/K444, "NA")</f>
        <v>0</v>
      </c>
      <c r="M181" s="9"/>
      <c r="N181" s="10">
        <f t="shared" si="45"/>
        <v>-11.96</v>
      </c>
      <c r="O181" s="8">
        <f>IFERROR(N181/N444, "NA")</f>
        <v>4.4217687074830599E-2</v>
      </c>
      <c r="P181" s="9"/>
      <c r="Q181" s="7">
        <v>11.96</v>
      </c>
      <c r="R181" s="8">
        <f>IFERROR(Q181/Q444, "NA")</f>
        <v>1.6462604697898816E-4</v>
      </c>
      <c r="S181" s="9"/>
      <c r="T181" s="7">
        <v>0</v>
      </c>
      <c r="U181" s="8">
        <f>IFERROR(T181/T444, "NA")</f>
        <v>0</v>
      </c>
      <c r="V181" s="9"/>
      <c r="W181" s="10">
        <f t="shared" si="46"/>
        <v>-11.96</v>
      </c>
      <c r="X181" s="8">
        <f>IFERROR(W181/W444, "NA")</f>
        <v>3.9800862573877776E-3</v>
      </c>
      <c r="Y181" s="9"/>
      <c r="Z181" s="7">
        <v>0</v>
      </c>
      <c r="AA181" s="8">
        <f>IFERROR(Z181/Z444, "NA")</f>
        <v>0</v>
      </c>
      <c r="AB181" s="9"/>
      <c r="AC181" s="10">
        <f t="shared" si="47"/>
        <v>-11.96</v>
      </c>
      <c r="AD181" s="8">
        <f>IFERROR(AC181/AC444, "NA")</f>
        <v>4.4217687074830599E-2</v>
      </c>
    </row>
    <row r="182" spans="1:30" ht="16.5" customHeight="1" x14ac:dyDescent="0.45">
      <c r="A182" s="13" t="s">
        <v>167</v>
      </c>
      <c r="B182" s="14">
        <f>IFERROR(B177+B178+B179+B180+B181, "NA")</f>
        <v>20182.48</v>
      </c>
      <c r="C182" s="15">
        <f>IFERROR(B182/B444, "NA")</f>
        <v>0.27780617898264959</v>
      </c>
      <c r="D182" s="2"/>
      <c r="E182" s="14">
        <f>IFERROR(E177+E178+E179+E180+E181, "NA")</f>
        <v>20977.059999999998</v>
      </c>
      <c r="F182" s="15">
        <f>IFERROR(E182/E444, "NA")</f>
        <v>0.27727459821932504</v>
      </c>
      <c r="G182" s="2"/>
      <c r="H182" s="14">
        <f t="shared" si="44"/>
        <v>794.57999999999811</v>
      </c>
      <c r="I182" s="15">
        <f>IFERROR(H182/H444, "NA")</f>
        <v>-0.26442282093605118</v>
      </c>
      <c r="J182" s="2"/>
      <c r="K182" s="14">
        <f>IFERROR(K177+K178+K179+K180+K181, "NA")</f>
        <v>20523.18</v>
      </c>
      <c r="L182" s="15">
        <f>IFERROR(K182/K444, "NA")</f>
        <v>0.28144796529017152</v>
      </c>
      <c r="M182" s="2"/>
      <c r="N182" s="14">
        <f t="shared" si="45"/>
        <v>340.70000000000073</v>
      </c>
      <c r="O182" s="15">
        <f>IFERROR(N182/N444, "NA")</f>
        <v>-1.2596125406684631</v>
      </c>
      <c r="P182" s="2"/>
      <c r="Q182" s="14">
        <f>IFERROR(Q177+Q178+Q179+Q180+Q181, "NA")</f>
        <v>20182.48</v>
      </c>
      <c r="R182" s="15">
        <f>IFERROR(Q182/Q444, "NA")</f>
        <v>0.27780617898264959</v>
      </c>
      <c r="S182" s="2"/>
      <c r="T182" s="14">
        <f>IFERROR(T177+T178+T179+T180+T181, "NA")</f>
        <v>20977.059999999998</v>
      </c>
      <c r="U182" s="15">
        <f>IFERROR(T182/T444, "NA")</f>
        <v>0.27727459821932504</v>
      </c>
      <c r="V182" s="2"/>
      <c r="W182" s="14">
        <f t="shared" si="46"/>
        <v>794.57999999999811</v>
      </c>
      <c r="X182" s="15">
        <f>IFERROR(W182/W444, "NA")</f>
        <v>-0.26442282093605118</v>
      </c>
      <c r="Y182" s="2"/>
      <c r="Z182" s="14">
        <f>IFERROR(Z177+Z178+Z179+Z180+Z181, "NA")</f>
        <v>20523.18</v>
      </c>
      <c r="AA182" s="15">
        <f>IFERROR(Z182/Z444, "NA")</f>
        <v>0.28144796529017152</v>
      </c>
      <c r="AB182" s="2"/>
      <c r="AC182" s="14">
        <f t="shared" si="47"/>
        <v>340.70000000000073</v>
      </c>
      <c r="AD182" s="15">
        <f>IFERROR(AC182/AC444, "NA")</f>
        <v>-1.2596125406684631</v>
      </c>
    </row>
    <row r="183" spans="1:30" ht="16.5" hidden="1" customHeight="1" x14ac:dyDescent="0.45">
      <c r="A183" s="6" t="s">
        <v>168</v>
      </c>
      <c r="B183" s="7">
        <v>0</v>
      </c>
      <c r="C183" s="8">
        <f>IFERROR(B183/B444, "NA")</f>
        <v>0</v>
      </c>
      <c r="D183" s="9"/>
      <c r="E183" s="7">
        <v>0</v>
      </c>
      <c r="F183" s="8">
        <f>IFERROR(E183/E444, "NA")</f>
        <v>0</v>
      </c>
      <c r="G183" s="9"/>
      <c r="H183" s="10">
        <f t="shared" si="44"/>
        <v>0</v>
      </c>
      <c r="I183" s="8">
        <f>IFERROR(H183/H444, "NA")</f>
        <v>0</v>
      </c>
      <c r="J183" s="9"/>
      <c r="K183" s="7">
        <v>0</v>
      </c>
      <c r="L183" s="8">
        <f>IFERROR(K183/K444, "NA")</f>
        <v>0</v>
      </c>
      <c r="M183" s="9"/>
      <c r="N183" s="10">
        <f t="shared" si="45"/>
        <v>0</v>
      </c>
      <c r="O183" s="8">
        <f>IFERROR(N183/N444, "NA")</f>
        <v>0</v>
      </c>
      <c r="P183" s="9"/>
      <c r="Q183" s="7">
        <v>0</v>
      </c>
      <c r="R183" s="8">
        <f>IFERROR(Q183/Q444, "NA")</f>
        <v>0</v>
      </c>
      <c r="S183" s="9"/>
      <c r="T183" s="7">
        <v>0</v>
      </c>
      <c r="U183" s="8">
        <f>IFERROR(T183/T444, "NA")</f>
        <v>0</v>
      </c>
      <c r="V183" s="9"/>
      <c r="W183" s="10">
        <f t="shared" si="46"/>
        <v>0</v>
      </c>
      <c r="X183" s="8">
        <f>IFERROR(W183/W444, "NA")</f>
        <v>0</v>
      </c>
      <c r="Y183" s="9"/>
      <c r="Z183" s="7">
        <v>0</v>
      </c>
      <c r="AA183" s="8">
        <f>IFERROR(Z183/Z444, "NA")</f>
        <v>0</v>
      </c>
      <c r="AB183" s="9"/>
      <c r="AC183" s="10">
        <f t="shared" si="47"/>
        <v>0</v>
      </c>
      <c r="AD183" s="8">
        <f>IFERROR(AC183/AC444, "NA")</f>
        <v>0</v>
      </c>
    </row>
    <row r="184" spans="1:30" ht="16.5" customHeight="1" x14ac:dyDescent="0.45">
      <c r="A184" s="6" t="s">
        <v>169</v>
      </c>
      <c r="B184" s="7">
        <v>350</v>
      </c>
      <c r="C184" s="8">
        <f>IFERROR(B184/B444, "NA")</f>
        <v>4.8176518764754062E-3</v>
      </c>
      <c r="D184" s="9"/>
      <c r="E184" s="7">
        <v>350</v>
      </c>
      <c r="F184" s="8">
        <f>IFERROR(E184/E444, "NA")</f>
        <v>4.6262969823590043E-3</v>
      </c>
      <c r="G184" s="9"/>
      <c r="H184" s="10">
        <f t="shared" si="44"/>
        <v>0</v>
      </c>
      <c r="I184" s="8">
        <f>IFERROR(H184/H444, "NA")</f>
        <v>0</v>
      </c>
      <c r="J184" s="9"/>
      <c r="K184" s="7">
        <v>500</v>
      </c>
      <c r="L184" s="8">
        <f>IFERROR(K184/K444, "NA")</f>
        <v>6.8568312827293702E-3</v>
      </c>
      <c r="M184" s="9"/>
      <c r="N184" s="10">
        <f t="shared" si="45"/>
        <v>150</v>
      </c>
      <c r="O184" s="8">
        <f>IFERROR(N184/N444, "NA")</f>
        <v>-0.55456965394854429</v>
      </c>
      <c r="P184" s="9"/>
      <c r="Q184" s="7">
        <v>350</v>
      </c>
      <c r="R184" s="8">
        <f>IFERROR(Q184/Q444, "NA")</f>
        <v>4.8176518764754062E-3</v>
      </c>
      <c r="S184" s="9"/>
      <c r="T184" s="7">
        <v>350</v>
      </c>
      <c r="U184" s="8">
        <f>IFERROR(T184/T444, "NA")</f>
        <v>4.6262969823590043E-3</v>
      </c>
      <c r="V184" s="9"/>
      <c r="W184" s="10">
        <f t="shared" si="46"/>
        <v>0</v>
      </c>
      <c r="X184" s="8">
        <f>IFERROR(W184/W444, "NA")</f>
        <v>0</v>
      </c>
      <c r="Y184" s="9"/>
      <c r="Z184" s="7">
        <v>500</v>
      </c>
      <c r="AA184" s="8">
        <f>IFERROR(Z184/Z444, "NA")</f>
        <v>6.8568312827293702E-3</v>
      </c>
      <c r="AB184" s="9"/>
      <c r="AC184" s="10">
        <f t="shared" si="47"/>
        <v>150</v>
      </c>
      <c r="AD184" s="8">
        <f>IFERROR(AC184/AC444, "NA")</f>
        <v>-0.55456965394854429</v>
      </c>
    </row>
    <row r="185" spans="1:30" ht="16.5" customHeight="1" x14ac:dyDescent="0.45">
      <c r="A185" s="11" t="s">
        <v>170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45">
      <c r="A186" s="12" t="s">
        <v>170</v>
      </c>
      <c r="B186" s="7">
        <v>1855.15</v>
      </c>
      <c r="C186" s="8">
        <f>IFERROR(B186/B444, "NA")</f>
        <v>2.5535619653266714E-2</v>
      </c>
      <c r="D186" s="9"/>
      <c r="E186" s="7">
        <v>2470.88</v>
      </c>
      <c r="F186" s="8">
        <f>IFERROR(E186/E444, "NA")</f>
        <v>3.2660070536489186E-2</v>
      </c>
      <c r="G186" s="9"/>
      <c r="H186" s="10">
        <f t="shared" ref="H186:H197" si="48">IFERROR(-(B186-E186), "NA")</f>
        <v>615.73</v>
      </c>
      <c r="I186" s="8">
        <f>IFERROR(H186/H444, "NA")</f>
        <v>-0.20490455779777392</v>
      </c>
      <c r="J186" s="9"/>
      <c r="K186" s="7">
        <v>2381.5700000000002</v>
      </c>
      <c r="L186" s="8">
        <f>IFERROR(K186/K444, "NA")</f>
        <v>3.2660047356019573E-2</v>
      </c>
      <c r="M186" s="9"/>
      <c r="N186" s="10">
        <f t="shared" ref="N186:N197" si="49">IFERROR(-(B186-K186), "NA")</f>
        <v>526.42000000000007</v>
      </c>
      <c r="O186" s="8">
        <f>IFERROR(N186/N444, "NA")</f>
        <v>-1.9462437148772849</v>
      </c>
      <c r="P186" s="9"/>
      <c r="Q186" s="7">
        <v>1855.15</v>
      </c>
      <c r="R186" s="8">
        <f>IFERROR(Q186/Q444, "NA")</f>
        <v>2.5535619653266714E-2</v>
      </c>
      <c r="S186" s="9"/>
      <c r="T186" s="7">
        <v>2470.88</v>
      </c>
      <c r="U186" s="8">
        <f>IFERROR(T186/T444, "NA")</f>
        <v>3.2660070536489186E-2</v>
      </c>
      <c r="V186" s="9"/>
      <c r="W186" s="10">
        <f t="shared" ref="W186:W197" si="50">IFERROR(-(Q186-T186), "NA")</f>
        <v>615.73</v>
      </c>
      <c r="X186" s="8">
        <f>IFERROR(W186/W444, "NA")</f>
        <v>-0.20490455779777392</v>
      </c>
      <c r="Y186" s="9"/>
      <c r="Z186" s="7">
        <v>2381.5700000000002</v>
      </c>
      <c r="AA186" s="8">
        <f>IFERROR(Z186/Z444, "NA")</f>
        <v>3.2660047356019573E-2</v>
      </c>
      <c r="AB186" s="9"/>
      <c r="AC186" s="10">
        <f t="shared" ref="AC186:AC197" si="51">IFERROR(-(Q186-Z186), "NA")</f>
        <v>526.42000000000007</v>
      </c>
      <c r="AD186" s="8">
        <f>IFERROR(AC186/AC444, "NA")</f>
        <v>-1.9462437148772849</v>
      </c>
    </row>
    <row r="187" spans="1:30" ht="16.5" hidden="1" customHeight="1" x14ac:dyDescent="0.45">
      <c r="A187" s="12" t="s">
        <v>171</v>
      </c>
      <c r="B187" s="7">
        <v>0</v>
      </c>
      <c r="C187" s="8">
        <f>IFERROR(B187/B444, "NA")</f>
        <v>0</v>
      </c>
      <c r="D187" s="9"/>
      <c r="E187" s="7">
        <v>0</v>
      </c>
      <c r="F187" s="8">
        <f>IFERROR(E187/E444, "NA")</f>
        <v>0</v>
      </c>
      <c r="G187" s="9"/>
      <c r="H187" s="10">
        <f t="shared" si="48"/>
        <v>0</v>
      </c>
      <c r="I187" s="8">
        <f>IFERROR(H187/H444, "NA")</f>
        <v>0</v>
      </c>
      <c r="J187" s="9"/>
      <c r="K187" s="7">
        <v>0</v>
      </c>
      <c r="L187" s="8">
        <f>IFERROR(K187/K444, "NA")</f>
        <v>0</v>
      </c>
      <c r="M187" s="9"/>
      <c r="N187" s="10">
        <f t="shared" si="49"/>
        <v>0</v>
      </c>
      <c r="O187" s="8">
        <f>IFERROR(N187/N444, "NA")</f>
        <v>0</v>
      </c>
      <c r="P187" s="9"/>
      <c r="Q187" s="7">
        <v>0</v>
      </c>
      <c r="R187" s="8">
        <f>IFERROR(Q187/Q444, "NA")</f>
        <v>0</v>
      </c>
      <c r="S187" s="9"/>
      <c r="T187" s="7">
        <v>0</v>
      </c>
      <c r="U187" s="8">
        <f>IFERROR(T187/T444, "NA")</f>
        <v>0</v>
      </c>
      <c r="V187" s="9"/>
      <c r="W187" s="10">
        <f t="shared" si="50"/>
        <v>0</v>
      </c>
      <c r="X187" s="8">
        <f>IFERROR(W187/W444, "NA")</f>
        <v>0</v>
      </c>
      <c r="Y187" s="9"/>
      <c r="Z187" s="7">
        <v>0</v>
      </c>
      <c r="AA187" s="8">
        <f>IFERROR(Z187/Z444, "NA")</f>
        <v>0</v>
      </c>
      <c r="AB187" s="9"/>
      <c r="AC187" s="10">
        <f t="shared" si="51"/>
        <v>0</v>
      </c>
      <c r="AD187" s="8">
        <f>IFERROR(AC187/AC444, "NA")</f>
        <v>0</v>
      </c>
    </row>
    <row r="188" spans="1:30" ht="16.5" hidden="1" customHeight="1" x14ac:dyDescent="0.45">
      <c r="A188" s="12" t="s">
        <v>172</v>
      </c>
      <c r="B188" s="7">
        <v>0</v>
      </c>
      <c r="C188" s="8">
        <f>IFERROR(B188/B444, "NA")</f>
        <v>0</v>
      </c>
      <c r="D188" s="9"/>
      <c r="E188" s="7">
        <v>0</v>
      </c>
      <c r="F188" s="8">
        <f>IFERROR(E188/E444, "NA")</f>
        <v>0</v>
      </c>
      <c r="G188" s="9"/>
      <c r="H188" s="10">
        <f t="shared" si="48"/>
        <v>0</v>
      </c>
      <c r="I188" s="8">
        <f>IFERROR(H188/H444, "NA")</f>
        <v>0</v>
      </c>
      <c r="J188" s="9"/>
      <c r="K188" s="7">
        <v>0</v>
      </c>
      <c r="L188" s="8">
        <f>IFERROR(K188/K444, "NA")</f>
        <v>0</v>
      </c>
      <c r="M188" s="9"/>
      <c r="N188" s="10">
        <f t="shared" si="49"/>
        <v>0</v>
      </c>
      <c r="O188" s="8">
        <f>IFERROR(N188/N444, "NA")</f>
        <v>0</v>
      </c>
      <c r="P188" s="9"/>
      <c r="Q188" s="7">
        <v>0</v>
      </c>
      <c r="R188" s="8">
        <f>IFERROR(Q188/Q444, "NA")</f>
        <v>0</v>
      </c>
      <c r="S188" s="9"/>
      <c r="T188" s="7">
        <v>0</v>
      </c>
      <c r="U188" s="8">
        <f>IFERROR(T188/T444, "NA")</f>
        <v>0</v>
      </c>
      <c r="V188" s="9"/>
      <c r="W188" s="10">
        <f t="shared" si="50"/>
        <v>0</v>
      </c>
      <c r="X188" s="8">
        <f>IFERROR(W188/W444, "NA")</f>
        <v>0</v>
      </c>
      <c r="Y188" s="9"/>
      <c r="Z188" s="7">
        <v>0</v>
      </c>
      <c r="AA188" s="8">
        <f>IFERROR(Z188/Z444, "NA")</f>
        <v>0</v>
      </c>
      <c r="AB188" s="9"/>
      <c r="AC188" s="10">
        <f t="shared" si="51"/>
        <v>0</v>
      </c>
      <c r="AD188" s="8">
        <f>IFERROR(AC188/AC444, "NA")</f>
        <v>0</v>
      </c>
    </row>
    <row r="189" spans="1:30" ht="16.5" hidden="1" customHeight="1" x14ac:dyDescent="0.45">
      <c r="A189" s="12" t="s">
        <v>173</v>
      </c>
      <c r="B189" s="7">
        <v>0</v>
      </c>
      <c r="C189" s="8">
        <f>IFERROR(B189/B444, "NA")</f>
        <v>0</v>
      </c>
      <c r="D189" s="9"/>
      <c r="E189" s="7">
        <v>0</v>
      </c>
      <c r="F189" s="8">
        <f>IFERROR(E189/E444, "NA")</f>
        <v>0</v>
      </c>
      <c r="G189" s="9"/>
      <c r="H189" s="10">
        <f t="shared" si="48"/>
        <v>0</v>
      </c>
      <c r="I189" s="8">
        <f>IFERROR(H189/H444, "NA")</f>
        <v>0</v>
      </c>
      <c r="J189" s="9"/>
      <c r="K189" s="7">
        <v>0</v>
      </c>
      <c r="L189" s="8">
        <f>IFERROR(K189/K444, "NA")</f>
        <v>0</v>
      </c>
      <c r="M189" s="9"/>
      <c r="N189" s="10">
        <f t="shared" si="49"/>
        <v>0</v>
      </c>
      <c r="O189" s="8">
        <f>IFERROR(N189/N444, "NA")</f>
        <v>0</v>
      </c>
      <c r="P189" s="9"/>
      <c r="Q189" s="7">
        <v>0</v>
      </c>
      <c r="R189" s="8">
        <f>IFERROR(Q189/Q444, "NA")</f>
        <v>0</v>
      </c>
      <c r="S189" s="9"/>
      <c r="T189" s="7">
        <v>0</v>
      </c>
      <c r="U189" s="8">
        <f>IFERROR(T189/T444, "NA")</f>
        <v>0</v>
      </c>
      <c r="V189" s="9"/>
      <c r="W189" s="10">
        <f t="shared" si="50"/>
        <v>0</v>
      </c>
      <c r="X189" s="8">
        <f>IFERROR(W189/W444, "NA")</f>
        <v>0</v>
      </c>
      <c r="Y189" s="9"/>
      <c r="Z189" s="7">
        <v>0</v>
      </c>
      <c r="AA189" s="8">
        <f>IFERROR(Z189/Z444, "NA")</f>
        <v>0</v>
      </c>
      <c r="AB189" s="9"/>
      <c r="AC189" s="10">
        <f t="shared" si="51"/>
        <v>0</v>
      </c>
      <c r="AD189" s="8">
        <f>IFERROR(AC189/AC444, "NA")</f>
        <v>0</v>
      </c>
    </row>
    <row r="190" spans="1:30" ht="16.5" hidden="1" customHeight="1" x14ac:dyDescent="0.45">
      <c r="A190" s="12" t="s">
        <v>174</v>
      </c>
      <c r="B190" s="7">
        <v>0</v>
      </c>
      <c r="C190" s="8">
        <f>IFERROR(B190/B444, "NA")</f>
        <v>0</v>
      </c>
      <c r="D190" s="9"/>
      <c r="E190" s="7">
        <v>0</v>
      </c>
      <c r="F190" s="8">
        <f>IFERROR(E190/E444, "NA")</f>
        <v>0</v>
      </c>
      <c r="G190" s="9"/>
      <c r="H190" s="10">
        <f t="shared" si="48"/>
        <v>0</v>
      </c>
      <c r="I190" s="8">
        <f>IFERROR(H190/H444, "NA")</f>
        <v>0</v>
      </c>
      <c r="J190" s="9"/>
      <c r="K190" s="7">
        <v>0</v>
      </c>
      <c r="L190" s="8">
        <f>IFERROR(K190/K444, "NA")</f>
        <v>0</v>
      </c>
      <c r="M190" s="9"/>
      <c r="N190" s="10">
        <f t="shared" si="49"/>
        <v>0</v>
      </c>
      <c r="O190" s="8">
        <f>IFERROR(N190/N444, "NA")</f>
        <v>0</v>
      </c>
      <c r="P190" s="9"/>
      <c r="Q190" s="7">
        <v>0</v>
      </c>
      <c r="R190" s="8">
        <f>IFERROR(Q190/Q444, "NA")</f>
        <v>0</v>
      </c>
      <c r="S190" s="9"/>
      <c r="T190" s="7">
        <v>0</v>
      </c>
      <c r="U190" s="8">
        <f>IFERROR(T190/T444, "NA")</f>
        <v>0</v>
      </c>
      <c r="V190" s="9"/>
      <c r="W190" s="10">
        <f t="shared" si="50"/>
        <v>0</v>
      </c>
      <c r="X190" s="8">
        <f>IFERROR(W190/W444, "NA")</f>
        <v>0</v>
      </c>
      <c r="Y190" s="9"/>
      <c r="Z190" s="7">
        <v>0</v>
      </c>
      <c r="AA190" s="8">
        <f>IFERROR(Z190/Z444, "NA")</f>
        <v>0</v>
      </c>
      <c r="AB190" s="9"/>
      <c r="AC190" s="10">
        <f t="shared" si="51"/>
        <v>0</v>
      </c>
      <c r="AD190" s="8">
        <f>IFERROR(AC190/AC444, "NA")</f>
        <v>0</v>
      </c>
    </row>
    <row r="191" spans="1:30" ht="16.5" hidden="1" customHeight="1" x14ac:dyDescent="0.45">
      <c r="A191" s="12" t="s">
        <v>175</v>
      </c>
      <c r="B191" s="7">
        <v>0</v>
      </c>
      <c r="C191" s="8">
        <f>IFERROR(B191/B444, "NA")</f>
        <v>0</v>
      </c>
      <c r="D191" s="9"/>
      <c r="E191" s="7">
        <v>0</v>
      </c>
      <c r="F191" s="8">
        <f>IFERROR(E191/E444, "NA")</f>
        <v>0</v>
      </c>
      <c r="G191" s="9"/>
      <c r="H191" s="10">
        <f t="shared" si="48"/>
        <v>0</v>
      </c>
      <c r="I191" s="8">
        <f>IFERROR(H191/H444, "NA")</f>
        <v>0</v>
      </c>
      <c r="J191" s="9"/>
      <c r="K191" s="7">
        <v>0</v>
      </c>
      <c r="L191" s="8">
        <f>IFERROR(K191/K444, "NA")</f>
        <v>0</v>
      </c>
      <c r="M191" s="9"/>
      <c r="N191" s="10">
        <f t="shared" si="49"/>
        <v>0</v>
      </c>
      <c r="O191" s="8">
        <f>IFERROR(N191/N444, "NA")</f>
        <v>0</v>
      </c>
      <c r="P191" s="9"/>
      <c r="Q191" s="7">
        <v>0</v>
      </c>
      <c r="R191" s="8">
        <f>IFERROR(Q191/Q444, "NA")</f>
        <v>0</v>
      </c>
      <c r="S191" s="9"/>
      <c r="T191" s="7">
        <v>0</v>
      </c>
      <c r="U191" s="8">
        <f>IFERROR(T191/T444, "NA")</f>
        <v>0</v>
      </c>
      <c r="V191" s="9"/>
      <c r="W191" s="10">
        <f t="shared" si="50"/>
        <v>0</v>
      </c>
      <c r="X191" s="8">
        <f>IFERROR(W191/W444, "NA")</f>
        <v>0</v>
      </c>
      <c r="Y191" s="9"/>
      <c r="Z191" s="7">
        <v>0</v>
      </c>
      <c r="AA191" s="8">
        <f>IFERROR(Z191/Z444, "NA")</f>
        <v>0</v>
      </c>
      <c r="AB191" s="9"/>
      <c r="AC191" s="10">
        <f t="shared" si="51"/>
        <v>0</v>
      </c>
      <c r="AD191" s="8">
        <f>IFERROR(AC191/AC444, "NA")</f>
        <v>0</v>
      </c>
    </row>
    <row r="192" spans="1:30" ht="16.5" hidden="1" customHeight="1" x14ac:dyDescent="0.45">
      <c r="A192" s="12" t="s">
        <v>176</v>
      </c>
      <c r="B192" s="7">
        <v>0</v>
      </c>
      <c r="C192" s="8">
        <f>IFERROR(B192/B444, "NA")</f>
        <v>0</v>
      </c>
      <c r="D192" s="9"/>
      <c r="E192" s="7">
        <v>0</v>
      </c>
      <c r="F192" s="8">
        <f>IFERROR(E192/E444, "NA")</f>
        <v>0</v>
      </c>
      <c r="G192" s="9"/>
      <c r="H192" s="10">
        <f t="shared" si="48"/>
        <v>0</v>
      </c>
      <c r="I192" s="8">
        <f>IFERROR(H192/H444, "NA")</f>
        <v>0</v>
      </c>
      <c r="J192" s="9"/>
      <c r="K192" s="7">
        <v>0</v>
      </c>
      <c r="L192" s="8">
        <f>IFERROR(K192/K444, "NA")</f>
        <v>0</v>
      </c>
      <c r="M192" s="9"/>
      <c r="N192" s="10">
        <f t="shared" si="49"/>
        <v>0</v>
      </c>
      <c r="O192" s="8">
        <f>IFERROR(N192/N444, "NA")</f>
        <v>0</v>
      </c>
      <c r="P192" s="9"/>
      <c r="Q192" s="7">
        <v>0</v>
      </c>
      <c r="R192" s="8">
        <f>IFERROR(Q192/Q444, "NA")</f>
        <v>0</v>
      </c>
      <c r="S192" s="9"/>
      <c r="T192" s="7">
        <v>0</v>
      </c>
      <c r="U192" s="8">
        <f>IFERROR(T192/T444, "NA")</f>
        <v>0</v>
      </c>
      <c r="V192" s="9"/>
      <c r="W192" s="10">
        <f t="shared" si="50"/>
        <v>0</v>
      </c>
      <c r="X192" s="8">
        <f>IFERROR(W192/W444, "NA")</f>
        <v>0</v>
      </c>
      <c r="Y192" s="9"/>
      <c r="Z192" s="7">
        <v>0</v>
      </c>
      <c r="AA192" s="8">
        <f>IFERROR(Z192/Z444, "NA")</f>
        <v>0</v>
      </c>
      <c r="AB192" s="9"/>
      <c r="AC192" s="10">
        <f t="shared" si="51"/>
        <v>0</v>
      </c>
      <c r="AD192" s="8">
        <f>IFERROR(AC192/AC444, "NA")</f>
        <v>0</v>
      </c>
    </row>
    <row r="193" spans="1:30" ht="16.5" customHeight="1" x14ac:dyDescent="0.45">
      <c r="A193" s="13" t="s">
        <v>177</v>
      </c>
      <c r="B193" s="14">
        <f>IFERROR(B186+B187+B188+B189+B190+B191+B192, "NA")</f>
        <v>1855.15</v>
      </c>
      <c r="C193" s="15">
        <f>IFERROR(B193/B444, "NA")</f>
        <v>2.5535619653266714E-2</v>
      </c>
      <c r="D193" s="2"/>
      <c r="E193" s="14">
        <f>IFERROR(E186+E187+E188+E189+E190+E191+E192, "NA")</f>
        <v>2470.88</v>
      </c>
      <c r="F193" s="15">
        <f>IFERROR(E193/E444, "NA")</f>
        <v>3.2660070536489186E-2</v>
      </c>
      <c r="G193" s="2"/>
      <c r="H193" s="14">
        <f t="shared" si="48"/>
        <v>615.73</v>
      </c>
      <c r="I193" s="15">
        <f>IFERROR(H193/H444, "NA")</f>
        <v>-0.20490455779777392</v>
      </c>
      <c r="J193" s="2"/>
      <c r="K193" s="14">
        <f>IFERROR(K186+K187+K188+K189+K190+K191+K192, "NA")</f>
        <v>2381.5700000000002</v>
      </c>
      <c r="L193" s="15">
        <f>IFERROR(K193/K444, "NA")</f>
        <v>3.2660047356019573E-2</v>
      </c>
      <c r="M193" s="2"/>
      <c r="N193" s="14">
        <f t="shared" si="49"/>
        <v>526.42000000000007</v>
      </c>
      <c r="O193" s="15">
        <f>IFERROR(N193/N444, "NA")</f>
        <v>-1.9462437148772849</v>
      </c>
      <c r="P193" s="2"/>
      <c r="Q193" s="14">
        <f>IFERROR(Q186+Q187+Q188+Q189+Q190+Q191+Q192, "NA")</f>
        <v>1855.15</v>
      </c>
      <c r="R193" s="15">
        <f>IFERROR(Q193/Q444, "NA")</f>
        <v>2.5535619653266714E-2</v>
      </c>
      <c r="S193" s="2"/>
      <c r="T193" s="14">
        <f>IFERROR(T186+T187+T188+T189+T190+T191+T192, "NA")</f>
        <v>2470.88</v>
      </c>
      <c r="U193" s="15">
        <f>IFERROR(T193/T444, "NA")</f>
        <v>3.2660070536489186E-2</v>
      </c>
      <c r="V193" s="2"/>
      <c r="W193" s="14">
        <f t="shared" si="50"/>
        <v>615.73</v>
      </c>
      <c r="X193" s="15">
        <f>IFERROR(W193/W444, "NA")</f>
        <v>-0.20490455779777392</v>
      </c>
      <c r="Y193" s="2"/>
      <c r="Z193" s="14">
        <f>IFERROR(Z186+Z187+Z188+Z189+Z190+Z191+Z192, "NA")</f>
        <v>2381.5700000000002</v>
      </c>
      <c r="AA193" s="15">
        <f>IFERROR(Z193/Z444, "NA")</f>
        <v>3.2660047356019573E-2</v>
      </c>
      <c r="AB193" s="2"/>
      <c r="AC193" s="14">
        <f t="shared" si="51"/>
        <v>526.42000000000007</v>
      </c>
      <c r="AD193" s="15">
        <f>IFERROR(AC193/AC444, "NA")</f>
        <v>-1.9462437148772849</v>
      </c>
    </row>
    <row r="194" spans="1:30" ht="16.5" customHeight="1" x14ac:dyDescent="0.45">
      <c r="A194" s="6" t="s">
        <v>178</v>
      </c>
      <c r="B194" s="7">
        <v>212</v>
      </c>
      <c r="C194" s="8">
        <f>IFERROR(B194/B444, "NA")</f>
        <v>2.9181205651793887E-3</v>
      </c>
      <c r="D194" s="9"/>
      <c r="E194" s="7">
        <v>170.62</v>
      </c>
      <c r="F194" s="8">
        <f>IFERROR(E194/E444, "NA")</f>
        <v>2.2552536889431235E-3</v>
      </c>
      <c r="G194" s="9"/>
      <c r="H194" s="10">
        <f t="shared" si="48"/>
        <v>-41.379999999999995</v>
      </c>
      <c r="I194" s="8">
        <f>IFERROR(H194/H444, "NA")</f>
        <v>1.3770565997550685E-2</v>
      </c>
      <c r="J194" s="9"/>
      <c r="K194" s="7">
        <v>212</v>
      </c>
      <c r="L194" s="8">
        <f>IFERROR(K194/K444, "NA")</f>
        <v>2.9072964638772532E-3</v>
      </c>
      <c r="M194" s="9"/>
      <c r="N194" s="10">
        <f t="shared" si="49"/>
        <v>0</v>
      </c>
      <c r="O194" s="8">
        <f>IFERROR(N194/N444, "NA")</f>
        <v>0</v>
      </c>
      <c r="P194" s="9"/>
      <c r="Q194" s="7">
        <v>212</v>
      </c>
      <c r="R194" s="8">
        <f>IFERROR(Q194/Q444, "NA")</f>
        <v>2.9181205651793887E-3</v>
      </c>
      <c r="S194" s="9"/>
      <c r="T194" s="7">
        <v>170.62</v>
      </c>
      <c r="U194" s="8">
        <f>IFERROR(T194/T444, "NA")</f>
        <v>2.2552536889431235E-3</v>
      </c>
      <c r="V194" s="9"/>
      <c r="W194" s="10">
        <f t="shared" si="50"/>
        <v>-41.379999999999995</v>
      </c>
      <c r="X194" s="8">
        <f>IFERROR(W194/W444, "NA")</f>
        <v>1.3770565997550685E-2</v>
      </c>
      <c r="Y194" s="9"/>
      <c r="Z194" s="7">
        <v>212</v>
      </c>
      <c r="AA194" s="8">
        <f>IFERROR(Z194/Z444, "NA")</f>
        <v>2.9072964638772532E-3</v>
      </c>
      <c r="AB194" s="9"/>
      <c r="AC194" s="10">
        <f t="shared" si="51"/>
        <v>0</v>
      </c>
      <c r="AD194" s="8">
        <f>IFERROR(AC194/AC444, "NA")</f>
        <v>0</v>
      </c>
    </row>
    <row r="195" spans="1:30" ht="16.5" customHeight="1" x14ac:dyDescent="0.45">
      <c r="A195" s="6" t="s">
        <v>179</v>
      </c>
      <c r="B195" s="7">
        <v>1601.63</v>
      </c>
      <c r="C195" s="8">
        <f>IFERROR(B195/B444, "NA")</f>
        <v>2.2045987928340872E-2</v>
      </c>
      <c r="D195" s="9"/>
      <c r="E195" s="7">
        <v>226.96</v>
      </c>
      <c r="F195" s="8">
        <f>IFERROR(E195/E444, "NA")</f>
        <v>2.9999553231891416E-3</v>
      </c>
      <c r="G195" s="9"/>
      <c r="H195" s="10">
        <f t="shared" si="48"/>
        <v>-1374.67</v>
      </c>
      <c r="I195" s="8">
        <f>IFERROR(H195/H444, "NA")</f>
        <v>0.45746698791331569</v>
      </c>
      <c r="J195" s="9"/>
      <c r="K195" s="7">
        <v>211.58</v>
      </c>
      <c r="L195" s="8">
        <f>IFERROR(K195/K444, "NA")</f>
        <v>2.9015367255997605E-3</v>
      </c>
      <c r="M195" s="9"/>
      <c r="N195" s="10">
        <f t="shared" si="49"/>
        <v>-1390.0500000000002</v>
      </c>
      <c r="O195" s="8">
        <f>IFERROR(N195/N444, "NA")</f>
        <v>5.1391969831411606</v>
      </c>
      <c r="P195" s="9"/>
      <c r="Q195" s="7">
        <v>1601.63</v>
      </c>
      <c r="R195" s="8">
        <f>IFERROR(Q195/Q444, "NA")</f>
        <v>2.2045987928340872E-2</v>
      </c>
      <c r="S195" s="9"/>
      <c r="T195" s="7">
        <v>226.96</v>
      </c>
      <c r="U195" s="8">
        <f>IFERROR(T195/T444, "NA")</f>
        <v>2.9999553231891416E-3</v>
      </c>
      <c r="V195" s="9"/>
      <c r="W195" s="10">
        <f t="shared" si="50"/>
        <v>-1374.67</v>
      </c>
      <c r="X195" s="8">
        <f>IFERROR(W195/W444, "NA")</f>
        <v>0.45746698791331569</v>
      </c>
      <c r="Y195" s="9"/>
      <c r="Z195" s="7">
        <v>211.58</v>
      </c>
      <c r="AA195" s="8">
        <f>IFERROR(Z195/Z444, "NA")</f>
        <v>2.9015367255997605E-3</v>
      </c>
      <c r="AB195" s="9"/>
      <c r="AC195" s="10">
        <f t="shared" si="51"/>
        <v>-1390.0500000000002</v>
      </c>
      <c r="AD195" s="8">
        <f>IFERROR(AC195/AC444, "NA")</f>
        <v>5.1391969831411606</v>
      </c>
    </row>
    <row r="196" spans="1:30" ht="16.5" customHeight="1" x14ac:dyDescent="0.45">
      <c r="A196" s="19" t="s">
        <v>180</v>
      </c>
      <c r="B196" s="14">
        <f>IFERROR(B175+B177+B178+B179+B180+B181+B183+B184+B186+B187+B188+B189+B190+B191+B192+B194+B195, "NA")</f>
        <v>24201.260000000002</v>
      </c>
      <c r="C196" s="15">
        <f>IFERROR(B196/B444, "NA")</f>
        <v>0.33312355900591195</v>
      </c>
      <c r="D196" s="2"/>
      <c r="E196" s="14">
        <f>IFERROR(E175+E177+E178+E179+E180+E181+E183+E184+E186+E187+E188+E189+E190+E191+E192+E194+E195, "NA")</f>
        <v>24195.519999999997</v>
      </c>
      <c r="F196" s="15">
        <f>IFERROR(E196/E444, "NA")</f>
        <v>0.31981617475030544</v>
      </c>
      <c r="G196" s="2"/>
      <c r="H196" s="14">
        <f t="shared" si="48"/>
        <v>-5.7400000000052387</v>
      </c>
      <c r="I196" s="15">
        <f>IFERROR(H196/H444, "NA")</f>
        <v>1.9101751770423654E-3</v>
      </c>
      <c r="J196" s="2"/>
      <c r="K196" s="14">
        <f>IFERROR(K175+K177+K178+K179+K180+K181+K183+K184+K186+K187+K188+K189+K190+K191+K192+K194+K195, "NA")</f>
        <v>23828.33</v>
      </c>
      <c r="L196" s="15">
        <f>IFERROR(K196/K444, "NA")</f>
        <v>0.3267736771183975</v>
      </c>
      <c r="M196" s="2"/>
      <c r="N196" s="14">
        <f t="shared" si="49"/>
        <v>-372.93000000000029</v>
      </c>
      <c r="O196" s="15">
        <f>IFERROR(N196/N444, "NA")</f>
        <v>1.3787710736468719</v>
      </c>
      <c r="P196" s="2"/>
      <c r="Q196" s="14">
        <f>IFERROR(Q175+Q177+Q178+Q179+Q180+Q181+Q183+Q184+Q186+Q187+Q188+Q189+Q190+Q191+Q192+Q194+Q195, "NA")</f>
        <v>24201.260000000002</v>
      </c>
      <c r="R196" s="15">
        <f>IFERROR(Q196/Q444, "NA")</f>
        <v>0.33312355900591195</v>
      </c>
      <c r="S196" s="2"/>
      <c r="T196" s="14">
        <f>IFERROR(T175+T177+T178+T179+T180+T181+T183+T184+T186+T187+T188+T189+T190+T191+T192+T194+T195, "NA")</f>
        <v>24195.519999999997</v>
      </c>
      <c r="U196" s="15">
        <f>IFERROR(T196/T444, "NA")</f>
        <v>0.31981617475030544</v>
      </c>
      <c r="V196" s="2"/>
      <c r="W196" s="14">
        <f t="shared" si="50"/>
        <v>-5.7400000000052387</v>
      </c>
      <c r="X196" s="15">
        <f>IFERROR(W196/W444, "NA")</f>
        <v>1.9101751770423654E-3</v>
      </c>
      <c r="Y196" s="2"/>
      <c r="Z196" s="14">
        <f>IFERROR(Z175+Z177+Z178+Z179+Z180+Z181+Z183+Z184+Z186+Z187+Z188+Z189+Z190+Z191+Z192+Z194+Z195, "NA")</f>
        <v>23828.33</v>
      </c>
      <c r="AA196" s="15">
        <f>IFERROR(Z196/Z444, "NA")</f>
        <v>0.3267736771183975</v>
      </c>
      <c r="AB196" s="2"/>
      <c r="AC196" s="14">
        <f t="shared" si="51"/>
        <v>-372.93000000000029</v>
      </c>
      <c r="AD196" s="15">
        <f>IFERROR(AC196/AC444, "NA")</f>
        <v>1.3787710736468719</v>
      </c>
    </row>
    <row r="197" spans="1:30" ht="16.5" customHeight="1" x14ac:dyDescent="0.45">
      <c r="A197" s="21" t="s">
        <v>180</v>
      </c>
      <c r="B197" s="14">
        <f>IFERROR(B175+B177+B178+B179+B180+B181+B183+B184+B186+B187+B188+B189+B190+B191+B192+B194+B195, "NA")</f>
        <v>24201.260000000002</v>
      </c>
      <c r="C197" s="15">
        <f>IFERROR(B197/B444, "NA")</f>
        <v>0.33312355900591195</v>
      </c>
      <c r="D197" s="2"/>
      <c r="E197" s="14">
        <f>IFERROR(E175+E177+E178+E179+E180+E181+E183+E184+E186+E187+E188+E189+E190+E191+E192+E194+E195, "NA")</f>
        <v>24195.519999999997</v>
      </c>
      <c r="F197" s="15">
        <f>IFERROR(E197/E444, "NA")</f>
        <v>0.31981617475030544</v>
      </c>
      <c r="G197" s="2"/>
      <c r="H197" s="14">
        <f t="shared" si="48"/>
        <v>-5.7400000000052387</v>
      </c>
      <c r="I197" s="15">
        <f>IFERROR(H197/H444, "NA")</f>
        <v>1.9101751770423654E-3</v>
      </c>
      <c r="J197" s="2"/>
      <c r="K197" s="14">
        <f>IFERROR(K175+K177+K178+K179+K180+K181+K183+K184+K186+K187+K188+K189+K190+K191+K192+K194+K195, "NA")</f>
        <v>23828.33</v>
      </c>
      <c r="L197" s="15">
        <f>IFERROR(K197/K444, "NA")</f>
        <v>0.3267736771183975</v>
      </c>
      <c r="M197" s="2"/>
      <c r="N197" s="14">
        <f t="shared" si="49"/>
        <v>-372.93000000000029</v>
      </c>
      <c r="O197" s="15">
        <f>IFERROR(N197/N444, "NA")</f>
        <v>1.3787710736468719</v>
      </c>
      <c r="P197" s="2"/>
      <c r="Q197" s="14">
        <f>IFERROR(Q175+Q177+Q178+Q179+Q180+Q181+Q183+Q184+Q186+Q187+Q188+Q189+Q190+Q191+Q192+Q194+Q195, "NA")</f>
        <v>24201.260000000002</v>
      </c>
      <c r="R197" s="15">
        <f>IFERROR(Q197/Q444, "NA")</f>
        <v>0.33312355900591195</v>
      </c>
      <c r="S197" s="2"/>
      <c r="T197" s="14">
        <f>IFERROR(T175+T177+T178+T179+T180+T181+T183+T184+T186+T187+T188+T189+T190+T191+T192+T194+T195, "NA")</f>
        <v>24195.519999999997</v>
      </c>
      <c r="U197" s="15">
        <f>IFERROR(T197/T444, "NA")</f>
        <v>0.31981617475030544</v>
      </c>
      <c r="V197" s="2"/>
      <c r="W197" s="14">
        <f t="shared" si="50"/>
        <v>-5.7400000000052387</v>
      </c>
      <c r="X197" s="15">
        <f>IFERROR(W197/W444, "NA")</f>
        <v>1.9101751770423654E-3</v>
      </c>
      <c r="Y197" s="2"/>
      <c r="Z197" s="14">
        <f>IFERROR(Z175+Z177+Z178+Z179+Z180+Z181+Z183+Z184+Z186+Z187+Z188+Z189+Z190+Z191+Z192+Z194+Z195, "NA")</f>
        <v>23828.33</v>
      </c>
      <c r="AA197" s="15">
        <f>IFERROR(Z197/Z444, "NA")</f>
        <v>0.3267736771183975</v>
      </c>
      <c r="AB197" s="2"/>
      <c r="AC197" s="14">
        <f t="shared" si="51"/>
        <v>-372.93000000000029</v>
      </c>
      <c r="AD197" s="15">
        <f>IFERROR(AC197/AC444, "NA")</f>
        <v>1.3787710736468719</v>
      </c>
    </row>
    <row r="198" spans="1:30" ht="16.5" customHeight="1" x14ac:dyDescent="0.45">
      <c r="A198" s="22" t="s">
        <v>181</v>
      </c>
      <c r="B198" s="23">
        <f>IFERROR(B172-B197, "NA")</f>
        <v>27745.420000000006</v>
      </c>
      <c r="C198" s="24">
        <f>IFERROR(B198/B444, "NA")</f>
        <v>0.38190792779028082</v>
      </c>
      <c r="D198" s="25"/>
      <c r="E198" s="23">
        <f>IFERROR(E172-E197, "NA")</f>
        <v>30426.990000000013</v>
      </c>
      <c r="F198" s="24">
        <f>IFERROR(E198/E444, "NA")</f>
        <v>0.40218369148362187</v>
      </c>
      <c r="G198" s="25"/>
      <c r="H198" s="23">
        <f>IFERROR(B198-E198, "NA")</f>
        <v>-2681.570000000007</v>
      </c>
      <c r="I198" s="24">
        <f>IFERROR(H198/H444, "NA")</f>
        <v>0.89238126297854259</v>
      </c>
      <c r="J198" s="25"/>
      <c r="K198" s="23">
        <f>IFERROR(K172-K197, "NA")</f>
        <v>28849.619999999995</v>
      </c>
      <c r="L198" s="24">
        <f>IFERROR(K198/K444, "NA")</f>
        <v>0.39563395382170974</v>
      </c>
      <c r="M198" s="25"/>
      <c r="N198" s="23">
        <f>IFERROR(B198-K198, "NA")</f>
        <v>-1104.1999999999898</v>
      </c>
      <c r="O198" s="24">
        <f>IFERROR(N198/N444, "NA")</f>
        <v>4.0823720792665128</v>
      </c>
      <c r="P198" s="25"/>
      <c r="Q198" s="23">
        <f>IFERROR(Q172-Q197, "NA")</f>
        <v>27745.420000000006</v>
      </c>
      <c r="R198" s="24">
        <f>IFERROR(Q198/Q444, "NA")</f>
        <v>0.38190792779028082</v>
      </c>
      <c r="S198" s="25"/>
      <c r="T198" s="23">
        <f>IFERROR(T172-T197, "NA")</f>
        <v>30426.990000000013</v>
      </c>
      <c r="U198" s="24">
        <f>IFERROR(T198/T444, "NA")</f>
        <v>0.40218369148362187</v>
      </c>
      <c r="V198" s="25"/>
      <c r="W198" s="23">
        <f>IFERROR(Q198-T198, "NA")</f>
        <v>-2681.570000000007</v>
      </c>
      <c r="X198" s="24">
        <f>IFERROR(W198/W444, "NA")</f>
        <v>0.89238126297854259</v>
      </c>
      <c r="Y198" s="25"/>
      <c r="Z198" s="23">
        <f>IFERROR(Z172-Z197, "NA")</f>
        <v>28849.619999999995</v>
      </c>
      <c r="AA198" s="24">
        <f>IFERROR(Z198/Z444, "NA")</f>
        <v>0.39563395382170974</v>
      </c>
      <c r="AB198" s="25"/>
      <c r="AC198" s="23">
        <f>IFERROR(Q198-Z198, "NA")</f>
        <v>-1104.1999999999898</v>
      </c>
      <c r="AD198" s="24">
        <f>IFERROR(AC198/AC444, "NA")</f>
        <v>4.0823720792665128</v>
      </c>
    </row>
    <row r="199" spans="1:30" ht="16.5" customHeight="1" x14ac:dyDescent="0.45">
      <c r="A199" s="1" t="s">
        <v>182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45">
      <c r="A200" s="5" t="s">
        <v>183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45">
      <c r="A201" s="6" t="s">
        <v>183</v>
      </c>
      <c r="B201" s="7">
        <v>0</v>
      </c>
      <c r="C201" s="8">
        <f>IFERROR(B201/B444, "NA")</f>
        <v>0</v>
      </c>
      <c r="D201" s="9"/>
      <c r="E201" s="7">
        <v>0</v>
      </c>
      <c r="F201" s="8">
        <f>IFERROR(E201/E444, "NA")</f>
        <v>0</v>
      </c>
      <c r="G201" s="9"/>
      <c r="H201" s="10">
        <f t="shared" ref="H201:H209" si="52">IFERROR(-(B201-E201), "NA")</f>
        <v>0</v>
      </c>
      <c r="I201" s="8">
        <f>IFERROR(H201/H444, "NA")</f>
        <v>0</v>
      </c>
      <c r="J201" s="9"/>
      <c r="K201" s="7">
        <v>0</v>
      </c>
      <c r="L201" s="8">
        <f>IFERROR(K201/K444, "NA")</f>
        <v>0</v>
      </c>
      <c r="M201" s="9"/>
      <c r="N201" s="10">
        <f t="shared" ref="N201:N209" si="53">IFERROR(-(B201-K201), "NA")</f>
        <v>0</v>
      </c>
      <c r="O201" s="8">
        <f>IFERROR(N201/N444, "NA")</f>
        <v>0</v>
      </c>
      <c r="P201" s="9"/>
      <c r="Q201" s="7">
        <v>0</v>
      </c>
      <c r="R201" s="8">
        <f>IFERROR(Q201/Q444, "NA")</f>
        <v>0</v>
      </c>
      <c r="S201" s="9"/>
      <c r="T201" s="7">
        <v>0</v>
      </c>
      <c r="U201" s="8">
        <f>IFERROR(T201/T444, "NA")</f>
        <v>0</v>
      </c>
      <c r="V201" s="9"/>
      <c r="W201" s="10">
        <f t="shared" ref="W201:W209" si="54">IFERROR(-(Q201-T201), "NA")</f>
        <v>0</v>
      </c>
      <c r="X201" s="8">
        <f>IFERROR(W201/W444, "NA")</f>
        <v>0</v>
      </c>
      <c r="Y201" s="9"/>
      <c r="Z201" s="7">
        <v>0</v>
      </c>
      <c r="AA201" s="8">
        <f>IFERROR(Z201/Z444, "NA")</f>
        <v>0</v>
      </c>
      <c r="AB201" s="9"/>
      <c r="AC201" s="10">
        <f t="shared" ref="AC201:AC209" si="55">IFERROR(-(Q201-Z201), "NA")</f>
        <v>0</v>
      </c>
      <c r="AD201" s="8">
        <f>IFERROR(AC201/AC444, "NA")</f>
        <v>0</v>
      </c>
    </row>
    <row r="202" spans="1:30" ht="16.5" customHeight="1" x14ac:dyDescent="0.45">
      <c r="A202" s="6" t="s">
        <v>184</v>
      </c>
      <c r="B202" s="7">
        <v>1034.22</v>
      </c>
      <c r="C202" s="8">
        <f>IFERROR(B202/B444, "NA")</f>
        <v>1.4235748353395413E-2</v>
      </c>
      <c r="D202" s="9"/>
      <c r="E202" s="7">
        <v>680.89</v>
      </c>
      <c r="F202" s="8">
        <f>IFERROR(E202/E444, "NA")</f>
        <v>8.9999981494812056E-3</v>
      </c>
      <c r="G202" s="9"/>
      <c r="H202" s="10">
        <f t="shared" si="52"/>
        <v>-353.33000000000004</v>
      </c>
      <c r="I202" s="8">
        <f>IFERROR(H202/H444, "NA")</f>
        <v>0.11758226399020263</v>
      </c>
      <c r="J202" s="9"/>
      <c r="K202" s="7">
        <v>1305.17</v>
      </c>
      <c r="L202" s="8">
        <f>IFERROR(K202/K444, "NA")</f>
        <v>1.7898660970559786E-2</v>
      </c>
      <c r="M202" s="9"/>
      <c r="N202" s="10">
        <f t="shared" si="53"/>
        <v>270.95000000000005</v>
      </c>
      <c r="O202" s="8">
        <f>IFERROR(N202/N444, "NA")</f>
        <v>-1.0017376515823873</v>
      </c>
      <c r="P202" s="9"/>
      <c r="Q202" s="7">
        <v>1034.22</v>
      </c>
      <c r="R202" s="8">
        <f>IFERROR(Q202/Q444, "NA")</f>
        <v>1.4235748353395413E-2</v>
      </c>
      <c r="S202" s="9"/>
      <c r="T202" s="7">
        <v>680.89</v>
      </c>
      <c r="U202" s="8">
        <f>IFERROR(T202/T444, "NA")</f>
        <v>8.9999981494812056E-3</v>
      </c>
      <c r="V202" s="9"/>
      <c r="W202" s="10">
        <f t="shared" si="54"/>
        <v>-353.33000000000004</v>
      </c>
      <c r="X202" s="8">
        <f>IFERROR(W202/W444, "NA")</f>
        <v>0.11758226399020263</v>
      </c>
      <c r="Y202" s="9"/>
      <c r="Z202" s="7">
        <v>1305.17</v>
      </c>
      <c r="AA202" s="8">
        <f>IFERROR(Z202/Z444, "NA")</f>
        <v>1.7898660970559786E-2</v>
      </c>
      <c r="AB202" s="9"/>
      <c r="AC202" s="10">
        <f t="shared" si="55"/>
        <v>270.95000000000005</v>
      </c>
      <c r="AD202" s="8">
        <f>IFERROR(AC202/AC444, "NA")</f>
        <v>-1.0017376515823873</v>
      </c>
    </row>
    <row r="203" spans="1:30" ht="16.5" customHeight="1" x14ac:dyDescent="0.45">
      <c r="A203" s="6" t="s">
        <v>185</v>
      </c>
      <c r="B203" s="7">
        <v>463.71</v>
      </c>
      <c r="C203" s="8">
        <f>IFERROR(B203/B444, "NA")</f>
        <v>6.38283814754403E-3</v>
      </c>
      <c r="D203" s="9"/>
      <c r="E203" s="7">
        <v>453.93</v>
      </c>
      <c r="F203" s="8">
        <f>IFERROR(E203/E444, "NA")</f>
        <v>6.0000428262920649E-3</v>
      </c>
      <c r="G203" s="9"/>
      <c r="H203" s="10">
        <f t="shared" si="52"/>
        <v>-9.7799999999999727</v>
      </c>
      <c r="I203" s="8">
        <f>IFERROR(H203/H444, "NA")</f>
        <v>3.254619029870598E-3</v>
      </c>
      <c r="J203" s="9"/>
      <c r="K203" s="7">
        <v>506.76</v>
      </c>
      <c r="L203" s="8">
        <f>IFERROR(K203/K444, "NA")</f>
        <v>6.9495356416718716E-3</v>
      </c>
      <c r="M203" s="9"/>
      <c r="N203" s="10">
        <f t="shared" si="53"/>
        <v>43.050000000000011</v>
      </c>
      <c r="O203" s="8">
        <f>IFERROR(N203/N444, "NA")</f>
        <v>-0.15916149068323227</v>
      </c>
      <c r="P203" s="9"/>
      <c r="Q203" s="7">
        <v>463.71</v>
      </c>
      <c r="R203" s="8">
        <f>IFERROR(Q203/Q444, "NA")</f>
        <v>6.38283814754403E-3</v>
      </c>
      <c r="S203" s="9"/>
      <c r="T203" s="7">
        <v>453.93</v>
      </c>
      <c r="U203" s="8">
        <f>IFERROR(T203/T444, "NA")</f>
        <v>6.0000428262920649E-3</v>
      </c>
      <c r="V203" s="9"/>
      <c r="W203" s="10">
        <f t="shared" si="54"/>
        <v>-9.7799999999999727</v>
      </c>
      <c r="X203" s="8">
        <f>IFERROR(W203/W444, "NA")</f>
        <v>3.254619029870598E-3</v>
      </c>
      <c r="Y203" s="9"/>
      <c r="Z203" s="7">
        <v>506.76</v>
      </c>
      <c r="AA203" s="8">
        <f>IFERROR(Z203/Z444, "NA")</f>
        <v>6.9495356416718716E-3</v>
      </c>
      <c r="AB203" s="9"/>
      <c r="AC203" s="10">
        <f t="shared" si="55"/>
        <v>43.050000000000011</v>
      </c>
      <c r="AD203" s="8">
        <f>IFERROR(AC203/AC444, "NA")</f>
        <v>-0.15916149068323227</v>
      </c>
    </row>
    <row r="204" spans="1:30" ht="16.5" customHeight="1" x14ac:dyDescent="0.45">
      <c r="A204" s="6" t="s">
        <v>186</v>
      </c>
      <c r="B204" s="7">
        <v>26</v>
      </c>
      <c r="C204" s="8">
        <f>IFERROR(B204/B444, "NA")</f>
        <v>3.5788271082388729E-4</v>
      </c>
      <c r="D204" s="9"/>
      <c r="E204" s="7">
        <v>151.31</v>
      </c>
      <c r="F204" s="8">
        <f>IFERROR(E204/E444, "NA")</f>
        <v>2.0000142754306883E-3</v>
      </c>
      <c r="G204" s="9"/>
      <c r="H204" s="10">
        <f t="shared" si="52"/>
        <v>125.31</v>
      </c>
      <c r="I204" s="8">
        <f>IFERROR(H204/H444, "NA")</f>
        <v>-4.1701054256961738E-2</v>
      </c>
      <c r="J204" s="9"/>
      <c r="K204" s="7">
        <v>23.92</v>
      </c>
      <c r="L204" s="8">
        <f>IFERROR(K204/K444, "NA")</f>
        <v>3.2803080856577308E-4</v>
      </c>
      <c r="M204" s="9"/>
      <c r="N204" s="10">
        <f t="shared" si="53"/>
        <v>-2.0799999999999983</v>
      </c>
      <c r="O204" s="8">
        <f>IFERROR(N204/N444, "NA")</f>
        <v>7.6900325347531414E-3</v>
      </c>
      <c r="P204" s="9"/>
      <c r="Q204" s="7">
        <v>26</v>
      </c>
      <c r="R204" s="8">
        <f>IFERROR(Q204/Q444, "NA")</f>
        <v>3.5788271082388729E-4</v>
      </c>
      <c r="S204" s="9"/>
      <c r="T204" s="7">
        <v>151.31</v>
      </c>
      <c r="U204" s="8">
        <f>IFERROR(T204/T444, "NA")</f>
        <v>2.0000142754306883E-3</v>
      </c>
      <c r="V204" s="9"/>
      <c r="W204" s="10">
        <f t="shared" si="54"/>
        <v>125.31</v>
      </c>
      <c r="X204" s="8">
        <f>IFERROR(W204/W444, "NA")</f>
        <v>-4.1701054256961738E-2</v>
      </c>
      <c r="Y204" s="9"/>
      <c r="Z204" s="7">
        <v>23.92</v>
      </c>
      <c r="AA204" s="8">
        <f>IFERROR(Z204/Z444, "NA")</f>
        <v>3.2803080856577308E-4</v>
      </c>
      <c r="AB204" s="9"/>
      <c r="AC204" s="10">
        <f t="shared" si="55"/>
        <v>-2.0799999999999983</v>
      </c>
      <c r="AD204" s="8">
        <f>IFERROR(AC204/AC444, "NA")</f>
        <v>7.6900325347531414E-3</v>
      </c>
    </row>
    <row r="205" spans="1:30" ht="16.5" customHeight="1" x14ac:dyDescent="0.45">
      <c r="A205" s="6" t="s">
        <v>187</v>
      </c>
      <c r="B205" s="7">
        <v>243.25</v>
      </c>
      <c r="C205" s="8">
        <f>IFERROR(B205/B444, "NA")</f>
        <v>3.348268054150407E-3</v>
      </c>
      <c r="D205" s="9"/>
      <c r="E205" s="7">
        <v>226.96</v>
      </c>
      <c r="F205" s="8">
        <f>IFERROR(E205/E444, "NA")</f>
        <v>2.9999553231891416E-3</v>
      </c>
      <c r="G205" s="9"/>
      <c r="H205" s="10">
        <f t="shared" si="52"/>
        <v>-16.289999999999992</v>
      </c>
      <c r="I205" s="8">
        <f>IFERROR(H205/H444, "NA")</f>
        <v>5.4210372184654559E-3</v>
      </c>
      <c r="J205" s="9"/>
      <c r="K205" s="7">
        <v>209.96</v>
      </c>
      <c r="L205" s="8">
        <f>IFERROR(K205/K444, "NA")</f>
        <v>2.8793205922437175E-3</v>
      </c>
      <c r="M205" s="9"/>
      <c r="N205" s="10">
        <f t="shared" si="53"/>
        <v>-33.289999999999992</v>
      </c>
      <c r="O205" s="8">
        <f>IFERROR(N205/N444, "NA")</f>
        <v>0.12307749186631357</v>
      </c>
      <c r="P205" s="9"/>
      <c r="Q205" s="7">
        <v>243.25</v>
      </c>
      <c r="R205" s="8">
        <f>IFERROR(Q205/Q444, "NA")</f>
        <v>3.348268054150407E-3</v>
      </c>
      <c r="S205" s="9"/>
      <c r="T205" s="7">
        <v>226.96</v>
      </c>
      <c r="U205" s="8">
        <f>IFERROR(T205/T444, "NA")</f>
        <v>2.9999553231891416E-3</v>
      </c>
      <c r="V205" s="9"/>
      <c r="W205" s="10">
        <f t="shared" si="54"/>
        <v>-16.289999999999992</v>
      </c>
      <c r="X205" s="8">
        <f>IFERROR(W205/W444, "NA")</f>
        <v>5.4210372184654559E-3</v>
      </c>
      <c r="Y205" s="9"/>
      <c r="Z205" s="7">
        <v>209.96</v>
      </c>
      <c r="AA205" s="8">
        <f>IFERROR(Z205/Z444, "NA")</f>
        <v>2.8793205922437175E-3</v>
      </c>
      <c r="AB205" s="9"/>
      <c r="AC205" s="10">
        <f t="shared" si="55"/>
        <v>-33.289999999999992</v>
      </c>
      <c r="AD205" s="8">
        <f>IFERROR(AC205/AC444, "NA")</f>
        <v>0.12307749186631357</v>
      </c>
    </row>
    <row r="206" spans="1:30" ht="16.5" customHeight="1" x14ac:dyDescent="0.45">
      <c r="A206" s="6" t="s">
        <v>188</v>
      </c>
      <c r="B206" s="7">
        <v>0</v>
      </c>
      <c r="C206" s="8">
        <f>IFERROR(B206/B444, "NA")</f>
        <v>0</v>
      </c>
      <c r="D206" s="9"/>
      <c r="E206" s="7">
        <v>75.650000000000006</v>
      </c>
      <c r="F206" s="8">
        <f>IFERROR(E206/E444, "NA")</f>
        <v>9.9994104775845329E-4</v>
      </c>
      <c r="G206" s="9"/>
      <c r="H206" s="10">
        <f t="shared" si="52"/>
        <v>75.650000000000006</v>
      </c>
      <c r="I206" s="8">
        <f>IFERROR(H206/H444, "NA")</f>
        <v>-2.5175043927373356E-2</v>
      </c>
      <c r="J206" s="9"/>
      <c r="K206" s="7">
        <v>0</v>
      </c>
      <c r="L206" s="8">
        <f>IFERROR(K206/K444, "NA")</f>
        <v>0</v>
      </c>
      <c r="M206" s="9"/>
      <c r="N206" s="10">
        <f t="shared" si="53"/>
        <v>0</v>
      </c>
      <c r="O206" s="8">
        <f>IFERROR(N206/N444, "NA")</f>
        <v>0</v>
      </c>
      <c r="P206" s="9"/>
      <c r="Q206" s="7">
        <v>0</v>
      </c>
      <c r="R206" s="8">
        <f>IFERROR(Q206/Q444, "NA")</f>
        <v>0</v>
      </c>
      <c r="S206" s="9"/>
      <c r="T206" s="7">
        <v>75.650000000000006</v>
      </c>
      <c r="U206" s="8">
        <f>IFERROR(T206/T444, "NA")</f>
        <v>9.9994104775845329E-4</v>
      </c>
      <c r="V206" s="9"/>
      <c r="W206" s="10">
        <f t="shared" si="54"/>
        <v>75.650000000000006</v>
      </c>
      <c r="X206" s="8">
        <f>IFERROR(W206/W444, "NA")</f>
        <v>-2.5175043927373356E-2</v>
      </c>
      <c r="Y206" s="9"/>
      <c r="Z206" s="7">
        <v>0</v>
      </c>
      <c r="AA206" s="8">
        <f>IFERROR(Z206/Z444, "NA")</f>
        <v>0</v>
      </c>
      <c r="AB206" s="9"/>
      <c r="AC206" s="10">
        <f t="shared" si="55"/>
        <v>0</v>
      </c>
      <c r="AD206" s="8">
        <f>IFERROR(AC206/AC444, "NA")</f>
        <v>0</v>
      </c>
    </row>
    <row r="207" spans="1:30" ht="16.5" customHeight="1" x14ac:dyDescent="0.45">
      <c r="A207" s="6" t="s">
        <v>189</v>
      </c>
      <c r="B207" s="7">
        <v>243.13</v>
      </c>
      <c r="C207" s="8">
        <f>IFERROR(B207/B444, "NA")</f>
        <v>3.3466162877927581E-3</v>
      </c>
      <c r="D207" s="9"/>
      <c r="E207" s="7">
        <v>100</v>
      </c>
      <c r="F207" s="8">
        <f>IFERROR(E207/E444, "NA")</f>
        <v>1.3217991378168582E-3</v>
      </c>
      <c r="G207" s="9"/>
      <c r="H207" s="10">
        <f t="shared" si="52"/>
        <v>-143.13</v>
      </c>
      <c r="I207" s="8">
        <f>IFERROR(H207/H444, "NA")</f>
        <v>4.7631249667216768E-2</v>
      </c>
      <c r="J207" s="9"/>
      <c r="K207" s="7">
        <v>99.6</v>
      </c>
      <c r="L207" s="8">
        <f>IFERROR(K207/K444, "NA")</f>
        <v>1.3658807915196906E-3</v>
      </c>
      <c r="M207" s="9"/>
      <c r="N207" s="10">
        <f t="shared" si="53"/>
        <v>-143.53</v>
      </c>
      <c r="O207" s="8">
        <f>IFERROR(N207/N444, "NA")</f>
        <v>0.53064921620823047</v>
      </c>
      <c r="P207" s="9"/>
      <c r="Q207" s="7">
        <v>243.13</v>
      </c>
      <c r="R207" s="8">
        <f>IFERROR(Q207/Q444, "NA")</f>
        <v>3.3466162877927581E-3</v>
      </c>
      <c r="S207" s="9"/>
      <c r="T207" s="7">
        <v>100</v>
      </c>
      <c r="U207" s="8">
        <f>IFERROR(T207/T444, "NA")</f>
        <v>1.3217991378168582E-3</v>
      </c>
      <c r="V207" s="9"/>
      <c r="W207" s="10">
        <f t="shared" si="54"/>
        <v>-143.13</v>
      </c>
      <c r="X207" s="8">
        <f>IFERROR(W207/W444, "NA")</f>
        <v>4.7631249667216768E-2</v>
      </c>
      <c r="Y207" s="9"/>
      <c r="Z207" s="7">
        <v>99.6</v>
      </c>
      <c r="AA207" s="8">
        <f>IFERROR(Z207/Z444, "NA")</f>
        <v>1.3658807915196906E-3</v>
      </c>
      <c r="AB207" s="9"/>
      <c r="AC207" s="10">
        <f t="shared" si="55"/>
        <v>-143.53</v>
      </c>
      <c r="AD207" s="8">
        <f>IFERROR(AC207/AC444, "NA")</f>
        <v>0.53064921620823047</v>
      </c>
    </row>
    <row r="208" spans="1:30" ht="16.5" customHeight="1" x14ac:dyDescent="0.45">
      <c r="A208" s="6" t="s">
        <v>190</v>
      </c>
      <c r="B208" s="7">
        <v>86.3</v>
      </c>
      <c r="C208" s="8">
        <f>IFERROR(B208/B444, "NA")</f>
        <v>1.1878953055423644E-3</v>
      </c>
      <c r="D208" s="9"/>
      <c r="E208" s="7">
        <v>100</v>
      </c>
      <c r="F208" s="8">
        <f>IFERROR(E208/E444, "NA")</f>
        <v>1.3217991378168582E-3</v>
      </c>
      <c r="G208" s="9"/>
      <c r="H208" s="10">
        <f t="shared" si="52"/>
        <v>13.700000000000003</v>
      </c>
      <c r="I208" s="8">
        <f>IFERROR(H208/H444, "NA")</f>
        <v>-4.5591289068739596E-3</v>
      </c>
      <c r="J208" s="9"/>
      <c r="K208" s="7">
        <v>143.72</v>
      </c>
      <c r="L208" s="8">
        <f>IFERROR(K208/K444, "NA")</f>
        <v>1.9709275839077302E-3</v>
      </c>
      <c r="M208" s="9"/>
      <c r="N208" s="10">
        <f t="shared" si="53"/>
        <v>57.42</v>
      </c>
      <c r="O208" s="8">
        <f>IFERROR(N208/N444, "NA")</f>
        <v>-0.21228926353150276</v>
      </c>
      <c r="P208" s="9"/>
      <c r="Q208" s="7">
        <v>86.3</v>
      </c>
      <c r="R208" s="8">
        <f>IFERROR(Q208/Q444, "NA")</f>
        <v>1.1878953055423644E-3</v>
      </c>
      <c r="S208" s="9"/>
      <c r="T208" s="7">
        <v>100</v>
      </c>
      <c r="U208" s="8">
        <f>IFERROR(T208/T444, "NA")</f>
        <v>1.3217991378168582E-3</v>
      </c>
      <c r="V208" s="9"/>
      <c r="W208" s="10">
        <f t="shared" si="54"/>
        <v>13.700000000000003</v>
      </c>
      <c r="X208" s="8">
        <f>IFERROR(W208/W444, "NA")</f>
        <v>-4.5591289068739596E-3</v>
      </c>
      <c r="Y208" s="9"/>
      <c r="Z208" s="7">
        <v>143.72</v>
      </c>
      <c r="AA208" s="8">
        <f>IFERROR(Z208/Z444, "NA")</f>
        <v>1.9709275839077302E-3</v>
      </c>
      <c r="AB208" s="9"/>
      <c r="AC208" s="10">
        <f t="shared" si="55"/>
        <v>57.42</v>
      </c>
      <c r="AD208" s="8">
        <f>IFERROR(AC208/AC444, "NA")</f>
        <v>-0.21228926353150276</v>
      </c>
    </row>
    <row r="209" spans="1:30" ht="16.5" customHeight="1" x14ac:dyDescent="0.45">
      <c r="A209" s="19" t="s">
        <v>191</v>
      </c>
      <c r="B209" s="14">
        <f>IFERROR(B201+B202+B203+B204+B205+B206+B207+B208, "NA")</f>
        <v>2096.61</v>
      </c>
      <c r="C209" s="15">
        <f>IFERROR(B209/B444, "NA")</f>
        <v>2.885924885924886E-2</v>
      </c>
      <c r="D209" s="2"/>
      <c r="E209" s="14">
        <f>IFERROR(E201+E202+E203+E204+E205+E206+E207+E208, "NA")</f>
        <v>1788.74</v>
      </c>
      <c r="F209" s="15">
        <f>IFERROR(E209/E444, "NA")</f>
        <v>2.364354989778527E-2</v>
      </c>
      <c r="G209" s="2"/>
      <c r="H209" s="14">
        <f t="shared" si="52"/>
        <v>-307.87000000000012</v>
      </c>
      <c r="I209" s="15">
        <f>IFERROR(H209/H444, "NA")</f>
        <v>0.10245394281454644</v>
      </c>
      <c r="J209" s="2"/>
      <c r="K209" s="14">
        <f>IFERROR(K201+K202+K203+K204+K205+K206+K207+K208, "NA")</f>
        <v>2289.13</v>
      </c>
      <c r="L209" s="15">
        <f>IFERROR(K209/K444, "NA")</f>
        <v>3.1392356388468566E-2</v>
      </c>
      <c r="M209" s="2"/>
      <c r="N209" s="14">
        <f t="shared" si="53"/>
        <v>192.51999999999998</v>
      </c>
      <c r="O209" s="15">
        <f>IFERROR(N209/N444, "NA")</f>
        <v>-0.71177166518782486</v>
      </c>
      <c r="P209" s="2"/>
      <c r="Q209" s="14">
        <f>IFERROR(Q201+Q202+Q203+Q204+Q205+Q206+Q207+Q208, "NA")</f>
        <v>2096.61</v>
      </c>
      <c r="R209" s="15">
        <f>IFERROR(Q209/Q444, "NA")</f>
        <v>2.885924885924886E-2</v>
      </c>
      <c r="S209" s="2"/>
      <c r="T209" s="14">
        <f>IFERROR(T201+T202+T203+T204+T205+T206+T207+T208, "NA")</f>
        <v>1788.74</v>
      </c>
      <c r="U209" s="15">
        <f>IFERROR(T209/T444, "NA")</f>
        <v>2.364354989778527E-2</v>
      </c>
      <c r="V209" s="2"/>
      <c r="W209" s="14">
        <f t="shared" si="54"/>
        <v>-307.87000000000012</v>
      </c>
      <c r="X209" s="15">
        <f>IFERROR(W209/W444, "NA")</f>
        <v>0.10245394281454644</v>
      </c>
      <c r="Y209" s="2"/>
      <c r="Z209" s="14">
        <f>IFERROR(Z201+Z202+Z203+Z204+Z205+Z206+Z207+Z208, "NA")</f>
        <v>2289.13</v>
      </c>
      <c r="AA209" s="15">
        <f>IFERROR(Z209/Z444, "NA")</f>
        <v>3.1392356388468566E-2</v>
      </c>
      <c r="AB209" s="2"/>
      <c r="AC209" s="14">
        <f t="shared" si="55"/>
        <v>192.51999999999998</v>
      </c>
      <c r="AD209" s="15">
        <f>IFERROR(AC209/AC444, "NA")</f>
        <v>-0.71177166518782486</v>
      </c>
    </row>
    <row r="210" spans="1:30" ht="16.5" customHeight="1" x14ac:dyDescent="0.45">
      <c r="A210" s="5" t="s">
        <v>192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45">
      <c r="A211" s="6" t="s">
        <v>192</v>
      </c>
      <c r="B211" s="7">
        <v>0</v>
      </c>
      <c r="C211" s="8">
        <f>IFERROR(B211/B444, "NA")</f>
        <v>0</v>
      </c>
      <c r="D211" s="9"/>
      <c r="E211" s="7">
        <v>0</v>
      </c>
      <c r="F211" s="8">
        <f>IFERROR(E211/E444, "NA")</f>
        <v>0</v>
      </c>
      <c r="G211" s="9"/>
      <c r="H211" s="10">
        <f>IFERROR(-(B211-E211), "NA")</f>
        <v>0</v>
      </c>
      <c r="I211" s="8">
        <f>IFERROR(H211/H444, "NA")</f>
        <v>0</v>
      </c>
      <c r="J211" s="9"/>
      <c r="K211" s="7">
        <v>0</v>
      </c>
      <c r="L211" s="8">
        <f>IFERROR(K211/K444, "NA")</f>
        <v>0</v>
      </c>
      <c r="M211" s="9"/>
      <c r="N211" s="10">
        <f>IFERROR(-(B211-K211), "NA")</f>
        <v>0</v>
      </c>
      <c r="O211" s="8">
        <f>IFERROR(N211/N444, "NA")</f>
        <v>0</v>
      </c>
      <c r="P211" s="9"/>
      <c r="Q211" s="7">
        <v>0</v>
      </c>
      <c r="R211" s="8">
        <f>IFERROR(Q211/Q444, "NA")</f>
        <v>0</v>
      </c>
      <c r="S211" s="9"/>
      <c r="T211" s="7">
        <v>0</v>
      </c>
      <c r="U211" s="8">
        <f>IFERROR(T211/T444, "NA")</f>
        <v>0</v>
      </c>
      <c r="V211" s="9"/>
      <c r="W211" s="10">
        <f>IFERROR(-(Q211-T211), "NA")</f>
        <v>0</v>
      </c>
      <c r="X211" s="8">
        <f>IFERROR(W211/W444, "NA")</f>
        <v>0</v>
      </c>
      <c r="Y211" s="9"/>
      <c r="Z211" s="7">
        <v>0</v>
      </c>
      <c r="AA211" s="8">
        <f>IFERROR(Z211/Z444, "NA")</f>
        <v>0</v>
      </c>
      <c r="AB211" s="9"/>
      <c r="AC211" s="10">
        <f>IFERROR(-(Q211-Z211), "NA")</f>
        <v>0</v>
      </c>
      <c r="AD211" s="8">
        <f>IFERROR(AC211/AC444, "NA")</f>
        <v>0</v>
      </c>
    </row>
    <row r="212" spans="1:30" ht="16.5" customHeight="1" x14ac:dyDescent="0.45">
      <c r="A212" s="11" t="s">
        <v>193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45">
      <c r="A213" s="12" t="s">
        <v>193</v>
      </c>
      <c r="B213" s="7">
        <v>0</v>
      </c>
      <c r="C213" s="8">
        <f>IFERROR(B213/B444, "NA")</f>
        <v>0</v>
      </c>
      <c r="D213" s="9"/>
      <c r="E213" s="7">
        <v>2193.98</v>
      </c>
      <c r="F213" s="8">
        <f>IFERROR(E213/E444, "NA")</f>
        <v>2.9000008723874308E-2</v>
      </c>
      <c r="G213" s="9"/>
      <c r="H213" s="10">
        <f t="shared" ref="H213:H227" si="56">IFERROR(-(B213-E213), "NA")</f>
        <v>2193.98</v>
      </c>
      <c r="I213" s="8">
        <f>IFERROR(H213/H444, "NA")</f>
        <v>-0.73011953570097288</v>
      </c>
      <c r="J213" s="9"/>
      <c r="K213" s="7">
        <v>0</v>
      </c>
      <c r="L213" s="8">
        <f>IFERROR(K213/K444, "NA")</f>
        <v>0</v>
      </c>
      <c r="M213" s="9"/>
      <c r="N213" s="10">
        <f t="shared" ref="N213:N227" si="57">IFERROR(-(B213-K213), "NA")</f>
        <v>0</v>
      </c>
      <c r="O213" s="8">
        <f>IFERROR(N213/N444, "NA")</f>
        <v>0</v>
      </c>
      <c r="P213" s="9"/>
      <c r="Q213" s="7">
        <v>0</v>
      </c>
      <c r="R213" s="8">
        <f>IFERROR(Q213/Q444, "NA")</f>
        <v>0</v>
      </c>
      <c r="S213" s="9"/>
      <c r="T213" s="7">
        <v>2193.98</v>
      </c>
      <c r="U213" s="8">
        <f>IFERROR(T213/T444, "NA")</f>
        <v>2.9000008723874308E-2</v>
      </c>
      <c r="V213" s="9"/>
      <c r="W213" s="10">
        <f t="shared" ref="W213:W227" si="58">IFERROR(-(Q213-T213), "NA")</f>
        <v>2193.98</v>
      </c>
      <c r="X213" s="8">
        <f>IFERROR(W213/W444, "NA")</f>
        <v>-0.73011953570097288</v>
      </c>
      <c r="Y213" s="9"/>
      <c r="Z213" s="7">
        <v>0</v>
      </c>
      <c r="AA213" s="8">
        <f>IFERROR(Z213/Z444, "NA")</f>
        <v>0</v>
      </c>
      <c r="AB213" s="9"/>
      <c r="AC213" s="10">
        <f t="shared" ref="AC213:AC227" si="59">IFERROR(-(Q213-Z213), "NA")</f>
        <v>0</v>
      </c>
      <c r="AD213" s="8">
        <f>IFERROR(AC213/AC444, "NA")</f>
        <v>0</v>
      </c>
    </row>
    <row r="214" spans="1:30" ht="16.5" customHeight="1" x14ac:dyDescent="0.45">
      <c r="A214" s="12" t="s">
        <v>194</v>
      </c>
      <c r="B214" s="7">
        <v>1217.94</v>
      </c>
      <c r="C214" s="8">
        <f>IFERROR(B214/B444, "NA")</f>
        <v>1.676460264695559E-2</v>
      </c>
      <c r="D214" s="9"/>
      <c r="E214" s="7">
        <v>0</v>
      </c>
      <c r="F214" s="8">
        <f>IFERROR(E214/E444, "NA")</f>
        <v>0</v>
      </c>
      <c r="G214" s="9"/>
      <c r="H214" s="10">
        <f t="shared" si="56"/>
        <v>-1217.94</v>
      </c>
      <c r="I214" s="8">
        <f>IFERROR(H214/H444, "NA")</f>
        <v>0.40530988765241382</v>
      </c>
      <c r="J214" s="9"/>
      <c r="K214" s="7">
        <v>2284.0500000000002</v>
      </c>
      <c r="L214" s="8">
        <f>IFERROR(K214/K444, "NA")</f>
        <v>3.1322690982636042E-2</v>
      </c>
      <c r="M214" s="9"/>
      <c r="N214" s="10">
        <f t="shared" si="57"/>
        <v>1066.1100000000001</v>
      </c>
      <c r="O214" s="8">
        <f>IFERROR(N214/N444, "NA")</f>
        <v>-3.941548358473884</v>
      </c>
      <c r="P214" s="9"/>
      <c r="Q214" s="7">
        <v>1217.94</v>
      </c>
      <c r="R214" s="8">
        <f>IFERROR(Q214/Q444, "NA")</f>
        <v>1.676460264695559E-2</v>
      </c>
      <c r="S214" s="9"/>
      <c r="T214" s="7">
        <v>0</v>
      </c>
      <c r="U214" s="8">
        <f>IFERROR(T214/T444, "NA")</f>
        <v>0</v>
      </c>
      <c r="V214" s="9"/>
      <c r="W214" s="10">
        <f t="shared" si="58"/>
        <v>-1217.94</v>
      </c>
      <c r="X214" s="8">
        <f>IFERROR(W214/W444, "NA")</f>
        <v>0.40530988765241382</v>
      </c>
      <c r="Y214" s="9"/>
      <c r="Z214" s="7">
        <v>2284.0500000000002</v>
      </c>
      <c r="AA214" s="8">
        <f>IFERROR(Z214/Z444, "NA")</f>
        <v>3.1322690982636042E-2</v>
      </c>
      <c r="AB214" s="9"/>
      <c r="AC214" s="10">
        <f t="shared" si="59"/>
        <v>1066.1100000000001</v>
      </c>
      <c r="AD214" s="8">
        <f>IFERROR(AC214/AC444, "NA")</f>
        <v>-3.941548358473884</v>
      </c>
    </row>
    <row r="215" spans="1:30" ht="16.5" customHeight="1" x14ac:dyDescent="0.45">
      <c r="A215" s="12" t="s">
        <v>195</v>
      </c>
      <c r="B215" s="7">
        <v>183.63</v>
      </c>
      <c r="C215" s="8">
        <f>IFERROR(B215/B444, "NA")</f>
        <v>2.5276154687919393E-3</v>
      </c>
      <c r="D215" s="9"/>
      <c r="E215" s="7">
        <v>0</v>
      </c>
      <c r="F215" s="8">
        <f>IFERROR(E215/E444, "NA")</f>
        <v>0</v>
      </c>
      <c r="G215" s="9"/>
      <c r="H215" s="10">
        <f t="shared" si="56"/>
        <v>-183.63</v>
      </c>
      <c r="I215" s="8">
        <f>IFERROR(H215/H444, "NA")</f>
        <v>6.1108966508705474E-2</v>
      </c>
      <c r="J215" s="9"/>
      <c r="K215" s="7">
        <v>0</v>
      </c>
      <c r="L215" s="8">
        <f>IFERROR(K215/K444, "NA")</f>
        <v>0</v>
      </c>
      <c r="M215" s="9"/>
      <c r="N215" s="10">
        <f t="shared" si="57"/>
        <v>-183.63</v>
      </c>
      <c r="O215" s="8">
        <f>IFERROR(N215/N444, "NA")</f>
        <v>0.6789041703638079</v>
      </c>
      <c r="P215" s="9"/>
      <c r="Q215" s="7">
        <v>183.63</v>
      </c>
      <c r="R215" s="8">
        <f>IFERROR(Q215/Q444, "NA")</f>
        <v>2.5276154687919393E-3</v>
      </c>
      <c r="S215" s="9"/>
      <c r="T215" s="7">
        <v>0</v>
      </c>
      <c r="U215" s="8">
        <f>IFERROR(T215/T444, "NA")</f>
        <v>0</v>
      </c>
      <c r="V215" s="9"/>
      <c r="W215" s="10">
        <f t="shared" si="58"/>
        <v>-183.63</v>
      </c>
      <c r="X215" s="8">
        <f>IFERROR(W215/W444, "NA")</f>
        <v>6.1108966508705474E-2</v>
      </c>
      <c r="Y215" s="9"/>
      <c r="Z215" s="7">
        <v>0</v>
      </c>
      <c r="AA215" s="8">
        <f>IFERROR(Z215/Z444, "NA")</f>
        <v>0</v>
      </c>
      <c r="AB215" s="9"/>
      <c r="AC215" s="10">
        <f t="shared" si="59"/>
        <v>-183.63</v>
      </c>
      <c r="AD215" s="8">
        <f>IFERROR(AC215/AC444, "NA")</f>
        <v>0.6789041703638079</v>
      </c>
    </row>
    <row r="216" spans="1:30" ht="16.5" hidden="1" customHeight="1" x14ac:dyDescent="0.45">
      <c r="A216" s="12" t="s">
        <v>196</v>
      </c>
      <c r="B216" s="7">
        <v>0</v>
      </c>
      <c r="C216" s="8">
        <f>IFERROR(B216/B444, "NA")</f>
        <v>0</v>
      </c>
      <c r="D216" s="9"/>
      <c r="E216" s="7">
        <v>0</v>
      </c>
      <c r="F216" s="8">
        <f>IFERROR(E216/E444, "NA")</f>
        <v>0</v>
      </c>
      <c r="G216" s="9"/>
      <c r="H216" s="10">
        <f t="shared" si="56"/>
        <v>0</v>
      </c>
      <c r="I216" s="8">
        <f>IFERROR(H216/H444, "NA")</f>
        <v>0</v>
      </c>
      <c r="J216" s="9"/>
      <c r="K216" s="7">
        <v>0</v>
      </c>
      <c r="L216" s="8">
        <f>IFERROR(K216/K444, "NA")</f>
        <v>0</v>
      </c>
      <c r="M216" s="9"/>
      <c r="N216" s="10">
        <f t="shared" si="57"/>
        <v>0</v>
      </c>
      <c r="O216" s="8">
        <f>IFERROR(N216/N444, "NA")</f>
        <v>0</v>
      </c>
      <c r="P216" s="9"/>
      <c r="Q216" s="7">
        <v>0</v>
      </c>
      <c r="R216" s="8">
        <f>IFERROR(Q216/Q444, "NA")</f>
        <v>0</v>
      </c>
      <c r="S216" s="9"/>
      <c r="T216" s="7">
        <v>0</v>
      </c>
      <c r="U216" s="8">
        <f>IFERROR(T216/T444, "NA")</f>
        <v>0</v>
      </c>
      <c r="V216" s="9"/>
      <c r="W216" s="10">
        <f t="shared" si="58"/>
        <v>0</v>
      </c>
      <c r="X216" s="8">
        <f>IFERROR(W216/W444, "NA")</f>
        <v>0</v>
      </c>
      <c r="Y216" s="9"/>
      <c r="Z216" s="7">
        <v>0</v>
      </c>
      <c r="AA216" s="8">
        <f>IFERROR(Z216/Z444, "NA")</f>
        <v>0</v>
      </c>
      <c r="AB216" s="9"/>
      <c r="AC216" s="10">
        <f t="shared" si="59"/>
        <v>0</v>
      </c>
      <c r="AD216" s="8">
        <f>IFERROR(AC216/AC444, "NA")</f>
        <v>0</v>
      </c>
    </row>
    <row r="217" spans="1:30" ht="16.5" customHeight="1" x14ac:dyDescent="0.45">
      <c r="A217" s="12" t="s">
        <v>197</v>
      </c>
      <c r="B217" s="7">
        <v>206.34</v>
      </c>
      <c r="C217" s="8">
        <f>IFERROR(B217/B444, "NA")</f>
        <v>2.8402122519769579E-3</v>
      </c>
      <c r="D217" s="9"/>
      <c r="E217" s="7">
        <v>0</v>
      </c>
      <c r="F217" s="8">
        <f>IFERROR(E217/E444, "NA")</f>
        <v>0</v>
      </c>
      <c r="G217" s="9"/>
      <c r="H217" s="10">
        <f t="shared" si="56"/>
        <v>-206.34</v>
      </c>
      <c r="I217" s="8">
        <f>IFERROR(H217/H444, "NA")</f>
        <v>6.8666471433895815E-2</v>
      </c>
      <c r="J217" s="9"/>
      <c r="K217" s="7">
        <v>1457.54</v>
      </c>
      <c r="L217" s="8">
        <f>IFERROR(K217/K444, "NA")</f>
        <v>1.9988211735658731E-2</v>
      </c>
      <c r="M217" s="9"/>
      <c r="N217" s="10">
        <f t="shared" si="57"/>
        <v>1251.2</v>
      </c>
      <c r="O217" s="8">
        <f>IFERROR(N217/N444, "NA")</f>
        <v>-4.6258503401361244</v>
      </c>
      <c r="P217" s="9"/>
      <c r="Q217" s="7">
        <v>206.34</v>
      </c>
      <c r="R217" s="8">
        <f>IFERROR(Q217/Q444, "NA")</f>
        <v>2.8402122519769579E-3</v>
      </c>
      <c r="S217" s="9"/>
      <c r="T217" s="7">
        <v>0</v>
      </c>
      <c r="U217" s="8">
        <f>IFERROR(T217/T444, "NA")</f>
        <v>0</v>
      </c>
      <c r="V217" s="9"/>
      <c r="W217" s="10">
        <f t="shared" si="58"/>
        <v>-206.34</v>
      </c>
      <c r="X217" s="8">
        <f>IFERROR(W217/W444, "NA")</f>
        <v>6.8666471433895815E-2</v>
      </c>
      <c r="Y217" s="9"/>
      <c r="Z217" s="7">
        <v>1457.54</v>
      </c>
      <c r="AA217" s="8">
        <f>IFERROR(Z217/Z444, "NA")</f>
        <v>1.9988211735658731E-2</v>
      </c>
      <c r="AB217" s="9"/>
      <c r="AC217" s="10">
        <f t="shared" si="59"/>
        <v>1251.2</v>
      </c>
      <c r="AD217" s="8">
        <f>IFERROR(AC217/AC444, "NA")</f>
        <v>-4.6258503401361244</v>
      </c>
    </row>
    <row r="218" spans="1:30" ht="16.5" customHeight="1" x14ac:dyDescent="0.45">
      <c r="A218" s="13" t="s">
        <v>198</v>
      </c>
      <c r="B218" s="14">
        <f>IFERROR(B213+B214+B215+B216+B217, "NA")</f>
        <v>1607.91</v>
      </c>
      <c r="C218" s="15">
        <f>IFERROR(B218/B444, "NA")</f>
        <v>2.2132430367724488E-2</v>
      </c>
      <c r="D218" s="2"/>
      <c r="E218" s="14">
        <f>IFERROR(E213+E214+E215+E216+E217, "NA")</f>
        <v>2193.98</v>
      </c>
      <c r="F218" s="15">
        <f>IFERROR(E218/E444, "NA")</f>
        <v>2.9000008723874308E-2</v>
      </c>
      <c r="G218" s="2"/>
      <c r="H218" s="14">
        <f t="shared" si="56"/>
        <v>586.06999999999994</v>
      </c>
      <c r="I218" s="15">
        <f>IFERROR(H218/H444, "NA")</f>
        <v>-0.1950342101059577</v>
      </c>
      <c r="J218" s="2"/>
      <c r="K218" s="14">
        <f>IFERROR(K213+K214+K215+K216+K217, "NA")</f>
        <v>3741.59</v>
      </c>
      <c r="L218" s="15">
        <f>IFERROR(K218/K444, "NA")</f>
        <v>5.1310902718294769E-2</v>
      </c>
      <c r="M218" s="2"/>
      <c r="N218" s="14">
        <f t="shared" si="57"/>
        <v>2133.6800000000003</v>
      </c>
      <c r="O218" s="15">
        <f>IFERROR(N218/N444, "NA")</f>
        <v>-7.8884945282462011</v>
      </c>
      <c r="P218" s="2"/>
      <c r="Q218" s="14">
        <f>IFERROR(Q213+Q214+Q215+Q216+Q217, "NA")</f>
        <v>1607.91</v>
      </c>
      <c r="R218" s="15">
        <f>IFERROR(Q218/Q444, "NA")</f>
        <v>2.2132430367724488E-2</v>
      </c>
      <c r="S218" s="2"/>
      <c r="T218" s="14">
        <f>IFERROR(T213+T214+T215+T216+T217, "NA")</f>
        <v>2193.98</v>
      </c>
      <c r="U218" s="15">
        <f>IFERROR(T218/T444, "NA")</f>
        <v>2.9000008723874308E-2</v>
      </c>
      <c r="V218" s="2"/>
      <c r="W218" s="14">
        <f t="shared" si="58"/>
        <v>586.06999999999994</v>
      </c>
      <c r="X218" s="15">
        <f>IFERROR(W218/W444, "NA")</f>
        <v>-0.1950342101059577</v>
      </c>
      <c r="Y218" s="2"/>
      <c r="Z218" s="14">
        <f>IFERROR(Z213+Z214+Z215+Z216+Z217, "NA")</f>
        <v>3741.59</v>
      </c>
      <c r="AA218" s="15">
        <f>IFERROR(Z218/Z444, "NA")</f>
        <v>5.1310902718294769E-2</v>
      </c>
      <c r="AB218" s="2"/>
      <c r="AC218" s="14">
        <f t="shared" si="59"/>
        <v>2133.6800000000003</v>
      </c>
      <c r="AD218" s="15">
        <f>IFERROR(AC218/AC444, "NA")</f>
        <v>-7.8884945282462011</v>
      </c>
    </row>
    <row r="219" spans="1:30" ht="16.5" hidden="1" customHeight="1" x14ac:dyDescent="0.45">
      <c r="A219" s="6" t="s">
        <v>199</v>
      </c>
      <c r="B219" s="7">
        <v>0</v>
      </c>
      <c r="C219" s="8">
        <f>IFERROR(B219/B444, "NA")</f>
        <v>0</v>
      </c>
      <c r="D219" s="9"/>
      <c r="E219" s="7">
        <v>0</v>
      </c>
      <c r="F219" s="8">
        <f>IFERROR(E219/E444, "NA")</f>
        <v>0</v>
      </c>
      <c r="G219" s="9"/>
      <c r="H219" s="10">
        <f t="shared" si="56"/>
        <v>0</v>
      </c>
      <c r="I219" s="8">
        <f>IFERROR(H219/H444, "NA")</f>
        <v>0</v>
      </c>
      <c r="J219" s="9"/>
      <c r="K219" s="7">
        <v>0</v>
      </c>
      <c r="L219" s="8">
        <f>IFERROR(K219/K444, "NA")</f>
        <v>0</v>
      </c>
      <c r="M219" s="9"/>
      <c r="N219" s="10">
        <f t="shared" si="57"/>
        <v>0</v>
      </c>
      <c r="O219" s="8">
        <f>IFERROR(N219/N444, "NA")</f>
        <v>0</v>
      </c>
      <c r="P219" s="9"/>
      <c r="Q219" s="7">
        <v>0</v>
      </c>
      <c r="R219" s="8">
        <f>IFERROR(Q219/Q444, "NA")</f>
        <v>0</v>
      </c>
      <c r="S219" s="9"/>
      <c r="T219" s="7">
        <v>0</v>
      </c>
      <c r="U219" s="8">
        <f>IFERROR(T219/T444, "NA")</f>
        <v>0</v>
      </c>
      <c r="V219" s="9"/>
      <c r="W219" s="10">
        <f t="shared" si="58"/>
        <v>0</v>
      </c>
      <c r="X219" s="8">
        <f>IFERROR(W219/W444, "NA")</f>
        <v>0</v>
      </c>
      <c r="Y219" s="9"/>
      <c r="Z219" s="7">
        <v>0</v>
      </c>
      <c r="AA219" s="8">
        <f>IFERROR(Z219/Z444, "NA")</f>
        <v>0</v>
      </c>
      <c r="AB219" s="9"/>
      <c r="AC219" s="10">
        <f t="shared" si="59"/>
        <v>0</v>
      </c>
      <c r="AD219" s="8">
        <f>IFERROR(AC219/AC444, "NA")</f>
        <v>0</v>
      </c>
    </row>
    <row r="220" spans="1:30" ht="16.5" hidden="1" customHeight="1" x14ac:dyDescent="0.45">
      <c r="A220" s="6" t="s">
        <v>200</v>
      </c>
      <c r="B220" s="7">
        <v>0</v>
      </c>
      <c r="C220" s="8">
        <f>IFERROR(B220/B444, "NA")</f>
        <v>0</v>
      </c>
      <c r="D220" s="9"/>
      <c r="E220" s="7">
        <v>0</v>
      </c>
      <c r="F220" s="8">
        <f>IFERROR(E220/E444, "NA")</f>
        <v>0</v>
      </c>
      <c r="G220" s="9"/>
      <c r="H220" s="10">
        <f t="shared" si="56"/>
        <v>0</v>
      </c>
      <c r="I220" s="8">
        <f>IFERROR(H220/H444, "NA")</f>
        <v>0</v>
      </c>
      <c r="J220" s="9"/>
      <c r="K220" s="7">
        <v>0</v>
      </c>
      <c r="L220" s="8">
        <f>IFERROR(K220/K444, "NA")</f>
        <v>0</v>
      </c>
      <c r="M220" s="9"/>
      <c r="N220" s="10">
        <f t="shared" si="57"/>
        <v>0</v>
      </c>
      <c r="O220" s="8">
        <f>IFERROR(N220/N444, "NA")</f>
        <v>0</v>
      </c>
      <c r="P220" s="9"/>
      <c r="Q220" s="7">
        <v>0</v>
      </c>
      <c r="R220" s="8">
        <f>IFERROR(Q220/Q444, "NA")</f>
        <v>0</v>
      </c>
      <c r="S220" s="9"/>
      <c r="T220" s="7">
        <v>0</v>
      </c>
      <c r="U220" s="8">
        <f>IFERROR(T220/T444, "NA")</f>
        <v>0</v>
      </c>
      <c r="V220" s="9"/>
      <c r="W220" s="10">
        <f t="shared" si="58"/>
        <v>0</v>
      </c>
      <c r="X220" s="8">
        <f>IFERROR(W220/W444, "NA")</f>
        <v>0</v>
      </c>
      <c r="Y220" s="9"/>
      <c r="Z220" s="7">
        <v>0</v>
      </c>
      <c r="AA220" s="8">
        <f>IFERROR(Z220/Z444, "NA")</f>
        <v>0</v>
      </c>
      <c r="AB220" s="9"/>
      <c r="AC220" s="10">
        <f t="shared" si="59"/>
        <v>0</v>
      </c>
      <c r="AD220" s="8">
        <f>IFERROR(AC220/AC444, "NA")</f>
        <v>0</v>
      </c>
    </row>
    <row r="221" spans="1:30" ht="16.5" hidden="1" customHeight="1" x14ac:dyDescent="0.45">
      <c r="A221" s="6" t="s">
        <v>201</v>
      </c>
      <c r="B221" s="7">
        <v>0</v>
      </c>
      <c r="C221" s="8">
        <f>IFERROR(B221/B444, "NA")</f>
        <v>0</v>
      </c>
      <c r="D221" s="9"/>
      <c r="E221" s="7">
        <v>0</v>
      </c>
      <c r="F221" s="8">
        <f>IFERROR(E221/E444, "NA")</f>
        <v>0</v>
      </c>
      <c r="G221" s="9"/>
      <c r="H221" s="10">
        <f t="shared" si="56"/>
        <v>0</v>
      </c>
      <c r="I221" s="8">
        <f>IFERROR(H221/H444, "NA")</f>
        <v>0</v>
      </c>
      <c r="J221" s="9"/>
      <c r="K221" s="7">
        <v>0</v>
      </c>
      <c r="L221" s="8">
        <f>IFERROR(K221/K444, "NA")</f>
        <v>0</v>
      </c>
      <c r="M221" s="9"/>
      <c r="N221" s="10">
        <f t="shared" si="57"/>
        <v>0</v>
      </c>
      <c r="O221" s="8">
        <f>IFERROR(N221/N444, "NA")</f>
        <v>0</v>
      </c>
      <c r="P221" s="9"/>
      <c r="Q221" s="7">
        <v>0</v>
      </c>
      <c r="R221" s="8">
        <f>IFERROR(Q221/Q444, "NA")</f>
        <v>0</v>
      </c>
      <c r="S221" s="9"/>
      <c r="T221" s="7">
        <v>0</v>
      </c>
      <c r="U221" s="8">
        <f>IFERROR(T221/T444, "NA")</f>
        <v>0</v>
      </c>
      <c r="V221" s="9"/>
      <c r="W221" s="10">
        <f t="shared" si="58"/>
        <v>0</v>
      </c>
      <c r="X221" s="8">
        <f>IFERROR(W221/W444, "NA")</f>
        <v>0</v>
      </c>
      <c r="Y221" s="9"/>
      <c r="Z221" s="7">
        <v>0</v>
      </c>
      <c r="AA221" s="8">
        <f>IFERROR(Z221/Z444, "NA")</f>
        <v>0</v>
      </c>
      <c r="AB221" s="9"/>
      <c r="AC221" s="10">
        <f t="shared" si="59"/>
        <v>0</v>
      </c>
      <c r="AD221" s="8">
        <f>IFERROR(AC221/AC444, "NA")</f>
        <v>0</v>
      </c>
    </row>
    <row r="222" spans="1:30" ht="16.5" customHeight="1" x14ac:dyDescent="0.45">
      <c r="A222" s="6" t="s">
        <v>202</v>
      </c>
      <c r="B222" s="7">
        <v>150</v>
      </c>
      <c r="C222" s="8">
        <f>IFERROR(B222/B444, "NA")</f>
        <v>2.0647079470608883E-3</v>
      </c>
      <c r="D222" s="9"/>
      <c r="E222" s="7">
        <v>100</v>
      </c>
      <c r="F222" s="8">
        <f>IFERROR(E222/E444, "NA")</f>
        <v>1.3217991378168582E-3</v>
      </c>
      <c r="G222" s="9"/>
      <c r="H222" s="10">
        <f t="shared" si="56"/>
        <v>-50</v>
      </c>
      <c r="I222" s="8">
        <f>IFERROR(H222/H444, "NA")</f>
        <v>1.6639156594430507E-2</v>
      </c>
      <c r="J222" s="9"/>
      <c r="K222" s="7">
        <v>171.82</v>
      </c>
      <c r="L222" s="8">
        <f>IFERROR(K222/K444, "NA")</f>
        <v>2.3562815019971205E-3</v>
      </c>
      <c r="M222" s="9"/>
      <c r="N222" s="10">
        <f t="shared" si="57"/>
        <v>21.819999999999993</v>
      </c>
      <c r="O222" s="8">
        <f>IFERROR(N222/N444, "NA")</f>
        <v>-8.0671398994381555E-2</v>
      </c>
      <c r="P222" s="9"/>
      <c r="Q222" s="7">
        <v>150</v>
      </c>
      <c r="R222" s="8">
        <f>IFERROR(Q222/Q444, "NA")</f>
        <v>2.0647079470608883E-3</v>
      </c>
      <c r="S222" s="9"/>
      <c r="T222" s="7">
        <v>100</v>
      </c>
      <c r="U222" s="8">
        <f>IFERROR(T222/T444, "NA")</f>
        <v>1.3217991378168582E-3</v>
      </c>
      <c r="V222" s="9"/>
      <c r="W222" s="10">
        <f t="shared" si="58"/>
        <v>-50</v>
      </c>
      <c r="X222" s="8">
        <f>IFERROR(W222/W444, "NA")</f>
        <v>1.6639156594430507E-2</v>
      </c>
      <c r="Y222" s="9"/>
      <c r="Z222" s="7">
        <v>171.82</v>
      </c>
      <c r="AA222" s="8">
        <f>IFERROR(Z222/Z444, "NA")</f>
        <v>2.3562815019971205E-3</v>
      </c>
      <c r="AB222" s="9"/>
      <c r="AC222" s="10">
        <f t="shared" si="59"/>
        <v>21.819999999999993</v>
      </c>
      <c r="AD222" s="8">
        <f>IFERROR(AC222/AC444, "NA")</f>
        <v>-8.0671398994381555E-2</v>
      </c>
    </row>
    <row r="223" spans="1:30" ht="16.5" hidden="1" customHeight="1" x14ac:dyDescent="0.45">
      <c r="A223" s="6" t="s">
        <v>203</v>
      </c>
      <c r="B223" s="7">
        <v>0</v>
      </c>
      <c r="C223" s="8">
        <f>IFERROR(B223/B444, "NA")</f>
        <v>0</v>
      </c>
      <c r="D223" s="9"/>
      <c r="E223" s="7">
        <v>0</v>
      </c>
      <c r="F223" s="8">
        <f>IFERROR(E223/E444, "NA")</f>
        <v>0</v>
      </c>
      <c r="G223" s="9"/>
      <c r="H223" s="10">
        <f t="shared" si="56"/>
        <v>0</v>
      </c>
      <c r="I223" s="8">
        <f>IFERROR(H223/H444, "NA")</f>
        <v>0</v>
      </c>
      <c r="J223" s="9"/>
      <c r="K223" s="7">
        <v>0</v>
      </c>
      <c r="L223" s="8">
        <f>IFERROR(K223/K444, "NA")</f>
        <v>0</v>
      </c>
      <c r="M223" s="9"/>
      <c r="N223" s="10">
        <f t="shared" si="57"/>
        <v>0</v>
      </c>
      <c r="O223" s="8">
        <f>IFERROR(N223/N444, "NA")</f>
        <v>0</v>
      </c>
      <c r="P223" s="9"/>
      <c r="Q223" s="7">
        <v>0</v>
      </c>
      <c r="R223" s="8">
        <f>IFERROR(Q223/Q444, "NA")</f>
        <v>0</v>
      </c>
      <c r="S223" s="9"/>
      <c r="T223" s="7">
        <v>0</v>
      </c>
      <c r="U223" s="8">
        <f>IFERROR(T223/T444, "NA")</f>
        <v>0</v>
      </c>
      <c r="V223" s="9"/>
      <c r="W223" s="10">
        <f t="shared" si="58"/>
        <v>0</v>
      </c>
      <c r="X223" s="8">
        <f>IFERROR(W223/W444, "NA")</f>
        <v>0</v>
      </c>
      <c r="Y223" s="9"/>
      <c r="Z223" s="7">
        <v>0</v>
      </c>
      <c r="AA223" s="8">
        <f>IFERROR(Z223/Z444, "NA")</f>
        <v>0</v>
      </c>
      <c r="AB223" s="9"/>
      <c r="AC223" s="10">
        <f t="shared" si="59"/>
        <v>0</v>
      </c>
      <c r="AD223" s="8">
        <f>IFERROR(AC223/AC444, "NA")</f>
        <v>0</v>
      </c>
    </row>
    <row r="224" spans="1:30" ht="16.5" hidden="1" customHeight="1" x14ac:dyDescent="0.45">
      <c r="A224" s="6" t="s">
        <v>204</v>
      </c>
      <c r="B224" s="7">
        <v>0</v>
      </c>
      <c r="C224" s="8">
        <f>IFERROR(B224/B444, "NA")</f>
        <v>0</v>
      </c>
      <c r="D224" s="9"/>
      <c r="E224" s="7">
        <v>0</v>
      </c>
      <c r="F224" s="8">
        <f>IFERROR(E224/E444, "NA")</f>
        <v>0</v>
      </c>
      <c r="G224" s="9"/>
      <c r="H224" s="10">
        <f t="shared" si="56"/>
        <v>0</v>
      </c>
      <c r="I224" s="8">
        <f>IFERROR(H224/H444, "NA")</f>
        <v>0</v>
      </c>
      <c r="J224" s="9"/>
      <c r="K224" s="7">
        <v>0</v>
      </c>
      <c r="L224" s="8">
        <f>IFERROR(K224/K444, "NA")</f>
        <v>0</v>
      </c>
      <c r="M224" s="9"/>
      <c r="N224" s="10">
        <f t="shared" si="57"/>
        <v>0</v>
      </c>
      <c r="O224" s="8">
        <f>IFERROR(N224/N444, "NA")</f>
        <v>0</v>
      </c>
      <c r="P224" s="9"/>
      <c r="Q224" s="7">
        <v>0</v>
      </c>
      <c r="R224" s="8">
        <f>IFERROR(Q224/Q444, "NA")</f>
        <v>0</v>
      </c>
      <c r="S224" s="9"/>
      <c r="T224" s="7">
        <v>0</v>
      </c>
      <c r="U224" s="8">
        <f>IFERROR(T224/T444, "NA")</f>
        <v>0</v>
      </c>
      <c r="V224" s="9"/>
      <c r="W224" s="10">
        <f t="shared" si="58"/>
        <v>0</v>
      </c>
      <c r="X224" s="8">
        <f>IFERROR(W224/W444, "NA")</f>
        <v>0</v>
      </c>
      <c r="Y224" s="9"/>
      <c r="Z224" s="7">
        <v>0</v>
      </c>
      <c r="AA224" s="8">
        <f>IFERROR(Z224/Z444, "NA")</f>
        <v>0</v>
      </c>
      <c r="AB224" s="9"/>
      <c r="AC224" s="10">
        <f t="shared" si="59"/>
        <v>0</v>
      </c>
      <c r="AD224" s="8">
        <f>IFERROR(AC224/AC444, "NA")</f>
        <v>0</v>
      </c>
    </row>
    <row r="225" spans="1:30" ht="16.5" hidden="1" customHeight="1" x14ac:dyDescent="0.45">
      <c r="A225" s="6" t="s">
        <v>205</v>
      </c>
      <c r="B225" s="7">
        <v>0</v>
      </c>
      <c r="C225" s="8">
        <f>IFERROR(B225/B444, "NA")</f>
        <v>0</v>
      </c>
      <c r="D225" s="9"/>
      <c r="E225" s="7">
        <v>0</v>
      </c>
      <c r="F225" s="8">
        <f>IFERROR(E225/E444, "NA")</f>
        <v>0</v>
      </c>
      <c r="G225" s="9"/>
      <c r="H225" s="10">
        <f t="shared" si="56"/>
        <v>0</v>
      </c>
      <c r="I225" s="8">
        <f>IFERROR(H225/H444, "NA")</f>
        <v>0</v>
      </c>
      <c r="J225" s="9"/>
      <c r="K225" s="7">
        <v>0</v>
      </c>
      <c r="L225" s="8">
        <f>IFERROR(K225/K444, "NA")</f>
        <v>0</v>
      </c>
      <c r="M225" s="9"/>
      <c r="N225" s="10">
        <f t="shared" si="57"/>
        <v>0</v>
      </c>
      <c r="O225" s="8">
        <f>IFERROR(N225/N444, "NA")</f>
        <v>0</v>
      </c>
      <c r="P225" s="9"/>
      <c r="Q225" s="7">
        <v>0</v>
      </c>
      <c r="R225" s="8">
        <f>IFERROR(Q225/Q444, "NA")</f>
        <v>0</v>
      </c>
      <c r="S225" s="9"/>
      <c r="T225" s="7">
        <v>0</v>
      </c>
      <c r="U225" s="8">
        <f>IFERROR(T225/T444, "NA")</f>
        <v>0</v>
      </c>
      <c r="V225" s="9"/>
      <c r="W225" s="10">
        <f t="shared" si="58"/>
        <v>0</v>
      </c>
      <c r="X225" s="8">
        <f>IFERROR(W225/W444, "NA")</f>
        <v>0</v>
      </c>
      <c r="Y225" s="9"/>
      <c r="Z225" s="7">
        <v>0</v>
      </c>
      <c r="AA225" s="8">
        <f>IFERROR(Z225/Z444, "NA")</f>
        <v>0</v>
      </c>
      <c r="AB225" s="9"/>
      <c r="AC225" s="10">
        <f t="shared" si="59"/>
        <v>0</v>
      </c>
      <c r="AD225" s="8">
        <f>IFERROR(AC225/AC444, "NA")</f>
        <v>0</v>
      </c>
    </row>
    <row r="226" spans="1:30" ht="16.5" hidden="1" customHeight="1" x14ac:dyDescent="0.45">
      <c r="A226" s="6" t="s">
        <v>206</v>
      </c>
      <c r="B226" s="7">
        <v>0</v>
      </c>
      <c r="C226" s="8">
        <f>IFERROR(B226/B444, "NA")</f>
        <v>0</v>
      </c>
      <c r="D226" s="9"/>
      <c r="E226" s="7">
        <v>0</v>
      </c>
      <c r="F226" s="8">
        <f>IFERROR(E226/E444, "NA")</f>
        <v>0</v>
      </c>
      <c r="G226" s="9"/>
      <c r="H226" s="10">
        <f t="shared" si="56"/>
        <v>0</v>
      </c>
      <c r="I226" s="8">
        <f>IFERROR(H226/H444, "NA")</f>
        <v>0</v>
      </c>
      <c r="J226" s="9"/>
      <c r="K226" s="7">
        <v>0</v>
      </c>
      <c r="L226" s="8">
        <f>IFERROR(K226/K444, "NA")</f>
        <v>0</v>
      </c>
      <c r="M226" s="9"/>
      <c r="N226" s="10">
        <f t="shared" si="57"/>
        <v>0</v>
      </c>
      <c r="O226" s="8">
        <f>IFERROR(N226/N444, "NA")</f>
        <v>0</v>
      </c>
      <c r="P226" s="9"/>
      <c r="Q226" s="7">
        <v>0</v>
      </c>
      <c r="R226" s="8">
        <f>IFERROR(Q226/Q444, "NA")</f>
        <v>0</v>
      </c>
      <c r="S226" s="9"/>
      <c r="T226" s="7">
        <v>0</v>
      </c>
      <c r="U226" s="8">
        <f>IFERROR(T226/T444, "NA")</f>
        <v>0</v>
      </c>
      <c r="V226" s="9"/>
      <c r="W226" s="10">
        <f t="shared" si="58"/>
        <v>0</v>
      </c>
      <c r="X226" s="8">
        <f>IFERROR(W226/W444, "NA")</f>
        <v>0</v>
      </c>
      <c r="Y226" s="9"/>
      <c r="Z226" s="7">
        <v>0</v>
      </c>
      <c r="AA226" s="8">
        <f>IFERROR(Z226/Z444, "NA")</f>
        <v>0</v>
      </c>
      <c r="AB226" s="9"/>
      <c r="AC226" s="10">
        <f t="shared" si="59"/>
        <v>0</v>
      </c>
      <c r="AD226" s="8">
        <f>IFERROR(AC226/AC444, "NA")</f>
        <v>0</v>
      </c>
    </row>
    <row r="227" spans="1:30" ht="16.5" customHeight="1" x14ac:dyDescent="0.45">
      <c r="A227" s="19" t="s">
        <v>207</v>
      </c>
      <c r="B227" s="14">
        <f>IFERROR(B211+B213+B214+B215+B216+B217+B219+B220+B221+B222+B223+B224+B225+B226, "NA")</f>
        <v>1757.91</v>
      </c>
      <c r="C227" s="15">
        <f>IFERROR(B227/B444, "NA")</f>
        <v>2.4197138314785375E-2</v>
      </c>
      <c r="D227" s="2"/>
      <c r="E227" s="14">
        <f>IFERROR(E211+E213+E214+E215+E216+E217+E219+E220+E221+E222+E223+E224+E225+E226, "NA")</f>
        <v>2293.98</v>
      </c>
      <c r="F227" s="15">
        <f>IFERROR(E227/E444, "NA")</f>
        <v>3.0321807861691166E-2</v>
      </c>
      <c r="G227" s="2"/>
      <c r="H227" s="14">
        <f t="shared" si="56"/>
        <v>536.06999999999994</v>
      </c>
      <c r="I227" s="15">
        <f>IFERROR(H227/H444, "NA")</f>
        <v>-0.17839505351152721</v>
      </c>
      <c r="J227" s="2"/>
      <c r="K227" s="14">
        <f>IFERROR(K211+K213+K214+K215+K216+K217+K219+K220+K221+K222+K223+K224+K225+K226, "NA")</f>
        <v>3913.4100000000003</v>
      </c>
      <c r="L227" s="15">
        <f>IFERROR(K227/K444, "NA")</f>
        <v>5.3667184220291896E-2</v>
      </c>
      <c r="M227" s="2"/>
      <c r="N227" s="14">
        <f t="shared" si="57"/>
        <v>2155.5</v>
      </c>
      <c r="O227" s="15">
        <f>IFERROR(N227/N444, "NA")</f>
        <v>-7.9691659272405815</v>
      </c>
      <c r="P227" s="2"/>
      <c r="Q227" s="14">
        <f>IFERROR(Q211+Q213+Q214+Q215+Q216+Q217+Q219+Q220+Q221+Q222+Q223+Q224+Q225+Q226, "NA")</f>
        <v>1757.91</v>
      </c>
      <c r="R227" s="15">
        <f>IFERROR(Q227/Q444, "NA")</f>
        <v>2.4197138314785375E-2</v>
      </c>
      <c r="S227" s="2"/>
      <c r="T227" s="14">
        <f>IFERROR(T211+T213+T214+T215+T216+T217+T219+T220+T221+T222+T223+T224+T225+T226, "NA")</f>
        <v>2293.98</v>
      </c>
      <c r="U227" s="15">
        <f>IFERROR(T227/T444, "NA")</f>
        <v>3.0321807861691166E-2</v>
      </c>
      <c r="V227" s="2"/>
      <c r="W227" s="14">
        <f t="shared" si="58"/>
        <v>536.06999999999994</v>
      </c>
      <c r="X227" s="15">
        <f>IFERROR(W227/W444, "NA")</f>
        <v>-0.17839505351152721</v>
      </c>
      <c r="Y227" s="2"/>
      <c r="Z227" s="14">
        <f>IFERROR(Z211+Z213+Z214+Z215+Z216+Z217+Z219+Z220+Z221+Z222+Z223+Z224+Z225+Z226, "NA")</f>
        <v>3913.4100000000003</v>
      </c>
      <c r="AA227" s="15">
        <f>IFERROR(Z227/Z444, "NA")</f>
        <v>5.3667184220291896E-2</v>
      </c>
      <c r="AB227" s="2"/>
      <c r="AC227" s="14">
        <f t="shared" si="59"/>
        <v>2155.5</v>
      </c>
      <c r="AD227" s="15">
        <f>IFERROR(AC227/AC444, "NA")</f>
        <v>-7.9691659272405815</v>
      </c>
    </row>
    <row r="228" spans="1:30" ht="16.5" customHeight="1" x14ac:dyDescent="0.45">
      <c r="A228" s="5" t="s">
        <v>208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45">
      <c r="A229" s="6" t="s">
        <v>208</v>
      </c>
      <c r="B229" s="7">
        <v>0</v>
      </c>
      <c r="C229" s="8">
        <f>IFERROR(B229/B444, "NA")</f>
        <v>0</v>
      </c>
      <c r="D229" s="9"/>
      <c r="E229" s="7">
        <v>983.51</v>
      </c>
      <c r="F229" s="8">
        <f>IFERROR(E229/E444, "NA")</f>
        <v>1.3000026700342582E-2</v>
      </c>
      <c r="G229" s="9"/>
      <c r="H229" s="10">
        <f t="shared" ref="H229:H236" si="60">IFERROR(-(B229-E229), "NA")</f>
        <v>983.51</v>
      </c>
      <c r="I229" s="8">
        <f>IFERROR(H229/H444, "NA")</f>
        <v>-0.32729553804376693</v>
      </c>
      <c r="J229" s="9"/>
      <c r="K229" s="7">
        <v>0</v>
      </c>
      <c r="L229" s="8">
        <f>IFERROR(K229/K444, "NA")</f>
        <v>0</v>
      </c>
      <c r="M229" s="9"/>
      <c r="N229" s="10">
        <f t="shared" ref="N229:N236" si="61">IFERROR(-(B229-K229), "NA")</f>
        <v>0</v>
      </c>
      <c r="O229" s="8">
        <f>IFERROR(N229/N444, "NA")</f>
        <v>0</v>
      </c>
      <c r="P229" s="9"/>
      <c r="Q229" s="7">
        <v>0</v>
      </c>
      <c r="R229" s="8">
        <f>IFERROR(Q229/Q444, "NA")</f>
        <v>0</v>
      </c>
      <c r="S229" s="9"/>
      <c r="T229" s="7">
        <v>983.51</v>
      </c>
      <c r="U229" s="8">
        <f>IFERROR(T229/T444, "NA")</f>
        <v>1.3000026700342582E-2</v>
      </c>
      <c r="V229" s="9"/>
      <c r="W229" s="10">
        <f t="shared" ref="W229:W236" si="62">IFERROR(-(Q229-T229), "NA")</f>
        <v>983.51</v>
      </c>
      <c r="X229" s="8">
        <f>IFERROR(W229/W444, "NA")</f>
        <v>-0.32729553804376693</v>
      </c>
      <c r="Y229" s="9"/>
      <c r="Z229" s="7">
        <v>0</v>
      </c>
      <c r="AA229" s="8">
        <f>IFERROR(Z229/Z444, "NA")</f>
        <v>0</v>
      </c>
      <c r="AB229" s="9"/>
      <c r="AC229" s="10">
        <f t="shared" ref="AC229:AC236" si="63">IFERROR(-(Q229-Z229), "NA")</f>
        <v>0</v>
      </c>
      <c r="AD229" s="8">
        <f>IFERROR(AC229/AC444, "NA")</f>
        <v>0</v>
      </c>
    </row>
    <row r="230" spans="1:30" ht="16.5" hidden="1" customHeight="1" x14ac:dyDescent="0.45">
      <c r="A230" s="6" t="s">
        <v>209</v>
      </c>
      <c r="B230" s="7">
        <v>0</v>
      </c>
      <c r="C230" s="8">
        <f>IFERROR(B230/B444, "NA")</f>
        <v>0</v>
      </c>
      <c r="D230" s="9"/>
      <c r="E230" s="7">
        <v>0</v>
      </c>
      <c r="F230" s="8">
        <f>IFERROR(E230/E444, "NA")</f>
        <v>0</v>
      </c>
      <c r="G230" s="9"/>
      <c r="H230" s="10">
        <f t="shared" si="60"/>
        <v>0</v>
      </c>
      <c r="I230" s="8">
        <f>IFERROR(H230/H444, "NA")</f>
        <v>0</v>
      </c>
      <c r="J230" s="9"/>
      <c r="K230" s="7">
        <v>0</v>
      </c>
      <c r="L230" s="8">
        <f>IFERROR(K230/K444, "NA")</f>
        <v>0</v>
      </c>
      <c r="M230" s="9"/>
      <c r="N230" s="10">
        <f t="shared" si="61"/>
        <v>0</v>
      </c>
      <c r="O230" s="8">
        <f>IFERROR(N230/N444, "NA")</f>
        <v>0</v>
      </c>
      <c r="P230" s="9"/>
      <c r="Q230" s="7">
        <v>0</v>
      </c>
      <c r="R230" s="8">
        <f>IFERROR(Q230/Q444, "NA")</f>
        <v>0</v>
      </c>
      <c r="S230" s="9"/>
      <c r="T230" s="7">
        <v>0</v>
      </c>
      <c r="U230" s="8">
        <f>IFERROR(T230/T444, "NA")</f>
        <v>0</v>
      </c>
      <c r="V230" s="9"/>
      <c r="W230" s="10">
        <f t="shared" si="62"/>
        <v>0</v>
      </c>
      <c r="X230" s="8">
        <f>IFERROR(W230/W444, "NA")</f>
        <v>0</v>
      </c>
      <c r="Y230" s="9"/>
      <c r="Z230" s="7">
        <v>0</v>
      </c>
      <c r="AA230" s="8">
        <f>IFERROR(Z230/Z444, "NA")</f>
        <v>0</v>
      </c>
      <c r="AB230" s="9"/>
      <c r="AC230" s="10">
        <f t="shared" si="63"/>
        <v>0</v>
      </c>
      <c r="AD230" s="8">
        <f>IFERROR(AC230/AC444, "NA")</f>
        <v>0</v>
      </c>
    </row>
    <row r="231" spans="1:30" ht="16.5" customHeight="1" x14ac:dyDescent="0.45">
      <c r="A231" s="6" t="s">
        <v>210</v>
      </c>
      <c r="B231" s="7">
        <v>0</v>
      </c>
      <c r="C231" s="8">
        <f>IFERROR(B231/B444, "NA")</f>
        <v>0</v>
      </c>
      <c r="D231" s="9"/>
      <c r="E231" s="7">
        <v>0</v>
      </c>
      <c r="F231" s="8">
        <f>IFERROR(E231/E444, "NA")</f>
        <v>0</v>
      </c>
      <c r="G231" s="9"/>
      <c r="H231" s="10">
        <f t="shared" si="60"/>
        <v>0</v>
      </c>
      <c r="I231" s="8">
        <f>IFERROR(H231/H444, "NA")</f>
        <v>0</v>
      </c>
      <c r="J231" s="9"/>
      <c r="K231" s="7">
        <v>216.37</v>
      </c>
      <c r="L231" s="8">
        <f>IFERROR(K231/K444, "NA")</f>
        <v>2.9672251692883077E-3</v>
      </c>
      <c r="M231" s="9"/>
      <c r="N231" s="10">
        <f t="shared" si="61"/>
        <v>216.37</v>
      </c>
      <c r="O231" s="8">
        <f>IFERROR(N231/N444, "NA")</f>
        <v>-0.79994824016564359</v>
      </c>
      <c r="P231" s="9"/>
      <c r="Q231" s="7">
        <v>0</v>
      </c>
      <c r="R231" s="8">
        <f>IFERROR(Q231/Q444, "NA")</f>
        <v>0</v>
      </c>
      <c r="S231" s="9"/>
      <c r="T231" s="7">
        <v>0</v>
      </c>
      <c r="U231" s="8">
        <f>IFERROR(T231/T444, "NA")</f>
        <v>0</v>
      </c>
      <c r="V231" s="9"/>
      <c r="W231" s="10">
        <f t="shared" si="62"/>
        <v>0</v>
      </c>
      <c r="X231" s="8">
        <f>IFERROR(W231/W444, "NA")</f>
        <v>0</v>
      </c>
      <c r="Y231" s="9"/>
      <c r="Z231" s="7">
        <v>216.37</v>
      </c>
      <c r="AA231" s="8">
        <f>IFERROR(Z231/Z444, "NA")</f>
        <v>2.9672251692883077E-3</v>
      </c>
      <c r="AB231" s="9"/>
      <c r="AC231" s="10">
        <f t="shared" si="63"/>
        <v>216.37</v>
      </c>
      <c r="AD231" s="8">
        <f>IFERROR(AC231/AC444, "NA")</f>
        <v>-0.79994824016564359</v>
      </c>
    </row>
    <row r="232" spans="1:30" ht="16.5" hidden="1" customHeight="1" x14ac:dyDescent="0.45">
      <c r="A232" s="6" t="s">
        <v>211</v>
      </c>
      <c r="B232" s="7">
        <v>0</v>
      </c>
      <c r="C232" s="8">
        <f>IFERROR(B232/B444, "NA")</f>
        <v>0</v>
      </c>
      <c r="D232" s="9"/>
      <c r="E232" s="7">
        <v>0</v>
      </c>
      <c r="F232" s="8">
        <f>IFERROR(E232/E444, "NA")</f>
        <v>0</v>
      </c>
      <c r="G232" s="9"/>
      <c r="H232" s="10">
        <f t="shared" si="60"/>
        <v>0</v>
      </c>
      <c r="I232" s="8">
        <f>IFERROR(H232/H444, "NA")</f>
        <v>0</v>
      </c>
      <c r="J232" s="9"/>
      <c r="K232" s="7">
        <v>0</v>
      </c>
      <c r="L232" s="8">
        <f>IFERROR(K232/K444, "NA")</f>
        <v>0</v>
      </c>
      <c r="M232" s="9"/>
      <c r="N232" s="10">
        <f t="shared" si="61"/>
        <v>0</v>
      </c>
      <c r="O232" s="8">
        <f>IFERROR(N232/N444, "NA")</f>
        <v>0</v>
      </c>
      <c r="P232" s="9"/>
      <c r="Q232" s="7">
        <v>0</v>
      </c>
      <c r="R232" s="8">
        <f>IFERROR(Q232/Q444, "NA")</f>
        <v>0</v>
      </c>
      <c r="S232" s="9"/>
      <c r="T232" s="7">
        <v>0</v>
      </c>
      <c r="U232" s="8">
        <f>IFERROR(T232/T444, "NA")</f>
        <v>0</v>
      </c>
      <c r="V232" s="9"/>
      <c r="W232" s="10">
        <f t="shared" si="62"/>
        <v>0</v>
      </c>
      <c r="X232" s="8">
        <f>IFERROR(W232/W444, "NA")</f>
        <v>0</v>
      </c>
      <c r="Y232" s="9"/>
      <c r="Z232" s="7">
        <v>0</v>
      </c>
      <c r="AA232" s="8">
        <f>IFERROR(Z232/Z444, "NA")</f>
        <v>0</v>
      </c>
      <c r="AB232" s="9"/>
      <c r="AC232" s="10">
        <f t="shared" si="63"/>
        <v>0</v>
      </c>
      <c r="AD232" s="8">
        <f>IFERROR(AC232/AC444, "NA")</f>
        <v>0</v>
      </c>
    </row>
    <row r="233" spans="1:30" ht="16.5" hidden="1" customHeight="1" x14ac:dyDescent="0.45">
      <c r="A233" s="6" t="s">
        <v>212</v>
      </c>
      <c r="B233" s="7">
        <v>0</v>
      </c>
      <c r="C233" s="8">
        <f>IFERROR(B233/B444, "NA")</f>
        <v>0</v>
      </c>
      <c r="D233" s="9"/>
      <c r="E233" s="7">
        <v>0</v>
      </c>
      <c r="F233" s="8">
        <f>IFERROR(E233/E444, "NA")</f>
        <v>0</v>
      </c>
      <c r="G233" s="9"/>
      <c r="H233" s="10">
        <f t="shared" si="60"/>
        <v>0</v>
      </c>
      <c r="I233" s="8">
        <f>IFERROR(H233/H444, "NA")</f>
        <v>0</v>
      </c>
      <c r="J233" s="9"/>
      <c r="K233" s="7">
        <v>0</v>
      </c>
      <c r="L233" s="8">
        <f>IFERROR(K233/K444, "NA")</f>
        <v>0</v>
      </c>
      <c r="M233" s="9"/>
      <c r="N233" s="10">
        <f t="shared" si="61"/>
        <v>0</v>
      </c>
      <c r="O233" s="8">
        <f>IFERROR(N233/N444, "NA")</f>
        <v>0</v>
      </c>
      <c r="P233" s="9"/>
      <c r="Q233" s="7">
        <v>0</v>
      </c>
      <c r="R233" s="8">
        <f>IFERROR(Q233/Q444, "NA")</f>
        <v>0</v>
      </c>
      <c r="S233" s="9"/>
      <c r="T233" s="7">
        <v>0</v>
      </c>
      <c r="U233" s="8">
        <f>IFERROR(T233/T444, "NA")</f>
        <v>0</v>
      </c>
      <c r="V233" s="9"/>
      <c r="W233" s="10">
        <f t="shared" si="62"/>
        <v>0</v>
      </c>
      <c r="X233" s="8">
        <f>IFERROR(W233/W444, "NA")</f>
        <v>0</v>
      </c>
      <c r="Y233" s="9"/>
      <c r="Z233" s="7">
        <v>0</v>
      </c>
      <c r="AA233" s="8">
        <f>IFERROR(Z233/Z444, "NA")</f>
        <v>0</v>
      </c>
      <c r="AB233" s="9"/>
      <c r="AC233" s="10">
        <f t="shared" si="63"/>
        <v>0</v>
      </c>
      <c r="AD233" s="8">
        <f>IFERROR(AC233/AC444, "NA")</f>
        <v>0</v>
      </c>
    </row>
    <row r="234" spans="1:30" ht="16.5" customHeight="1" x14ac:dyDescent="0.45">
      <c r="A234" s="6" t="s">
        <v>213</v>
      </c>
      <c r="B234" s="7">
        <v>1084.32</v>
      </c>
      <c r="C234" s="8">
        <f>IFERROR(B234/B444, "NA")</f>
        <v>1.4925360807713749E-2</v>
      </c>
      <c r="D234" s="9"/>
      <c r="E234" s="7">
        <v>0</v>
      </c>
      <c r="F234" s="8">
        <f>IFERROR(E234/E444, "NA")</f>
        <v>0</v>
      </c>
      <c r="G234" s="9"/>
      <c r="H234" s="10">
        <f t="shared" si="60"/>
        <v>-1084.32</v>
      </c>
      <c r="I234" s="8">
        <f>IFERROR(H234/H444, "NA")</f>
        <v>0.36084340556945771</v>
      </c>
      <c r="J234" s="9"/>
      <c r="K234" s="7">
        <v>1241.8800000000001</v>
      </c>
      <c r="L234" s="8">
        <f>IFERROR(K234/K444, "NA")</f>
        <v>1.7030723266791902E-2</v>
      </c>
      <c r="M234" s="9"/>
      <c r="N234" s="10">
        <f t="shared" si="61"/>
        <v>157.56000000000017</v>
      </c>
      <c r="O234" s="8">
        <f>IFERROR(N234/N444, "NA")</f>
        <v>-0.58251996450755161</v>
      </c>
      <c r="P234" s="9"/>
      <c r="Q234" s="7">
        <v>1084.32</v>
      </c>
      <c r="R234" s="8">
        <f>IFERROR(Q234/Q444, "NA")</f>
        <v>1.4925360807713749E-2</v>
      </c>
      <c r="S234" s="9"/>
      <c r="T234" s="7">
        <v>0</v>
      </c>
      <c r="U234" s="8">
        <f>IFERROR(T234/T444, "NA")</f>
        <v>0</v>
      </c>
      <c r="V234" s="9"/>
      <c r="W234" s="10">
        <f t="shared" si="62"/>
        <v>-1084.32</v>
      </c>
      <c r="X234" s="8">
        <f>IFERROR(W234/W444, "NA")</f>
        <v>0.36084340556945771</v>
      </c>
      <c r="Y234" s="9"/>
      <c r="Z234" s="7">
        <v>1241.8800000000001</v>
      </c>
      <c r="AA234" s="8">
        <f>IFERROR(Z234/Z444, "NA")</f>
        <v>1.7030723266791902E-2</v>
      </c>
      <c r="AB234" s="9"/>
      <c r="AC234" s="10">
        <f t="shared" si="63"/>
        <v>157.56000000000017</v>
      </c>
      <c r="AD234" s="8">
        <f>IFERROR(AC234/AC444, "NA")</f>
        <v>-0.58251996450755161</v>
      </c>
    </row>
    <row r="235" spans="1:30" ht="16.5" customHeight="1" x14ac:dyDescent="0.45">
      <c r="A235" s="6" t="s">
        <v>214</v>
      </c>
      <c r="B235" s="7">
        <v>5.96</v>
      </c>
      <c r="C235" s="8">
        <f>IFERROR(B235/B444, "NA")</f>
        <v>8.2037729096552623E-5</v>
      </c>
      <c r="D235" s="9"/>
      <c r="E235" s="7">
        <v>0</v>
      </c>
      <c r="F235" s="8">
        <f>IFERROR(E235/E444, "NA")</f>
        <v>0</v>
      </c>
      <c r="G235" s="9"/>
      <c r="H235" s="10">
        <f t="shared" si="60"/>
        <v>-5.96</v>
      </c>
      <c r="I235" s="8">
        <f>IFERROR(H235/H444, "NA")</f>
        <v>1.9833874660561161E-3</v>
      </c>
      <c r="J235" s="9"/>
      <c r="K235" s="7">
        <v>0</v>
      </c>
      <c r="L235" s="8">
        <f>IFERROR(K235/K444, "NA")</f>
        <v>0</v>
      </c>
      <c r="M235" s="9"/>
      <c r="N235" s="10">
        <f t="shared" si="61"/>
        <v>-5.96</v>
      </c>
      <c r="O235" s="8">
        <f>IFERROR(N235/N444, "NA")</f>
        <v>2.2034900916888825E-2</v>
      </c>
      <c r="P235" s="9"/>
      <c r="Q235" s="7">
        <v>5.96</v>
      </c>
      <c r="R235" s="8">
        <f>IFERROR(Q235/Q444, "NA")</f>
        <v>8.2037729096552623E-5</v>
      </c>
      <c r="S235" s="9"/>
      <c r="T235" s="7">
        <v>0</v>
      </c>
      <c r="U235" s="8">
        <f>IFERROR(T235/T444, "NA")</f>
        <v>0</v>
      </c>
      <c r="V235" s="9"/>
      <c r="W235" s="10">
        <f t="shared" si="62"/>
        <v>-5.96</v>
      </c>
      <c r="X235" s="8">
        <f>IFERROR(W235/W444, "NA")</f>
        <v>1.9833874660561161E-3</v>
      </c>
      <c r="Y235" s="9"/>
      <c r="Z235" s="7">
        <v>0</v>
      </c>
      <c r="AA235" s="8">
        <f>IFERROR(Z235/Z444, "NA")</f>
        <v>0</v>
      </c>
      <c r="AB235" s="9"/>
      <c r="AC235" s="10">
        <f t="shared" si="63"/>
        <v>-5.96</v>
      </c>
      <c r="AD235" s="8">
        <f>IFERROR(AC235/AC444, "NA")</f>
        <v>2.2034900916888825E-2</v>
      </c>
    </row>
    <row r="236" spans="1:30" ht="16.5" customHeight="1" x14ac:dyDescent="0.45">
      <c r="A236" s="19" t="s">
        <v>215</v>
      </c>
      <c r="B236" s="14">
        <f>IFERROR(B229+B230+B231+B232+B233+B234+B235, "NA")</f>
        <v>1090.28</v>
      </c>
      <c r="C236" s="15">
        <f>IFERROR(B236/B444, "NA")</f>
        <v>1.5007398536810301E-2</v>
      </c>
      <c r="D236" s="2"/>
      <c r="E236" s="14">
        <f>IFERROR(E229+E230+E231+E232+E233+E234+E235, "NA")</f>
        <v>983.51</v>
      </c>
      <c r="F236" s="15">
        <f>IFERROR(E236/E444, "NA")</f>
        <v>1.3000026700342582E-2</v>
      </c>
      <c r="G236" s="2"/>
      <c r="H236" s="14">
        <f t="shared" si="60"/>
        <v>-106.76999999999998</v>
      </c>
      <c r="I236" s="15">
        <f>IFERROR(H236/H444, "NA")</f>
        <v>3.5531254991746898E-2</v>
      </c>
      <c r="J236" s="2"/>
      <c r="K236" s="14">
        <f>IFERROR(K229+K230+K231+K232+K233+K234+K235, "NA")</f>
        <v>1458.25</v>
      </c>
      <c r="L236" s="15">
        <f>IFERROR(K236/K444, "NA")</f>
        <v>1.9997948436080208E-2</v>
      </c>
      <c r="M236" s="2"/>
      <c r="N236" s="14">
        <f t="shared" si="61"/>
        <v>367.97</v>
      </c>
      <c r="O236" s="15">
        <f>IFERROR(N236/N444, "NA")</f>
        <v>-1.3604333037563057</v>
      </c>
      <c r="P236" s="2"/>
      <c r="Q236" s="14">
        <f>IFERROR(Q229+Q230+Q231+Q232+Q233+Q234+Q235, "NA")</f>
        <v>1090.28</v>
      </c>
      <c r="R236" s="15">
        <f>IFERROR(Q236/Q444, "NA")</f>
        <v>1.5007398536810301E-2</v>
      </c>
      <c r="S236" s="2"/>
      <c r="T236" s="14">
        <f>IFERROR(T229+T230+T231+T232+T233+T234+T235, "NA")</f>
        <v>983.51</v>
      </c>
      <c r="U236" s="15">
        <f>IFERROR(T236/T444, "NA")</f>
        <v>1.3000026700342582E-2</v>
      </c>
      <c r="V236" s="2"/>
      <c r="W236" s="14">
        <f t="shared" si="62"/>
        <v>-106.76999999999998</v>
      </c>
      <c r="X236" s="15">
        <f>IFERROR(W236/W444, "NA")</f>
        <v>3.5531254991746898E-2</v>
      </c>
      <c r="Y236" s="2"/>
      <c r="Z236" s="14">
        <f>IFERROR(Z229+Z230+Z231+Z232+Z233+Z234+Z235, "NA")</f>
        <v>1458.25</v>
      </c>
      <c r="AA236" s="15">
        <f>IFERROR(Z236/Z444, "NA")</f>
        <v>1.9997948436080208E-2</v>
      </c>
      <c r="AB236" s="2"/>
      <c r="AC236" s="14">
        <f t="shared" si="63"/>
        <v>367.97</v>
      </c>
      <c r="AD236" s="15">
        <f>IFERROR(AC236/AC444, "NA")</f>
        <v>-1.3604333037563057</v>
      </c>
    </row>
    <row r="237" spans="1:30" ht="16.5" customHeight="1" x14ac:dyDescent="0.45">
      <c r="A237" s="5" t="s">
        <v>216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45">
      <c r="A238" s="6" t="s">
        <v>216</v>
      </c>
      <c r="B238" s="7">
        <v>0</v>
      </c>
      <c r="C238" s="8">
        <f>IFERROR(B238/B444, "NA")</f>
        <v>0</v>
      </c>
      <c r="D238" s="9"/>
      <c r="E238" s="7">
        <v>0</v>
      </c>
      <c r="F238" s="8">
        <f>IFERROR(E238/E444, "NA")</f>
        <v>0</v>
      </c>
      <c r="G238" s="9"/>
      <c r="H238" s="10">
        <f>IFERROR(-(B238-E238), "NA")</f>
        <v>0</v>
      </c>
      <c r="I238" s="8">
        <f>IFERROR(H238/H444, "NA")</f>
        <v>0</v>
      </c>
      <c r="J238" s="9"/>
      <c r="K238" s="7">
        <v>0</v>
      </c>
      <c r="L238" s="8">
        <f>IFERROR(K238/K444, "NA")</f>
        <v>0</v>
      </c>
      <c r="M238" s="9"/>
      <c r="N238" s="10">
        <f>IFERROR(-(B238-K238), "NA")</f>
        <v>0</v>
      </c>
      <c r="O238" s="8">
        <f>IFERROR(N238/N444, "NA")</f>
        <v>0</v>
      </c>
      <c r="P238" s="9"/>
      <c r="Q238" s="7">
        <v>0</v>
      </c>
      <c r="R238" s="8">
        <f>IFERROR(Q238/Q444, "NA")</f>
        <v>0</v>
      </c>
      <c r="S238" s="9"/>
      <c r="T238" s="7">
        <v>0</v>
      </c>
      <c r="U238" s="8">
        <f>IFERROR(T238/T444, "NA")</f>
        <v>0</v>
      </c>
      <c r="V238" s="9"/>
      <c r="W238" s="10">
        <f>IFERROR(-(Q238-T238), "NA")</f>
        <v>0</v>
      </c>
      <c r="X238" s="8">
        <f>IFERROR(W238/W444, "NA")</f>
        <v>0</v>
      </c>
      <c r="Y238" s="9"/>
      <c r="Z238" s="7">
        <v>0</v>
      </c>
      <c r="AA238" s="8">
        <f>IFERROR(Z238/Z444, "NA")</f>
        <v>0</v>
      </c>
      <c r="AB238" s="9"/>
      <c r="AC238" s="10">
        <f>IFERROR(-(Q238-Z238), "NA")</f>
        <v>0</v>
      </c>
      <c r="AD238" s="8">
        <f>IFERROR(AC238/AC444, "NA")</f>
        <v>0</v>
      </c>
    </row>
    <row r="239" spans="1:30" ht="16.5" customHeight="1" x14ac:dyDescent="0.45">
      <c r="A239" s="11" t="s">
        <v>217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45">
      <c r="A240" s="12" t="s">
        <v>217</v>
      </c>
      <c r="B240" s="7">
        <v>0</v>
      </c>
      <c r="C240" s="8">
        <f>IFERROR(B240/B444, "NA")</f>
        <v>0</v>
      </c>
      <c r="D240" s="9"/>
      <c r="E240" s="7">
        <v>4009.69</v>
      </c>
      <c r="F240" s="8">
        <f>IFERROR(E240/E444, "NA")</f>
        <v>5.3000047849128783E-2</v>
      </c>
      <c r="G240" s="9"/>
      <c r="H240" s="10">
        <f t="shared" ref="H240:H263" si="64">IFERROR(-(B240-E240), "NA")</f>
        <v>4009.69</v>
      </c>
      <c r="I240" s="8">
        <f>IFERROR(H240/H444, "NA")</f>
        <v>-1.3343571961024412</v>
      </c>
      <c r="J240" s="9"/>
      <c r="K240" s="7">
        <v>0</v>
      </c>
      <c r="L240" s="8">
        <f>IFERROR(K240/K444, "NA")</f>
        <v>0</v>
      </c>
      <c r="M240" s="9"/>
      <c r="N240" s="10">
        <f t="shared" ref="N240:N263" si="65">IFERROR(-(B240-K240), "NA")</f>
        <v>0</v>
      </c>
      <c r="O240" s="8">
        <f>IFERROR(N240/N444, "NA")</f>
        <v>0</v>
      </c>
      <c r="P240" s="9"/>
      <c r="Q240" s="7">
        <v>0</v>
      </c>
      <c r="R240" s="8">
        <f>IFERROR(Q240/Q444, "NA")</f>
        <v>0</v>
      </c>
      <c r="S240" s="9"/>
      <c r="T240" s="7">
        <v>4009.69</v>
      </c>
      <c r="U240" s="8">
        <f>IFERROR(T240/T444, "NA")</f>
        <v>5.3000047849128783E-2</v>
      </c>
      <c r="V240" s="9"/>
      <c r="W240" s="10">
        <f t="shared" ref="W240:W263" si="66">IFERROR(-(Q240-T240), "NA")</f>
        <v>4009.69</v>
      </c>
      <c r="X240" s="8">
        <f>IFERROR(W240/W444, "NA")</f>
        <v>-1.3343571961024412</v>
      </c>
      <c r="Y240" s="9"/>
      <c r="Z240" s="7">
        <v>0</v>
      </c>
      <c r="AA240" s="8">
        <f>IFERROR(Z240/Z444, "NA")</f>
        <v>0</v>
      </c>
      <c r="AB240" s="9"/>
      <c r="AC240" s="10">
        <f t="shared" ref="AC240:AC263" si="67">IFERROR(-(Q240-Z240), "NA")</f>
        <v>0</v>
      </c>
      <c r="AD240" s="8">
        <f>IFERROR(AC240/AC444, "NA")</f>
        <v>0</v>
      </c>
    </row>
    <row r="241" spans="1:30" ht="16.5" hidden="1" customHeight="1" x14ac:dyDescent="0.45">
      <c r="A241" s="12" t="s">
        <v>218</v>
      </c>
      <c r="B241" s="7">
        <v>0</v>
      </c>
      <c r="C241" s="8">
        <f>IFERROR(B241/B444, "NA")</f>
        <v>0</v>
      </c>
      <c r="D241" s="9"/>
      <c r="E241" s="7">
        <v>0</v>
      </c>
      <c r="F241" s="8">
        <f>IFERROR(E241/E444, "NA")</f>
        <v>0</v>
      </c>
      <c r="G241" s="9"/>
      <c r="H241" s="10">
        <f t="shared" si="64"/>
        <v>0</v>
      </c>
      <c r="I241" s="8">
        <f>IFERROR(H241/H444, "NA")</f>
        <v>0</v>
      </c>
      <c r="J241" s="9"/>
      <c r="K241" s="7">
        <v>0</v>
      </c>
      <c r="L241" s="8">
        <f>IFERROR(K241/K444, "NA")</f>
        <v>0</v>
      </c>
      <c r="M241" s="9"/>
      <c r="N241" s="10">
        <f t="shared" si="65"/>
        <v>0</v>
      </c>
      <c r="O241" s="8">
        <f>IFERROR(N241/N444, "NA")</f>
        <v>0</v>
      </c>
      <c r="P241" s="9"/>
      <c r="Q241" s="7">
        <v>0</v>
      </c>
      <c r="R241" s="8">
        <f>IFERROR(Q241/Q444, "NA")</f>
        <v>0</v>
      </c>
      <c r="S241" s="9"/>
      <c r="T241" s="7">
        <v>0</v>
      </c>
      <c r="U241" s="8">
        <f>IFERROR(T241/T444, "NA")</f>
        <v>0</v>
      </c>
      <c r="V241" s="9"/>
      <c r="W241" s="10">
        <f t="shared" si="66"/>
        <v>0</v>
      </c>
      <c r="X241" s="8">
        <f>IFERROR(W241/W444, "NA")</f>
        <v>0</v>
      </c>
      <c r="Y241" s="9"/>
      <c r="Z241" s="7">
        <v>0</v>
      </c>
      <c r="AA241" s="8">
        <f>IFERROR(Z241/Z444, "NA")</f>
        <v>0</v>
      </c>
      <c r="AB241" s="9"/>
      <c r="AC241" s="10">
        <f t="shared" si="67"/>
        <v>0</v>
      </c>
      <c r="AD241" s="8">
        <f>IFERROR(AC241/AC444, "NA")</f>
        <v>0</v>
      </c>
    </row>
    <row r="242" spans="1:30" ht="16.5" customHeight="1" x14ac:dyDescent="0.45">
      <c r="A242" s="12" t="s">
        <v>219</v>
      </c>
      <c r="B242" s="7">
        <v>1259.43</v>
      </c>
      <c r="C242" s="8">
        <f>IFERROR(B242/B444, "NA")</f>
        <v>1.733570086511263E-2</v>
      </c>
      <c r="D242" s="9"/>
      <c r="E242" s="7">
        <v>0</v>
      </c>
      <c r="F242" s="8">
        <f>IFERROR(E242/E444, "NA")</f>
        <v>0</v>
      </c>
      <c r="G242" s="9"/>
      <c r="H242" s="10">
        <f t="shared" si="64"/>
        <v>-1259.43</v>
      </c>
      <c r="I242" s="8">
        <f>IFERROR(H242/H444, "NA")</f>
        <v>0.41911705979447228</v>
      </c>
      <c r="J242" s="9"/>
      <c r="K242" s="7">
        <v>1018.13</v>
      </c>
      <c r="L242" s="8">
        <f>IFERROR(K242/K444, "NA")</f>
        <v>1.3962291267770507E-2</v>
      </c>
      <c r="M242" s="9"/>
      <c r="N242" s="10">
        <f t="shared" si="65"/>
        <v>-241.30000000000007</v>
      </c>
      <c r="O242" s="8">
        <f>IFERROR(N242/N444, "NA")</f>
        <v>0.89211771665189188</v>
      </c>
      <c r="P242" s="9"/>
      <c r="Q242" s="7">
        <v>1259.43</v>
      </c>
      <c r="R242" s="8">
        <f>IFERROR(Q242/Q444, "NA")</f>
        <v>1.733570086511263E-2</v>
      </c>
      <c r="S242" s="9"/>
      <c r="T242" s="7">
        <v>0</v>
      </c>
      <c r="U242" s="8">
        <f>IFERROR(T242/T444, "NA")</f>
        <v>0</v>
      </c>
      <c r="V242" s="9"/>
      <c r="W242" s="10">
        <f t="shared" si="66"/>
        <v>-1259.43</v>
      </c>
      <c r="X242" s="8">
        <f>IFERROR(W242/W444, "NA")</f>
        <v>0.41911705979447228</v>
      </c>
      <c r="Y242" s="9"/>
      <c r="Z242" s="7">
        <v>1018.13</v>
      </c>
      <c r="AA242" s="8">
        <f>IFERROR(Z242/Z444, "NA")</f>
        <v>1.3962291267770507E-2</v>
      </c>
      <c r="AB242" s="9"/>
      <c r="AC242" s="10">
        <f t="shared" si="67"/>
        <v>-241.30000000000007</v>
      </c>
      <c r="AD242" s="8">
        <f>IFERROR(AC242/AC444, "NA")</f>
        <v>0.89211771665189188</v>
      </c>
    </row>
    <row r="243" spans="1:30" ht="16.5" customHeight="1" x14ac:dyDescent="0.45">
      <c r="A243" s="12" t="s">
        <v>220</v>
      </c>
      <c r="B243" s="7">
        <v>1605.82</v>
      </c>
      <c r="C243" s="8">
        <f>IFERROR(B243/B444, "NA")</f>
        <v>2.2103662103662103E-2</v>
      </c>
      <c r="D243" s="9"/>
      <c r="E243" s="7">
        <v>0</v>
      </c>
      <c r="F243" s="8">
        <f>IFERROR(E243/E444, "NA")</f>
        <v>0</v>
      </c>
      <c r="G243" s="9"/>
      <c r="H243" s="10">
        <f t="shared" si="64"/>
        <v>-1605.82</v>
      </c>
      <c r="I243" s="8">
        <f>IFERROR(H243/H444, "NA")</f>
        <v>0.53438980884936793</v>
      </c>
      <c r="J243" s="9"/>
      <c r="K243" s="7">
        <v>2094.56</v>
      </c>
      <c r="L243" s="8">
        <f>IFERROR(K243/K444, "NA")</f>
        <v>2.872408906310726E-2</v>
      </c>
      <c r="M243" s="9"/>
      <c r="N243" s="10">
        <f t="shared" si="65"/>
        <v>488.74</v>
      </c>
      <c r="O243" s="8">
        <f>IFERROR(N243/N444, "NA")</f>
        <v>-1.8069358178054102</v>
      </c>
      <c r="P243" s="9"/>
      <c r="Q243" s="7">
        <v>1605.82</v>
      </c>
      <c r="R243" s="8">
        <f>IFERROR(Q243/Q444, "NA")</f>
        <v>2.2103662103662103E-2</v>
      </c>
      <c r="S243" s="9"/>
      <c r="T243" s="7">
        <v>0</v>
      </c>
      <c r="U243" s="8">
        <f>IFERROR(T243/T444, "NA")</f>
        <v>0</v>
      </c>
      <c r="V243" s="9"/>
      <c r="W243" s="10">
        <f t="shared" si="66"/>
        <v>-1605.82</v>
      </c>
      <c r="X243" s="8">
        <f>IFERROR(W243/W444, "NA")</f>
        <v>0.53438980884936793</v>
      </c>
      <c r="Y243" s="9"/>
      <c r="Z243" s="7">
        <v>2094.56</v>
      </c>
      <c r="AA243" s="8">
        <f>IFERROR(Z243/Z444, "NA")</f>
        <v>2.872408906310726E-2</v>
      </c>
      <c r="AB243" s="9"/>
      <c r="AC243" s="10">
        <f t="shared" si="67"/>
        <v>488.74</v>
      </c>
      <c r="AD243" s="8">
        <f>IFERROR(AC243/AC444, "NA")</f>
        <v>-1.8069358178054102</v>
      </c>
    </row>
    <row r="244" spans="1:30" ht="16.5" customHeight="1" x14ac:dyDescent="0.45">
      <c r="A244" s="12" t="s">
        <v>221</v>
      </c>
      <c r="B244" s="7">
        <v>472.25</v>
      </c>
      <c r="C244" s="8">
        <f>IFERROR(B244/B444, "NA")</f>
        <v>6.5003888533300301E-3</v>
      </c>
      <c r="D244" s="9"/>
      <c r="E244" s="7">
        <v>0</v>
      </c>
      <c r="F244" s="8">
        <f>IFERROR(E244/E444, "NA")</f>
        <v>0</v>
      </c>
      <c r="G244" s="9"/>
      <c r="H244" s="10">
        <f t="shared" si="64"/>
        <v>-472.25</v>
      </c>
      <c r="I244" s="8">
        <f>IFERROR(H244/H444, "NA")</f>
        <v>0.15715683403439612</v>
      </c>
      <c r="J244" s="9"/>
      <c r="K244" s="7">
        <v>0</v>
      </c>
      <c r="L244" s="8">
        <f>IFERROR(K244/K444, "NA")</f>
        <v>0</v>
      </c>
      <c r="M244" s="9"/>
      <c r="N244" s="10">
        <f t="shared" si="65"/>
        <v>-472.25</v>
      </c>
      <c r="O244" s="8">
        <f>IFERROR(N244/N444, "NA")</f>
        <v>1.7459701271813337</v>
      </c>
      <c r="P244" s="9"/>
      <c r="Q244" s="7">
        <v>472.25</v>
      </c>
      <c r="R244" s="8">
        <f>IFERROR(Q244/Q444, "NA")</f>
        <v>6.5003888533300301E-3</v>
      </c>
      <c r="S244" s="9"/>
      <c r="T244" s="7">
        <v>0</v>
      </c>
      <c r="U244" s="8">
        <f>IFERROR(T244/T444, "NA")</f>
        <v>0</v>
      </c>
      <c r="V244" s="9"/>
      <c r="W244" s="10">
        <f t="shared" si="66"/>
        <v>-472.25</v>
      </c>
      <c r="X244" s="8">
        <f>IFERROR(W244/W444, "NA")</f>
        <v>0.15715683403439612</v>
      </c>
      <c r="Y244" s="9"/>
      <c r="Z244" s="7">
        <v>0</v>
      </c>
      <c r="AA244" s="8">
        <f>IFERROR(Z244/Z444, "NA")</f>
        <v>0</v>
      </c>
      <c r="AB244" s="9"/>
      <c r="AC244" s="10">
        <f t="shared" si="67"/>
        <v>-472.25</v>
      </c>
      <c r="AD244" s="8">
        <f>IFERROR(AC244/AC444, "NA")</f>
        <v>1.7459701271813337</v>
      </c>
    </row>
    <row r="245" spans="1:30" ht="16.5" hidden="1" customHeight="1" x14ac:dyDescent="0.45">
      <c r="A245" s="12" t="s">
        <v>222</v>
      </c>
      <c r="B245" s="7">
        <v>0</v>
      </c>
      <c r="C245" s="8">
        <f>IFERROR(B245/B444, "NA")</f>
        <v>0</v>
      </c>
      <c r="D245" s="9"/>
      <c r="E245" s="7">
        <v>0</v>
      </c>
      <c r="F245" s="8">
        <f>IFERROR(E245/E444, "NA")</f>
        <v>0</v>
      </c>
      <c r="G245" s="9"/>
      <c r="H245" s="10">
        <f t="shared" si="64"/>
        <v>0</v>
      </c>
      <c r="I245" s="8">
        <f>IFERROR(H245/H444, "NA")</f>
        <v>0</v>
      </c>
      <c r="J245" s="9"/>
      <c r="K245" s="7">
        <v>0</v>
      </c>
      <c r="L245" s="8">
        <f>IFERROR(K245/K444, "NA")</f>
        <v>0</v>
      </c>
      <c r="M245" s="9"/>
      <c r="N245" s="10">
        <f t="shared" si="65"/>
        <v>0</v>
      </c>
      <c r="O245" s="8">
        <f>IFERROR(N245/N444, "NA")</f>
        <v>0</v>
      </c>
      <c r="P245" s="9"/>
      <c r="Q245" s="7">
        <v>0</v>
      </c>
      <c r="R245" s="8">
        <f>IFERROR(Q245/Q444, "NA")</f>
        <v>0</v>
      </c>
      <c r="S245" s="9"/>
      <c r="T245" s="7">
        <v>0</v>
      </c>
      <c r="U245" s="8">
        <f>IFERROR(T245/T444, "NA")</f>
        <v>0</v>
      </c>
      <c r="V245" s="9"/>
      <c r="W245" s="10">
        <f t="shared" si="66"/>
        <v>0</v>
      </c>
      <c r="X245" s="8">
        <f>IFERROR(W245/W444, "NA")</f>
        <v>0</v>
      </c>
      <c r="Y245" s="9"/>
      <c r="Z245" s="7">
        <v>0</v>
      </c>
      <c r="AA245" s="8">
        <f>IFERROR(Z245/Z444, "NA")</f>
        <v>0</v>
      </c>
      <c r="AB245" s="9"/>
      <c r="AC245" s="10">
        <f t="shared" si="67"/>
        <v>0</v>
      </c>
      <c r="AD245" s="8">
        <f>IFERROR(AC245/AC444, "NA")</f>
        <v>0</v>
      </c>
    </row>
    <row r="246" spans="1:30" ht="16.5" customHeight="1" x14ac:dyDescent="0.45">
      <c r="A246" s="12" t="s">
        <v>223</v>
      </c>
      <c r="B246" s="7">
        <v>107.7</v>
      </c>
      <c r="C246" s="8">
        <f>IFERROR(B246/B444, "NA")</f>
        <v>1.4824603059897178E-3</v>
      </c>
      <c r="D246" s="9"/>
      <c r="E246" s="7">
        <v>0</v>
      </c>
      <c r="F246" s="8">
        <f>IFERROR(E246/E444, "NA")</f>
        <v>0</v>
      </c>
      <c r="G246" s="9"/>
      <c r="H246" s="10">
        <f t="shared" si="64"/>
        <v>-107.7</v>
      </c>
      <c r="I246" s="8">
        <f>IFERROR(H246/H444, "NA")</f>
        <v>3.5840743304403309E-2</v>
      </c>
      <c r="J246" s="9"/>
      <c r="K246" s="7">
        <v>285.70999999999998</v>
      </c>
      <c r="L246" s="8">
        <f>IFERROR(K246/K444, "NA")</f>
        <v>3.9181305315772168E-3</v>
      </c>
      <c r="M246" s="9"/>
      <c r="N246" s="10">
        <f t="shared" si="65"/>
        <v>178.01</v>
      </c>
      <c r="O246" s="8">
        <f>IFERROR(N246/N444, "NA")</f>
        <v>-0.65812629399586908</v>
      </c>
      <c r="P246" s="9"/>
      <c r="Q246" s="7">
        <v>107.7</v>
      </c>
      <c r="R246" s="8">
        <f>IFERROR(Q246/Q444, "NA")</f>
        <v>1.4824603059897178E-3</v>
      </c>
      <c r="S246" s="9"/>
      <c r="T246" s="7">
        <v>0</v>
      </c>
      <c r="U246" s="8">
        <f>IFERROR(T246/T444, "NA")</f>
        <v>0</v>
      </c>
      <c r="V246" s="9"/>
      <c r="W246" s="10">
        <f t="shared" si="66"/>
        <v>-107.7</v>
      </c>
      <c r="X246" s="8">
        <f>IFERROR(W246/W444, "NA")</f>
        <v>3.5840743304403309E-2</v>
      </c>
      <c r="Y246" s="9"/>
      <c r="Z246" s="7">
        <v>285.70999999999998</v>
      </c>
      <c r="AA246" s="8">
        <f>IFERROR(Z246/Z444, "NA")</f>
        <v>3.9181305315772168E-3</v>
      </c>
      <c r="AB246" s="9"/>
      <c r="AC246" s="10">
        <f t="shared" si="67"/>
        <v>178.01</v>
      </c>
      <c r="AD246" s="8">
        <f>IFERROR(AC246/AC444, "NA")</f>
        <v>-0.65812629399586908</v>
      </c>
    </row>
    <row r="247" spans="1:30" ht="16.5" hidden="1" customHeight="1" x14ac:dyDescent="0.45">
      <c r="A247" s="12" t="s">
        <v>224</v>
      </c>
      <c r="B247" s="7">
        <v>0</v>
      </c>
      <c r="C247" s="8">
        <f>IFERROR(B247/B444, "NA")</f>
        <v>0</v>
      </c>
      <c r="D247" s="9"/>
      <c r="E247" s="7">
        <v>0</v>
      </c>
      <c r="F247" s="8">
        <f>IFERROR(E247/E444, "NA")</f>
        <v>0</v>
      </c>
      <c r="G247" s="9"/>
      <c r="H247" s="10">
        <f t="shared" si="64"/>
        <v>0</v>
      </c>
      <c r="I247" s="8">
        <f>IFERROR(H247/H444, "NA")</f>
        <v>0</v>
      </c>
      <c r="J247" s="9"/>
      <c r="K247" s="7">
        <v>0</v>
      </c>
      <c r="L247" s="8">
        <f>IFERROR(K247/K444, "NA")</f>
        <v>0</v>
      </c>
      <c r="M247" s="9"/>
      <c r="N247" s="10">
        <f t="shared" si="65"/>
        <v>0</v>
      </c>
      <c r="O247" s="8">
        <f>IFERROR(N247/N444, "NA")</f>
        <v>0</v>
      </c>
      <c r="P247" s="9"/>
      <c r="Q247" s="7">
        <v>0</v>
      </c>
      <c r="R247" s="8">
        <f>IFERROR(Q247/Q444, "NA")</f>
        <v>0</v>
      </c>
      <c r="S247" s="9"/>
      <c r="T247" s="7">
        <v>0</v>
      </c>
      <c r="U247" s="8">
        <f>IFERROR(T247/T444, "NA")</f>
        <v>0</v>
      </c>
      <c r="V247" s="9"/>
      <c r="W247" s="10">
        <f t="shared" si="66"/>
        <v>0</v>
      </c>
      <c r="X247" s="8">
        <f>IFERROR(W247/W444, "NA")</f>
        <v>0</v>
      </c>
      <c r="Y247" s="9"/>
      <c r="Z247" s="7">
        <v>0</v>
      </c>
      <c r="AA247" s="8">
        <f>IFERROR(Z247/Z444, "NA")</f>
        <v>0</v>
      </c>
      <c r="AB247" s="9"/>
      <c r="AC247" s="10">
        <f t="shared" si="67"/>
        <v>0</v>
      </c>
      <c r="AD247" s="8">
        <f>IFERROR(AC247/AC444, "NA")</f>
        <v>0</v>
      </c>
    </row>
    <row r="248" spans="1:30" ht="16.5" customHeight="1" x14ac:dyDescent="0.45">
      <c r="A248" s="12" t="s">
        <v>225</v>
      </c>
      <c r="B248" s="7">
        <v>250.6</v>
      </c>
      <c r="C248" s="8">
        <f>IFERROR(B248/B444, "NA")</f>
        <v>3.4494387435563905E-3</v>
      </c>
      <c r="D248" s="9"/>
      <c r="E248" s="7">
        <v>0</v>
      </c>
      <c r="F248" s="8">
        <f>IFERROR(E248/E444, "NA")</f>
        <v>0</v>
      </c>
      <c r="G248" s="9"/>
      <c r="H248" s="10">
        <f t="shared" si="64"/>
        <v>-250.6</v>
      </c>
      <c r="I248" s="8">
        <f>IFERROR(H248/H444, "NA")</f>
        <v>8.339545285128569E-2</v>
      </c>
      <c r="J248" s="9"/>
      <c r="K248" s="7">
        <v>263.13</v>
      </c>
      <c r="L248" s="8">
        <f>IFERROR(K248/K444, "NA")</f>
        <v>3.6084760308491585E-3</v>
      </c>
      <c r="M248" s="9"/>
      <c r="N248" s="10">
        <f t="shared" si="65"/>
        <v>12.530000000000001</v>
      </c>
      <c r="O248" s="8">
        <f>IFERROR(N248/N444, "NA")</f>
        <v>-4.6325051759835069E-2</v>
      </c>
      <c r="P248" s="9"/>
      <c r="Q248" s="7">
        <v>250.6</v>
      </c>
      <c r="R248" s="8">
        <f>IFERROR(Q248/Q444, "NA")</f>
        <v>3.4494387435563905E-3</v>
      </c>
      <c r="S248" s="9"/>
      <c r="T248" s="7">
        <v>0</v>
      </c>
      <c r="U248" s="8">
        <f>IFERROR(T248/T444, "NA")</f>
        <v>0</v>
      </c>
      <c r="V248" s="9"/>
      <c r="W248" s="10">
        <f t="shared" si="66"/>
        <v>-250.6</v>
      </c>
      <c r="X248" s="8">
        <f>IFERROR(W248/W444, "NA")</f>
        <v>8.339545285128569E-2</v>
      </c>
      <c r="Y248" s="9"/>
      <c r="Z248" s="7">
        <v>263.13</v>
      </c>
      <c r="AA248" s="8">
        <f>IFERROR(Z248/Z444, "NA")</f>
        <v>3.6084760308491585E-3</v>
      </c>
      <c r="AB248" s="9"/>
      <c r="AC248" s="10">
        <f t="shared" si="67"/>
        <v>12.530000000000001</v>
      </c>
      <c r="AD248" s="8">
        <f>IFERROR(AC248/AC444, "NA")</f>
        <v>-4.6325051759835069E-2</v>
      </c>
    </row>
    <row r="249" spans="1:30" ht="16.5" customHeight="1" x14ac:dyDescent="0.45">
      <c r="A249" s="12" t="s">
        <v>226</v>
      </c>
      <c r="B249" s="7">
        <v>725.88</v>
      </c>
      <c r="C249" s="8">
        <f>IFERROR(B249/B444, "NA")</f>
        <v>9.991534697417051E-3</v>
      </c>
      <c r="D249" s="9"/>
      <c r="E249" s="7">
        <v>0</v>
      </c>
      <c r="F249" s="8">
        <f>IFERROR(E249/E444, "NA")</f>
        <v>0</v>
      </c>
      <c r="G249" s="9"/>
      <c r="H249" s="10">
        <f t="shared" si="64"/>
        <v>-725.88</v>
      </c>
      <c r="I249" s="8">
        <f>IFERROR(H249/H444, "NA")</f>
        <v>0.24156061977530432</v>
      </c>
      <c r="J249" s="9"/>
      <c r="K249" s="7">
        <v>780.46</v>
      </c>
      <c r="L249" s="8">
        <f>IFERROR(K249/K444, "NA")</f>
        <v>1.0702965085837929E-2</v>
      </c>
      <c r="M249" s="9"/>
      <c r="N249" s="10">
        <f t="shared" si="65"/>
        <v>54.580000000000041</v>
      </c>
      <c r="O249" s="8">
        <f>IFERROR(N249/N444, "NA")</f>
        <v>-0.20178941141674381</v>
      </c>
      <c r="P249" s="9"/>
      <c r="Q249" s="7">
        <v>725.88</v>
      </c>
      <c r="R249" s="8">
        <f>IFERROR(Q249/Q444, "NA")</f>
        <v>9.991534697417051E-3</v>
      </c>
      <c r="S249" s="9"/>
      <c r="T249" s="7">
        <v>0</v>
      </c>
      <c r="U249" s="8">
        <f>IFERROR(T249/T444, "NA")</f>
        <v>0</v>
      </c>
      <c r="V249" s="9"/>
      <c r="W249" s="10">
        <f t="shared" si="66"/>
        <v>-725.88</v>
      </c>
      <c r="X249" s="8">
        <f>IFERROR(W249/W444, "NA")</f>
        <v>0.24156061977530432</v>
      </c>
      <c r="Y249" s="9"/>
      <c r="Z249" s="7">
        <v>780.46</v>
      </c>
      <c r="AA249" s="8">
        <f>IFERROR(Z249/Z444, "NA")</f>
        <v>1.0702965085837929E-2</v>
      </c>
      <c r="AB249" s="9"/>
      <c r="AC249" s="10">
        <f t="shared" si="67"/>
        <v>54.580000000000041</v>
      </c>
      <c r="AD249" s="8">
        <f>IFERROR(AC249/AC444, "NA")</f>
        <v>-0.20178941141674381</v>
      </c>
    </row>
    <row r="250" spans="1:30" ht="16.5" hidden="1" customHeight="1" x14ac:dyDescent="0.45">
      <c r="A250" s="12" t="s">
        <v>227</v>
      </c>
      <c r="B250" s="7">
        <v>0</v>
      </c>
      <c r="C250" s="8">
        <f>IFERROR(B250/B444, "NA")</f>
        <v>0</v>
      </c>
      <c r="D250" s="9"/>
      <c r="E250" s="7">
        <v>0</v>
      </c>
      <c r="F250" s="8">
        <f>IFERROR(E250/E444, "NA")</f>
        <v>0</v>
      </c>
      <c r="G250" s="9"/>
      <c r="H250" s="10">
        <f t="shared" si="64"/>
        <v>0</v>
      </c>
      <c r="I250" s="8">
        <f>IFERROR(H250/H444, "NA")</f>
        <v>0</v>
      </c>
      <c r="J250" s="9"/>
      <c r="K250" s="7">
        <v>0</v>
      </c>
      <c r="L250" s="8">
        <f>IFERROR(K250/K444, "NA")</f>
        <v>0</v>
      </c>
      <c r="M250" s="9"/>
      <c r="N250" s="10">
        <f t="shared" si="65"/>
        <v>0</v>
      </c>
      <c r="O250" s="8">
        <f>IFERROR(N250/N444, "NA")</f>
        <v>0</v>
      </c>
      <c r="P250" s="9"/>
      <c r="Q250" s="7">
        <v>0</v>
      </c>
      <c r="R250" s="8">
        <f>IFERROR(Q250/Q444, "NA")</f>
        <v>0</v>
      </c>
      <c r="S250" s="9"/>
      <c r="T250" s="7">
        <v>0</v>
      </c>
      <c r="U250" s="8">
        <f>IFERROR(T250/T444, "NA")</f>
        <v>0</v>
      </c>
      <c r="V250" s="9"/>
      <c r="W250" s="10">
        <f t="shared" si="66"/>
        <v>0</v>
      </c>
      <c r="X250" s="8">
        <f>IFERROR(W250/W444, "NA")</f>
        <v>0</v>
      </c>
      <c r="Y250" s="9"/>
      <c r="Z250" s="7">
        <v>0</v>
      </c>
      <c r="AA250" s="8">
        <f>IFERROR(Z250/Z444, "NA")</f>
        <v>0</v>
      </c>
      <c r="AB250" s="9"/>
      <c r="AC250" s="10">
        <f t="shared" si="67"/>
        <v>0</v>
      </c>
      <c r="AD250" s="8">
        <f>IFERROR(AC250/AC444, "NA")</f>
        <v>0</v>
      </c>
    </row>
    <row r="251" spans="1:30" ht="16.5" hidden="1" customHeight="1" x14ac:dyDescent="0.45">
      <c r="A251" s="12" t="s">
        <v>228</v>
      </c>
      <c r="B251" s="7">
        <v>0</v>
      </c>
      <c r="C251" s="8">
        <f>IFERROR(B251/B444, "NA")</f>
        <v>0</v>
      </c>
      <c r="D251" s="9"/>
      <c r="E251" s="7">
        <v>0</v>
      </c>
      <c r="F251" s="8">
        <f>IFERROR(E251/E444, "NA")</f>
        <v>0</v>
      </c>
      <c r="G251" s="9"/>
      <c r="H251" s="10">
        <f t="shared" si="64"/>
        <v>0</v>
      </c>
      <c r="I251" s="8">
        <f>IFERROR(H251/H444, "NA")</f>
        <v>0</v>
      </c>
      <c r="J251" s="9"/>
      <c r="K251" s="7">
        <v>0</v>
      </c>
      <c r="L251" s="8">
        <f>IFERROR(K251/K444, "NA")</f>
        <v>0</v>
      </c>
      <c r="M251" s="9"/>
      <c r="N251" s="10">
        <f t="shared" si="65"/>
        <v>0</v>
      </c>
      <c r="O251" s="8">
        <f>IFERROR(N251/N444, "NA")</f>
        <v>0</v>
      </c>
      <c r="P251" s="9"/>
      <c r="Q251" s="7">
        <v>0</v>
      </c>
      <c r="R251" s="8">
        <f>IFERROR(Q251/Q444, "NA")</f>
        <v>0</v>
      </c>
      <c r="S251" s="9"/>
      <c r="T251" s="7">
        <v>0</v>
      </c>
      <c r="U251" s="8">
        <f>IFERROR(T251/T444, "NA")</f>
        <v>0</v>
      </c>
      <c r="V251" s="9"/>
      <c r="W251" s="10">
        <f t="shared" si="66"/>
        <v>0</v>
      </c>
      <c r="X251" s="8">
        <f>IFERROR(W251/W444, "NA")</f>
        <v>0</v>
      </c>
      <c r="Y251" s="9"/>
      <c r="Z251" s="7">
        <v>0</v>
      </c>
      <c r="AA251" s="8">
        <f>IFERROR(Z251/Z444, "NA")</f>
        <v>0</v>
      </c>
      <c r="AB251" s="9"/>
      <c r="AC251" s="10">
        <f t="shared" si="67"/>
        <v>0</v>
      </c>
      <c r="AD251" s="8">
        <f>IFERROR(AC251/AC444, "NA")</f>
        <v>0</v>
      </c>
    </row>
    <row r="252" spans="1:30" ht="16.5" hidden="1" customHeight="1" x14ac:dyDescent="0.45">
      <c r="A252" s="12" t="s">
        <v>229</v>
      </c>
      <c r="B252" s="7">
        <v>0</v>
      </c>
      <c r="C252" s="8">
        <f>IFERROR(B252/B444, "NA")</f>
        <v>0</v>
      </c>
      <c r="D252" s="9"/>
      <c r="E252" s="7">
        <v>0</v>
      </c>
      <c r="F252" s="8">
        <f>IFERROR(E252/E444, "NA")</f>
        <v>0</v>
      </c>
      <c r="G252" s="9"/>
      <c r="H252" s="10">
        <f t="shared" si="64"/>
        <v>0</v>
      </c>
      <c r="I252" s="8">
        <f>IFERROR(H252/H444, "NA")</f>
        <v>0</v>
      </c>
      <c r="J252" s="9"/>
      <c r="K252" s="7">
        <v>0</v>
      </c>
      <c r="L252" s="8">
        <f>IFERROR(K252/K444, "NA")</f>
        <v>0</v>
      </c>
      <c r="M252" s="9"/>
      <c r="N252" s="10">
        <f t="shared" si="65"/>
        <v>0</v>
      </c>
      <c r="O252" s="8">
        <f>IFERROR(N252/N444, "NA")</f>
        <v>0</v>
      </c>
      <c r="P252" s="9"/>
      <c r="Q252" s="7">
        <v>0</v>
      </c>
      <c r="R252" s="8">
        <f>IFERROR(Q252/Q444, "NA")</f>
        <v>0</v>
      </c>
      <c r="S252" s="9"/>
      <c r="T252" s="7">
        <v>0</v>
      </c>
      <c r="U252" s="8">
        <f>IFERROR(T252/T444, "NA")</f>
        <v>0</v>
      </c>
      <c r="V252" s="9"/>
      <c r="W252" s="10">
        <f t="shared" si="66"/>
        <v>0</v>
      </c>
      <c r="X252" s="8">
        <f>IFERROR(W252/W444, "NA")</f>
        <v>0</v>
      </c>
      <c r="Y252" s="9"/>
      <c r="Z252" s="7">
        <v>0</v>
      </c>
      <c r="AA252" s="8">
        <f>IFERROR(Z252/Z444, "NA")</f>
        <v>0</v>
      </c>
      <c r="AB252" s="9"/>
      <c r="AC252" s="10">
        <f t="shared" si="67"/>
        <v>0</v>
      </c>
      <c r="AD252" s="8">
        <f>IFERROR(AC252/AC444, "NA")</f>
        <v>0</v>
      </c>
    </row>
    <row r="253" spans="1:30" ht="16.5" hidden="1" customHeight="1" x14ac:dyDescent="0.45">
      <c r="A253" s="12" t="s">
        <v>230</v>
      </c>
      <c r="B253" s="7">
        <v>0</v>
      </c>
      <c r="C253" s="8">
        <f>IFERROR(B253/B444, "NA")</f>
        <v>0</v>
      </c>
      <c r="D253" s="9"/>
      <c r="E253" s="7">
        <v>0</v>
      </c>
      <c r="F253" s="8">
        <f>IFERROR(E253/E444, "NA")</f>
        <v>0</v>
      </c>
      <c r="G253" s="9"/>
      <c r="H253" s="10">
        <f t="shared" si="64"/>
        <v>0</v>
      </c>
      <c r="I253" s="8">
        <f>IFERROR(H253/H444, "NA")</f>
        <v>0</v>
      </c>
      <c r="J253" s="9"/>
      <c r="K253" s="7">
        <v>0</v>
      </c>
      <c r="L253" s="8">
        <f>IFERROR(K253/K444, "NA")</f>
        <v>0</v>
      </c>
      <c r="M253" s="9"/>
      <c r="N253" s="10">
        <f t="shared" si="65"/>
        <v>0</v>
      </c>
      <c r="O253" s="8">
        <f>IFERROR(N253/N444, "NA")</f>
        <v>0</v>
      </c>
      <c r="P253" s="9"/>
      <c r="Q253" s="7">
        <v>0</v>
      </c>
      <c r="R253" s="8">
        <f>IFERROR(Q253/Q444, "NA")</f>
        <v>0</v>
      </c>
      <c r="S253" s="9"/>
      <c r="T253" s="7">
        <v>0</v>
      </c>
      <c r="U253" s="8">
        <f>IFERROR(T253/T444, "NA")</f>
        <v>0</v>
      </c>
      <c r="V253" s="9"/>
      <c r="W253" s="10">
        <f t="shared" si="66"/>
        <v>0</v>
      </c>
      <c r="X253" s="8">
        <f>IFERROR(W253/W444, "NA")</f>
        <v>0</v>
      </c>
      <c r="Y253" s="9"/>
      <c r="Z253" s="7">
        <v>0</v>
      </c>
      <c r="AA253" s="8">
        <f>IFERROR(Z253/Z444, "NA")</f>
        <v>0</v>
      </c>
      <c r="AB253" s="9"/>
      <c r="AC253" s="10">
        <f t="shared" si="67"/>
        <v>0</v>
      </c>
      <c r="AD253" s="8">
        <f>IFERROR(AC253/AC444, "NA")</f>
        <v>0</v>
      </c>
    </row>
    <row r="254" spans="1:30" ht="16.5" hidden="1" customHeight="1" x14ac:dyDescent="0.45">
      <c r="A254" s="12" t="s">
        <v>231</v>
      </c>
      <c r="B254" s="7">
        <v>0</v>
      </c>
      <c r="C254" s="8">
        <f>IFERROR(B254/B444, "NA")</f>
        <v>0</v>
      </c>
      <c r="D254" s="9"/>
      <c r="E254" s="7">
        <v>0</v>
      </c>
      <c r="F254" s="8">
        <f>IFERROR(E254/E444, "NA")</f>
        <v>0</v>
      </c>
      <c r="G254" s="9"/>
      <c r="H254" s="10">
        <f t="shared" si="64"/>
        <v>0</v>
      </c>
      <c r="I254" s="8">
        <f>IFERROR(H254/H444, "NA")</f>
        <v>0</v>
      </c>
      <c r="J254" s="9"/>
      <c r="K254" s="7">
        <v>0</v>
      </c>
      <c r="L254" s="8">
        <f>IFERROR(K254/K444, "NA")</f>
        <v>0</v>
      </c>
      <c r="M254" s="9"/>
      <c r="N254" s="10">
        <f t="shared" si="65"/>
        <v>0</v>
      </c>
      <c r="O254" s="8">
        <f>IFERROR(N254/N444, "NA")</f>
        <v>0</v>
      </c>
      <c r="P254" s="9"/>
      <c r="Q254" s="7">
        <v>0</v>
      </c>
      <c r="R254" s="8">
        <f>IFERROR(Q254/Q444, "NA")</f>
        <v>0</v>
      </c>
      <c r="S254" s="9"/>
      <c r="T254" s="7">
        <v>0</v>
      </c>
      <c r="U254" s="8">
        <f>IFERROR(T254/T444, "NA")</f>
        <v>0</v>
      </c>
      <c r="V254" s="9"/>
      <c r="W254" s="10">
        <f t="shared" si="66"/>
        <v>0</v>
      </c>
      <c r="X254" s="8">
        <f>IFERROR(W254/W444, "NA")</f>
        <v>0</v>
      </c>
      <c r="Y254" s="9"/>
      <c r="Z254" s="7">
        <v>0</v>
      </c>
      <c r="AA254" s="8">
        <f>IFERROR(Z254/Z444, "NA")</f>
        <v>0</v>
      </c>
      <c r="AB254" s="9"/>
      <c r="AC254" s="10">
        <f t="shared" si="67"/>
        <v>0</v>
      </c>
      <c r="AD254" s="8">
        <f>IFERROR(AC254/AC444, "NA")</f>
        <v>0</v>
      </c>
    </row>
    <row r="255" spans="1:30" ht="16.5" hidden="1" customHeight="1" x14ac:dyDescent="0.45">
      <c r="A255" s="12" t="s">
        <v>232</v>
      </c>
      <c r="B255" s="7">
        <v>0</v>
      </c>
      <c r="C255" s="8">
        <f>IFERROR(B255/B444, "NA")</f>
        <v>0</v>
      </c>
      <c r="D255" s="9"/>
      <c r="E255" s="7">
        <v>0</v>
      </c>
      <c r="F255" s="8">
        <f>IFERROR(E255/E444, "NA")</f>
        <v>0</v>
      </c>
      <c r="G255" s="9"/>
      <c r="H255" s="10">
        <f t="shared" si="64"/>
        <v>0</v>
      </c>
      <c r="I255" s="8">
        <f>IFERROR(H255/H444, "NA")</f>
        <v>0</v>
      </c>
      <c r="J255" s="9"/>
      <c r="K255" s="7">
        <v>0</v>
      </c>
      <c r="L255" s="8">
        <f>IFERROR(K255/K444, "NA")</f>
        <v>0</v>
      </c>
      <c r="M255" s="9"/>
      <c r="N255" s="10">
        <f t="shared" si="65"/>
        <v>0</v>
      </c>
      <c r="O255" s="8">
        <f>IFERROR(N255/N444, "NA")</f>
        <v>0</v>
      </c>
      <c r="P255" s="9"/>
      <c r="Q255" s="7">
        <v>0</v>
      </c>
      <c r="R255" s="8">
        <f>IFERROR(Q255/Q444, "NA")</f>
        <v>0</v>
      </c>
      <c r="S255" s="9"/>
      <c r="T255" s="7">
        <v>0</v>
      </c>
      <c r="U255" s="8">
        <f>IFERROR(T255/T444, "NA")</f>
        <v>0</v>
      </c>
      <c r="V255" s="9"/>
      <c r="W255" s="10">
        <f t="shared" si="66"/>
        <v>0</v>
      </c>
      <c r="X255" s="8">
        <f>IFERROR(W255/W444, "NA")</f>
        <v>0</v>
      </c>
      <c r="Y255" s="9"/>
      <c r="Z255" s="7">
        <v>0</v>
      </c>
      <c r="AA255" s="8">
        <f>IFERROR(Z255/Z444, "NA")</f>
        <v>0</v>
      </c>
      <c r="AB255" s="9"/>
      <c r="AC255" s="10">
        <f t="shared" si="67"/>
        <v>0</v>
      </c>
      <c r="AD255" s="8">
        <f>IFERROR(AC255/AC444, "NA")</f>
        <v>0</v>
      </c>
    </row>
    <row r="256" spans="1:30" ht="16.5" hidden="1" customHeight="1" x14ac:dyDescent="0.45">
      <c r="A256" s="12" t="s">
        <v>233</v>
      </c>
      <c r="B256" s="7">
        <v>0</v>
      </c>
      <c r="C256" s="8">
        <f>IFERROR(B256/B444, "NA")</f>
        <v>0</v>
      </c>
      <c r="D256" s="9"/>
      <c r="E256" s="7">
        <v>0</v>
      </c>
      <c r="F256" s="8">
        <f>IFERROR(E256/E444, "NA")</f>
        <v>0</v>
      </c>
      <c r="G256" s="9"/>
      <c r="H256" s="10">
        <f t="shared" si="64"/>
        <v>0</v>
      </c>
      <c r="I256" s="8">
        <f>IFERROR(H256/H444, "NA")</f>
        <v>0</v>
      </c>
      <c r="J256" s="9"/>
      <c r="K256" s="7">
        <v>0</v>
      </c>
      <c r="L256" s="8">
        <f>IFERROR(K256/K444, "NA")</f>
        <v>0</v>
      </c>
      <c r="M256" s="9"/>
      <c r="N256" s="10">
        <f t="shared" si="65"/>
        <v>0</v>
      </c>
      <c r="O256" s="8">
        <f>IFERROR(N256/N444, "NA")</f>
        <v>0</v>
      </c>
      <c r="P256" s="9"/>
      <c r="Q256" s="7">
        <v>0</v>
      </c>
      <c r="R256" s="8">
        <f>IFERROR(Q256/Q444, "NA")</f>
        <v>0</v>
      </c>
      <c r="S256" s="9"/>
      <c r="T256" s="7">
        <v>0</v>
      </c>
      <c r="U256" s="8">
        <f>IFERROR(T256/T444, "NA")</f>
        <v>0</v>
      </c>
      <c r="V256" s="9"/>
      <c r="W256" s="10">
        <f t="shared" si="66"/>
        <v>0</v>
      </c>
      <c r="X256" s="8">
        <f>IFERROR(W256/W444, "NA")</f>
        <v>0</v>
      </c>
      <c r="Y256" s="9"/>
      <c r="Z256" s="7">
        <v>0</v>
      </c>
      <c r="AA256" s="8">
        <f>IFERROR(Z256/Z444, "NA")</f>
        <v>0</v>
      </c>
      <c r="AB256" s="9"/>
      <c r="AC256" s="10">
        <f t="shared" si="67"/>
        <v>0</v>
      </c>
      <c r="AD256" s="8">
        <f>IFERROR(AC256/AC444, "NA")</f>
        <v>0</v>
      </c>
    </row>
    <row r="257" spans="1:30" ht="16.5" hidden="1" customHeight="1" x14ac:dyDescent="0.45">
      <c r="A257" s="12" t="s">
        <v>234</v>
      </c>
      <c r="B257" s="7">
        <v>0</v>
      </c>
      <c r="C257" s="8">
        <f>IFERROR(B257/B444, "NA")</f>
        <v>0</v>
      </c>
      <c r="D257" s="9"/>
      <c r="E257" s="7">
        <v>0</v>
      </c>
      <c r="F257" s="8">
        <f>IFERROR(E257/E444, "NA")</f>
        <v>0</v>
      </c>
      <c r="G257" s="9"/>
      <c r="H257" s="10">
        <f t="shared" si="64"/>
        <v>0</v>
      </c>
      <c r="I257" s="8">
        <f>IFERROR(H257/H444, "NA")</f>
        <v>0</v>
      </c>
      <c r="J257" s="9"/>
      <c r="K257" s="7">
        <v>0</v>
      </c>
      <c r="L257" s="8">
        <f>IFERROR(K257/K444, "NA")</f>
        <v>0</v>
      </c>
      <c r="M257" s="9"/>
      <c r="N257" s="10">
        <f t="shared" si="65"/>
        <v>0</v>
      </c>
      <c r="O257" s="8">
        <f>IFERROR(N257/N444, "NA")</f>
        <v>0</v>
      </c>
      <c r="P257" s="9"/>
      <c r="Q257" s="7">
        <v>0</v>
      </c>
      <c r="R257" s="8">
        <f>IFERROR(Q257/Q444, "NA")</f>
        <v>0</v>
      </c>
      <c r="S257" s="9"/>
      <c r="T257" s="7">
        <v>0</v>
      </c>
      <c r="U257" s="8">
        <f>IFERROR(T257/T444, "NA")</f>
        <v>0</v>
      </c>
      <c r="V257" s="9"/>
      <c r="W257" s="10">
        <f t="shared" si="66"/>
        <v>0</v>
      </c>
      <c r="X257" s="8">
        <f>IFERROR(W257/W444, "NA")</f>
        <v>0</v>
      </c>
      <c r="Y257" s="9"/>
      <c r="Z257" s="7">
        <v>0</v>
      </c>
      <c r="AA257" s="8">
        <f>IFERROR(Z257/Z444, "NA")</f>
        <v>0</v>
      </c>
      <c r="AB257" s="9"/>
      <c r="AC257" s="10">
        <f t="shared" si="67"/>
        <v>0</v>
      </c>
      <c r="AD257" s="8">
        <f>IFERROR(AC257/AC444, "NA")</f>
        <v>0</v>
      </c>
    </row>
    <row r="258" spans="1:30" ht="16.5" hidden="1" customHeight="1" x14ac:dyDescent="0.45">
      <c r="A258" s="12" t="s">
        <v>235</v>
      </c>
      <c r="B258" s="7">
        <v>0</v>
      </c>
      <c r="C258" s="8">
        <f>IFERROR(B258/B444, "NA")</f>
        <v>0</v>
      </c>
      <c r="D258" s="9"/>
      <c r="E258" s="7">
        <v>0</v>
      </c>
      <c r="F258" s="8">
        <f>IFERROR(E258/E444, "NA")</f>
        <v>0</v>
      </c>
      <c r="G258" s="9"/>
      <c r="H258" s="10">
        <f t="shared" si="64"/>
        <v>0</v>
      </c>
      <c r="I258" s="8">
        <f>IFERROR(H258/H444, "NA")</f>
        <v>0</v>
      </c>
      <c r="J258" s="9"/>
      <c r="K258" s="7">
        <v>0</v>
      </c>
      <c r="L258" s="8">
        <f>IFERROR(K258/K444, "NA")</f>
        <v>0</v>
      </c>
      <c r="M258" s="9"/>
      <c r="N258" s="10">
        <f t="shared" si="65"/>
        <v>0</v>
      </c>
      <c r="O258" s="8">
        <f>IFERROR(N258/N444, "NA")</f>
        <v>0</v>
      </c>
      <c r="P258" s="9"/>
      <c r="Q258" s="7">
        <v>0</v>
      </c>
      <c r="R258" s="8">
        <f>IFERROR(Q258/Q444, "NA")</f>
        <v>0</v>
      </c>
      <c r="S258" s="9"/>
      <c r="T258" s="7">
        <v>0</v>
      </c>
      <c r="U258" s="8">
        <f>IFERROR(T258/T444, "NA")</f>
        <v>0</v>
      </c>
      <c r="V258" s="9"/>
      <c r="W258" s="10">
        <f t="shared" si="66"/>
        <v>0</v>
      </c>
      <c r="X258" s="8">
        <f>IFERROR(W258/W444, "NA")</f>
        <v>0</v>
      </c>
      <c r="Y258" s="9"/>
      <c r="Z258" s="7">
        <v>0</v>
      </c>
      <c r="AA258" s="8">
        <f>IFERROR(Z258/Z444, "NA")</f>
        <v>0</v>
      </c>
      <c r="AB258" s="9"/>
      <c r="AC258" s="10">
        <f t="shared" si="67"/>
        <v>0</v>
      </c>
      <c r="AD258" s="8">
        <f>IFERROR(AC258/AC444, "NA")</f>
        <v>0</v>
      </c>
    </row>
    <row r="259" spans="1:30" ht="16.5" hidden="1" customHeight="1" x14ac:dyDescent="0.45">
      <c r="A259" s="12" t="s">
        <v>236</v>
      </c>
      <c r="B259" s="7">
        <v>0</v>
      </c>
      <c r="C259" s="8">
        <f>IFERROR(B259/B444, "NA")</f>
        <v>0</v>
      </c>
      <c r="D259" s="9"/>
      <c r="E259" s="7">
        <v>0</v>
      </c>
      <c r="F259" s="8">
        <f>IFERROR(E259/E444, "NA")</f>
        <v>0</v>
      </c>
      <c r="G259" s="9"/>
      <c r="H259" s="10">
        <f t="shared" si="64"/>
        <v>0</v>
      </c>
      <c r="I259" s="8">
        <f>IFERROR(H259/H444, "NA")</f>
        <v>0</v>
      </c>
      <c r="J259" s="9"/>
      <c r="K259" s="7">
        <v>0</v>
      </c>
      <c r="L259" s="8">
        <f>IFERROR(K259/K444, "NA")</f>
        <v>0</v>
      </c>
      <c r="M259" s="9"/>
      <c r="N259" s="10">
        <f t="shared" si="65"/>
        <v>0</v>
      </c>
      <c r="O259" s="8">
        <f>IFERROR(N259/N444, "NA")</f>
        <v>0</v>
      </c>
      <c r="P259" s="9"/>
      <c r="Q259" s="7">
        <v>0</v>
      </c>
      <c r="R259" s="8">
        <f>IFERROR(Q259/Q444, "NA")</f>
        <v>0</v>
      </c>
      <c r="S259" s="9"/>
      <c r="T259" s="7">
        <v>0</v>
      </c>
      <c r="U259" s="8">
        <f>IFERROR(T259/T444, "NA")</f>
        <v>0</v>
      </c>
      <c r="V259" s="9"/>
      <c r="W259" s="10">
        <f t="shared" si="66"/>
        <v>0</v>
      </c>
      <c r="X259" s="8">
        <f>IFERROR(W259/W444, "NA")</f>
        <v>0</v>
      </c>
      <c r="Y259" s="9"/>
      <c r="Z259" s="7">
        <v>0</v>
      </c>
      <c r="AA259" s="8">
        <f>IFERROR(Z259/Z444, "NA")</f>
        <v>0</v>
      </c>
      <c r="AB259" s="9"/>
      <c r="AC259" s="10">
        <f t="shared" si="67"/>
        <v>0</v>
      </c>
      <c r="AD259" s="8">
        <f>IFERROR(AC259/AC444, "NA")</f>
        <v>0</v>
      </c>
    </row>
    <row r="260" spans="1:30" ht="16.5" hidden="1" customHeight="1" x14ac:dyDescent="0.45">
      <c r="A260" s="12" t="s">
        <v>237</v>
      </c>
      <c r="B260" s="7">
        <v>0</v>
      </c>
      <c r="C260" s="8">
        <f>IFERROR(B260/B444, "NA")</f>
        <v>0</v>
      </c>
      <c r="D260" s="9"/>
      <c r="E260" s="7">
        <v>0</v>
      </c>
      <c r="F260" s="8">
        <f>IFERROR(E260/E444, "NA")</f>
        <v>0</v>
      </c>
      <c r="G260" s="9"/>
      <c r="H260" s="10">
        <f t="shared" si="64"/>
        <v>0</v>
      </c>
      <c r="I260" s="8">
        <f>IFERROR(H260/H444, "NA")</f>
        <v>0</v>
      </c>
      <c r="J260" s="9"/>
      <c r="K260" s="7">
        <v>0</v>
      </c>
      <c r="L260" s="8">
        <f>IFERROR(K260/K444, "NA")</f>
        <v>0</v>
      </c>
      <c r="M260" s="9"/>
      <c r="N260" s="10">
        <f t="shared" si="65"/>
        <v>0</v>
      </c>
      <c r="O260" s="8">
        <f>IFERROR(N260/N444, "NA")</f>
        <v>0</v>
      </c>
      <c r="P260" s="9"/>
      <c r="Q260" s="7">
        <v>0</v>
      </c>
      <c r="R260" s="8">
        <f>IFERROR(Q260/Q444, "NA")</f>
        <v>0</v>
      </c>
      <c r="S260" s="9"/>
      <c r="T260" s="7">
        <v>0</v>
      </c>
      <c r="U260" s="8">
        <f>IFERROR(T260/T444, "NA")</f>
        <v>0</v>
      </c>
      <c r="V260" s="9"/>
      <c r="W260" s="10">
        <f t="shared" si="66"/>
        <v>0</v>
      </c>
      <c r="X260" s="8">
        <f>IFERROR(W260/W444, "NA")</f>
        <v>0</v>
      </c>
      <c r="Y260" s="9"/>
      <c r="Z260" s="7">
        <v>0</v>
      </c>
      <c r="AA260" s="8">
        <f>IFERROR(Z260/Z444, "NA")</f>
        <v>0</v>
      </c>
      <c r="AB260" s="9"/>
      <c r="AC260" s="10">
        <f t="shared" si="67"/>
        <v>0</v>
      </c>
      <c r="AD260" s="8">
        <f>IFERROR(AC260/AC444, "NA")</f>
        <v>0</v>
      </c>
    </row>
    <row r="261" spans="1:30" ht="16.5" hidden="1" customHeight="1" x14ac:dyDescent="0.45">
      <c r="A261" s="12" t="s">
        <v>238</v>
      </c>
      <c r="B261" s="7">
        <v>0</v>
      </c>
      <c r="C261" s="8">
        <f>IFERROR(B261/B444, "NA")</f>
        <v>0</v>
      </c>
      <c r="D261" s="9"/>
      <c r="E261" s="7">
        <v>0</v>
      </c>
      <c r="F261" s="8">
        <f>IFERROR(E261/E444, "NA")</f>
        <v>0</v>
      </c>
      <c r="G261" s="9"/>
      <c r="H261" s="10">
        <f t="shared" si="64"/>
        <v>0</v>
      </c>
      <c r="I261" s="8">
        <f>IFERROR(H261/H444, "NA")</f>
        <v>0</v>
      </c>
      <c r="J261" s="9"/>
      <c r="K261" s="7">
        <v>0</v>
      </c>
      <c r="L261" s="8">
        <f>IFERROR(K261/K444, "NA")</f>
        <v>0</v>
      </c>
      <c r="M261" s="9"/>
      <c r="N261" s="10">
        <f t="shared" si="65"/>
        <v>0</v>
      </c>
      <c r="O261" s="8">
        <f>IFERROR(N261/N444, "NA")</f>
        <v>0</v>
      </c>
      <c r="P261" s="9"/>
      <c r="Q261" s="7">
        <v>0</v>
      </c>
      <c r="R261" s="8">
        <f>IFERROR(Q261/Q444, "NA")</f>
        <v>0</v>
      </c>
      <c r="S261" s="9"/>
      <c r="T261" s="7">
        <v>0</v>
      </c>
      <c r="U261" s="8">
        <f>IFERROR(T261/T444, "NA")</f>
        <v>0</v>
      </c>
      <c r="V261" s="9"/>
      <c r="W261" s="10">
        <f t="shared" si="66"/>
        <v>0</v>
      </c>
      <c r="X261" s="8">
        <f>IFERROR(W261/W444, "NA")</f>
        <v>0</v>
      </c>
      <c r="Y261" s="9"/>
      <c r="Z261" s="7">
        <v>0</v>
      </c>
      <c r="AA261" s="8">
        <f>IFERROR(Z261/Z444, "NA")</f>
        <v>0</v>
      </c>
      <c r="AB261" s="9"/>
      <c r="AC261" s="10">
        <f t="shared" si="67"/>
        <v>0</v>
      </c>
      <c r="AD261" s="8">
        <f>IFERROR(AC261/AC444, "NA")</f>
        <v>0</v>
      </c>
    </row>
    <row r="262" spans="1:30" ht="16.5" customHeight="1" x14ac:dyDescent="0.45">
      <c r="A262" s="13" t="s">
        <v>239</v>
      </c>
      <c r="B262" s="14">
        <f>IFERROR(B240+B241+B242+B243+B244+B245+B246+B247+B248+B249+B250+B251+B252+B253+B254+B255+B256+B257+B258+B259+B260+B261, "NA")</f>
        <v>4421.6799999999994</v>
      </c>
      <c r="C262" s="15">
        <f>IFERROR(B262/B444, "NA")</f>
        <v>6.0863185569067911E-2</v>
      </c>
      <c r="D262" s="2"/>
      <c r="E262" s="14">
        <f>IFERROR(E240+E241+E242+E243+E244+E245+E246+E247+E248+E249+E250+E251+E252+E253+E254+E255+E256+E257+E258+E259+E260+E261, "NA")</f>
        <v>4009.69</v>
      </c>
      <c r="F262" s="15">
        <f>IFERROR(E262/E444, "NA")</f>
        <v>5.3000047849128783E-2</v>
      </c>
      <c r="G262" s="2"/>
      <c r="H262" s="14">
        <f t="shared" si="64"/>
        <v>-411.98999999999933</v>
      </c>
      <c r="I262" s="15">
        <f>IFERROR(H262/H444, "NA")</f>
        <v>0.13710332250678825</v>
      </c>
      <c r="J262" s="2"/>
      <c r="K262" s="14">
        <f>IFERROR(K240+K241+K242+K243+K244+K245+K246+K247+K248+K249+K250+K251+K252+K253+K254+K255+K256+K257+K258+K259+K260+K261, "NA")</f>
        <v>4441.99</v>
      </c>
      <c r="L262" s="15">
        <f>IFERROR(K262/K444, "NA")</f>
        <v>6.0915951979142069E-2</v>
      </c>
      <c r="M262" s="2"/>
      <c r="N262" s="14">
        <f t="shared" si="65"/>
        <v>20.3100000000004</v>
      </c>
      <c r="O262" s="15">
        <f>IFERROR(N262/N444, "NA")</f>
        <v>-7.508873114463438E-2</v>
      </c>
      <c r="P262" s="2"/>
      <c r="Q262" s="14">
        <f>IFERROR(Q240+Q241+Q242+Q243+Q244+Q245+Q246+Q247+Q248+Q249+Q250+Q251+Q252+Q253+Q254+Q255+Q256+Q257+Q258+Q259+Q260+Q261, "NA")</f>
        <v>4421.6799999999994</v>
      </c>
      <c r="R262" s="15">
        <f>IFERROR(Q262/Q444, "NA")</f>
        <v>6.0863185569067911E-2</v>
      </c>
      <c r="S262" s="2"/>
      <c r="T262" s="14">
        <f>IFERROR(T240+T241+T242+T243+T244+T245+T246+T247+T248+T249+T250+T251+T252+T253+T254+T255+T256+T257+T258+T259+T260+T261, "NA")</f>
        <v>4009.69</v>
      </c>
      <c r="U262" s="15">
        <f>IFERROR(T262/T444, "NA")</f>
        <v>5.3000047849128783E-2</v>
      </c>
      <c r="V262" s="2"/>
      <c r="W262" s="14">
        <f t="shared" si="66"/>
        <v>-411.98999999999933</v>
      </c>
      <c r="X262" s="15">
        <f>IFERROR(W262/W444, "NA")</f>
        <v>0.13710332250678825</v>
      </c>
      <c r="Y262" s="2"/>
      <c r="Z262" s="14">
        <f>IFERROR(Z240+Z241+Z242+Z243+Z244+Z245+Z246+Z247+Z248+Z249+Z250+Z251+Z252+Z253+Z254+Z255+Z256+Z257+Z258+Z259+Z260+Z261, "NA")</f>
        <v>4441.99</v>
      </c>
      <c r="AA262" s="15">
        <f>IFERROR(Z262/Z444, "NA")</f>
        <v>6.0915951979142069E-2</v>
      </c>
      <c r="AB262" s="2"/>
      <c r="AC262" s="14">
        <f t="shared" si="67"/>
        <v>20.3100000000004</v>
      </c>
      <c r="AD262" s="15">
        <f>IFERROR(AC262/AC444, "NA")</f>
        <v>-7.508873114463438E-2</v>
      </c>
    </row>
    <row r="263" spans="1:30" ht="16.5" customHeight="1" x14ac:dyDescent="0.45">
      <c r="A263" s="19" t="s">
        <v>240</v>
      </c>
      <c r="B263" s="14">
        <f>IFERROR(B238+B240+B241+B242+B243+B244+B245+B246+B247+B248+B249+B250+B251+B252+B253+B254+B255+B256+B257+B258+B259+B260+B261, "NA")</f>
        <v>4421.6799999999994</v>
      </c>
      <c r="C263" s="15">
        <f>IFERROR(B263/B444, "NA")</f>
        <v>6.0863185569067911E-2</v>
      </c>
      <c r="D263" s="2"/>
      <c r="E263" s="14">
        <f>IFERROR(E238+E240+E241+E242+E243+E244+E245+E246+E247+E248+E249+E250+E251+E252+E253+E254+E255+E256+E257+E258+E259+E260+E261, "NA")</f>
        <v>4009.69</v>
      </c>
      <c r="F263" s="15">
        <f>IFERROR(E263/E444, "NA")</f>
        <v>5.3000047849128783E-2</v>
      </c>
      <c r="G263" s="2"/>
      <c r="H263" s="14">
        <f t="shared" si="64"/>
        <v>-411.98999999999933</v>
      </c>
      <c r="I263" s="15">
        <f>IFERROR(H263/H444, "NA")</f>
        <v>0.13710332250678825</v>
      </c>
      <c r="J263" s="2"/>
      <c r="K263" s="14">
        <f>IFERROR(K238+K240+K241+K242+K243+K244+K245+K246+K247+K248+K249+K250+K251+K252+K253+K254+K255+K256+K257+K258+K259+K260+K261, "NA")</f>
        <v>4441.99</v>
      </c>
      <c r="L263" s="15">
        <f>IFERROR(K263/K444, "NA")</f>
        <v>6.0915951979142069E-2</v>
      </c>
      <c r="M263" s="2"/>
      <c r="N263" s="14">
        <f t="shared" si="65"/>
        <v>20.3100000000004</v>
      </c>
      <c r="O263" s="15">
        <f>IFERROR(N263/N444, "NA")</f>
        <v>-7.508873114463438E-2</v>
      </c>
      <c r="P263" s="2"/>
      <c r="Q263" s="14">
        <f>IFERROR(Q238+Q240+Q241+Q242+Q243+Q244+Q245+Q246+Q247+Q248+Q249+Q250+Q251+Q252+Q253+Q254+Q255+Q256+Q257+Q258+Q259+Q260+Q261, "NA")</f>
        <v>4421.6799999999994</v>
      </c>
      <c r="R263" s="15">
        <f>IFERROR(Q263/Q444, "NA")</f>
        <v>6.0863185569067911E-2</v>
      </c>
      <c r="S263" s="2"/>
      <c r="T263" s="14">
        <f>IFERROR(T238+T240+T241+T242+T243+T244+T245+T246+T247+T248+T249+T250+T251+T252+T253+T254+T255+T256+T257+T258+T259+T260+T261, "NA")</f>
        <v>4009.69</v>
      </c>
      <c r="U263" s="15">
        <f>IFERROR(T263/T444, "NA")</f>
        <v>5.3000047849128783E-2</v>
      </c>
      <c r="V263" s="2"/>
      <c r="W263" s="14">
        <f t="shared" si="66"/>
        <v>-411.98999999999933</v>
      </c>
      <c r="X263" s="15">
        <f>IFERROR(W263/W444, "NA")</f>
        <v>0.13710332250678825</v>
      </c>
      <c r="Y263" s="2"/>
      <c r="Z263" s="14">
        <f>IFERROR(Z238+Z240+Z241+Z242+Z243+Z244+Z245+Z246+Z247+Z248+Z249+Z250+Z251+Z252+Z253+Z254+Z255+Z256+Z257+Z258+Z259+Z260+Z261, "NA")</f>
        <v>4441.99</v>
      </c>
      <c r="AA263" s="15">
        <f>IFERROR(Z263/Z444, "NA")</f>
        <v>6.0915951979142069E-2</v>
      </c>
      <c r="AB263" s="2"/>
      <c r="AC263" s="14">
        <f t="shared" si="67"/>
        <v>20.3100000000004</v>
      </c>
      <c r="AD263" s="15">
        <f>IFERROR(AC263/AC444, "NA")</f>
        <v>-7.508873114463438E-2</v>
      </c>
    </row>
    <row r="264" spans="1:30" ht="16.5" customHeight="1" x14ac:dyDescent="0.45">
      <c r="A264" s="5" t="s">
        <v>241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  <c r="Y264" s="4"/>
      <c r="Z264" s="2"/>
      <c r="AA264" s="3"/>
      <c r="AB264" s="4"/>
      <c r="AC264" s="2"/>
      <c r="AD264" s="3"/>
    </row>
    <row r="265" spans="1:30" ht="16.5" customHeight="1" x14ac:dyDescent="0.45">
      <c r="A265" s="6" t="s">
        <v>241</v>
      </c>
      <c r="B265" s="7">
        <v>2100.3200000000002</v>
      </c>
      <c r="C265" s="8">
        <f>IFERROR(B265/B444, "NA")</f>
        <v>2.89103159691395E-2</v>
      </c>
      <c r="D265" s="9"/>
      <c r="E265" s="7">
        <v>2193.98</v>
      </c>
      <c r="F265" s="8">
        <f>IFERROR(E265/E444, "NA")</f>
        <v>2.9000008723874308E-2</v>
      </c>
      <c r="G265" s="9"/>
      <c r="H265" s="10">
        <f>IFERROR(-(B265-E265), "NA")</f>
        <v>93.659999999999854</v>
      </c>
      <c r="I265" s="8">
        <f>IFERROR(H265/H444, "NA")</f>
        <v>-3.1168468132687175E-2</v>
      </c>
      <c r="J265" s="9"/>
      <c r="K265" s="7">
        <v>1981.9</v>
      </c>
      <c r="L265" s="8">
        <f>IFERROR(K265/K444, "NA")</f>
        <v>2.717910783848268E-2</v>
      </c>
      <c r="M265" s="9"/>
      <c r="N265" s="10">
        <f>IFERROR(-(B265-K265), "NA")</f>
        <v>-118.42000000000007</v>
      </c>
      <c r="O265" s="8">
        <f>IFERROR(N265/N444, "NA")</f>
        <v>0.4378142561372444</v>
      </c>
      <c r="P265" s="9"/>
      <c r="Q265" s="7">
        <v>2100.3200000000002</v>
      </c>
      <c r="R265" s="8">
        <f>IFERROR(Q265/Q444, "NA")</f>
        <v>2.89103159691395E-2</v>
      </c>
      <c r="S265" s="9"/>
      <c r="T265" s="7">
        <v>2193.98</v>
      </c>
      <c r="U265" s="8">
        <f>IFERROR(T265/T444, "NA")</f>
        <v>2.9000008723874308E-2</v>
      </c>
      <c r="V265" s="9"/>
      <c r="W265" s="10">
        <f>IFERROR(-(Q265-T265), "NA")</f>
        <v>93.659999999999854</v>
      </c>
      <c r="X265" s="8">
        <f>IFERROR(W265/W444, "NA")</f>
        <v>-3.1168468132687175E-2</v>
      </c>
      <c r="Y265" s="9"/>
      <c r="Z265" s="7">
        <v>1981.9</v>
      </c>
      <c r="AA265" s="8">
        <f>IFERROR(Z265/Z444, "NA")</f>
        <v>2.717910783848268E-2</v>
      </c>
      <c r="AB265" s="9"/>
      <c r="AC265" s="10">
        <f>IFERROR(-(Q265-Z265), "NA")</f>
        <v>-118.42000000000007</v>
      </c>
      <c r="AD265" s="8">
        <f>IFERROR(AC265/AC444, "NA")</f>
        <v>0.4378142561372444</v>
      </c>
    </row>
    <row r="266" spans="1:30" ht="16.5" hidden="1" customHeight="1" x14ac:dyDescent="0.45">
      <c r="A266" s="6" t="s">
        <v>242</v>
      </c>
      <c r="B266" s="7">
        <v>0</v>
      </c>
      <c r="C266" s="8">
        <f>IFERROR(B266/B444, "NA")</f>
        <v>0</v>
      </c>
      <c r="D266" s="9"/>
      <c r="E266" s="7">
        <v>0</v>
      </c>
      <c r="F266" s="8">
        <f>IFERROR(E266/E444, "NA")</f>
        <v>0</v>
      </c>
      <c r="G266" s="9"/>
      <c r="H266" s="10">
        <f>IFERROR(-(B266-E266), "NA")</f>
        <v>0</v>
      </c>
      <c r="I266" s="8">
        <f>IFERROR(H266/H444, "NA")</f>
        <v>0</v>
      </c>
      <c r="J266" s="9"/>
      <c r="K266" s="7">
        <v>0</v>
      </c>
      <c r="L266" s="8">
        <f>IFERROR(K266/K444, "NA")</f>
        <v>0</v>
      </c>
      <c r="M266" s="9"/>
      <c r="N266" s="10">
        <f>IFERROR(-(B266-K266), "NA")</f>
        <v>0</v>
      </c>
      <c r="O266" s="8">
        <f>IFERROR(N266/N444, "NA")</f>
        <v>0</v>
      </c>
      <c r="P266" s="9"/>
      <c r="Q266" s="7">
        <v>0</v>
      </c>
      <c r="R266" s="8">
        <f>IFERROR(Q266/Q444, "NA")</f>
        <v>0</v>
      </c>
      <c r="S266" s="9"/>
      <c r="T266" s="7">
        <v>0</v>
      </c>
      <c r="U266" s="8">
        <f>IFERROR(T266/T444, "NA")</f>
        <v>0</v>
      </c>
      <c r="V266" s="9"/>
      <c r="W266" s="10">
        <f>IFERROR(-(Q266-T266), "NA")</f>
        <v>0</v>
      </c>
      <c r="X266" s="8">
        <f>IFERROR(W266/W444, "NA")</f>
        <v>0</v>
      </c>
      <c r="Y266" s="9"/>
      <c r="Z266" s="7">
        <v>0</v>
      </c>
      <c r="AA266" s="8">
        <f>IFERROR(Z266/Z444, "NA")</f>
        <v>0</v>
      </c>
      <c r="AB266" s="9"/>
      <c r="AC266" s="10">
        <f>IFERROR(-(Q266-Z266), "NA")</f>
        <v>0</v>
      </c>
      <c r="AD266" s="8">
        <f>IFERROR(AC266/AC444, "NA")</f>
        <v>0</v>
      </c>
    </row>
    <row r="267" spans="1:30" ht="16.5" customHeight="1" x14ac:dyDescent="0.45">
      <c r="A267" s="19" t="s">
        <v>243</v>
      </c>
      <c r="B267" s="14">
        <f>IFERROR(B265+B266, "NA")</f>
        <v>2100.3200000000002</v>
      </c>
      <c r="C267" s="15">
        <f>IFERROR(B267/B444, "NA")</f>
        <v>2.89103159691395E-2</v>
      </c>
      <c r="D267" s="2"/>
      <c r="E267" s="14">
        <f>IFERROR(E265+E266, "NA")</f>
        <v>2193.98</v>
      </c>
      <c r="F267" s="15">
        <f>IFERROR(E267/E444, "NA")</f>
        <v>2.9000008723874308E-2</v>
      </c>
      <c r="G267" s="2"/>
      <c r="H267" s="14">
        <f>IFERROR(-(B267-E267), "NA")</f>
        <v>93.659999999999854</v>
      </c>
      <c r="I267" s="15">
        <f>IFERROR(H267/H444, "NA")</f>
        <v>-3.1168468132687175E-2</v>
      </c>
      <c r="J267" s="2"/>
      <c r="K267" s="14">
        <f>IFERROR(K265+K266, "NA")</f>
        <v>1981.9</v>
      </c>
      <c r="L267" s="15">
        <f>IFERROR(K267/K444, "NA")</f>
        <v>2.717910783848268E-2</v>
      </c>
      <c r="M267" s="2"/>
      <c r="N267" s="14">
        <f>IFERROR(-(B267-K267), "NA")</f>
        <v>-118.42000000000007</v>
      </c>
      <c r="O267" s="15">
        <f>IFERROR(N267/N444, "NA")</f>
        <v>0.4378142561372444</v>
      </c>
      <c r="P267" s="2"/>
      <c r="Q267" s="14">
        <f>IFERROR(Q265+Q266, "NA")</f>
        <v>2100.3200000000002</v>
      </c>
      <c r="R267" s="15">
        <f>IFERROR(Q267/Q444, "NA")</f>
        <v>2.89103159691395E-2</v>
      </c>
      <c r="S267" s="2"/>
      <c r="T267" s="14">
        <f>IFERROR(T265+T266, "NA")</f>
        <v>2193.98</v>
      </c>
      <c r="U267" s="15">
        <f>IFERROR(T267/T444, "NA")</f>
        <v>2.9000008723874308E-2</v>
      </c>
      <c r="V267" s="2"/>
      <c r="W267" s="14">
        <f>IFERROR(-(Q267-T267), "NA")</f>
        <v>93.659999999999854</v>
      </c>
      <c r="X267" s="15">
        <f>IFERROR(W267/W444, "NA")</f>
        <v>-3.1168468132687175E-2</v>
      </c>
      <c r="Y267" s="2"/>
      <c r="Z267" s="14">
        <f>IFERROR(Z265+Z266, "NA")</f>
        <v>1981.9</v>
      </c>
      <c r="AA267" s="15">
        <f>IFERROR(Z267/Z444, "NA")</f>
        <v>2.717910783848268E-2</v>
      </c>
      <c r="AB267" s="2"/>
      <c r="AC267" s="14">
        <f>IFERROR(-(Q267-Z267), "NA")</f>
        <v>-118.42000000000007</v>
      </c>
      <c r="AD267" s="15">
        <f>IFERROR(AC267/AC444, "NA")</f>
        <v>0.4378142561372444</v>
      </c>
    </row>
    <row r="268" spans="1:30" ht="16.5" customHeight="1" x14ac:dyDescent="0.45">
      <c r="A268" s="5" t="s">
        <v>244</v>
      </c>
      <c r="B268" s="2"/>
      <c r="C268" s="3"/>
      <c r="D268" s="4"/>
      <c r="E268" s="2"/>
      <c r="F268" s="3"/>
      <c r="G268" s="4"/>
      <c r="H268" s="2"/>
      <c r="I268" s="3"/>
      <c r="J268" s="4"/>
      <c r="K268" s="2"/>
      <c r="L268" s="3"/>
      <c r="M268" s="4"/>
      <c r="N268" s="2"/>
      <c r="O268" s="3"/>
      <c r="P268" s="4"/>
      <c r="Q268" s="2"/>
      <c r="R268" s="3"/>
      <c r="S268" s="4"/>
      <c r="T268" s="2"/>
      <c r="U268" s="3"/>
      <c r="V268" s="4"/>
      <c r="W268" s="2"/>
      <c r="X268" s="3"/>
      <c r="Y268" s="4"/>
      <c r="Z268" s="2"/>
      <c r="AA268" s="3"/>
      <c r="AB268" s="4"/>
      <c r="AC268" s="2"/>
      <c r="AD268" s="3"/>
    </row>
    <row r="269" spans="1:30" ht="16.5" hidden="1" customHeight="1" x14ac:dyDescent="0.45">
      <c r="A269" s="6" t="s">
        <v>244</v>
      </c>
      <c r="B269" s="7">
        <v>0</v>
      </c>
      <c r="C269" s="8">
        <f>IFERROR(B269/B444, "NA")</f>
        <v>0</v>
      </c>
      <c r="D269" s="9"/>
      <c r="E269" s="7">
        <v>0</v>
      </c>
      <c r="F269" s="8">
        <f>IFERROR(E269/E444, "NA")</f>
        <v>0</v>
      </c>
      <c r="G269" s="9"/>
      <c r="H269" s="10">
        <f>IFERROR(-(B269-E269), "NA")</f>
        <v>0</v>
      </c>
      <c r="I269" s="8">
        <f>IFERROR(H269/H444, "NA")</f>
        <v>0</v>
      </c>
      <c r="J269" s="9"/>
      <c r="K269" s="7">
        <v>0</v>
      </c>
      <c r="L269" s="8">
        <f>IFERROR(K269/K444, "NA")</f>
        <v>0</v>
      </c>
      <c r="M269" s="9"/>
      <c r="N269" s="10">
        <f>IFERROR(-(B269-K269), "NA")</f>
        <v>0</v>
      </c>
      <c r="O269" s="8">
        <f>IFERROR(N269/N444, "NA")</f>
        <v>0</v>
      </c>
      <c r="P269" s="9"/>
      <c r="Q269" s="7">
        <v>0</v>
      </c>
      <c r="R269" s="8">
        <f>IFERROR(Q269/Q444, "NA")</f>
        <v>0</v>
      </c>
      <c r="S269" s="9"/>
      <c r="T269" s="7">
        <v>0</v>
      </c>
      <c r="U269" s="8">
        <f>IFERROR(T269/T444, "NA")</f>
        <v>0</v>
      </c>
      <c r="V269" s="9"/>
      <c r="W269" s="10">
        <f>IFERROR(-(Q269-T269), "NA")</f>
        <v>0</v>
      </c>
      <c r="X269" s="8">
        <f>IFERROR(W269/W444, "NA")</f>
        <v>0</v>
      </c>
      <c r="Y269" s="9"/>
      <c r="Z269" s="7">
        <v>0</v>
      </c>
      <c r="AA269" s="8">
        <f>IFERROR(Z269/Z444, "NA")</f>
        <v>0</v>
      </c>
      <c r="AB269" s="9"/>
      <c r="AC269" s="10">
        <f>IFERROR(-(Q269-Z269), "NA")</f>
        <v>0</v>
      </c>
      <c r="AD269" s="8">
        <f>IFERROR(AC269/AC444, "NA")</f>
        <v>0</v>
      </c>
    </row>
    <row r="270" spans="1:30" ht="16.5" customHeight="1" x14ac:dyDescent="0.45">
      <c r="A270" s="6" t="s">
        <v>245</v>
      </c>
      <c r="B270" s="7">
        <v>197.88</v>
      </c>
      <c r="C270" s="8">
        <f>IFERROR(B270/B444, "NA")</f>
        <v>2.7237627237627236E-3</v>
      </c>
      <c r="D270" s="9"/>
      <c r="E270" s="7">
        <v>200.2</v>
      </c>
      <c r="F270" s="8">
        <f>IFERROR(E270/E444, "NA")</f>
        <v>2.64624187390935E-3</v>
      </c>
      <c r="G270" s="9"/>
      <c r="H270" s="10">
        <f>IFERROR(-(B270-E270), "NA")</f>
        <v>2.3199999999999932</v>
      </c>
      <c r="I270" s="8">
        <f>IFERROR(H270/H444, "NA")</f>
        <v>-7.7205686598157326E-4</v>
      </c>
      <c r="J270" s="9"/>
      <c r="K270" s="7">
        <v>201.73</v>
      </c>
      <c r="L270" s="8">
        <f>IFERROR(K270/K444, "NA")</f>
        <v>2.7664571493299915E-3</v>
      </c>
      <c r="M270" s="9"/>
      <c r="N270" s="10">
        <f>IFERROR(-(B270-K270), "NA")</f>
        <v>3.8499999999999943</v>
      </c>
      <c r="O270" s="8">
        <f>IFERROR(N270/N444, "NA")</f>
        <v>-1.4233954451345949E-2</v>
      </c>
      <c r="P270" s="9"/>
      <c r="Q270" s="7">
        <v>197.88</v>
      </c>
      <c r="R270" s="8">
        <f>IFERROR(Q270/Q444, "NA")</f>
        <v>2.7237627237627236E-3</v>
      </c>
      <c r="S270" s="9"/>
      <c r="T270" s="7">
        <v>200.2</v>
      </c>
      <c r="U270" s="8">
        <f>IFERROR(T270/T444, "NA")</f>
        <v>2.64624187390935E-3</v>
      </c>
      <c r="V270" s="9"/>
      <c r="W270" s="10">
        <f>IFERROR(-(Q270-T270), "NA")</f>
        <v>2.3199999999999932</v>
      </c>
      <c r="X270" s="8">
        <f>IFERROR(W270/W444, "NA")</f>
        <v>-7.7205686598157326E-4</v>
      </c>
      <c r="Y270" s="9"/>
      <c r="Z270" s="7">
        <v>201.73</v>
      </c>
      <c r="AA270" s="8">
        <f>IFERROR(Z270/Z444, "NA")</f>
        <v>2.7664571493299915E-3</v>
      </c>
      <c r="AB270" s="9"/>
      <c r="AC270" s="10">
        <f>IFERROR(-(Q270-Z270), "NA")</f>
        <v>3.8499999999999943</v>
      </c>
      <c r="AD270" s="8">
        <f>IFERROR(AC270/AC444, "NA")</f>
        <v>-1.4233954451345949E-2</v>
      </c>
    </row>
    <row r="271" spans="1:30" ht="16.5" customHeight="1" x14ac:dyDescent="0.45">
      <c r="A271" s="6" t="s">
        <v>246</v>
      </c>
      <c r="B271" s="7">
        <v>894.43</v>
      </c>
      <c r="C271" s="8">
        <f>IFERROR(B271/B444, "NA")</f>
        <v>1.2311578193931135E-2</v>
      </c>
      <c r="D271" s="9"/>
      <c r="E271" s="7">
        <v>894.43</v>
      </c>
      <c r="F271" s="8">
        <f>IFERROR(E271/E444, "NA")</f>
        <v>1.1822568028375325E-2</v>
      </c>
      <c r="G271" s="9"/>
      <c r="H271" s="10">
        <f>IFERROR(-(B271-E271), "NA")</f>
        <v>0</v>
      </c>
      <c r="I271" s="8">
        <f>IFERROR(H271/H444, "NA")</f>
        <v>0</v>
      </c>
      <c r="J271" s="9"/>
      <c r="K271" s="7">
        <v>778.58</v>
      </c>
      <c r="L271" s="8">
        <f>IFERROR(K271/K444, "NA")</f>
        <v>1.0677183400214866E-2</v>
      </c>
      <c r="M271" s="9"/>
      <c r="N271" s="10">
        <f>IFERROR(-(B271-K271), "NA")</f>
        <v>-115.84999999999991</v>
      </c>
      <c r="O271" s="8">
        <f>IFERROR(N271/N444, "NA")</f>
        <v>0.42831262939959203</v>
      </c>
      <c r="P271" s="9"/>
      <c r="Q271" s="7">
        <v>894.43</v>
      </c>
      <c r="R271" s="8">
        <f>IFERROR(Q271/Q444, "NA")</f>
        <v>1.2311578193931135E-2</v>
      </c>
      <c r="S271" s="9"/>
      <c r="T271" s="7">
        <v>894.43</v>
      </c>
      <c r="U271" s="8">
        <f>IFERROR(T271/T444, "NA")</f>
        <v>1.1822568028375325E-2</v>
      </c>
      <c r="V271" s="9"/>
      <c r="W271" s="10">
        <f>IFERROR(-(Q271-T271), "NA")</f>
        <v>0</v>
      </c>
      <c r="X271" s="8">
        <f>IFERROR(W271/W444, "NA")</f>
        <v>0</v>
      </c>
      <c r="Y271" s="9"/>
      <c r="Z271" s="7">
        <v>778.58</v>
      </c>
      <c r="AA271" s="8">
        <f>IFERROR(Z271/Z444, "NA")</f>
        <v>1.0677183400214866E-2</v>
      </c>
      <c r="AB271" s="9"/>
      <c r="AC271" s="10">
        <f>IFERROR(-(Q271-Z271), "NA")</f>
        <v>-115.84999999999991</v>
      </c>
      <c r="AD271" s="8">
        <f>IFERROR(AC271/AC444, "NA")</f>
        <v>0.42831262939959203</v>
      </c>
    </row>
    <row r="272" spans="1:30" ht="16.5" hidden="1" customHeight="1" x14ac:dyDescent="0.45">
      <c r="A272" s="6" t="s">
        <v>247</v>
      </c>
      <c r="B272" s="7">
        <v>0</v>
      </c>
      <c r="C272" s="8">
        <f>IFERROR(B272/B444, "NA")</f>
        <v>0</v>
      </c>
      <c r="D272" s="9"/>
      <c r="E272" s="7">
        <v>0</v>
      </c>
      <c r="F272" s="8">
        <f>IFERROR(E272/E444, "NA")</f>
        <v>0</v>
      </c>
      <c r="G272" s="9"/>
      <c r="H272" s="10">
        <f>IFERROR(-(B272-E272), "NA")</f>
        <v>0</v>
      </c>
      <c r="I272" s="8">
        <f>IFERROR(H272/H444, "NA")</f>
        <v>0</v>
      </c>
      <c r="J272" s="9"/>
      <c r="K272" s="7">
        <v>0</v>
      </c>
      <c r="L272" s="8">
        <f>IFERROR(K272/K444, "NA")</f>
        <v>0</v>
      </c>
      <c r="M272" s="9"/>
      <c r="N272" s="10">
        <f>IFERROR(-(B272-K272), "NA")</f>
        <v>0</v>
      </c>
      <c r="O272" s="8">
        <f>IFERROR(N272/N444, "NA")</f>
        <v>0</v>
      </c>
      <c r="P272" s="9"/>
      <c r="Q272" s="7">
        <v>0</v>
      </c>
      <c r="R272" s="8">
        <f>IFERROR(Q272/Q444, "NA")</f>
        <v>0</v>
      </c>
      <c r="S272" s="9"/>
      <c r="T272" s="7">
        <v>0</v>
      </c>
      <c r="U272" s="8">
        <f>IFERROR(T272/T444, "NA")</f>
        <v>0</v>
      </c>
      <c r="V272" s="9"/>
      <c r="W272" s="10">
        <f>IFERROR(-(Q272-T272), "NA")</f>
        <v>0</v>
      </c>
      <c r="X272" s="8">
        <f>IFERROR(W272/W444, "NA")</f>
        <v>0</v>
      </c>
      <c r="Y272" s="9"/>
      <c r="Z272" s="7">
        <v>0</v>
      </c>
      <c r="AA272" s="8">
        <f>IFERROR(Z272/Z444, "NA")</f>
        <v>0</v>
      </c>
      <c r="AB272" s="9"/>
      <c r="AC272" s="10">
        <f>IFERROR(-(Q272-Z272), "NA")</f>
        <v>0</v>
      </c>
      <c r="AD272" s="8">
        <f>IFERROR(AC272/AC444, "NA")</f>
        <v>0</v>
      </c>
    </row>
    <row r="273" spans="1:30" ht="16.5" customHeight="1" x14ac:dyDescent="0.45">
      <c r="A273" s="19" t="s">
        <v>248</v>
      </c>
      <c r="B273" s="14">
        <f>IFERROR(B269+B270+B271+B272, "NA")</f>
        <v>1092.31</v>
      </c>
      <c r="C273" s="15">
        <f>IFERROR(B273/B444, "NA")</f>
        <v>1.5035340917693858E-2</v>
      </c>
      <c r="D273" s="2"/>
      <c r="E273" s="14">
        <f>IFERROR(E269+E270+E271+E272, "NA")</f>
        <v>1094.6299999999999</v>
      </c>
      <c r="F273" s="15">
        <f>IFERROR(E273/E444, "NA")</f>
        <v>1.4468809902284675E-2</v>
      </c>
      <c r="G273" s="2"/>
      <c r="H273" s="14">
        <f>IFERROR(-(B273-E273), "NA")</f>
        <v>2.3199999999999363</v>
      </c>
      <c r="I273" s="15">
        <f>IFERROR(H273/H444, "NA")</f>
        <v>-7.7205686598155428E-4</v>
      </c>
      <c r="J273" s="2"/>
      <c r="K273" s="14">
        <f>IFERROR(K269+K270+K271+K272, "NA")</f>
        <v>980.31000000000006</v>
      </c>
      <c r="L273" s="15">
        <f>IFERROR(K273/K444, "NA")</f>
        <v>1.3443640549544859E-2</v>
      </c>
      <c r="M273" s="2"/>
      <c r="N273" s="14">
        <f>IFERROR(-(B273-K273), "NA")</f>
        <v>-111.99999999999989</v>
      </c>
      <c r="O273" s="15">
        <f>IFERROR(N273/N444, "NA")</f>
        <v>0.41407867494824596</v>
      </c>
      <c r="P273" s="2"/>
      <c r="Q273" s="14">
        <f>IFERROR(Q269+Q270+Q271+Q272, "NA")</f>
        <v>1092.31</v>
      </c>
      <c r="R273" s="15">
        <f>IFERROR(Q273/Q444, "NA")</f>
        <v>1.5035340917693858E-2</v>
      </c>
      <c r="S273" s="2"/>
      <c r="T273" s="14">
        <f>IFERROR(T269+T270+T271+T272, "NA")</f>
        <v>1094.6299999999999</v>
      </c>
      <c r="U273" s="15">
        <f>IFERROR(T273/T444, "NA")</f>
        <v>1.4468809902284675E-2</v>
      </c>
      <c r="V273" s="2"/>
      <c r="W273" s="14">
        <f>IFERROR(-(Q273-T273), "NA")</f>
        <v>2.3199999999999363</v>
      </c>
      <c r="X273" s="15">
        <f>IFERROR(W273/W444, "NA")</f>
        <v>-7.7205686598155428E-4</v>
      </c>
      <c r="Y273" s="2"/>
      <c r="Z273" s="14">
        <f>IFERROR(Z269+Z270+Z271+Z272, "NA")</f>
        <v>980.31000000000006</v>
      </c>
      <c r="AA273" s="15">
        <f>IFERROR(Z273/Z444, "NA")</f>
        <v>1.3443640549544859E-2</v>
      </c>
      <c r="AB273" s="2"/>
      <c r="AC273" s="14">
        <f>IFERROR(-(Q273-Z273), "NA")</f>
        <v>-111.99999999999989</v>
      </c>
      <c r="AD273" s="15">
        <f>IFERROR(AC273/AC444, "NA")</f>
        <v>0.41407867494824596</v>
      </c>
    </row>
    <row r="274" spans="1:30" ht="16.5" customHeight="1" x14ac:dyDescent="0.45">
      <c r="A274" s="5" t="s">
        <v>249</v>
      </c>
      <c r="B274" s="2"/>
      <c r="C274" s="3"/>
      <c r="D274" s="4"/>
      <c r="E274" s="2"/>
      <c r="F274" s="3"/>
      <c r="G274" s="4"/>
      <c r="H274" s="2"/>
      <c r="I274" s="3"/>
      <c r="J274" s="4"/>
      <c r="K274" s="2"/>
      <c r="L274" s="3"/>
      <c r="M274" s="4"/>
      <c r="N274" s="2"/>
      <c r="O274" s="3"/>
      <c r="P274" s="4"/>
      <c r="Q274" s="2"/>
      <c r="R274" s="3"/>
      <c r="S274" s="4"/>
      <c r="T274" s="2"/>
      <c r="U274" s="3"/>
      <c r="V274" s="4"/>
      <c r="W274" s="2"/>
      <c r="X274" s="3"/>
      <c r="Y274" s="4"/>
      <c r="Z274" s="2"/>
      <c r="AA274" s="3"/>
      <c r="AB274" s="4"/>
      <c r="AC274" s="2"/>
      <c r="AD274" s="3"/>
    </row>
    <row r="275" spans="1:30" ht="16.5" hidden="1" customHeight="1" x14ac:dyDescent="0.45">
      <c r="A275" s="6" t="s">
        <v>249</v>
      </c>
      <c r="B275" s="7">
        <v>0</v>
      </c>
      <c r="C275" s="8">
        <f>IFERROR(B275/B444, "NA")</f>
        <v>0</v>
      </c>
      <c r="D275" s="9"/>
      <c r="E275" s="7">
        <v>0</v>
      </c>
      <c r="F275" s="8">
        <f>IFERROR(E275/E444, "NA")</f>
        <v>0</v>
      </c>
      <c r="G275" s="9"/>
      <c r="H275" s="10">
        <f t="shared" ref="H275:H284" si="68">IFERROR(-(B275-E275), "NA")</f>
        <v>0</v>
      </c>
      <c r="I275" s="8">
        <f>IFERROR(H275/H444, "NA")</f>
        <v>0</v>
      </c>
      <c r="J275" s="9"/>
      <c r="K275" s="7">
        <v>0</v>
      </c>
      <c r="L275" s="8">
        <f>IFERROR(K275/K444, "NA")</f>
        <v>0</v>
      </c>
      <c r="M275" s="9"/>
      <c r="N275" s="10">
        <f t="shared" ref="N275:N284" si="69">IFERROR(-(B275-K275), "NA")</f>
        <v>0</v>
      </c>
      <c r="O275" s="8">
        <f>IFERROR(N275/N444, "NA")</f>
        <v>0</v>
      </c>
      <c r="P275" s="9"/>
      <c r="Q275" s="7">
        <v>0</v>
      </c>
      <c r="R275" s="8">
        <f>IFERROR(Q275/Q444, "NA")</f>
        <v>0</v>
      </c>
      <c r="S275" s="9"/>
      <c r="T275" s="7">
        <v>0</v>
      </c>
      <c r="U275" s="8">
        <f>IFERROR(T275/T444, "NA")</f>
        <v>0</v>
      </c>
      <c r="V275" s="9"/>
      <c r="W275" s="10">
        <f t="shared" ref="W275:W284" si="70">IFERROR(-(Q275-T275), "NA")</f>
        <v>0</v>
      </c>
      <c r="X275" s="8">
        <f>IFERROR(W275/W444, "NA")</f>
        <v>0</v>
      </c>
      <c r="Y275" s="9"/>
      <c r="Z275" s="7">
        <v>0</v>
      </c>
      <c r="AA275" s="8">
        <f>IFERROR(Z275/Z444, "NA")</f>
        <v>0</v>
      </c>
      <c r="AB275" s="9"/>
      <c r="AC275" s="10">
        <f t="shared" ref="AC275:AC284" si="71">IFERROR(-(Q275-Z275), "NA")</f>
        <v>0</v>
      </c>
      <c r="AD275" s="8">
        <f>IFERROR(AC275/AC444, "NA")</f>
        <v>0</v>
      </c>
    </row>
    <row r="276" spans="1:30" ht="16.5" hidden="1" customHeight="1" x14ac:dyDescent="0.45">
      <c r="A276" s="6" t="s">
        <v>250</v>
      </c>
      <c r="B276" s="7">
        <v>0</v>
      </c>
      <c r="C276" s="8">
        <f>IFERROR(B276/B444, "NA")</f>
        <v>0</v>
      </c>
      <c r="D276" s="9"/>
      <c r="E276" s="7">
        <v>0</v>
      </c>
      <c r="F276" s="8">
        <f>IFERROR(E276/E444, "NA")</f>
        <v>0</v>
      </c>
      <c r="G276" s="9"/>
      <c r="H276" s="10">
        <f t="shared" si="68"/>
        <v>0</v>
      </c>
      <c r="I276" s="8">
        <f>IFERROR(H276/H444, "NA")</f>
        <v>0</v>
      </c>
      <c r="J276" s="9"/>
      <c r="K276" s="7">
        <v>0</v>
      </c>
      <c r="L276" s="8">
        <f>IFERROR(K276/K444, "NA")</f>
        <v>0</v>
      </c>
      <c r="M276" s="9"/>
      <c r="N276" s="10">
        <f t="shared" si="69"/>
        <v>0</v>
      </c>
      <c r="O276" s="8">
        <f>IFERROR(N276/N444, "NA")</f>
        <v>0</v>
      </c>
      <c r="P276" s="9"/>
      <c r="Q276" s="7">
        <v>0</v>
      </c>
      <c r="R276" s="8">
        <f>IFERROR(Q276/Q444, "NA")</f>
        <v>0</v>
      </c>
      <c r="S276" s="9"/>
      <c r="T276" s="7">
        <v>0</v>
      </c>
      <c r="U276" s="8">
        <f>IFERROR(T276/T444, "NA")</f>
        <v>0</v>
      </c>
      <c r="V276" s="9"/>
      <c r="W276" s="10">
        <f t="shared" si="70"/>
        <v>0</v>
      </c>
      <c r="X276" s="8">
        <f>IFERROR(W276/W444, "NA")</f>
        <v>0</v>
      </c>
      <c r="Y276" s="9"/>
      <c r="Z276" s="7">
        <v>0</v>
      </c>
      <c r="AA276" s="8">
        <f>IFERROR(Z276/Z444, "NA")</f>
        <v>0</v>
      </c>
      <c r="AB276" s="9"/>
      <c r="AC276" s="10">
        <f t="shared" si="71"/>
        <v>0</v>
      </c>
      <c r="AD276" s="8">
        <f>IFERROR(AC276/AC444, "NA")</f>
        <v>0</v>
      </c>
    </row>
    <row r="277" spans="1:30" ht="16.5" hidden="1" customHeight="1" x14ac:dyDescent="0.45">
      <c r="A277" s="6" t="s">
        <v>251</v>
      </c>
      <c r="B277" s="7">
        <v>0</v>
      </c>
      <c r="C277" s="8">
        <f>IFERROR(B277/B444, "NA")</f>
        <v>0</v>
      </c>
      <c r="D277" s="9"/>
      <c r="E277" s="7">
        <v>0</v>
      </c>
      <c r="F277" s="8">
        <f>IFERROR(E277/E444, "NA")</f>
        <v>0</v>
      </c>
      <c r="G277" s="9"/>
      <c r="H277" s="10">
        <f t="shared" si="68"/>
        <v>0</v>
      </c>
      <c r="I277" s="8">
        <f>IFERROR(H277/H444, "NA")</f>
        <v>0</v>
      </c>
      <c r="J277" s="9"/>
      <c r="K277" s="7">
        <v>0</v>
      </c>
      <c r="L277" s="8">
        <f>IFERROR(K277/K444, "NA")</f>
        <v>0</v>
      </c>
      <c r="M277" s="9"/>
      <c r="N277" s="10">
        <f t="shared" si="69"/>
        <v>0</v>
      </c>
      <c r="O277" s="8">
        <f>IFERROR(N277/N444, "NA")</f>
        <v>0</v>
      </c>
      <c r="P277" s="9"/>
      <c r="Q277" s="7">
        <v>0</v>
      </c>
      <c r="R277" s="8">
        <f>IFERROR(Q277/Q444, "NA")</f>
        <v>0</v>
      </c>
      <c r="S277" s="9"/>
      <c r="T277" s="7">
        <v>0</v>
      </c>
      <c r="U277" s="8">
        <f>IFERROR(T277/T444, "NA")</f>
        <v>0</v>
      </c>
      <c r="V277" s="9"/>
      <c r="W277" s="10">
        <f t="shared" si="70"/>
        <v>0</v>
      </c>
      <c r="X277" s="8">
        <f>IFERROR(W277/W444, "NA")</f>
        <v>0</v>
      </c>
      <c r="Y277" s="9"/>
      <c r="Z277" s="7">
        <v>0</v>
      </c>
      <c r="AA277" s="8">
        <f>IFERROR(Z277/Z444, "NA")</f>
        <v>0</v>
      </c>
      <c r="AB277" s="9"/>
      <c r="AC277" s="10">
        <f t="shared" si="71"/>
        <v>0</v>
      </c>
      <c r="AD277" s="8">
        <f>IFERROR(AC277/AC444, "NA")</f>
        <v>0</v>
      </c>
    </row>
    <row r="278" spans="1:30" ht="16.5" hidden="1" customHeight="1" x14ac:dyDescent="0.45">
      <c r="A278" s="6" t="s">
        <v>252</v>
      </c>
      <c r="B278" s="7">
        <v>0</v>
      </c>
      <c r="C278" s="8">
        <f>IFERROR(B278/B444, "NA")</f>
        <v>0</v>
      </c>
      <c r="D278" s="9"/>
      <c r="E278" s="7">
        <v>0</v>
      </c>
      <c r="F278" s="8">
        <f>IFERROR(E278/E444, "NA")</f>
        <v>0</v>
      </c>
      <c r="G278" s="9"/>
      <c r="H278" s="10">
        <f t="shared" si="68"/>
        <v>0</v>
      </c>
      <c r="I278" s="8">
        <f>IFERROR(H278/H444, "NA")</f>
        <v>0</v>
      </c>
      <c r="J278" s="9"/>
      <c r="K278" s="7">
        <v>0</v>
      </c>
      <c r="L278" s="8">
        <f>IFERROR(K278/K444, "NA")</f>
        <v>0</v>
      </c>
      <c r="M278" s="9"/>
      <c r="N278" s="10">
        <f t="shared" si="69"/>
        <v>0</v>
      </c>
      <c r="O278" s="8">
        <f>IFERROR(N278/N444, "NA")</f>
        <v>0</v>
      </c>
      <c r="P278" s="9"/>
      <c r="Q278" s="7">
        <v>0</v>
      </c>
      <c r="R278" s="8">
        <f>IFERROR(Q278/Q444, "NA")</f>
        <v>0</v>
      </c>
      <c r="S278" s="9"/>
      <c r="T278" s="7">
        <v>0</v>
      </c>
      <c r="U278" s="8">
        <f>IFERROR(T278/T444, "NA")</f>
        <v>0</v>
      </c>
      <c r="V278" s="9"/>
      <c r="W278" s="10">
        <f t="shared" si="70"/>
        <v>0</v>
      </c>
      <c r="X278" s="8">
        <f>IFERROR(W278/W444, "NA")</f>
        <v>0</v>
      </c>
      <c r="Y278" s="9"/>
      <c r="Z278" s="7">
        <v>0</v>
      </c>
      <c r="AA278" s="8">
        <f>IFERROR(Z278/Z444, "NA")</f>
        <v>0</v>
      </c>
      <c r="AB278" s="9"/>
      <c r="AC278" s="10">
        <f t="shared" si="71"/>
        <v>0</v>
      </c>
      <c r="AD278" s="8">
        <f>IFERROR(AC278/AC444, "NA")</f>
        <v>0</v>
      </c>
    </row>
    <row r="279" spans="1:30" ht="16.5" hidden="1" customHeight="1" x14ac:dyDescent="0.45">
      <c r="A279" s="6" t="s">
        <v>253</v>
      </c>
      <c r="B279" s="7">
        <v>0</v>
      </c>
      <c r="C279" s="8">
        <f>IFERROR(B279/B444, "NA")</f>
        <v>0</v>
      </c>
      <c r="D279" s="9"/>
      <c r="E279" s="7">
        <v>0</v>
      </c>
      <c r="F279" s="8">
        <f>IFERROR(E279/E444, "NA")</f>
        <v>0</v>
      </c>
      <c r="G279" s="9"/>
      <c r="H279" s="10">
        <f t="shared" si="68"/>
        <v>0</v>
      </c>
      <c r="I279" s="8">
        <f>IFERROR(H279/H444, "NA")</f>
        <v>0</v>
      </c>
      <c r="J279" s="9"/>
      <c r="K279" s="7">
        <v>0</v>
      </c>
      <c r="L279" s="8">
        <f>IFERROR(K279/K444, "NA")</f>
        <v>0</v>
      </c>
      <c r="M279" s="9"/>
      <c r="N279" s="10">
        <f t="shared" si="69"/>
        <v>0</v>
      </c>
      <c r="O279" s="8">
        <f>IFERROR(N279/N444, "NA")</f>
        <v>0</v>
      </c>
      <c r="P279" s="9"/>
      <c r="Q279" s="7">
        <v>0</v>
      </c>
      <c r="R279" s="8">
        <f>IFERROR(Q279/Q444, "NA")</f>
        <v>0</v>
      </c>
      <c r="S279" s="9"/>
      <c r="T279" s="7">
        <v>0</v>
      </c>
      <c r="U279" s="8">
        <f>IFERROR(T279/T444, "NA")</f>
        <v>0</v>
      </c>
      <c r="V279" s="9"/>
      <c r="W279" s="10">
        <f t="shared" si="70"/>
        <v>0</v>
      </c>
      <c r="X279" s="8">
        <f>IFERROR(W279/W444, "NA")</f>
        <v>0</v>
      </c>
      <c r="Y279" s="9"/>
      <c r="Z279" s="7">
        <v>0</v>
      </c>
      <c r="AA279" s="8">
        <f>IFERROR(Z279/Z444, "NA")</f>
        <v>0</v>
      </c>
      <c r="AB279" s="9"/>
      <c r="AC279" s="10">
        <f t="shared" si="71"/>
        <v>0</v>
      </c>
      <c r="AD279" s="8">
        <f>IFERROR(AC279/AC444, "NA")</f>
        <v>0</v>
      </c>
    </row>
    <row r="280" spans="1:30" ht="16.5" hidden="1" customHeight="1" x14ac:dyDescent="0.45">
      <c r="A280" s="6" t="s">
        <v>254</v>
      </c>
      <c r="B280" s="7">
        <v>0</v>
      </c>
      <c r="C280" s="8">
        <f>IFERROR(B280/B444, "NA")</f>
        <v>0</v>
      </c>
      <c r="D280" s="9"/>
      <c r="E280" s="7">
        <v>0</v>
      </c>
      <c r="F280" s="8">
        <f>IFERROR(E280/E444, "NA")</f>
        <v>0</v>
      </c>
      <c r="G280" s="9"/>
      <c r="H280" s="10">
        <f t="shared" si="68"/>
        <v>0</v>
      </c>
      <c r="I280" s="8">
        <f>IFERROR(H280/H444, "NA")</f>
        <v>0</v>
      </c>
      <c r="J280" s="9"/>
      <c r="K280" s="7">
        <v>0</v>
      </c>
      <c r="L280" s="8">
        <f>IFERROR(K280/K444, "NA")</f>
        <v>0</v>
      </c>
      <c r="M280" s="9"/>
      <c r="N280" s="10">
        <f t="shared" si="69"/>
        <v>0</v>
      </c>
      <c r="O280" s="8">
        <f>IFERROR(N280/N444, "NA")</f>
        <v>0</v>
      </c>
      <c r="P280" s="9"/>
      <c r="Q280" s="7">
        <v>0</v>
      </c>
      <c r="R280" s="8">
        <f>IFERROR(Q280/Q444, "NA")</f>
        <v>0</v>
      </c>
      <c r="S280" s="9"/>
      <c r="T280" s="7">
        <v>0</v>
      </c>
      <c r="U280" s="8">
        <f>IFERROR(T280/T444, "NA")</f>
        <v>0</v>
      </c>
      <c r="V280" s="9"/>
      <c r="W280" s="10">
        <f t="shared" si="70"/>
        <v>0</v>
      </c>
      <c r="X280" s="8">
        <f>IFERROR(W280/W444, "NA")</f>
        <v>0</v>
      </c>
      <c r="Y280" s="9"/>
      <c r="Z280" s="7">
        <v>0</v>
      </c>
      <c r="AA280" s="8">
        <f>IFERROR(Z280/Z444, "NA")</f>
        <v>0</v>
      </c>
      <c r="AB280" s="9"/>
      <c r="AC280" s="10">
        <f t="shared" si="71"/>
        <v>0</v>
      </c>
      <c r="AD280" s="8">
        <f>IFERROR(AC280/AC444, "NA")</f>
        <v>0</v>
      </c>
    </row>
    <row r="281" spans="1:30" ht="16.5" hidden="1" customHeight="1" x14ac:dyDescent="0.45">
      <c r="A281" s="6" t="s">
        <v>255</v>
      </c>
      <c r="B281" s="7">
        <v>0</v>
      </c>
      <c r="C281" s="8">
        <f>IFERROR(B281/B444, "NA")</f>
        <v>0</v>
      </c>
      <c r="D281" s="9"/>
      <c r="E281" s="7">
        <v>0</v>
      </c>
      <c r="F281" s="8">
        <f>IFERROR(E281/E444, "NA")</f>
        <v>0</v>
      </c>
      <c r="G281" s="9"/>
      <c r="H281" s="10">
        <f t="shared" si="68"/>
        <v>0</v>
      </c>
      <c r="I281" s="8">
        <f>IFERROR(H281/H444, "NA")</f>
        <v>0</v>
      </c>
      <c r="J281" s="9"/>
      <c r="K281" s="7">
        <v>0</v>
      </c>
      <c r="L281" s="8">
        <f>IFERROR(K281/K444, "NA")</f>
        <v>0</v>
      </c>
      <c r="M281" s="9"/>
      <c r="N281" s="10">
        <f t="shared" si="69"/>
        <v>0</v>
      </c>
      <c r="O281" s="8">
        <f>IFERROR(N281/N444, "NA")</f>
        <v>0</v>
      </c>
      <c r="P281" s="9"/>
      <c r="Q281" s="7">
        <v>0</v>
      </c>
      <c r="R281" s="8">
        <f>IFERROR(Q281/Q444, "NA")</f>
        <v>0</v>
      </c>
      <c r="S281" s="9"/>
      <c r="T281" s="7">
        <v>0</v>
      </c>
      <c r="U281" s="8">
        <f>IFERROR(T281/T444, "NA")</f>
        <v>0</v>
      </c>
      <c r="V281" s="9"/>
      <c r="W281" s="10">
        <f t="shared" si="70"/>
        <v>0</v>
      </c>
      <c r="X281" s="8">
        <f>IFERROR(W281/W444, "NA")</f>
        <v>0</v>
      </c>
      <c r="Y281" s="9"/>
      <c r="Z281" s="7">
        <v>0</v>
      </c>
      <c r="AA281" s="8">
        <f>IFERROR(Z281/Z444, "NA")</f>
        <v>0</v>
      </c>
      <c r="AB281" s="9"/>
      <c r="AC281" s="10">
        <f t="shared" si="71"/>
        <v>0</v>
      </c>
      <c r="AD281" s="8">
        <f>IFERROR(AC281/AC444, "NA")</f>
        <v>0</v>
      </c>
    </row>
    <row r="282" spans="1:30" ht="16.5" hidden="1" customHeight="1" x14ac:dyDescent="0.45">
      <c r="A282" s="6" t="s">
        <v>256</v>
      </c>
      <c r="B282" s="7">
        <v>0</v>
      </c>
      <c r="C282" s="8">
        <f>IFERROR(B282/B444, "NA")</f>
        <v>0</v>
      </c>
      <c r="D282" s="9"/>
      <c r="E282" s="7">
        <v>0</v>
      </c>
      <c r="F282" s="8">
        <f>IFERROR(E282/E444, "NA")</f>
        <v>0</v>
      </c>
      <c r="G282" s="9"/>
      <c r="H282" s="10">
        <f t="shared" si="68"/>
        <v>0</v>
      </c>
      <c r="I282" s="8">
        <f>IFERROR(H282/H444, "NA")</f>
        <v>0</v>
      </c>
      <c r="J282" s="9"/>
      <c r="K282" s="7">
        <v>0</v>
      </c>
      <c r="L282" s="8">
        <f>IFERROR(K282/K444, "NA")</f>
        <v>0</v>
      </c>
      <c r="M282" s="9"/>
      <c r="N282" s="10">
        <f t="shared" si="69"/>
        <v>0</v>
      </c>
      <c r="O282" s="8">
        <f>IFERROR(N282/N444, "NA")</f>
        <v>0</v>
      </c>
      <c r="P282" s="9"/>
      <c r="Q282" s="7">
        <v>0</v>
      </c>
      <c r="R282" s="8">
        <f>IFERROR(Q282/Q444, "NA")</f>
        <v>0</v>
      </c>
      <c r="S282" s="9"/>
      <c r="T282" s="7">
        <v>0</v>
      </c>
      <c r="U282" s="8">
        <f>IFERROR(T282/T444, "NA")</f>
        <v>0</v>
      </c>
      <c r="V282" s="9"/>
      <c r="W282" s="10">
        <f t="shared" si="70"/>
        <v>0</v>
      </c>
      <c r="X282" s="8">
        <f>IFERROR(W282/W444, "NA")</f>
        <v>0</v>
      </c>
      <c r="Y282" s="9"/>
      <c r="Z282" s="7">
        <v>0</v>
      </c>
      <c r="AA282" s="8">
        <f>IFERROR(Z282/Z444, "NA")</f>
        <v>0</v>
      </c>
      <c r="AB282" s="9"/>
      <c r="AC282" s="10">
        <f t="shared" si="71"/>
        <v>0</v>
      </c>
      <c r="AD282" s="8">
        <f>IFERROR(AC282/AC444, "NA")</f>
        <v>0</v>
      </c>
    </row>
    <row r="283" spans="1:30" ht="16.5" hidden="1" customHeight="1" x14ac:dyDescent="0.45">
      <c r="A283" s="6" t="s">
        <v>257</v>
      </c>
      <c r="B283" s="7">
        <v>0</v>
      </c>
      <c r="C283" s="8">
        <f>IFERROR(B283/B444, "NA")</f>
        <v>0</v>
      </c>
      <c r="D283" s="9"/>
      <c r="E283" s="7">
        <v>0</v>
      </c>
      <c r="F283" s="8">
        <f>IFERROR(E283/E444, "NA")</f>
        <v>0</v>
      </c>
      <c r="G283" s="9"/>
      <c r="H283" s="10">
        <f t="shared" si="68"/>
        <v>0</v>
      </c>
      <c r="I283" s="8">
        <f>IFERROR(H283/H444, "NA")</f>
        <v>0</v>
      </c>
      <c r="J283" s="9"/>
      <c r="K283" s="7">
        <v>0</v>
      </c>
      <c r="L283" s="8">
        <f>IFERROR(K283/K444, "NA")</f>
        <v>0</v>
      </c>
      <c r="M283" s="9"/>
      <c r="N283" s="10">
        <f t="shared" si="69"/>
        <v>0</v>
      </c>
      <c r="O283" s="8">
        <f>IFERROR(N283/N444, "NA")</f>
        <v>0</v>
      </c>
      <c r="P283" s="9"/>
      <c r="Q283" s="7">
        <v>0</v>
      </c>
      <c r="R283" s="8">
        <f>IFERROR(Q283/Q444, "NA")</f>
        <v>0</v>
      </c>
      <c r="S283" s="9"/>
      <c r="T283" s="7">
        <v>0</v>
      </c>
      <c r="U283" s="8">
        <f>IFERROR(T283/T444, "NA")</f>
        <v>0</v>
      </c>
      <c r="V283" s="9"/>
      <c r="W283" s="10">
        <f t="shared" si="70"/>
        <v>0</v>
      </c>
      <c r="X283" s="8">
        <f>IFERROR(W283/W444, "NA")</f>
        <v>0</v>
      </c>
      <c r="Y283" s="9"/>
      <c r="Z283" s="7">
        <v>0</v>
      </c>
      <c r="AA283" s="8">
        <f>IFERROR(Z283/Z444, "NA")</f>
        <v>0</v>
      </c>
      <c r="AB283" s="9"/>
      <c r="AC283" s="10">
        <f t="shared" si="71"/>
        <v>0</v>
      </c>
      <c r="AD283" s="8">
        <f>IFERROR(AC283/AC444, "NA")</f>
        <v>0</v>
      </c>
    </row>
    <row r="284" spans="1:30" ht="16.5" customHeight="1" x14ac:dyDescent="0.45">
      <c r="A284" s="19" t="s">
        <v>258</v>
      </c>
      <c r="B284" s="14">
        <f>IFERROR(B275+B276+B277+B278+B279+B280+B281+B282+B283, "NA")</f>
        <v>0</v>
      </c>
      <c r="C284" s="15">
        <f>IFERROR(B284/B444, "NA")</f>
        <v>0</v>
      </c>
      <c r="D284" s="2"/>
      <c r="E284" s="14">
        <f>IFERROR(E275+E276+E277+E278+E279+E280+E281+E282+E283, "NA")</f>
        <v>0</v>
      </c>
      <c r="F284" s="15">
        <f>IFERROR(E284/E444, "NA")</f>
        <v>0</v>
      </c>
      <c r="G284" s="2"/>
      <c r="H284" s="14">
        <f t="shared" si="68"/>
        <v>0</v>
      </c>
      <c r="I284" s="15">
        <f>IFERROR(H284/H444, "NA")</f>
        <v>0</v>
      </c>
      <c r="J284" s="2"/>
      <c r="K284" s="14">
        <f>IFERROR(K275+K276+K277+K278+K279+K280+K281+K282+K283, "NA")</f>
        <v>0</v>
      </c>
      <c r="L284" s="15">
        <f>IFERROR(K284/K444, "NA")</f>
        <v>0</v>
      </c>
      <c r="M284" s="2"/>
      <c r="N284" s="14">
        <f t="shared" si="69"/>
        <v>0</v>
      </c>
      <c r="O284" s="15">
        <f>IFERROR(N284/N444, "NA")</f>
        <v>0</v>
      </c>
      <c r="P284" s="2"/>
      <c r="Q284" s="14">
        <f>IFERROR(Q275+Q276+Q277+Q278+Q279+Q280+Q281+Q282+Q283, "NA")</f>
        <v>0</v>
      </c>
      <c r="R284" s="15">
        <f>IFERROR(Q284/Q444, "NA")</f>
        <v>0</v>
      </c>
      <c r="S284" s="2"/>
      <c r="T284" s="14">
        <f>IFERROR(T275+T276+T277+T278+T279+T280+T281+T282+T283, "NA")</f>
        <v>0</v>
      </c>
      <c r="U284" s="15">
        <f>IFERROR(T284/T444, "NA")</f>
        <v>0</v>
      </c>
      <c r="V284" s="2"/>
      <c r="W284" s="14">
        <f t="shared" si="70"/>
        <v>0</v>
      </c>
      <c r="X284" s="15">
        <f>IFERROR(W284/W444, "NA")</f>
        <v>0</v>
      </c>
      <c r="Y284" s="2"/>
      <c r="Z284" s="14">
        <f>IFERROR(Z275+Z276+Z277+Z278+Z279+Z280+Z281+Z282+Z283, "NA")</f>
        <v>0</v>
      </c>
      <c r="AA284" s="15">
        <f>IFERROR(Z284/Z444, "NA")</f>
        <v>0</v>
      </c>
      <c r="AB284" s="2"/>
      <c r="AC284" s="14">
        <f t="shared" si="71"/>
        <v>0</v>
      </c>
      <c r="AD284" s="15">
        <f>IFERROR(AC284/AC444, "NA")</f>
        <v>0</v>
      </c>
    </row>
    <row r="285" spans="1:30" ht="16.5" customHeight="1" x14ac:dyDescent="0.45">
      <c r="A285" s="5" t="s">
        <v>259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  <c r="Y285" s="4"/>
      <c r="Z285" s="2"/>
      <c r="AA285" s="3"/>
      <c r="AB285" s="4"/>
      <c r="AC285" s="2"/>
      <c r="AD285" s="3"/>
    </row>
    <row r="286" spans="1:30" ht="16.5" hidden="1" customHeight="1" x14ac:dyDescent="0.45">
      <c r="A286" s="6" t="s">
        <v>259</v>
      </c>
      <c r="B286" s="7">
        <v>0</v>
      </c>
      <c r="C286" s="8">
        <f>IFERROR(B286/B444, "NA")</f>
        <v>0</v>
      </c>
      <c r="D286" s="9"/>
      <c r="E286" s="7">
        <v>0</v>
      </c>
      <c r="F286" s="8">
        <f>IFERROR(E286/E444, "NA")</f>
        <v>0</v>
      </c>
      <c r="G286" s="9"/>
      <c r="H286" s="10">
        <f t="shared" ref="H286:H295" si="72">IFERROR(-(B286-E286), "NA")</f>
        <v>0</v>
      </c>
      <c r="I286" s="8">
        <f>IFERROR(H286/H444, "NA")</f>
        <v>0</v>
      </c>
      <c r="J286" s="9"/>
      <c r="K286" s="7">
        <v>0</v>
      </c>
      <c r="L286" s="8">
        <f>IFERROR(K286/K444, "NA")</f>
        <v>0</v>
      </c>
      <c r="M286" s="9"/>
      <c r="N286" s="10">
        <f t="shared" ref="N286:N295" si="73">IFERROR(-(B286-K286), "NA")</f>
        <v>0</v>
      </c>
      <c r="O286" s="8">
        <f>IFERROR(N286/N444, "NA")</f>
        <v>0</v>
      </c>
      <c r="P286" s="9"/>
      <c r="Q286" s="7">
        <v>0</v>
      </c>
      <c r="R286" s="8">
        <f>IFERROR(Q286/Q444, "NA")</f>
        <v>0</v>
      </c>
      <c r="S286" s="9"/>
      <c r="T286" s="7">
        <v>0</v>
      </c>
      <c r="U286" s="8">
        <f>IFERROR(T286/T444, "NA")</f>
        <v>0</v>
      </c>
      <c r="V286" s="9"/>
      <c r="W286" s="10">
        <f t="shared" ref="W286:W295" si="74">IFERROR(-(Q286-T286), "NA")</f>
        <v>0</v>
      </c>
      <c r="X286" s="8">
        <f>IFERROR(W286/W444, "NA")</f>
        <v>0</v>
      </c>
      <c r="Y286" s="9"/>
      <c r="Z286" s="7">
        <v>0</v>
      </c>
      <c r="AA286" s="8">
        <f>IFERROR(Z286/Z444, "NA")</f>
        <v>0</v>
      </c>
      <c r="AB286" s="9"/>
      <c r="AC286" s="10">
        <f t="shared" ref="AC286:AC295" si="75">IFERROR(-(Q286-Z286), "NA")</f>
        <v>0</v>
      </c>
      <c r="AD286" s="8">
        <f>IFERROR(AC286/AC444, "NA")</f>
        <v>0</v>
      </c>
    </row>
    <row r="287" spans="1:30" ht="16.5" hidden="1" customHeight="1" x14ac:dyDescent="0.45">
      <c r="A287" s="6" t="s">
        <v>260</v>
      </c>
      <c r="B287" s="7">
        <v>0</v>
      </c>
      <c r="C287" s="8">
        <f>IFERROR(B287/B444, "NA")</f>
        <v>0</v>
      </c>
      <c r="D287" s="9"/>
      <c r="E287" s="7">
        <v>0</v>
      </c>
      <c r="F287" s="8">
        <f>IFERROR(E287/E444, "NA")</f>
        <v>0</v>
      </c>
      <c r="G287" s="9"/>
      <c r="H287" s="10">
        <f t="shared" si="72"/>
        <v>0</v>
      </c>
      <c r="I287" s="8">
        <f>IFERROR(H287/H444, "NA")</f>
        <v>0</v>
      </c>
      <c r="J287" s="9"/>
      <c r="K287" s="7">
        <v>0</v>
      </c>
      <c r="L287" s="8">
        <f>IFERROR(K287/K444, "NA")</f>
        <v>0</v>
      </c>
      <c r="M287" s="9"/>
      <c r="N287" s="10">
        <f t="shared" si="73"/>
        <v>0</v>
      </c>
      <c r="O287" s="8">
        <f>IFERROR(N287/N444, "NA")</f>
        <v>0</v>
      </c>
      <c r="P287" s="9"/>
      <c r="Q287" s="7">
        <v>0</v>
      </c>
      <c r="R287" s="8">
        <f>IFERROR(Q287/Q444, "NA")</f>
        <v>0</v>
      </c>
      <c r="S287" s="9"/>
      <c r="T287" s="7">
        <v>0</v>
      </c>
      <c r="U287" s="8">
        <f>IFERROR(T287/T444, "NA")</f>
        <v>0</v>
      </c>
      <c r="V287" s="9"/>
      <c r="W287" s="10">
        <f t="shared" si="74"/>
        <v>0</v>
      </c>
      <c r="X287" s="8">
        <f>IFERROR(W287/W444, "NA")</f>
        <v>0</v>
      </c>
      <c r="Y287" s="9"/>
      <c r="Z287" s="7">
        <v>0</v>
      </c>
      <c r="AA287" s="8">
        <f>IFERROR(Z287/Z444, "NA")</f>
        <v>0</v>
      </c>
      <c r="AB287" s="9"/>
      <c r="AC287" s="10">
        <f t="shared" si="75"/>
        <v>0</v>
      </c>
      <c r="AD287" s="8">
        <f>IFERROR(AC287/AC444, "NA")</f>
        <v>0</v>
      </c>
    </row>
    <row r="288" spans="1:30" ht="16.5" customHeight="1" x14ac:dyDescent="0.45">
      <c r="A288" s="6" t="s">
        <v>261</v>
      </c>
      <c r="B288" s="7">
        <v>137.5</v>
      </c>
      <c r="C288" s="8">
        <f>IFERROR(B288/B444, "NA")</f>
        <v>1.8926489514724809E-3</v>
      </c>
      <c r="D288" s="9"/>
      <c r="E288" s="7">
        <v>138</v>
      </c>
      <c r="F288" s="8">
        <f>IFERROR(E288/E444, "NA")</f>
        <v>1.8240828101872644E-3</v>
      </c>
      <c r="G288" s="9"/>
      <c r="H288" s="10">
        <f t="shared" si="72"/>
        <v>0.5</v>
      </c>
      <c r="I288" s="8">
        <f>IFERROR(H288/H444, "NA")</f>
        <v>-1.6639156594430506E-4</v>
      </c>
      <c r="J288" s="9"/>
      <c r="K288" s="7">
        <v>137.5</v>
      </c>
      <c r="L288" s="8">
        <f>IFERROR(K288/K444, "NA")</f>
        <v>1.8856286027505768E-3</v>
      </c>
      <c r="M288" s="9"/>
      <c r="N288" s="10">
        <f t="shared" si="73"/>
        <v>0</v>
      </c>
      <c r="O288" s="8">
        <f>IFERROR(N288/N444, "NA")</f>
        <v>0</v>
      </c>
      <c r="P288" s="9"/>
      <c r="Q288" s="7">
        <v>137.5</v>
      </c>
      <c r="R288" s="8">
        <f>IFERROR(Q288/Q444, "NA")</f>
        <v>1.8926489514724809E-3</v>
      </c>
      <c r="S288" s="9"/>
      <c r="T288" s="7">
        <v>138</v>
      </c>
      <c r="U288" s="8">
        <f>IFERROR(T288/T444, "NA")</f>
        <v>1.8240828101872644E-3</v>
      </c>
      <c r="V288" s="9"/>
      <c r="W288" s="10">
        <f t="shared" si="74"/>
        <v>0.5</v>
      </c>
      <c r="X288" s="8">
        <f>IFERROR(W288/W444, "NA")</f>
        <v>-1.6639156594430506E-4</v>
      </c>
      <c r="Y288" s="9"/>
      <c r="Z288" s="7">
        <v>137.5</v>
      </c>
      <c r="AA288" s="8">
        <f>IFERROR(Z288/Z444, "NA")</f>
        <v>1.8856286027505768E-3</v>
      </c>
      <c r="AB288" s="9"/>
      <c r="AC288" s="10">
        <f t="shared" si="75"/>
        <v>0</v>
      </c>
      <c r="AD288" s="8">
        <f>IFERROR(AC288/AC444, "NA")</f>
        <v>0</v>
      </c>
    </row>
    <row r="289" spans="1:30" ht="16.5" customHeight="1" x14ac:dyDescent="0.45">
      <c r="A289" s="6" t="s">
        <v>262</v>
      </c>
      <c r="B289" s="7">
        <v>156.81</v>
      </c>
      <c r="C289" s="8">
        <f>IFERROR(B289/B444, "NA")</f>
        <v>2.1584456878574526E-3</v>
      </c>
      <c r="D289" s="9"/>
      <c r="E289" s="7">
        <v>211</v>
      </c>
      <c r="F289" s="8">
        <f>IFERROR(E289/E444, "NA")</f>
        <v>2.7889961807935708E-3</v>
      </c>
      <c r="G289" s="9"/>
      <c r="H289" s="10">
        <f t="shared" si="72"/>
        <v>54.19</v>
      </c>
      <c r="I289" s="8">
        <f>IFERROR(H289/H444, "NA")</f>
        <v>-1.803351791704378E-2</v>
      </c>
      <c r="J289" s="9"/>
      <c r="K289" s="7">
        <v>140.88999999999999</v>
      </c>
      <c r="L289" s="8">
        <f>IFERROR(K289/K444, "NA")</f>
        <v>1.9321179188474817E-3</v>
      </c>
      <c r="M289" s="9"/>
      <c r="N289" s="10">
        <f t="shared" si="73"/>
        <v>-15.920000000000016</v>
      </c>
      <c r="O289" s="8">
        <f>IFERROR(N289/N444, "NA")</f>
        <v>5.8858325939072226E-2</v>
      </c>
      <c r="P289" s="9"/>
      <c r="Q289" s="7">
        <v>156.81</v>
      </c>
      <c r="R289" s="8">
        <f>IFERROR(Q289/Q444, "NA")</f>
        <v>2.1584456878574526E-3</v>
      </c>
      <c r="S289" s="9"/>
      <c r="T289" s="7">
        <v>211</v>
      </c>
      <c r="U289" s="8">
        <f>IFERROR(T289/T444, "NA")</f>
        <v>2.7889961807935708E-3</v>
      </c>
      <c r="V289" s="9"/>
      <c r="W289" s="10">
        <f t="shared" si="74"/>
        <v>54.19</v>
      </c>
      <c r="X289" s="8">
        <f>IFERROR(W289/W444, "NA")</f>
        <v>-1.803351791704378E-2</v>
      </c>
      <c r="Y289" s="9"/>
      <c r="Z289" s="7">
        <v>140.88999999999999</v>
      </c>
      <c r="AA289" s="8">
        <f>IFERROR(Z289/Z444, "NA")</f>
        <v>1.9321179188474817E-3</v>
      </c>
      <c r="AB289" s="9"/>
      <c r="AC289" s="10">
        <f t="shared" si="75"/>
        <v>-15.920000000000016</v>
      </c>
      <c r="AD289" s="8">
        <f>IFERROR(AC289/AC444, "NA")</f>
        <v>5.8858325939072226E-2</v>
      </c>
    </row>
    <row r="290" spans="1:30" ht="16.5" customHeight="1" x14ac:dyDescent="0.45">
      <c r="A290" s="6" t="s">
        <v>263</v>
      </c>
      <c r="B290" s="7">
        <v>869.2</v>
      </c>
      <c r="C290" s="8">
        <f>IFERROR(B290/B444, "NA")</f>
        <v>1.1964294317235495E-2</v>
      </c>
      <c r="D290" s="9"/>
      <c r="E290" s="7">
        <v>453.93</v>
      </c>
      <c r="F290" s="8">
        <f>IFERROR(E290/E444, "NA")</f>
        <v>6.0000428262920649E-3</v>
      </c>
      <c r="G290" s="9"/>
      <c r="H290" s="10">
        <f t="shared" si="72"/>
        <v>-415.27000000000004</v>
      </c>
      <c r="I290" s="8">
        <f>IFERROR(H290/H444, "NA")</f>
        <v>0.13819485117938313</v>
      </c>
      <c r="J290" s="9"/>
      <c r="K290" s="7">
        <v>809.63</v>
      </c>
      <c r="L290" s="8">
        <f>IFERROR(K290/K444, "NA")</f>
        <v>1.110299262287236E-2</v>
      </c>
      <c r="M290" s="9"/>
      <c r="N290" s="10">
        <f t="shared" si="73"/>
        <v>-59.57000000000005</v>
      </c>
      <c r="O290" s="8">
        <f>IFERROR(N290/N444, "NA")</f>
        <v>0.22023809523809873</v>
      </c>
      <c r="P290" s="9"/>
      <c r="Q290" s="7">
        <v>869.2</v>
      </c>
      <c r="R290" s="8">
        <f>IFERROR(Q290/Q444, "NA")</f>
        <v>1.1964294317235495E-2</v>
      </c>
      <c r="S290" s="9"/>
      <c r="T290" s="7">
        <v>453.93</v>
      </c>
      <c r="U290" s="8">
        <f>IFERROR(T290/T444, "NA")</f>
        <v>6.0000428262920649E-3</v>
      </c>
      <c r="V290" s="9"/>
      <c r="W290" s="10">
        <f t="shared" si="74"/>
        <v>-415.27000000000004</v>
      </c>
      <c r="X290" s="8">
        <f>IFERROR(W290/W444, "NA")</f>
        <v>0.13819485117938313</v>
      </c>
      <c r="Y290" s="9"/>
      <c r="Z290" s="7">
        <v>809.63</v>
      </c>
      <c r="AA290" s="8">
        <f>IFERROR(Z290/Z444, "NA")</f>
        <v>1.110299262287236E-2</v>
      </c>
      <c r="AB290" s="9"/>
      <c r="AC290" s="10">
        <f t="shared" si="75"/>
        <v>-59.57000000000005</v>
      </c>
      <c r="AD290" s="8">
        <f>IFERROR(AC290/AC444, "NA")</f>
        <v>0.22023809523809873</v>
      </c>
    </row>
    <row r="291" spans="1:30" ht="16.5" customHeight="1" x14ac:dyDescent="0.45">
      <c r="A291" s="6" t="s">
        <v>264</v>
      </c>
      <c r="B291" s="7">
        <v>0</v>
      </c>
      <c r="C291" s="8">
        <f>IFERROR(B291/B444, "NA")</f>
        <v>0</v>
      </c>
      <c r="D291" s="9"/>
      <c r="E291" s="7">
        <v>302.62</v>
      </c>
      <c r="F291" s="8">
        <f>IFERROR(E291/E444, "NA")</f>
        <v>4.0000285508613766E-3</v>
      </c>
      <c r="G291" s="9"/>
      <c r="H291" s="10">
        <f t="shared" si="72"/>
        <v>302.62</v>
      </c>
      <c r="I291" s="8">
        <f>IFERROR(H291/H444, "NA")</f>
        <v>-0.1007068313721312</v>
      </c>
      <c r="J291" s="9"/>
      <c r="K291" s="7">
        <v>0</v>
      </c>
      <c r="L291" s="8">
        <f>IFERROR(K291/K444, "NA")</f>
        <v>0</v>
      </c>
      <c r="M291" s="9"/>
      <c r="N291" s="10">
        <f t="shared" si="73"/>
        <v>0</v>
      </c>
      <c r="O291" s="8">
        <f>IFERROR(N291/N444, "NA")</f>
        <v>0</v>
      </c>
      <c r="P291" s="9"/>
      <c r="Q291" s="7">
        <v>0</v>
      </c>
      <c r="R291" s="8">
        <f>IFERROR(Q291/Q444, "NA")</f>
        <v>0</v>
      </c>
      <c r="S291" s="9"/>
      <c r="T291" s="7">
        <v>302.62</v>
      </c>
      <c r="U291" s="8">
        <f>IFERROR(T291/T444, "NA")</f>
        <v>4.0000285508613766E-3</v>
      </c>
      <c r="V291" s="9"/>
      <c r="W291" s="10">
        <f t="shared" si="74"/>
        <v>302.62</v>
      </c>
      <c r="X291" s="8">
        <f>IFERROR(W291/W444, "NA")</f>
        <v>-0.1007068313721312</v>
      </c>
      <c r="Y291" s="9"/>
      <c r="Z291" s="7">
        <v>0</v>
      </c>
      <c r="AA291" s="8">
        <f>IFERROR(Z291/Z444, "NA")</f>
        <v>0</v>
      </c>
      <c r="AB291" s="9"/>
      <c r="AC291" s="10">
        <f t="shared" si="75"/>
        <v>0</v>
      </c>
      <c r="AD291" s="8">
        <f>IFERROR(AC291/AC444, "NA")</f>
        <v>0</v>
      </c>
    </row>
    <row r="292" spans="1:30" ht="16.5" customHeight="1" x14ac:dyDescent="0.45">
      <c r="A292" s="6" t="s">
        <v>265</v>
      </c>
      <c r="B292" s="7">
        <v>0</v>
      </c>
      <c r="C292" s="8">
        <f>IFERROR(B292/B444, "NA")</f>
        <v>0</v>
      </c>
      <c r="D292" s="9"/>
      <c r="E292" s="7">
        <v>75.650000000000006</v>
      </c>
      <c r="F292" s="8">
        <f>IFERROR(E292/E444, "NA")</f>
        <v>9.9994104775845329E-4</v>
      </c>
      <c r="G292" s="9"/>
      <c r="H292" s="10">
        <f t="shared" si="72"/>
        <v>75.650000000000006</v>
      </c>
      <c r="I292" s="8">
        <f>IFERROR(H292/H444, "NA")</f>
        <v>-2.5175043927373356E-2</v>
      </c>
      <c r="J292" s="9"/>
      <c r="K292" s="7">
        <v>0</v>
      </c>
      <c r="L292" s="8">
        <f>IFERROR(K292/K444, "NA")</f>
        <v>0</v>
      </c>
      <c r="M292" s="9"/>
      <c r="N292" s="10">
        <f t="shared" si="73"/>
        <v>0</v>
      </c>
      <c r="O292" s="8">
        <f>IFERROR(N292/N444, "NA")</f>
        <v>0</v>
      </c>
      <c r="P292" s="9"/>
      <c r="Q292" s="7">
        <v>0</v>
      </c>
      <c r="R292" s="8">
        <f>IFERROR(Q292/Q444, "NA")</f>
        <v>0</v>
      </c>
      <c r="S292" s="9"/>
      <c r="T292" s="7">
        <v>75.650000000000006</v>
      </c>
      <c r="U292" s="8">
        <f>IFERROR(T292/T444, "NA")</f>
        <v>9.9994104775845329E-4</v>
      </c>
      <c r="V292" s="9"/>
      <c r="W292" s="10">
        <f t="shared" si="74"/>
        <v>75.650000000000006</v>
      </c>
      <c r="X292" s="8">
        <f>IFERROR(W292/W444, "NA")</f>
        <v>-2.5175043927373356E-2</v>
      </c>
      <c r="Y292" s="9"/>
      <c r="Z292" s="7">
        <v>0</v>
      </c>
      <c r="AA292" s="8">
        <f>IFERROR(Z292/Z444, "NA")</f>
        <v>0</v>
      </c>
      <c r="AB292" s="9"/>
      <c r="AC292" s="10">
        <f t="shared" si="75"/>
        <v>0</v>
      </c>
      <c r="AD292" s="8">
        <f>IFERROR(AC292/AC444, "NA")</f>
        <v>0</v>
      </c>
    </row>
    <row r="293" spans="1:30" ht="16.5" customHeight="1" x14ac:dyDescent="0.45">
      <c r="A293" s="6" t="s">
        <v>266</v>
      </c>
      <c r="B293" s="7">
        <v>0</v>
      </c>
      <c r="C293" s="8">
        <f>IFERROR(B293/B444, "NA")</f>
        <v>0</v>
      </c>
      <c r="D293" s="9"/>
      <c r="E293" s="7">
        <v>75.650000000000006</v>
      </c>
      <c r="F293" s="8">
        <f>IFERROR(E293/E444, "NA")</f>
        <v>9.9994104775845329E-4</v>
      </c>
      <c r="G293" s="9"/>
      <c r="H293" s="10">
        <f t="shared" si="72"/>
        <v>75.650000000000006</v>
      </c>
      <c r="I293" s="8">
        <f>IFERROR(H293/H444, "NA")</f>
        <v>-2.5175043927373356E-2</v>
      </c>
      <c r="J293" s="9"/>
      <c r="K293" s="7">
        <v>369.93</v>
      </c>
      <c r="L293" s="8">
        <f>IFERROR(K293/K444, "NA")</f>
        <v>5.0730951928401524E-3</v>
      </c>
      <c r="M293" s="9"/>
      <c r="N293" s="10">
        <f t="shared" si="73"/>
        <v>369.93</v>
      </c>
      <c r="O293" s="8">
        <f>IFERROR(N293/N444, "NA")</f>
        <v>-1.3676796805678999</v>
      </c>
      <c r="P293" s="9"/>
      <c r="Q293" s="7">
        <v>0</v>
      </c>
      <c r="R293" s="8">
        <f>IFERROR(Q293/Q444, "NA")</f>
        <v>0</v>
      </c>
      <c r="S293" s="9"/>
      <c r="T293" s="7">
        <v>75.650000000000006</v>
      </c>
      <c r="U293" s="8">
        <f>IFERROR(T293/T444, "NA")</f>
        <v>9.9994104775845329E-4</v>
      </c>
      <c r="V293" s="9"/>
      <c r="W293" s="10">
        <f t="shared" si="74"/>
        <v>75.650000000000006</v>
      </c>
      <c r="X293" s="8">
        <f>IFERROR(W293/W444, "NA")</f>
        <v>-2.5175043927373356E-2</v>
      </c>
      <c r="Y293" s="9"/>
      <c r="Z293" s="7">
        <v>369.93</v>
      </c>
      <c r="AA293" s="8">
        <f>IFERROR(Z293/Z444, "NA")</f>
        <v>5.0730951928401524E-3</v>
      </c>
      <c r="AB293" s="9"/>
      <c r="AC293" s="10">
        <f t="shared" si="75"/>
        <v>369.93</v>
      </c>
      <c r="AD293" s="8">
        <f>IFERROR(AC293/AC444, "NA")</f>
        <v>-1.3676796805678999</v>
      </c>
    </row>
    <row r="294" spans="1:30" ht="16.5" customHeight="1" x14ac:dyDescent="0.45">
      <c r="A294" s="6" t="s">
        <v>267</v>
      </c>
      <c r="B294" s="7">
        <v>309.99</v>
      </c>
      <c r="C294" s="8">
        <f>IFERROR(B294/B444, "NA")</f>
        <v>4.2669254433960321E-3</v>
      </c>
      <c r="D294" s="9"/>
      <c r="E294" s="7">
        <v>346</v>
      </c>
      <c r="F294" s="8">
        <f>IFERROR(E294/E444, "NA")</f>
        <v>4.5734250168463298E-3</v>
      </c>
      <c r="G294" s="9"/>
      <c r="H294" s="10">
        <f t="shared" si="72"/>
        <v>36.009999999999991</v>
      </c>
      <c r="I294" s="8">
        <f>IFERROR(H294/H444, "NA")</f>
        <v>-1.1983520579308847E-2</v>
      </c>
      <c r="J294" s="9"/>
      <c r="K294" s="7">
        <v>319.99</v>
      </c>
      <c r="L294" s="8">
        <f>IFERROR(K294/K444, "NA")</f>
        <v>4.3882348843211428E-3</v>
      </c>
      <c r="M294" s="9"/>
      <c r="N294" s="10">
        <f t="shared" si="73"/>
        <v>10</v>
      </c>
      <c r="O294" s="8">
        <f>IFERROR(N294/N444, "NA")</f>
        <v>-3.6971310263236287E-2</v>
      </c>
      <c r="P294" s="9"/>
      <c r="Q294" s="7">
        <v>309.99</v>
      </c>
      <c r="R294" s="8">
        <f>IFERROR(Q294/Q444, "NA")</f>
        <v>4.2669254433960321E-3</v>
      </c>
      <c r="S294" s="9"/>
      <c r="T294" s="7">
        <v>346</v>
      </c>
      <c r="U294" s="8">
        <f>IFERROR(T294/T444, "NA")</f>
        <v>4.5734250168463298E-3</v>
      </c>
      <c r="V294" s="9"/>
      <c r="W294" s="10">
        <f t="shared" si="74"/>
        <v>36.009999999999991</v>
      </c>
      <c r="X294" s="8">
        <f>IFERROR(W294/W444, "NA")</f>
        <v>-1.1983520579308847E-2</v>
      </c>
      <c r="Y294" s="9"/>
      <c r="Z294" s="7">
        <v>319.99</v>
      </c>
      <c r="AA294" s="8">
        <f>IFERROR(Z294/Z444, "NA")</f>
        <v>4.3882348843211428E-3</v>
      </c>
      <c r="AB294" s="9"/>
      <c r="AC294" s="10">
        <f t="shared" si="75"/>
        <v>10</v>
      </c>
      <c r="AD294" s="8">
        <f>IFERROR(AC294/AC444, "NA")</f>
        <v>-3.6971310263236287E-2</v>
      </c>
    </row>
    <row r="295" spans="1:30" ht="16.5" customHeight="1" x14ac:dyDescent="0.45">
      <c r="A295" s="19" t="s">
        <v>268</v>
      </c>
      <c r="B295" s="14">
        <f>IFERROR(B286+B287+B288+B289+B290+B291+B292+B293+B294, "NA")</f>
        <v>1473.5</v>
      </c>
      <c r="C295" s="15">
        <f>IFERROR(B295/B444, "NA")</f>
        <v>2.0282314399961459E-2</v>
      </c>
      <c r="D295" s="2"/>
      <c r="E295" s="14">
        <f>IFERROR(E286+E287+E288+E289+E290+E291+E292+E293+E294, "NA")</f>
        <v>1602.8500000000004</v>
      </c>
      <c r="F295" s="15">
        <f>IFERROR(E295/E444, "NA")</f>
        <v>2.1186457480497519E-2</v>
      </c>
      <c r="G295" s="2"/>
      <c r="H295" s="14">
        <f t="shared" si="72"/>
        <v>129.35000000000036</v>
      </c>
      <c r="I295" s="15">
        <f>IFERROR(H295/H444, "NA")</f>
        <v>-4.3045498109791837E-2</v>
      </c>
      <c r="J295" s="2"/>
      <c r="K295" s="14">
        <f>IFERROR(K286+K287+K288+K289+K290+K291+K292+K293+K294, "NA")</f>
        <v>1777.94</v>
      </c>
      <c r="L295" s="15">
        <f>IFERROR(K295/K444, "NA")</f>
        <v>2.4382069221631716E-2</v>
      </c>
      <c r="M295" s="2"/>
      <c r="N295" s="14">
        <f t="shared" si="73"/>
        <v>304.44000000000005</v>
      </c>
      <c r="O295" s="15">
        <f>IFERROR(N295/N444, "NA")</f>
        <v>-1.1255545696539657</v>
      </c>
      <c r="P295" s="2"/>
      <c r="Q295" s="14">
        <f>IFERROR(Q286+Q287+Q288+Q289+Q290+Q291+Q292+Q293+Q294, "NA")</f>
        <v>1473.5</v>
      </c>
      <c r="R295" s="15">
        <f>IFERROR(Q295/Q444, "NA")</f>
        <v>2.0282314399961459E-2</v>
      </c>
      <c r="S295" s="2"/>
      <c r="T295" s="14">
        <f>IFERROR(T286+T287+T288+T289+T290+T291+T292+T293+T294, "NA")</f>
        <v>1602.8500000000004</v>
      </c>
      <c r="U295" s="15">
        <f>IFERROR(T295/T444, "NA")</f>
        <v>2.1186457480497519E-2</v>
      </c>
      <c r="V295" s="2"/>
      <c r="W295" s="14">
        <f t="shared" si="74"/>
        <v>129.35000000000036</v>
      </c>
      <c r="X295" s="15">
        <f>IFERROR(W295/W444, "NA")</f>
        <v>-4.3045498109791837E-2</v>
      </c>
      <c r="Y295" s="2"/>
      <c r="Z295" s="14">
        <f>IFERROR(Z286+Z287+Z288+Z289+Z290+Z291+Z292+Z293+Z294, "NA")</f>
        <v>1777.94</v>
      </c>
      <c r="AA295" s="15">
        <f>IFERROR(Z295/Z444, "NA")</f>
        <v>2.4382069221631716E-2</v>
      </c>
      <c r="AB295" s="2"/>
      <c r="AC295" s="14">
        <f t="shared" si="75"/>
        <v>304.44000000000005</v>
      </c>
      <c r="AD295" s="15">
        <f>IFERROR(AC295/AC444, "NA")</f>
        <v>-1.1255545696539657</v>
      </c>
    </row>
    <row r="296" spans="1:30" ht="16.5" customHeight="1" x14ac:dyDescent="0.45">
      <c r="A296" s="5" t="s">
        <v>269</v>
      </c>
      <c r="B296" s="2"/>
      <c r="C296" s="3"/>
      <c r="D296" s="4"/>
      <c r="E296" s="2"/>
      <c r="F296" s="3"/>
      <c r="G296" s="4"/>
      <c r="H296" s="2"/>
      <c r="I296" s="3"/>
      <c r="J296" s="4"/>
      <c r="K296" s="2"/>
      <c r="L296" s="3"/>
      <c r="M296" s="4"/>
      <c r="N296" s="2"/>
      <c r="O296" s="3"/>
      <c r="P296" s="4"/>
      <c r="Q296" s="2"/>
      <c r="R296" s="3"/>
      <c r="S296" s="4"/>
      <c r="T296" s="2"/>
      <c r="U296" s="3"/>
      <c r="V296" s="4"/>
      <c r="W296" s="2"/>
      <c r="X296" s="3"/>
      <c r="Y296" s="4"/>
      <c r="Z296" s="2"/>
      <c r="AA296" s="3"/>
      <c r="AB296" s="4"/>
      <c r="AC296" s="2"/>
      <c r="AD296" s="3"/>
    </row>
    <row r="297" spans="1:30" ht="16.5" hidden="1" customHeight="1" x14ac:dyDescent="0.45">
      <c r="A297" s="6" t="s">
        <v>269</v>
      </c>
      <c r="B297" s="7">
        <v>0</v>
      </c>
      <c r="C297" s="8">
        <f>IFERROR(B297/B444, "NA")</f>
        <v>0</v>
      </c>
      <c r="D297" s="9"/>
      <c r="E297" s="7">
        <v>0</v>
      </c>
      <c r="F297" s="8">
        <f>IFERROR(E297/E444, "NA")</f>
        <v>0</v>
      </c>
      <c r="G297" s="9"/>
      <c r="H297" s="10">
        <f t="shared" ref="H297:H325" si="76">IFERROR(-(B297-E297), "NA")</f>
        <v>0</v>
      </c>
      <c r="I297" s="8">
        <f>IFERROR(H297/H444, "NA")</f>
        <v>0</v>
      </c>
      <c r="J297" s="9"/>
      <c r="K297" s="7">
        <v>0</v>
      </c>
      <c r="L297" s="8">
        <f>IFERROR(K297/K444, "NA")</f>
        <v>0</v>
      </c>
      <c r="M297" s="9"/>
      <c r="N297" s="10">
        <f t="shared" ref="N297:N325" si="77">IFERROR(-(B297-K297), "NA")</f>
        <v>0</v>
      </c>
      <c r="O297" s="8">
        <f>IFERROR(N297/N444, "NA")</f>
        <v>0</v>
      </c>
      <c r="P297" s="9"/>
      <c r="Q297" s="7">
        <v>0</v>
      </c>
      <c r="R297" s="8">
        <f>IFERROR(Q297/Q444, "NA")</f>
        <v>0</v>
      </c>
      <c r="S297" s="9"/>
      <c r="T297" s="7">
        <v>0</v>
      </c>
      <c r="U297" s="8">
        <f>IFERROR(T297/T444, "NA")</f>
        <v>0</v>
      </c>
      <c r="V297" s="9"/>
      <c r="W297" s="10">
        <f t="shared" ref="W297:W325" si="78">IFERROR(-(Q297-T297), "NA")</f>
        <v>0</v>
      </c>
      <c r="X297" s="8">
        <f>IFERROR(W297/W444, "NA")</f>
        <v>0</v>
      </c>
      <c r="Y297" s="9"/>
      <c r="Z297" s="7">
        <v>0</v>
      </c>
      <c r="AA297" s="8">
        <f>IFERROR(Z297/Z444, "NA")</f>
        <v>0</v>
      </c>
      <c r="AB297" s="9"/>
      <c r="AC297" s="10">
        <f t="shared" ref="AC297:AC325" si="79">IFERROR(-(Q297-Z297), "NA")</f>
        <v>0</v>
      </c>
      <c r="AD297" s="8">
        <f>IFERROR(AC297/AC444, "NA")</f>
        <v>0</v>
      </c>
    </row>
    <row r="298" spans="1:30" ht="16.5" hidden="1" customHeight="1" x14ac:dyDescent="0.45">
      <c r="A298" s="6" t="s">
        <v>270</v>
      </c>
      <c r="B298" s="7">
        <v>0</v>
      </c>
      <c r="C298" s="8">
        <f>IFERROR(B298/B444, "NA")</f>
        <v>0</v>
      </c>
      <c r="D298" s="9"/>
      <c r="E298" s="7">
        <v>0</v>
      </c>
      <c r="F298" s="8">
        <f>IFERROR(E298/E444, "NA")</f>
        <v>0</v>
      </c>
      <c r="G298" s="9"/>
      <c r="H298" s="10">
        <f t="shared" si="76"/>
        <v>0</v>
      </c>
      <c r="I298" s="8">
        <f>IFERROR(H298/H444, "NA")</f>
        <v>0</v>
      </c>
      <c r="J298" s="9"/>
      <c r="K298" s="7">
        <v>0</v>
      </c>
      <c r="L298" s="8">
        <f>IFERROR(K298/K444, "NA")</f>
        <v>0</v>
      </c>
      <c r="M298" s="9"/>
      <c r="N298" s="10">
        <f t="shared" si="77"/>
        <v>0</v>
      </c>
      <c r="O298" s="8">
        <f>IFERROR(N298/N444, "NA")</f>
        <v>0</v>
      </c>
      <c r="P298" s="9"/>
      <c r="Q298" s="7">
        <v>0</v>
      </c>
      <c r="R298" s="8">
        <f>IFERROR(Q298/Q444, "NA")</f>
        <v>0</v>
      </c>
      <c r="S298" s="9"/>
      <c r="T298" s="7">
        <v>0</v>
      </c>
      <c r="U298" s="8">
        <f>IFERROR(T298/T444, "NA")</f>
        <v>0</v>
      </c>
      <c r="V298" s="9"/>
      <c r="W298" s="10">
        <f t="shared" si="78"/>
        <v>0</v>
      </c>
      <c r="X298" s="8">
        <f>IFERROR(W298/W444, "NA")</f>
        <v>0</v>
      </c>
      <c r="Y298" s="9"/>
      <c r="Z298" s="7">
        <v>0</v>
      </c>
      <c r="AA298" s="8">
        <f>IFERROR(Z298/Z444, "NA")</f>
        <v>0</v>
      </c>
      <c r="AB298" s="9"/>
      <c r="AC298" s="10">
        <f t="shared" si="79"/>
        <v>0</v>
      </c>
      <c r="AD298" s="8">
        <f>IFERROR(AC298/AC444, "NA")</f>
        <v>0</v>
      </c>
    </row>
    <row r="299" spans="1:30" ht="16.5" customHeight="1" x14ac:dyDescent="0.45">
      <c r="A299" s="6" t="s">
        <v>271</v>
      </c>
      <c r="B299" s="7">
        <v>567.83000000000004</v>
      </c>
      <c r="C299" s="8">
        <f>IFERROR(B299/B444, "NA")</f>
        <v>7.8160207571972284E-3</v>
      </c>
      <c r="D299" s="9"/>
      <c r="E299" s="7">
        <v>575</v>
      </c>
      <c r="F299" s="8">
        <f>IFERROR(E299/E444, "NA")</f>
        <v>7.6003450424469354E-3</v>
      </c>
      <c r="G299" s="9"/>
      <c r="H299" s="10">
        <f t="shared" si="76"/>
        <v>7.1699999999999591</v>
      </c>
      <c r="I299" s="8">
        <f>IFERROR(H299/H444, "NA")</f>
        <v>-2.3860550556413208E-3</v>
      </c>
      <c r="J299" s="9"/>
      <c r="K299" s="7">
        <v>194.06</v>
      </c>
      <c r="L299" s="8">
        <f>IFERROR(K299/K444, "NA")</f>
        <v>2.6612733574529232E-3</v>
      </c>
      <c r="M299" s="9"/>
      <c r="N299" s="10">
        <f t="shared" si="77"/>
        <v>-373.77000000000004</v>
      </c>
      <c r="O299" s="8">
        <f>IFERROR(N299/N444, "NA")</f>
        <v>1.3818766637089828</v>
      </c>
      <c r="P299" s="9"/>
      <c r="Q299" s="7">
        <v>567.83000000000004</v>
      </c>
      <c r="R299" s="8">
        <f>IFERROR(Q299/Q444, "NA")</f>
        <v>7.8160207571972284E-3</v>
      </c>
      <c r="S299" s="9"/>
      <c r="T299" s="7">
        <v>575</v>
      </c>
      <c r="U299" s="8">
        <f>IFERROR(T299/T444, "NA")</f>
        <v>7.6003450424469354E-3</v>
      </c>
      <c r="V299" s="9"/>
      <c r="W299" s="10">
        <f t="shared" si="78"/>
        <v>7.1699999999999591</v>
      </c>
      <c r="X299" s="8">
        <f>IFERROR(W299/W444, "NA")</f>
        <v>-2.3860550556413208E-3</v>
      </c>
      <c r="Y299" s="9"/>
      <c r="Z299" s="7">
        <v>194.06</v>
      </c>
      <c r="AA299" s="8">
        <f>IFERROR(Z299/Z444, "NA")</f>
        <v>2.6612733574529232E-3</v>
      </c>
      <c r="AB299" s="9"/>
      <c r="AC299" s="10">
        <f t="shared" si="79"/>
        <v>-373.77000000000004</v>
      </c>
      <c r="AD299" s="8">
        <f>IFERROR(AC299/AC444, "NA")</f>
        <v>1.3818766637089828</v>
      </c>
    </row>
    <row r="300" spans="1:30" ht="16.5" hidden="1" customHeight="1" x14ac:dyDescent="0.45">
      <c r="A300" s="6" t="s">
        <v>272</v>
      </c>
      <c r="B300" s="7">
        <v>0</v>
      </c>
      <c r="C300" s="8">
        <f>IFERROR(B300/B444, "NA")</f>
        <v>0</v>
      </c>
      <c r="D300" s="9"/>
      <c r="E300" s="7">
        <v>0</v>
      </c>
      <c r="F300" s="8">
        <f>IFERROR(E300/E444, "NA")</f>
        <v>0</v>
      </c>
      <c r="G300" s="9"/>
      <c r="H300" s="10">
        <f t="shared" si="76"/>
        <v>0</v>
      </c>
      <c r="I300" s="8">
        <f>IFERROR(H300/H444, "NA")</f>
        <v>0</v>
      </c>
      <c r="J300" s="9"/>
      <c r="K300" s="7">
        <v>0</v>
      </c>
      <c r="L300" s="8">
        <f>IFERROR(K300/K444, "NA")</f>
        <v>0</v>
      </c>
      <c r="M300" s="9"/>
      <c r="N300" s="10">
        <f t="shared" si="77"/>
        <v>0</v>
      </c>
      <c r="O300" s="8">
        <f>IFERROR(N300/N444, "NA")</f>
        <v>0</v>
      </c>
      <c r="P300" s="9"/>
      <c r="Q300" s="7">
        <v>0</v>
      </c>
      <c r="R300" s="8">
        <f>IFERROR(Q300/Q444, "NA")</f>
        <v>0</v>
      </c>
      <c r="S300" s="9"/>
      <c r="T300" s="7">
        <v>0</v>
      </c>
      <c r="U300" s="8">
        <f>IFERROR(T300/T444, "NA")</f>
        <v>0</v>
      </c>
      <c r="V300" s="9"/>
      <c r="W300" s="10">
        <f t="shared" si="78"/>
        <v>0</v>
      </c>
      <c r="X300" s="8">
        <f>IFERROR(W300/W444, "NA")</f>
        <v>0</v>
      </c>
      <c r="Y300" s="9"/>
      <c r="Z300" s="7">
        <v>0</v>
      </c>
      <c r="AA300" s="8">
        <f>IFERROR(Z300/Z444, "NA")</f>
        <v>0</v>
      </c>
      <c r="AB300" s="9"/>
      <c r="AC300" s="10">
        <f t="shared" si="79"/>
        <v>0</v>
      </c>
      <c r="AD300" s="8">
        <f>IFERROR(AC300/AC444, "NA")</f>
        <v>0</v>
      </c>
    </row>
    <row r="301" spans="1:30" ht="16.5" hidden="1" customHeight="1" x14ac:dyDescent="0.45">
      <c r="A301" s="6" t="s">
        <v>273</v>
      </c>
      <c r="B301" s="7">
        <v>0</v>
      </c>
      <c r="C301" s="8">
        <f>IFERROR(B301/B444, "NA")</f>
        <v>0</v>
      </c>
      <c r="D301" s="9"/>
      <c r="E301" s="7">
        <v>0</v>
      </c>
      <c r="F301" s="8">
        <f>IFERROR(E301/E444, "NA")</f>
        <v>0</v>
      </c>
      <c r="G301" s="9"/>
      <c r="H301" s="10">
        <f t="shared" si="76"/>
        <v>0</v>
      </c>
      <c r="I301" s="8">
        <f>IFERROR(H301/H444, "NA")</f>
        <v>0</v>
      </c>
      <c r="J301" s="9"/>
      <c r="K301" s="7">
        <v>0</v>
      </c>
      <c r="L301" s="8">
        <f>IFERROR(K301/K444, "NA")</f>
        <v>0</v>
      </c>
      <c r="M301" s="9"/>
      <c r="N301" s="10">
        <f t="shared" si="77"/>
        <v>0</v>
      </c>
      <c r="O301" s="8">
        <f>IFERROR(N301/N444, "NA")</f>
        <v>0</v>
      </c>
      <c r="P301" s="9"/>
      <c r="Q301" s="7">
        <v>0</v>
      </c>
      <c r="R301" s="8">
        <f>IFERROR(Q301/Q444, "NA")</f>
        <v>0</v>
      </c>
      <c r="S301" s="9"/>
      <c r="T301" s="7">
        <v>0</v>
      </c>
      <c r="U301" s="8">
        <f>IFERROR(T301/T444, "NA")</f>
        <v>0</v>
      </c>
      <c r="V301" s="9"/>
      <c r="W301" s="10">
        <f t="shared" si="78"/>
        <v>0</v>
      </c>
      <c r="X301" s="8">
        <f>IFERROR(W301/W444, "NA")</f>
        <v>0</v>
      </c>
      <c r="Y301" s="9"/>
      <c r="Z301" s="7">
        <v>0</v>
      </c>
      <c r="AA301" s="8">
        <f>IFERROR(Z301/Z444, "NA")</f>
        <v>0</v>
      </c>
      <c r="AB301" s="9"/>
      <c r="AC301" s="10">
        <f t="shared" si="79"/>
        <v>0</v>
      </c>
      <c r="AD301" s="8">
        <f>IFERROR(AC301/AC444, "NA")</f>
        <v>0</v>
      </c>
    </row>
    <row r="302" spans="1:30" ht="16.5" hidden="1" customHeight="1" x14ac:dyDescent="0.45">
      <c r="A302" s="6" t="s">
        <v>274</v>
      </c>
      <c r="B302" s="7">
        <v>0</v>
      </c>
      <c r="C302" s="8">
        <f>IFERROR(B302/B444, "NA")</f>
        <v>0</v>
      </c>
      <c r="D302" s="9"/>
      <c r="E302" s="7">
        <v>0</v>
      </c>
      <c r="F302" s="8">
        <f>IFERROR(E302/E444, "NA")</f>
        <v>0</v>
      </c>
      <c r="G302" s="9"/>
      <c r="H302" s="10">
        <f t="shared" si="76"/>
        <v>0</v>
      </c>
      <c r="I302" s="8">
        <f>IFERROR(H302/H444, "NA")</f>
        <v>0</v>
      </c>
      <c r="J302" s="9"/>
      <c r="K302" s="7">
        <v>0</v>
      </c>
      <c r="L302" s="8">
        <f>IFERROR(K302/K444, "NA")</f>
        <v>0</v>
      </c>
      <c r="M302" s="9"/>
      <c r="N302" s="10">
        <f t="shared" si="77"/>
        <v>0</v>
      </c>
      <c r="O302" s="8">
        <f>IFERROR(N302/N444, "NA")</f>
        <v>0</v>
      </c>
      <c r="P302" s="9"/>
      <c r="Q302" s="7">
        <v>0</v>
      </c>
      <c r="R302" s="8">
        <f>IFERROR(Q302/Q444, "NA")</f>
        <v>0</v>
      </c>
      <c r="S302" s="9"/>
      <c r="T302" s="7">
        <v>0</v>
      </c>
      <c r="U302" s="8">
        <f>IFERROR(T302/T444, "NA")</f>
        <v>0</v>
      </c>
      <c r="V302" s="9"/>
      <c r="W302" s="10">
        <f t="shared" si="78"/>
        <v>0</v>
      </c>
      <c r="X302" s="8">
        <f>IFERROR(W302/W444, "NA")</f>
        <v>0</v>
      </c>
      <c r="Y302" s="9"/>
      <c r="Z302" s="7">
        <v>0</v>
      </c>
      <c r="AA302" s="8">
        <f>IFERROR(Z302/Z444, "NA")</f>
        <v>0</v>
      </c>
      <c r="AB302" s="9"/>
      <c r="AC302" s="10">
        <f t="shared" si="79"/>
        <v>0</v>
      </c>
      <c r="AD302" s="8">
        <f>IFERROR(AC302/AC444, "NA")</f>
        <v>0</v>
      </c>
    </row>
    <row r="303" spans="1:30" ht="16.5" hidden="1" customHeight="1" x14ac:dyDescent="0.45">
      <c r="A303" s="6" t="s">
        <v>275</v>
      </c>
      <c r="B303" s="7">
        <v>0</v>
      </c>
      <c r="C303" s="8">
        <f>IFERROR(B303/B444, "NA")</f>
        <v>0</v>
      </c>
      <c r="D303" s="9"/>
      <c r="E303" s="7">
        <v>0</v>
      </c>
      <c r="F303" s="8">
        <f>IFERROR(E303/E444, "NA")</f>
        <v>0</v>
      </c>
      <c r="G303" s="9"/>
      <c r="H303" s="10">
        <f t="shared" si="76"/>
        <v>0</v>
      </c>
      <c r="I303" s="8">
        <f>IFERROR(H303/H444, "NA")</f>
        <v>0</v>
      </c>
      <c r="J303" s="9"/>
      <c r="K303" s="7">
        <v>0</v>
      </c>
      <c r="L303" s="8">
        <f>IFERROR(K303/K444, "NA")</f>
        <v>0</v>
      </c>
      <c r="M303" s="9"/>
      <c r="N303" s="10">
        <f t="shared" si="77"/>
        <v>0</v>
      </c>
      <c r="O303" s="8">
        <f>IFERROR(N303/N444, "NA")</f>
        <v>0</v>
      </c>
      <c r="P303" s="9"/>
      <c r="Q303" s="7">
        <v>0</v>
      </c>
      <c r="R303" s="8">
        <f>IFERROR(Q303/Q444, "NA")</f>
        <v>0</v>
      </c>
      <c r="S303" s="9"/>
      <c r="T303" s="7">
        <v>0</v>
      </c>
      <c r="U303" s="8">
        <f>IFERROR(T303/T444, "NA")</f>
        <v>0</v>
      </c>
      <c r="V303" s="9"/>
      <c r="W303" s="10">
        <f t="shared" si="78"/>
        <v>0</v>
      </c>
      <c r="X303" s="8">
        <f>IFERROR(W303/W444, "NA")</f>
        <v>0</v>
      </c>
      <c r="Y303" s="9"/>
      <c r="Z303" s="7">
        <v>0</v>
      </c>
      <c r="AA303" s="8">
        <f>IFERROR(Z303/Z444, "NA")</f>
        <v>0</v>
      </c>
      <c r="AB303" s="9"/>
      <c r="AC303" s="10">
        <f t="shared" si="79"/>
        <v>0</v>
      </c>
      <c r="AD303" s="8">
        <f>IFERROR(AC303/AC444, "NA")</f>
        <v>0</v>
      </c>
    </row>
    <row r="304" spans="1:30" ht="16.5" hidden="1" customHeight="1" x14ac:dyDescent="0.45">
      <c r="A304" s="6" t="s">
        <v>276</v>
      </c>
      <c r="B304" s="7">
        <v>0</v>
      </c>
      <c r="C304" s="8">
        <f>IFERROR(B304/B444, "NA")</f>
        <v>0</v>
      </c>
      <c r="D304" s="9"/>
      <c r="E304" s="7">
        <v>0</v>
      </c>
      <c r="F304" s="8">
        <f>IFERROR(E304/E444, "NA")</f>
        <v>0</v>
      </c>
      <c r="G304" s="9"/>
      <c r="H304" s="10">
        <f t="shared" si="76"/>
        <v>0</v>
      </c>
      <c r="I304" s="8">
        <f>IFERROR(H304/H444, "NA")</f>
        <v>0</v>
      </c>
      <c r="J304" s="9"/>
      <c r="K304" s="7">
        <v>0</v>
      </c>
      <c r="L304" s="8">
        <f>IFERROR(K304/K444, "NA")</f>
        <v>0</v>
      </c>
      <c r="M304" s="9"/>
      <c r="N304" s="10">
        <f t="shared" si="77"/>
        <v>0</v>
      </c>
      <c r="O304" s="8">
        <f>IFERROR(N304/N444, "NA")</f>
        <v>0</v>
      </c>
      <c r="P304" s="9"/>
      <c r="Q304" s="7">
        <v>0</v>
      </c>
      <c r="R304" s="8">
        <f>IFERROR(Q304/Q444, "NA")</f>
        <v>0</v>
      </c>
      <c r="S304" s="9"/>
      <c r="T304" s="7">
        <v>0</v>
      </c>
      <c r="U304" s="8">
        <f>IFERROR(T304/T444, "NA")</f>
        <v>0</v>
      </c>
      <c r="V304" s="9"/>
      <c r="W304" s="10">
        <f t="shared" si="78"/>
        <v>0</v>
      </c>
      <c r="X304" s="8">
        <f>IFERROR(W304/W444, "NA")</f>
        <v>0</v>
      </c>
      <c r="Y304" s="9"/>
      <c r="Z304" s="7">
        <v>0</v>
      </c>
      <c r="AA304" s="8">
        <f>IFERROR(Z304/Z444, "NA")</f>
        <v>0</v>
      </c>
      <c r="AB304" s="9"/>
      <c r="AC304" s="10">
        <f t="shared" si="79"/>
        <v>0</v>
      </c>
      <c r="AD304" s="8">
        <f>IFERROR(AC304/AC444, "NA")</f>
        <v>0</v>
      </c>
    </row>
    <row r="305" spans="1:30" ht="16.5" hidden="1" customHeight="1" x14ac:dyDescent="0.45">
      <c r="A305" s="6" t="s">
        <v>277</v>
      </c>
      <c r="B305" s="7">
        <v>0</v>
      </c>
      <c r="C305" s="8">
        <f>IFERROR(B305/B444, "NA")</f>
        <v>0</v>
      </c>
      <c r="D305" s="9"/>
      <c r="E305" s="7">
        <v>0</v>
      </c>
      <c r="F305" s="8">
        <f>IFERROR(E305/E444, "NA")</f>
        <v>0</v>
      </c>
      <c r="G305" s="9"/>
      <c r="H305" s="10">
        <f t="shared" si="76"/>
        <v>0</v>
      </c>
      <c r="I305" s="8">
        <f>IFERROR(H305/H444, "NA")</f>
        <v>0</v>
      </c>
      <c r="J305" s="9"/>
      <c r="K305" s="7">
        <v>0</v>
      </c>
      <c r="L305" s="8">
        <f>IFERROR(K305/K444, "NA")</f>
        <v>0</v>
      </c>
      <c r="M305" s="9"/>
      <c r="N305" s="10">
        <f t="shared" si="77"/>
        <v>0</v>
      </c>
      <c r="O305" s="8">
        <f>IFERROR(N305/N444, "NA")</f>
        <v>0</v>
      </c>
      <c r="P305" s="9"/>
      <c r="Q305" s="7">
        <v>0</v>
      </c>
      <c r="R305" s="8">
        <f>IFERROR(Q305/Q444, "NA")</f>
        <v>0</v>
      </c>
      <c r="S305" s="9"/>
      <c r="T305" s="7">
        <v>0</v>
      </c>
      <c r="U305" s="8">
        <f>IFERROR(T305/T444, "NA")</f>
        <v>0</v>
      </c>
      <c r="V305" s="9"/>
      <c r="W305" s="10">
        <f t="shared" si="78"/>
        <v>0</v>
      </c>
      <c r="X305" s="8">
        <f>IFERROR(W305/W444, "NA")</f>
        <v>0</v>
      </c>
      <c r="Y305" s="9"/>
      <c r="Z305" s="7">
        <v>0</v>
      </c>
      <c r="AA305" s="8">
        <f>IFERROR(Z305/Z444, "NA")</f>
        <v>0</v>
      </c>
      <c r="AB305" s="9"/>
      <c r="AC305" s="10">
        <f t="shared" si="79"/>
        <v>0</v>
      </c>
      <c r="AD305" s="8">
        <f>IFERROR(AC305/AC444, "NA")</f>
        <v>0</v>
      </c>
    </row>
    <row r="306" spans="1:30" ht="16.5" hidden="1" customHeight="1" x14ac:dyDescent="0.45">
      <c r="A306" s="6" t="s">
        <v>278</v>
      </c>
      <c r="B306" s="7">
        <v>0</v>
      </c>
      <c r="C306" s="8">
        <f>IFERROR(B306/B444, "NA")</f>
        <v>0</v>
      </c>
      <c r="D306" s="9"/>
      <c r="E306" s="7">
        <v>0</v>
      </c>
      <c r="F306" s="8">
        <f>IFERROR(E306/E444, "NA")</f>
        <v>0</v>
      </c>
      <c r="G306" s="9"/>
      <c r="H306" s="10">
        <f t="shared" si="76"/>
        <v>0</v>
      </c>
      <c r="I306" s="8">
        <f>IFERROR(H306/H444, "NA")</f>
        <v>0</v>
      </c>
      <c r="J306" s="9"/>
      <c r="K306" s="7">
        <v>0</v>
      </c>
      <c r="L306" s="8">
        <f>IFERROR(K306/K444, "NA")</f>
        <v>0</v>
      </c>
      <c r="M306" s="9"/>
      <c r="N306" s="10">
        <f t="shared" si="77"/>
        <v>0</v>
      </c>
      <c r="O306" s="8">
        <f>IFERROR(N306/N444, "NA")</f>
        <v>0</v>
      </c>
      <c r="P306" s="9"/>
      <c r="Q306" s="7">
        <v>0</v>
      </c>
      <c r="R306" s="8">
        <f>IFERROR(Q306/Q444, "NA")</f>
        <v>0</v>
      </c>
      <c r="S306" s="9"/>
      <c r="T306" s="7">
        <v>0</v>
      </c>
      <c r="U306" s="8">
        <f>IFERROR(T306/T444, "NA")</f>
        <v>0</v>
      </c>
      <c r="V306" s="9"/>
      <c r="W306" s="10">
        <f t="shared" si="78"/>
        <v>0</v>
      </c>
      <c r="X306" s="8">
        <f>IFERROR(W306/W444, "NA")</f>
        <v>0</v>
      </c>
      <c r="Y306" s="9"/>
      <c r="Z306" s="7">
        <v>0</v>
      </c>
      <c r="AA306" s="8">
        <f>IFERROR(Z306/Z444, "NA")</f>
        <v>0</v>
      </c>
      <c r="AB306" s="9"/>
      <c r="AC306" s="10">
        <f t="shared" si="79"/>
        <v>0</v>
      </c>
      <c r="AD306" s="8">
        <f>IFERROR(AC306/AC444, "NA")</f>
        <v>0</v>
      </c>
    </row>
    <row r="307" spans="1:30" ht="16.5" hidden="1" customHeight="1" x14ac:dyDescent="0.45">
      <c r="A307" s="6" t="s">
        <v>279</v>
      </c>
      <c r="B307" s="7">
        <v>0</v>
      </c>
      <c r="C307" s="8">
        <f>IFERROR(B307/B444, "NA")</f>
        <v>0</v>
      </c>
      <c r="D307" s="9"/>
      <c r="E307" s="7">
        <v>0</v>
      </c>
      <c r="F307" s="8">
        <f>IFERROR(E307/E444, "NA")</f>
        <v>0</v>
      </c>
      <c r="G307" s="9"/>
      <c r="H307" s="10">
        <f t="shared" si="76"/>
        <v>0</v>
      </c>
      <c r="I307" s="8">
        <f>IFERROR(H307/H444, "NA")</f>
        <v>0</v>
      </c>
      <c r="J307" s="9"/>
      <c r="K307" s="7">
        <v>0</v>
      </c>
      <c r="L307" s="8">
        <f>IFERROR(K307/K444, "NA")</f>
        <v>0</v>
      </c>
      <c r="M307" s="9"/>
      <c r="N307" s="10">
        <f t="shared" si="77"/>
        <v>0</v>
      </c>
      <c r="O307" s="8">
        <f>IFERROR(N307/N444, "NA")</f>
        <v>0</v>
      </c>
      <c r="P307" s="9"/>
      <c r="Q307" s="7">
        <v>0</v>
      </c>
      <c r="R307" s="8">
        <f>IFERROR(Q307/Q444, "NA")</f>
        <v>0</v>
      </c>
      <c r="S307" s="9"/>
      <c r="T307" s="7">
        <v>0</v>
      </c>
      <c r="U307" s="8">
        <f>IFERROR(T307/T444, "NA")</f>
        <v>0</v>
      </c>
      <c r="V307" s="9"/>
      <c r="W307" s="10">
        <f t="shared" si="78"/>
        <v>0</v>
      </c>
      <c r="X307" s="8">
        <f>IFERROR(W307/W444, "NA")</f>
        <v>0</v>
      </c>
      <c r="Y307" s="9"/>
      <c r="Z307" s="7">
        <v>0</v>
      </c>
      <c r="AA307" s="8">
        <f>IFERROR(Z307/Z444, "NA")</f>
        <v>0</v>
      </c>
      <c r="AB307" s="9"/>
      <c r="AC307" s="10">
        <f t="shared" si="79"/>
        <v>0</v>
      </c>
      <c r="AD307" s="8">
        <f>IFERROR(AC307/AC444, "NA")</f>
        <v>0</v>
      </c>
    </row>
    <row r="308" spans="1:30" ht="16.5" hidden="1" customHeight="1" x14ac:dyDescent="0.45">
      <c r="A308" s="6" t="s">
        <v>280</v>
      </c>
      <c r="B308" s="7">
        <v>0</v>
      </c>
      <c r="C308" s="8">
        <f>IFERROR(B308/B444, "NA")</f>
        <v>0</v>
      </c>
      <c r="D308" s="9"/>
      <c r="E308" s="7">
        <v>0</v>
      </c>
      <c r="F308" s="8">
        <f>IFERROR(E308/E444, "NA")</f>
        <v>0</v>
      </c>
      <c r="G308" s="9"/>
      <c r="H308" s="10">
        <f t="shared" si="76"/>
        <v>0</v>
      </c>
      <c r="I308" s="8">
        <f>IFERROR(H308/H444, "NA")</f>
        <v>0</v>
      </c>
      <c r="J308" s="9"/>
      <c r="K308" s="7">
        <v>0</v>
      </c>
      <c r="L308" s="8">
        <f>IFERROR(K308/K444, "NA")</f>
        <v>0</v>
      </c>
      <c r="M308" s="9"/>
      <c r="N308" s="10">
        <f t="shared" si="77"/>
        <v>0</v>
      </c>
      <c r="O308" s="8">
        <f>IFERROR(N308/N444, "NA")</f>
        <v>0</v>
      </c>
      <c r="P308" s="9"/>
      <c r="Q308" s="7">
        <v>0</v>
      </c>
      <c r="R308" s="8">
        <f>IFERROR(Q308/Q444, "NA")</f>
        <v>0</v>
      </c>
      <c r="S308" s="9"/>
      <c r="T308" s="7">
        <v>0</v>
      </c>
      <c r="U308" s="8">
        <f>IFERROR(T308/T444, "NA")</f>
        <v>0</v>
      </c>
      <c r="V308" s="9"/>
      <c r="W308" s="10">
        <f t="shared" si="78"/>
        <v>0</v>
      </c>
      <c r="X308" s="8">
        <f>IFERROR(W308/W444, "NA")</f>
        <v>0</v>
      </c>
      <c r="Y308" s="9"/>
      <c r="Z308" s="7">
        <v>0</v>
      </c>
      <c r="AA308" s="8">
        <f>IFERROR(Z308/Z444, "NA")</f>
        <v>0</v>
      </c>
      <c r="AB308" s="9"/>
      <c r="AC308" s="10">
        <f t="shared" si="79"/>
        <v>0</v>
      </c>
      <c r="AD308" s="8">
        <f>IFERROR(AC308/AC444, "NA")</f>
        <v>0</v>
      </c>
    </row>
    <row r="309" spans="1:30" ht="16.5" hidden="1" customHeight="1" x14ac:dyDescent="0.45">
      <c r="A309" s="6" t="s">
        <v>281</v>
      </c>
      <c r="B309" s="7">
        <v>0</v>
      </c>
      <c r="C309" s="8">
        <f>IFERROR(B309/B444, "NA")</f>
        <v>0</v>
      </c>
      <c r="D309" s="9"/>
      <c r="E309" s="7">
        <v>0</v>
      </c>
      <c r="F309" s="8">
        <f>IFERROR(E309/E444, "NA")</f>
        <v>0</v>
      </c>
      <c r="G309" s="9"/>
      <c r="H309" s="10">
        <f t="shared" si="76"/>
        <v>0</v>
      </c>
      <c r="I309" s="8">
        <f>IFERROR(H309/H444, "NA")</f>
        <v>0</v>
      </c>
      <c r="J309" s="9"/>
      <c r="K309" s="7">
        <v>0</v>
      </c>
      <c r="L309" s="8">
        <f>IFERROR(K309/K444, "NA")</f>
        <v>0</v>
      </c>
      <c r="M309" s="9"/>
      <c r="N309" s="10">
        <f t="shared" si="77"/>
        <v>0</v>
      </c>
      <c r="O309" s="8">
        <f>IFERROR(N309/N444, "NA")</f>
        <v>0</v>
      </c>
      <c r="P309" s="9"/>
      <c r="Q309" s="7">
        <v>0</v>
      </c>
      <c r="R309" s="8">
        <f>IFERROR(Q309/Q444, "NA")</f>
        <v>0</v>
      </c>
      <c r="S309" s="9"/>
      <c r="T309" s="7">
        <v>0</v>
      </c>
      <c r="U309" s="8">
        <f>IFERROR(T309/T444, "NA")</f>
        <v>0</v>
      </c>
      <c r="V309" s="9"/>
      <c r="W309" s="10">
        <f t="shared" si="78"/>
        <v>0</v>
      </c>
      <c r="X309" s="8">
        <f>IFERROR(W309/W444, "NA")</f>
        <v>0</v>
      </c>
      <c r="Y309" s="9"/>
      <c r="Z309" s="7">
        <v>0</v>
      </c>
      <c r="AA309" s="8">
        <f>IFERROR(Z309/Z444, "NA")</f>
        <v>0</v>
      </c>
      <c r="AB309" s="9"/>
      <c r="AC309" s="10">
        <f t="shared" si="79"/>
        <v>0</v>
      </c>
      <c r="AD309" s="8">
        <f>IFERROR(AC309/AC444, "NA")</f>
        <v>0</v>
      </c>
    </row>
    <row r="310" spans="1:30" ht="16.5" customHeight="1" x14ac:dyDescent="0.45">
      <c r="A310" s="6" t="s">
        <v>282</v>
      </c>
      <c r="B310" s="7">
        <v>39.6</v>
      </c>
      <c r="C310" s="8">
        <f>IFERROR(B310/B444, "NA")</f>
        <v>5.4508289802407449E-4</v>
      </c>
      <c r="D310" s="9"/>
      <c r="E310" s="7">
        <v>55</v>
      </c>
      <c r="F310" s="8">
        <f>IFERROR(E310/E444, "NA")</f>
        <v>7.26989525799272E-4</v>
      </c>
      <c r="G310" s="9"/>
      <c r="H310" s="10">
        <f t="shared" si="76"/>
        <v>15.399999999999999</v>
      </c>
      <c r="I310" s="8">
        <f>IFERROR(H310/H444, "NA")</f>
        <v>-5.1248602310845952E-3</v>
      </c>
      <c r="J310" s="9"/>
      <c r="K310" s="7">
        <v>31.57</v>
      </c>
      <c r="L310" s="8">
        <f>IFERROR(K310/K444, "NA")</f>
        <v>4.3294032719153242E-4</v>
      </c>
      <c r="M310" s="9"/>
      <c r="N310" s="10">
        <f t="shared" si="77"/>
        <v>-8.0300000000000011</v>
      </c>
      <c r="O310" s="8">
        <f>IFERROR(N310/N444, "NA")</f>
        <v>2.968796214137874E-2</v>
      </c>
      <c r="P310" s="9"/>
      <c r="Q310" s="7">
        <v>39.6</v>
      </c>
      <c r="R310" s="8">
        <f>IFERROR(Q310/Q444, "NA")</f>
        <v>5.4508289802407449E-4</v>
      </c>
      <c r="S310" s="9"/>
      <c r="T310" s="7">
        <v>55</v>
      </c>
      <c r="U310" s="8">
        <f>IFERROR(T310/T444, "NA")</f>
        <v>7.26989525799272E-4</v>
      </c>
      <c r="V310" s="9"/>
      <c r="W310" s="10">
        <f t="shared" si="78"/>
        <v>15.399999999999999</v>
      </c>
      <c r="X310" s="8">
        <f>IFERROR(W310/W444, "NA")</f>
        <v>-5.1248602310845952E-3</v>
      </c>
      <c r="Y310" s="9"/>
      <c r="Z310" s="7">
        <v>31.57</v>
      </c>
      <c r="AA310" s="8">
        <f>IFERROR(Z310/Z444, "NA")</f>
        <v>4.3294032719153242E-4</v>
      </c>
      <c r="AB310" s="9"/>
      <c r="AC310" s="10">
        <f t="shared" si="79"/>
        <v>-8.0300000000000011</v>
      </c>
      <c r="AD310" s="8">
        <f>IFERROR(AC310/AC444, "NA")</f>
        <v>2.968796214137874E-2</v>
      </c>
    </row>
    <row r="311" spans="1:30" ht="16.5" hidden="1" customHeight="1" x14ac:dyDescent="0.45">
      <c r="A311" s="6" t="s">
        <v>283</v>
      </c>
      <c r="B311" s="7">
        <v>0</v>
      </c>
      <c r="C311" s="8">
        <f>IFERROR(B311/B444, "NA")</f>
        <v>0</v>
      </c>
      <c r="D311" s="9"/>
      <c r="E311" s="7">
        <v>0</v>
      </c>
      <c r="F311" s="8">
        <f>IFERROR(E311/E444, "NA")</f>
        <v>0</v>
      </c>
      <c r="G311" s="9"/>
      <c r="H311" s="10">
        <f t="shared" si="76"/>
        <v>0</v>
      </c>
      <c r="I311" s="8">
        <f>IFERROR(H311/H444, "NA")</f>
        <v>0</v>
      </c>
      <c r="J311" s="9"/>
      <c r="K311" s="7">
        <v>0</v>
      </c>
      <c r="L311" s="8">
        <f>IFERROR(K311/K444, "NA")</f>
        <v>0</v>
      </c>
      <c r="M311" s="9"/>
      <c r="N311" s="10">
        <f t="shared" si="77"/>
        <v>0</v>
      </c>
      <c r="O311" s="8">
        <f>IFERROR(N311/N444, "NA")</f>
        <v>0</v>
      </c>
      <c r="P311" s="9"/>
      <c r="Q311" s="7">
        <v>0</v>
      </c>
      <c r="R311" s="8">
        <f>IFERROR(Q311/Q444, "NA")</f>
        <v>0</v>
      </c>
      <c r="S311" s="9"/>
      <c r="T311" s="7">
        <v>0</v>
      </c>
      <c r="U311" s="8">
        <f>IFERROR(T311/T444, "NA")</f>
        <v>0</v>
      </c>
      <c r="V311" s="9"/>
      <c r="W311" s="10">
        <f t="shared" si="78"/>
        <v>0</v>
      </c>
      <c r="X311" s="8">
        <f>IFERROR(W311/W444, "NA")</f>
        <v>0</v>
      </c>
      <c r="Y311" s="9"/>
      <c r="Z311" s="7">
        <v>0</v>
      </c>
      <c r="AA311" s="8">
        <f>IFERROR(Z311/Z444, "NA")</f>
        <v>0</v>
      </c>
      <c r="AB311" s="9"/>
      <c r="AC311" s="10">
        <f t="shared" si="79"/>
        <v>0</v>
      </c>
      <c r="AD311" s="8">
        <f>IFERROR(AC311/AC444, "NA")</f>
        <v>0</v>
      </c>
    </row>
    <row r="312" spans="1:30" ht="16.5" customHeight="1" x14ac:dyDescent="0.45">
      <c r="A312" s="6" t="s">
        <v>284</v>
      </c>
      <c r="B312" s="7">
        <v>63.33</v>
      </c>
      <c r="C312" s="8">
        <f>IFERROR(B312/B444, "NA")</f>
        <v>8.7171969524910695E-4</v>
      </c>
      <c r="D312" s="9"/>
      <c r="E312" s="7">
        <v>35</v>
      </c>
      <c r="F312" s="8">
        <f>IFERROR(E312/E444, "NA")</f>
        <v>4.626296982359004E-4</v>
      </c>
      <c r="G312" s="9"/>
      <c r="H312" s="10">
        <f t="shared" si="76"/>
        <v>-28.33</v>
      </c>
      <c r="I312" s="8">
        <f>IFERROR(H312/H444, "NA")</f>
        <v>9.4277461264043235E-3</v>
      </c>
      <c r="J312" s="9"/>
      <c r="K312" s="7">
        <v>29.03</v>
      </c>
      <c r="L312" s="8">
        <f>IFERROR(K312/K444, "NA")</f>
        <v>3.9810762427526725E-4</v>
      </c>
      <c r="M312" s="9"/>
      <c r="N312" s="10">
        <f t="shared" si="77"/>
        <v>-34.299999999999997</v>
      </c>
      <c r="O312" s="8">
        <f>IFERROR(N312/N444, "NA")</f>
        <v>0.12681159420290045</v>
      </c>
      <c r="P312" s="9"/>
      <c r="Q312" s="7">
        <v>63.33</v>
      </c>
      <c r="R312" s="8">
        <f>IFERROR(Q312/Q444, "NA")</f>
        <v>8.7171969524910695E-4</v>
      </c>
      <c r="S312" s="9"/>
      <c r="T312" s="7">
        <v>35</v>
      </c>
      <c r="U312" s="8">
        <f>IFERROR(T312/T444, "NA")</f>
        <v>4.626296982359004E-4</v>
      </c>
      <c r="V312" s="9"/>
      <c r="W312" s="10">
        <f t="shared" si="78"/>
        <v>-28.33</v>
      </c>
      <c r="X312" s="8">
        <f>IFERROR(W312/W444, "NA")</f>
        <v>9.4277461264043235E-3</v>
      </c>
      <c r="Y312" s="9"/>
      <c r="Z312" s="7">
        <v>29.03</v>
      </c>
      <c r="AA312" s="8">
        <f>IFERROR(Z312/Z444, "NA")</f>
        <v>3.9810762427526725E-4</v>
      </c>
      <c r="AB312" s="9"/>
      <c r="AC312" s="10">
        <f t="shared" si="79"/>
        <v>-34.299999999999997</v>
      </c>
      <c r="AD312" s="8">
        <f>IFERROR(AC312/AC444, "NA")</f>
        <v>0.12681159420290045</v>
      </c>
    </row>
    <row r="313" spans="1:30" ht="16.5" customHeight="1" x14ac:dyDescent="0.45">
      <c r="A313" s="6" t="s">
        <v>285</v>
      </c>
      <c r="B313" s="7">
        <v>0</v>
      </c>
      <c r="C313" s="8">
        <f>IFERROR(B313/B444, "NA")</f>
        <v>0</v>
      </c>
      <c r="D313" s="9"/>
      <c r="E313" s="7">
        <v>10</v>
      </c>
      <c r="F313" s="8">
        <f>IFERROR(E313/E444, "NA")</f>
        <v>1.3217991378168583E-4</v>
      </c>
      <c r="G313" s="9"/>
      <c r="H313" s="10">
        <f t="shared" si="76"/>
        <v>10</v>
      </c>
      <c r="I313" s="8">
        <f>IFERROR(H313/H444, "NA")</f>
        <v>-3.3278313188861014E-3</v>
      </c>
      <c r="J313" s="9"/>
      <c r="K313" s="7">
        <v>18</v>
      </c>
      <c r="L313" s="8">
        <f>IFERROR(K313/K444, "NA")</f>
        <v>2.4684592617825734E-4</v>
      </c>
      <c r="M313" s="9"/>
      <c r="N313" s="10">
        <f t="shared" si="77"/>
        <v>18</v>
      </c>
      <c r="O313" s="8">
        <f>IFERROR(N313/N444, "NA")</f>
        <v>-6.6548358473825314E-2</v>
      </c>
      <c r="P313" s="9"/>
      <c r="Q313" s="7">
        <v>0</v>
      </c>
      <c r="R313" s="8">
        <f>IFERROR(Q313/Q444, "NA")</f>
        <v>0</v>
      </c>
      <c r="S313" s="9"/>
      <c r="T313" s="7">
        <v>10</v>
      </c>
      <c r="U313" s="8">
        <f>IFERROR(T313/T444, "NA")</f>
        <v>1.3217991378168583E-4</v>
      </c>
      <c r="V313" s="9"/>
      <c r="W313" s="10">
        <f t="shared" si="78"/>
        <v>10</v>
      </c>
      <c r="X313" s="8">
        <f>IFERROR(W313/W444, "NA")</f>
        <v>-3.3278313188861014E-3</v>
      </c>
      <c r="Y313" s="9"/>
      <c r="Z313" s="7">
        <v>18</v>
      </c>
      <c r="AA313" s="8">
        <f>IFERROR(Z313/Z444, "NA")</f>
        <v>2.4684592617825734E-4</v>
      </c>
      <c r="AB313" s="9"/>
      <c r="AC313" s="10">
        <f t="shared" si="79"/>
        <v>18</v>
      </c>
      <c r="AD313" s="8">
        <f>IFERROR(AC313/AC444, "NA")</f>
        <v>-6.6548358473825314E-2</v>
      </c>
    </row>
    <row r="314" spans="1:30" ht="16.5" hidden="1" customHeight="1" x14ac:dyDescent="0.45">
      <c r="A314" s="6" t="s">
        <v>286</v>
      </c>
      <c r="B314" s="7">
        <v>0</v>
      </c>
      <c r="C314" s="8">
        <f>IFERROR(B314/B444, "NA")</f>
        <v>0</v>
      </c>
      <c r="D314" s="9"/>
      <c r="E314" s="7">
        <v>0</v>
      </c>
      <c r="F314" s="8">
        <f>IFERROR(E314/E444, "NA")</f>
        <v>0</v>
      </c>
      <c r="G314" s="9"/>
      <c r="H314" s="10">
        <f t="shared" si="76"/>
        <v>0</v>
      </c>
      <c r="I314" s="8">
        <f>IFERROR(H314/H444, "NA")</f>
        <v>0</v>
      </c>
      <c r="J314" s="9"/>
      <c r="K314" s="7">
        <v>0</v>
      </c>
      <c r="L314" s="8">
        <f>IFERROR(K314/K444, "NA")</f>
        <v>0</v>
      </c>
      <c r="M314" s="9"/>
      <c r="N314" s="10">
        <f t="shared" si="77"/>
        <v>0</v>
      </c>
      <c r="O314" s="8">
        <f>IFERROR(N314/N444, "NA")</f>
        <v>0</v>
      </c>
      <c r="P314" s="9"/>
      <c r="Q314" s="7">
        <v>0</v>
      </c>
      <c r="R314" s="8">
        <f>IFERROR(Q314/Q444, "NA")</f>
        <v>0</v>
      </c>
      <c r="S314" s="9"/>
      <c r="T314" s="7">
        <v>0</v>
      </c>
      <c r="U314" s="8">
        <f>IFERROR(T314/T444, "NA")</f>
        <v>0</v>
      </c>
      <c r="V314" s="9"/>
      <c r="W314" s="10">
        <f t="shared" si="78"/>
        <v>0</v>
      </c>
      <c r="X314" s="8">
        <f>IFERROR(W314/W444, "NA")</f>
        <v>0</v>
      </c>
      <c r="Y314" s="9"/>
      <c r="Z314" s="7">
        <v>0</v>
      </c>
      <c r="AA314" s="8">
        <f>IFERROR(Z314/Z444, "NA")</f>
        <v>0</v>
      </c>
      <c r="AB314" s="9"/>
      <c r="AC314" s="10">
        <f t="shared" si="79"/>
        <v>0</v>
      </c>
      <c r="AD314" s="8">
        <f>IFERROR(AC314/AC444, "NA")</f>
        <v>0</v>
      </c>
    </row>
    <row r="315" spans="1:30" ht="16.5" customHeight="1" x14ac:dyDescent="0.45">
      <c r="A315" s="6" t="s">
        <v>287</v>
      </c>
      <c r="B315" s="7">
        <v>748.97</v>
      </c>
      <c r="C315" s="8">
        <f>IFERROR(B315/B444, "NA")</f>
        <v>1.0309362074067957E-2</v>
      </c>
      <c r="D315" s="9"/>
      <c r="E315" s="7">
        <v>529.58000000000004</v>
      </c>
      <c r="F315" s="8">
        <f>IFERROR(E315/E444, "NA")</f>
        <v>6.999983874050519E-3</v>
      </c>
      <c r="G315" s="9"/>
      <c r="H315" s="10">
        <f t="shared" si="76"/>
        <v>-219.39</v>
      </c>
      <c r="I315" s="8">
        <f>IFERROR(H315/H444, "NA")</f>
        <v>7.3009291305042176E-2</v>
      </c>
      <c r="J315" s="9"/>
      <c r="K315" s="7">
        <v>794.11</v>
      </c>
      <c r="L315" s="8">
        <f>IFERROR(K315/K444, "NA")</f>
        <v>1.089015657985644E-2</v>
      </c>
      <c r="M315" s="9"/>
      <c r="N315" s="10">
        <f t="shared" si="77"/>
        <v>45.139999999999986</v>
      </c>
      <c r="O315" s="8">
        <f>IFERROR(N315/N444, "NA")</f>
        <v>-0.16688849452824855</v>
      </c>
      <c r="P315" s="9"/>
      <c r="Q315" s="7">
        <v>748.97</v>
      </c>
      <c r="R315" s="8">
        <f>IFERROR(Q315/Q444, "NA")</f>
        <v>1.0309362074067957E-2</v>
      </c>
      <c r="S315" s="9"/>
      <c r="T315" s="7">
        <v>529.58000000000004</v>
      </c>
      <c r="U315" s="8">
        <f>IFERROR(T315/T444, "NA")</f>
        <v>6.999983874050519E-3</v>
      </c>
      <c r="V315" s="9"/>
      <c r="W315" s="10">
        <f t="shared" si="78"/>
        <v>-219.39</v>
      </c>
      <c r="X315" s="8">
        <f>IFERROR(W315/W444, "NA")</f>
        <v>7.3009291305042176E-2</v>
      </c>
      <c r="Y315" s="9"/>
      <c r="Z315" s="7">
        <v>794.11</v>
      </c>
      <c r="AA315" s="8">
        <f>IFERROR(Z315/Z444, "NA")</f>
        <v>1.089015657985644E-2</v>
      </c>
      <c r="AB315" s="9"/>
      <c r="AC315" s="10">
        <f t="shared" si="79"/>
        <v>45.139999999999986</v>
      </c>
      <c r="AD315" s="8">
        <f>IFERROR(AC315/AC444, "NA")</f>
        <v>-0.16688849452824855</v>
      </c>
    </row>
    <row r="316" spans="1:30" ht="16.5" hidden="1" customHeight="1" x14ac:dyDescent="0.45">
      <c r="A316" s="6" t="s">
        <v>288</v>
      </c>
      <c r="B316" s="7">
        <v>0</v>
      </c>
      <c r="C316" s="8">
        <f>IFERROR(B316/B444, "NA")</f>
        <v>0</v>
      </c>
      <c r="D316" s="9"/>
      <c r="E316" s="7">
        <v>0</v>
      </c>
      <c r="F316" s="8">
        <f>IFERROR(E316/E444, "NA")</f>
        <v>0</v>
      </c>
      <c r="G316" s="9"/>
      <c r="H316" s="10">
        <f t="shared" si="76"/>
        <v>0</v>
      </c>
      <c r="I316" s="8">
        <f>IFERROR(H316/H444, "NA")</f>
        <v>0</v>
      </c>
      <c r="J316" s="9"/>
      <c r="K316" s="7">
        <v>0</v>
      </c>
      <c r="L316" s="8">
        <f>IFERROR(K316/K444, "NA")</f>
        <v>0</v>
      </c>
      <c r="M316" s="9"/>
      <c r="N316" s="10">
        <f t="shared" si="77"/>
        <v>0</v>
      </c>
      <c r="O316" s="8">
        <f>IFERROR(N316/N444, "NA")</f>
        <v>0</v>
      </c>
      <c r="P316" s="9"/>
      <c r="Q316" s="7">
        <v>0</v>
      </c>
      <c r="R316" s="8">
        <f>IFERROR(Q316/Q444, "NA")</f>
        <v>0</v>
      </c>
      <c r="S316" s="9"/>
      <c r="T316" s="7">
        <v>0</v>
      </c>
      <c r="U316" s="8">
        <f>IFERROR(T316/T444, "NA")</f>
        <v>0</v>
      </c>
      <c r="V316" s="9"/>
      <c r="W316" s="10">
        <f t="shared" si="78"/>
        <v>0</v>
      </c>
      <c r="X316" s="8">
        <f>IFERROR(W316/W444, "NA")</f>
        <v>0</v>
      </c>
      <c r="Y316" s="9"/>
      <c r="Z316" s="7">
        <v>0</v>
      </c>
      <c r="AA316" s="8">
        <f>IFERROR(Z316/Z444, "NA")</f>
        <v>0</v>
      </c>
      <c r="AB316" s="9"/>
      <c r="AC316" s="10">
        <f t="shared" si="79"/>
        <v>0</v>
      </c>
      <c r="AD316" s="8">
        <f>IFERROR(AC316/AC444, "NA")</f>
        <v>0</v>
      </c>
    </row>
    <row r="317" spans="1:30" ht="16.5" hidden="1" customHeight="1" x14ac:dyDescent="0.45">
      <c r="A317" s="6" t="s">
        <v>289</v>
      </c>
      <c r="B317" s="7">
        <v>0</v>
      </c>
      <c r="C317" s="8">
        <f>IFERROR(B317/B444, "NA")</f>
        <v>0</v>
      </c>
      <c r="D317" s="9"/>
      <c r="E317" s="7">
        <v>0</v>
      </c>
      <c r="F317" s="8">
        <f>IFERROR(E317/E444, "NA")</f>
        <v>0</v>
      </c>
      <c r="G317" s="9"/>
      <c r="H317" s="10">
        <f t="shared" si="76"/>
        <v>0</v>
      </c>
      <c r="I317" s="8">
        <f>IFERROR(H317/H444, "NA")</f>
        <v>0</v>
      </c>
      <c r="J317" s="9"/>
      <c r="K317" s="7">
        <v>0</v>
      </c>
      <c r="L317" s="8">
        <f>IFERROR(K317/K444, "NA")</f>
        <v>0</v>
      </c>
      <c r="M317" s="9"/>
      <c r="N317" s="10">
        <f t="shared" si="77"/>
        <v>0</v>
      </c>
      <c r="O317" s="8">
        <f>IFERROR(N317/N444, "NA")</f>
        <v>0</v>
      </c>
      <c r="P317" s="9"/>
      <c r="Q317" s="7">
        <v>0</v>
      </c>
      <c r="R317" s="8">
        <f>IFERROR(Q317/Q444, "NA")</f>
        <v>0</v>
      </c>
      <c r="S317" s="9"/>
      <c r="T317" s="7">
        <v>0</v>
      </c>
      <c r="U317" s="8">
        <f>IFERROR(T317/T444, "NA")</f>
        <v>0</v>
      </c>
      <c r="V317" s="9"/>
      <c r="W317" s="10">
        <f t="shared" si="78"/>
        <v>0</v>
      </c>
      <c r="X317" s="8">
        <f>IFERROR(W317/W444, "NA")</f>
        <v>0</v>
      </c>
      <c r="Y317" s="9"/>
      <c r="Z317" s="7">
        <v>0</v>
      </c>
      <c r="AA317" s="8">
        <f>IFERROR(Z317/Z444, "NA")</f>
        <v>0</v>
      </c>
      <c r="AB317" s="9"/>
      <c r="AC317" s="10">
        <f t="shared" si="79"/>
        <v>0</v>
      </c>
      <c r="AD317" s="8">
        <f>IFERROR(AC317/AC444, "NA")</f>
        <v>0</v>
      </c>
    </row>
    <row r="318" spans="1:30" ht="16.5" customHeight="1" x14ac:dyDescent="0.45">
      <c r="A318" s="6" t="s">
        <v>290</v>
      </c>
      <c r="B318" s="7">
        <v>490.6</v>
      </c>
      <c r="C318" s="8">
        <f>IFERROR(B318/B444, "NA")</f>
        <v>6.7529714588538117E-3</v>
      </c>
      <c r="D318" s="9"/>
      <c r="E318" s="7">
        <v>491</v>
      </c>
      <c r="F318" s="8">
        <f>IFERROR(E318/E444, "NA")</f>
        <v>6.4900337666807745E-3</v>
      </c>
      <c r="G318" s="9"/>
      <c r="H318" s="10">
        <f t="shared" si="76"/>
        <v>0.39999999999997726</v>
      </c>
      <c r="I318" s="8">
        <f>IFERROR(H318/H444, "NA")</f>
        <v>-1.3311325275543648E-4</v>
      </c>
      <c r="J318" s="9"/>
      <c r="K318" s="7">
        <v>490.6</v>
      </c>
      <c r="L318" s="8">
        <f>IFERROR(K318/K444, "NA")</f>
        <v>6.7279228546140582E-3</v>
      </c>
      <c r="M318" s="9"/>
      <c r="N318" s="10">
        <f t="shared" si="77"/>
        <v>0</v>
      </c>
      <c r="O318" s="8">
        <f>IFERROR(N318/N444, "NA")</f>
        <v>0</v>
      </c>
      <c r="P318" s="9"/>
      <c r="Q318" s="7">
        <v>490.6</v>
      </c>
      <c r="R318" s="8">
        <f>IFERROR(Q318/Q444, "NA")</f>
        <v>6.7529714588538117E-3</v>
      </c>
      <c r="S318" s="9"/>
      <c r="T318" s="7">
        <v>491</v>
      </c>
      <c r="U318" s="8">
        <f>IFERROR(T318/T444, "NA")</f>
        <v>6.4900337666807745E-3</v>
      </c>
      <c r="V318" s="9"/>
      <c r="W318" s="10">
        <f t="shared" si="78"/>
        <v>0.39999999999997726</v>
      </c>
      <c r="X318" s="8">
        <f>IFERROR(W318/W444, "NA")</f>
        <v>-1.3311325275543648E-4</v>
      </c>
      <c r="Y318" s="9"/>
      <c r="Z318" s="7">
        <v>490.6</v>
      </c>
      <c r="AA318" s="8">
        <f>IFERROR(Z318/Z444, "NA")</f>
        <v>6.7279228546140582E-3</v>
      </c>
      <c r="AB318" s="9"/>
      <c r="AC318" s="10">
        <f t="shared" si="79"/>
        <v>0</v>
      </c>
      <c r="AD318" s="8">
        <f>IFERROR(AC318/AC444, "NA")</f>
        <v>0</v>
      </c>
    </row>
    <row r="319" spans="1:30" ht="16.5" customHeight="1" x14ac:dyDescent="0.45">
      <c r="A319" s="6" t="s">
        <v>291</v>
      </c>
      <c r="B319" s="7">
        <v>160.38</v>
      </c>
      <c r="C319" s="8">
        <f>IFERROR(B319/B444, "NA")</f>
        <v>2.2075857369975018E-3</v>
      </c>
      <c r="D319" s="9"/>
      <c r="E319" s="7">
        <v>160</v>
      </c>
      <c r="F319" s="8">
        <f>IFERROR(E319/E444, "NA")</f>
        <v>2.1148786205069732E-3</v>
      </c>
      <c r="G319" s="9"/>
      <c r="H319" s="10">
        <f t="shared" si="76"/>
        <v>-0.37999999999999545</v>
      </c>
      <c r="I319" s="8">
        <f>IFERROR(H319/H444, "NA")</f>
        <v>1.2645759011767035E-4</v>
      </c>
      <c r="J319" s="9"/>
      <c r="K319" s="7">
        <v>160.16</v>
      </c>
      <c r="L319" s="8">
        <f>IFERROR(K319/K444, "NA")</f>
        <v>2.1963801964838717E-3</v>
      </c>
      <c r="M319" s="9"/>
      <c r="N319" s="10">
        <f t="shared" si="77"/>
        <v>-0.21999999999999886</v>
      </c>
      <c r="O319" s="8">
        <f>IFERROR(N319/N444, "NA")</f>
        <v>8.1336882579119407E-4</v>
      </c>
      <c r="P319" s="9"/>
      <c r="Q319" s="7">
        <v>160.38</v>
      </c>
      <c r="R319" s="8">
        <f>IFERROR(Q319/Q444, "NA")</f>
        <v>2.2075857369975018E-3</v>
      </c>
      <c r="S319" s="9"/>
      <c r="T319" s="7">
        <v>160</v>
      </c>
      <c r="U319" s="8">
        <f>IFERROR(T319/T444, "NA")</f>
        <v>2.1148786205069732E-3</v>
      </c>
      <c r="V319" s="9"/>
      <c r="W319" s="10">
        <f t="shared" si="78"/>
        <v>-0.37999999999999545</v>
      </c>
      <c r="X319" s="8">
        <f>IFERROR(W319/W444, "NA")</f>
        <v>1.2645759011767035E-4</v>
      </c>
      <c r="Y319" s="9"/>
      <c r="Z319" s="7">
        <v>160.16</v>
      </c>
      <c r="AA319" s="8">
        <f>IFERROR(Z319/Z444, "NA")</f>
        <v>2.1963801964838717E-3</v>
      </c>
      <c r="AB319" s="9"/>
      <c r="AC319" s="10">
        <f t="shared" si="79"/>
        <v>-0.21999999999999886</v>
      </c>
      <c r="AD319" s="8">
        <f>IFERROR(AC319/AC444, "NA")</f>
        <v>8.1336882579119407E-4</v>
      </c>
    </row>
    <row r="320" spans="1:30" ht="16.5" customHeight="1" x14ac:dyDescent="0.45">
      <c r="A320" s="6" t="s">
        <v>292</v>
      </c>
      <c r="B320" s="7">
        <v>1121.3599999999999</v>
      </c>
      <c r="C320" s="8">
        <f>IFERROR(B320/B444, "NA")</f>
        <v>1.5435206023441317E-2</v>
      </c>
      <c r="D320" s="9"/>
      <c r="E320" s="7">
        <v>1121</v>
      </c>
      <c r="F320" s="8">
        <f>IFERROR(E320/E444, "NA")</f>
        <v>1.4817368334926981E-2</v>
      </c>
      <c r="G320" s="9"/>
      <c r="H320" s="10">
        <f t="shared" si="76"/>
        <v>-0.35999999999989996</v>
      </c>
      <c r="I320" s="8">
        <f>IFERROR(H320/H444, "NA")</f>
        <v>1.1980192747986635E-4</v>
      </c>
      <c r="J320" s="9"/>
      <c r="K320" s="7">
        <v>1031.07</v>
      </c>
      <c r="L320" s="8">
        <f>IFERROR(K320/K444, "NA")</f>
        <v>1.4139746061367543E-2</v>
      </c>
      <c r="M320" s="9"/>
      <c r="N320" s="10">
        <f t="shared" si="77"/>
        <v>-90.289999999999964</v>
      </c>
      <c r="O320" s="8">
        <f>IFERROR(N320/N444, "NA")</f>
        <v>0.33381396036676031</v>
      </c>
      <c r="P320" s="9"/>
      <c r="Q320" s="7">
        <v>1121.3599999999999</v>
      </c>
      <c r="R320" s="8">
        <f>IFERROR(Q320/Q444, "NA")</f>
        <v>1.5435206023441317E-2</v>
      </c>
      <c r="S320" s="9"/>
      <c r="T320" s="7">
        <v>1121</v>
      </c>
      <c r="U320" s="8">
        <f>IFERROR(T320/T444, "NA")</f>
        <v>1.4817368334926981E-2</v>
      </c>
      <c r="V320" s="9"/>
      <c r="W320" s="10">
        <f t="shared" si="78"/>
        <v>-0.35999999999989996</v>
      </c>
      <c r="X320" s="8">
        <f>IFERROR(W320/W444, "NA")</f>
        <v>1.1980192747986635E-4</v>
      </c>
      <c r="Y320" s="9"/>
      <c r="Z320" s="7">
        <v>1031.07</v>
      </c>
      <c r="AA320" s="8">
        <f>IFERROR(Z320/Z444, "NA")</f>
        <v>1.4139746061367543E-2</v>
      </c>
      <c r="AB320" s="9"/>
      <c r="AC320" s="10">
        <f t="shared" si="79"/>
        <v>-90.289999999999964</v>
      </c>
      <c r="AD320" s="8">
        <f>IFERROR(AC320/AC444, "NA")</f>
        <v>0.33381396036676031</v>
      </c>
    </row>
    <row r="321" spans="1:30" ht="16.5" customHeight="1" x14ac:dyDescent="0.45">
      <c r="A321" s="6" t="s">
        <v>293</v>
      </c>
      <c r="B321" s="7">
        <v>983.14</v>
      </c>
      <c r="C321" s="8">
        <f>IFERROR(B321/B444, "NA")</f>
        <v>1.3532646473822945E-2</v>
      </c>
      <c r="D321" s="9"/>
      <c r="E321" s="7">
        <v>1059.1600000000001</v>
      </c>
      <c r="F321" s="8">
        <f>IFERROR(E321/E444, "NA")</f>
        <v>1.3999967748101038E-2</v>
      </c>
      <c r="G321" s="9"/>
      <c r="H321" s="10">
        <f t="shared" si="76"/>
        <v>76.020000000000095</v>
      </c>
      <c r="I321" s="8">
        <f>IFERROR(H321/H444, "NA")</f>
        <v>-2.5298173686172175E-2</v>
      </c>
      <c r="J321" s="9"/>
      <c r="K321" s="7">
        <v>2160.41</v>
      </c>
      <c r="L321" s="8">
        <f>IFERROR(K321/K444, "NA")</f>
        <v>2.9627133743042714E-2</v>
      </c>
      <c r="M321" s="9"/>
      <c r="N321" s="10">
        <f t="shared" si="77"/>
        <v>1177.27</v>
      </c>
      <c r="O321" s="8">
        <f>IFERROR(N321/N444, "NA")</f>
        <v>-4.3525214433600183</v>
      </c>
      <c r="P321" s="9"/>
      <c r="Q321" s="7">
        <v>983.14</v>
      </c>
      <c r="R321" s="8">
        <f>IFERROR(Q321/Q444, "NA")</f>
        <v>1.3532646473822945E-2</v>
      </c>
      <c r="S321" s="9"/>
      <c r="T321" s="7">
        <v>1059.1600000000001</v>
      </c>
      <c r="U321" s="8">
        <f>IFERROR(T321/T444, "NA")</f>
        <v>1.3999967748101038E-2</v>
      </c>
      <c r="V321" s="9"/>
      <c r="W321" s="10">
        <f t="shared" si="78"/>
        <v>76.020000000000095</v>
      </c>
      <c r="X321" s="8">
        <f>IFERROR(W321/W444, "NA")</f>
        <v>-2.5298173686172175E-2</v>
      </c>
      <c r="Y321" s="9"/>
      <c r="Z321" s="7">
        <v>2160.41</v>
      </c>
      <c r="AA321" s="8">
        <f>IFERROR(Z321/Z444, "NA")</f>
        <v>2.9627133743042714E-2</v>
      </c>
      <c r="AB321" s="9"/>
      <c r="AC321" s="10">
        <f t="shared" si="79"/>
        <v>1177.27</v>
      </c>
      <c r="AD321" s="8">
        <f>IFERROR(AC321/AC444, "NA")</f>
        <v>-4.3525214433600183</v>
      </c>
    </row>
    <row r="322" spans="1:30" ht="16.5" customHeight="1" x14ac:dyDescent="0.45">
      <c r="A322" s="6" t="s">
        <v>294</v>
      </c>
      <c r="B322" s="7">
        <v>280.20999999999998</v>
      </c>
      <c r="C322" s="8">
        <f>IFERROR(B322/B444, "NA")</f>
        <v>3.8570120923062095E-3</v>
      </c>
      <c r="D322" s="9"/>
      <c r="E322" s="7">
        <v>366</v>
      </c>
      <c r="F322" s="8">
        <f>IFERROR(E322/E444, "NA")</f>
        <v>4.8377848444097014E-3</v>
      </c>
      <c r="G322" s="9"/>
      <c r="H322" s="10">
        <f t="shared" si="76"/>
        <v>85.79000000000002</v>
      </c>
      <c r="I322" s="8">
        <f>IFERROR(H322/H444, "NA")</f>
        <v>-2.8549464884723871E-2</v>
      </c>
      <c r="J322" s="9"/>
      <c r="K322" s="7">
        <v>185.11</v>
      </c>
      <c r="L322" s="8">
        <f>IFERROR(K322/K444, "NA")</f>
        <v>2.5385360774920675E-3</v>
      </c>
      <c r="M322" s="9"/>
      <c r="N322" s="10">
        <f t="shared" si="77"/>
        <v>-95.099999999999966</v>
      </c>
      <c r="O322" s="8">
        <f>IFERROR(N322/N444, "NA")</f>
        <v>0.35159716060337698</v>
      </c>
      <c r="P322" s="9"/>
      <c r="Q322" s="7">
        <v>280.20999999999998</v>
      </c>
      <c r="R322" s="8">
        <f>IFERROR(Q322/Q444, "NA")</f>
        <v>3.8570120923062095E-3</v>
      </c>
      <c r="S322" s="9"/>
      <c r="T322" s="7">
        <v>366</v>
      </c>
      <c r="U322" s="8">
        <f>IFERROR(T322/T444, "NA")</f>
        <v>4.8377848444097014E-3</v>
      </c>
      <c r="V322" s="9"/>
      <c r="W322" s="10">
        <f t="shared" si="78"/>
        <v>85.79000000000002</v>
      </c>
      <c r="X322" s="8">
        <f>IFERROR(W322/W444, "NA")</f>
        <v>-2.8549464884723871E-2</v>
      </c>
      <c r="Y322" s="9"/>
      <c r="Z322" s="7">
        <v>185.11</v>
      </c>
      <c r="AA322" s="8">
        <f>IFERROR(Z322/Z444, "NA")</f>
        <v>2.5385360774920675E-3</v>
      </c>
      <c r="AB322" s="9"/>
      <c r="AC322" s="10">
        <f t="shared" si="79"/>
        <v>-95.099999999999966</v>
      </c>
      <c r="AD322" s="8">
        <f>IFERROR(AC322/AC444, "NA")</f>
        <v>0.35159716060337698</v>
      </c>
    </row>
    <row r="323" spans="1:30" ht="16.5" customHeight="1" x14ac:dyDescent="0.45">
      <c r="A323" s="6" t="s">
        <v>295</v>
      </c>
      <c r="B323" s="7">
        <v>0.01</v>
      </c>
      <c r="C323" s="8">
        <f>IFERROR(B323/B444, "NA")</f>
        <v>1.3764719647072589E-7</v>
      </c>
      <c r="D323" s="9"/>
      <c r="E323" s="7">
        <v>0</v>
      </c>
      <c r="F323" s="8">
        <f>IFERROR(E323/E444, "NA")</f>
        <v>0</v>
      </c>
      <c r="G323" s="9"/>
      <c r="H323" s="10">
        <f t="shared" si="76"/>
        <v>-0.01</v>
      </c>
      <c r="I323" s="8">
        <f>IFERROR(H323/H444, "NA")</f>
        <v>3.3278313188861011E-6</v>
      </c>
      <c r="J323" s="9"/>
      <c r="K323" s="7">
        <v>0</v>
      </c>
      <c r="L323" s="8">
        <f>IFERROR(K323/K444, "NA")</f>
        <v>0</v>
      </c>
      <c r="M323" s="9"/>
      <c r="N323" s="10">
        <f t="shared" si="77"/>
        <v>-0.01</v>
      </c>
      <c r="O323" s="8">
        <f>IFERROR(N323/N444, "NA")</f>
        <v>3.6971310263236288E-5</v>
      </c>
      <c r="P323" s="9"/>
      <c r="Q323" s="7">
        <v>0.01</v>
      </c>
      <c r="R323" s="8">
        <f>IFERROR(Q323/Q444, "NA")</f>
        <v>1.3764719647072589E-7</v>
      </c>
      <c r="S323" s="9"/>
      <c r="T323" s="7">
        <v>0</v>
      </c>
      <c r="U323" s="8">
        <f>IFERROR(T323/T444, "NA")</f>
        <v>0</v>
      </c>
      <c r="V323" s="9"/>
      <c r="W323" s="10">
        <f t="shared" si="78"/>
        <v>-0.01</v>
      </c>
      <c r="X323" s="8">
        <f>IFERROR(W323/W444, "NA")</f>
        <v>3.3278313188861011E-6</v>
      </c>
      <c r="Y323" s="9"/>
      <c r="Z323" s="7">
        <v>0</v>
      </c>
      <c r="AA323" s="8">
        <f>IFERROR(Z323/Z444, "NA")</f>
        <v>0</v>
      </c>
      <c r="AB323" s="9"/>
      <c r="AC323" s="10">
        <f t="shared" si="79"/>
        <v>-0.01</v>
      </c>
      <c r="AD323" s="8">
        <f>IFERROR(AC323/AC444, "NA")</f>
        <v>3.6971310263236288E-5</v>
      </c>
    </row>
    <row r="324" spans="1:30" ht="16.5" customHeight="1" x14ac:dyDescent="0.45">
      <c r="A324" s="19" t="s">
        <v>296</v>
      </c>
      <c r="B324" s="14">
        <f>IFERROR(B297+B298+B299+B300+B301+B302+B303+B304+B305+B306+B307+B308+B309+B310+B311+B312+B313+B314+B315+B316+B317+B318+B319+B320+B321+B322+B323, "NA")</f>
        <v>4455.43</v>
      </c>
      <c r="C324" s="15">
        <f>IFERROR(B324/B444, "NA")</f>
        <v>6.1327744857156627E-2</v>
      </c>
      <c r="D324" s="2"/>
      <c r="E324" s="14">
        <f>IFERROR(E297+E298+E299+E300+E301+E302+E303+E304+E305+E306+E307+E308+E309+E310+E311+E312+E313+E314+E315+E316+E317+E318+E319+E320+E321+E322+E323, "NA")</f>
        <v>4401.74</v>
      </c>
      <c r="F324" s="15">
        <f>IFERROR(E324/E444, "NA")</f>
        <v>5.8182161368939778E-2</v>
      </c>
      <c r="G324" s="2"/>
      <c r="H324" s="14">
        <f t="shared" si="76"/>
        <v>-53.690000000000509</v>
      </c>
      <c r="I324" s="15">
        <f>IFERROR(H324/H444, "NA")</f>
        <v>1.7867126351099646E-2</v>
      </c>
      <c r="J324" s="2"/>
      <c r="K324" s="14">
        <f>IFERROR(K297+K298+K299+K300+K301+K302+K303+K304+K305+K306+K307+K308+K309+K310+K311+K312+K313+K314+K315+K316+K317+K318+K319+K320+K321+K322+K323, "NA")</f>
        <v>5094.12</v>
      </c>
      <c r="L324" s="15">
        <f>IFERROR(K324/K444, "NA")</f>
        <v>6.985904274795468E-2</v>
      </c>
      <c r="M324" s="2"/>
      <c r="N324" s="14">
        <f t="shared" si="77"/>
        <v>638.6899999999996</v>
      </c>
      <c r="O324" s="15">
        <f>IFERROR(N324/N444, "NA")</f>
        <v>-2.3613206152026369</v>
      </c>
      <c r="P324" s="2"/>
      <c r="Q324" s="14">
        <f>IFERROR(Q297+Q298+Q299+Q300+Q301+Q302+Q303+Q304+Q305+Q306+Q307+Q308+Q309+Q310+Q311+Q312+Q313+Q314+Q315+Q316+Q317+Q318+Q319+Q320+Q321+Q322+Q323, "NA")</f>
        <v>4455.43</v>
      </c>
      <c r="R324" s="15">
        <f>IFERROR(Q324/Q444, "NA")</f>
        <v>6.1327744857156627E-2</v>
      </c>
      <c r="S324" s="2"/>
      <c r="T324" s="14">
        <f>IFERROR(T297+T298+T299+T300+T301+T302+T303+T304+T305+T306+T307+T308+T309+T310+T311+T312+T313+T314+T315+T316+T317+T318+T319+T320+T321+T322+T323, "NA")</f>
        <v>4401.74</v>
      </c>
      <c r="U324" s="15">
        <f>IFERROR(T324/T444, "NA")</f>
        <v>5.8182161368939778E-2</v>
      </c>
      <c r="V324" s="2"/>
      <c r="W324" s="14">
        <f t="shared" si="78"/>
        <v>-53.690000000000509</v>
      </c>
      <c r="X324" s="15">
        <f>IFERROR(W324/W444, "NA")</f>
        <v>1.7867126351099646E-2</v>
      </c>
      <c r="Y324" s="2"/>
      <c r="Z324" s="14">
        <f>IFERROR(Z297+Z298+Z299+Z300+Z301+Z302+Z303+Z304+Z305+Z306+Z307+Z308+Z309+Z310+Z311+Z312+Z313+Z314+Z315+Z316+Z317+Z318+Z319+Z320+Z321+Z322+Z323, "NA")</f>
        <v>5094.12</v>
      </c>
      <c r="AA324" s="15">
        <f>IFERROR(Z324/Z444, "NA")</f>
        <v>6.985904274795468E-2</v>
      </c>
      <c r="AB324" s="2"/>
      <c r="AC324" s="14">
        <f t="shared" si="79"/>
        <v>638.6899999999996</v>
      </c>
      <c r="AD324" s="15">
        <f>IFERROR(AC324/AC444, "NA")</f>
        <v>-2.3613206152026369</v>
      </c>
    </row>
    <row r="325" spans="1:30" ht="16.5" customHeight="1" x14ac:dyDescent="0.45">
      <c r="A325" s="21" t="s">
        <v>297</v>
      </c>
      <c r="B325" s="14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265+B266+B269+B270+B271+B272+B275+B276+B277+B278+B279+B280+B281+B282+B283+B286+B287+B288+B289+B290+B291+B292+B293+B294+B297+B298+B299+B300+B301+B302+B303+B304+B305+B306+B307+B308+B309+B310+B311+B312+B313+B314+B315+B316+B317+B318+B319+B320+B321+B322+B323, "NA")</f>
        <v>18488.039999999994</v>
      </c>
      <c r="C325" s="15">
        <f>IFERROR(B325/B444, "NA")</f>
        <v>0.25448268742386382</v>
      </c>
      <c r="D325" s="2"/>
      <c r="E325" s="14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265+E266+E269+E270+E271+E272+E275+E276+E277+E278+E279+E280+E281+E282+E283+E286+E287+E288+E289+E290+E291+E292+E293+E294+E297+E298+E299+E300+E301+E302+E303+E304+E305+E306+E307+E308+E309+E310+E311+E312+E313+E314+E315+E316+E317+E318+E319+E320+E321+E322+E323, "NA")</f>
        <v>18369.12</v>
      </c>
      <c r="F325" s="15">
        <f>IFERROR(E325/E444, "NA")</f>
        <v>0.24280286978454407</v>
      </c>
      <c r="G325" s="2"/>
      <c r="H325" s="14">
        <f t="shared" si="76"/>
        <v>-118.91999999999462</v>
      </c>
      <c r="I325" s="15">
        <f>IFERROR(H325/H444, "NA")</f>
        <v>3.9574570044191723E-2</v>
      </c>
      <c r="J325" s="2"/>
      <c r="K325" s="14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265+K266+K269+K270+K271+K272+K275+K276+K277+K278+K279+K280+K281+K282+K283+K286+K287+K288+K289+K290+K291+K292+K293+K294+K297+K298+K299+K300+K301+K302+K303+K304+K305+K306+K307+K308+K309+K310+K311+K312+K313+K314+K315+K316+K317+K318+K319+K320+K321+K322+K323, "NA")</f>
        <v>21937.049999999996</v>
      </c>
      <c r="L325" s="15">
        <f>IFERROR(K325/K444, "NA")</f>
        <v>0.30083730138159659</v>
      </c>
      <c r="M325" s="2"/>
      <c r="N325" s="14">
        <f t="shared" si="77"/>
        <v>3449.010000000002</v>
      </c>
      <c r="O325" s="15">
        <f>IFERROR(N325/N444, "NA")</f>
        <v>-12.751441881100465</v>
      </c>
      <c r="P325" s="2"/>
      <c r="Q325" s="14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265+Q266+Q269+Q270+Q271+Q272+Q275+Q276+Q277+Q278+Q279+Q280+Q281+Q282+Q283+Q286+Q287+Q288+Q289+Q290+Q291+Q292+Q293+Q294+Q297+Q298+Q299+Q300+Q301+Q302+Q303+Q304+Q305+Q306+Q307+Q308+Q309+Q310+Q311+Q312+Q313+Q314+Q315+Q316+Q317+Q318+Q319+Q320+Q321+Q322+Q323, "NA")</f>
        <v>18488.039999999994</v>
      </c>
      <c r="R325" s="15">
        <f>IFERROR(Q325/Q444, "NA")</f>
        <v>0.25448268742386382</v>
      </c>
      <c r="S325" s="2"/>
      <c r="T325" s="14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265+T266+T269+T270+T271+T272+T275+T276+T277+T278+T279+T280+T281+T282+T283+T286+T287+T288+T289+T290+T291+T292+T293+T294+T297+T298+T299+T300+T301+T302+T303+T304+T305+T306+T307+T308+T309+T310+T311+T312+T313+T314+T315+T316+T317+T318+T319+T320+T321+T322+T323, "NA")</f>
        <v>18369.12</v>
      </c>
      <c r="U325" s="15">
        <f>IFERROR(T325/T444, "NA")</f>
        <v>0.24280286978454407</v>
      </c>
      <c r="V325" s="2"/>
      <c r="W325" s="14">
        <f t="shared" si="78"/>
        <v>-118.91999999999462</v>
      </c>
      <c r="X325" s="15">
        <f>IFERROR(W325/W444, "NA")</f>
        <v>3.9574570044191723E-2</v>
      </c>
      <c r="Y325" s="2"/>
      <c r="Z325" s="14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265+Z266+Z269+Z270+Z271+Z272+Z275+Z276+Z277+Z278+Z279+Z280+Z281+Z282+Z283+Z286+Z287+Z288+Z289+Z290+Z291+Z292+Z293+Z294+Z297+Z298+Z299+Z300+Z301+Z302+Z303+Z304+Z305+Z306+Z307+Z308+Z309+Z310+Z311+Z312+Z313+Z314+Z315+Z316+Z317+Z318+Z319+Z320+Z321+Z322+Z323, "NA")</f>
        <v>21937.049999999996</v>
      </c>
      <c r="AA325" s="15">
        <f>IFERROR(Z325/Z444, "NA")</f>
        <v>0.30083730138159659</v>
      </c>
      <c r="AB325" s="2"/>
      <c r="AC325" s="14">
        <f t="shared" si="79"/>
        <v>3449.010000000002</v>
      </c>
      <c r="AD325" s="15">
        <f>IFERROR(AC325/AC444, "NA")</f>
        <v>-12.751441881100465</v>
      </c>
    </row>
    <row r="326" spans="1:30" ht="16.5" customHeight="1" x14ac:dyDescent="0.45">
      <c r="A326" s="1" t="s">
        <v>298</v>
      </c>
      <c r="B326" s="2"/>
      <c r="C326" s="3"/>
      <c r="D326" s="4"/>
      <c r="E326" s="2"/>
      <c r="F326" s="3"/>
      <c r="G326" s="4"/>
      <c r="H326" s="2"/>
      <c r="I326" s="3"/>
      <c r="J326" s="4"/>
      <c r="K326" s="2"/>
      <c r="L326" s="3"/>
      <c r="M326" s="4"/>
      <c r="N326" s="2"/>
      <c r="O326" s="3"/>
      <c r="P326" s="4"/>
      <c r="Q326" s="2"/>
      <c r="R326" s="3"/>
      <c r="S326" s="4"/>
      <c r="T326" s="2"/>
      <c r="U326" s="3"/>
      <c r="V326" s="4"/>
      <c r="W326" s="2"/>
      <c r="X326" s="3"/>
      <c r="Y326" s="4"/>
      <c r="Z326" s="2"/>
      <c r="AA326" s="3"/>
      <c r="AB326" s="4"/>
      <c r="AC326" s="2"/>
      <c r="AD326" s="3"/>
    </row>
    <row r="327" spans="1:30" ht="16.5" customHeight="1" x14ac:dyDescent="0.45">
      <c r="A327" s="5" t="s">
        <v>299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hidden="1" customHeight="1" x14ac:dyDescent="0.45">
      <c r="A328" s="6" t="s">
        <v>299</v>
      </c>
      <c r="B328" s="7">
        <v>0</v>
      </c>
      <c r="C328" s="8">
        <f>IFERROR(B328/B444, "NA")</f>
        <v>0</v>
      </c>
      <c r="D328" s="9"/>
      <c r="E328" s="7">
        <v>0</v>
      </c>
      <c r="F328" s="8">
        <f>IFERROR(E328/E444, "NA")</f>
        <v>0</v>
      </c>
      <c r="G328" s="9"/>
      <c r="H328" s="10">
        <f t="shared" ref="H328:H335" si="80">IFERROR(-(B328-E328), "NA")</f>
        <v>0</v>
      </c>
      <c r="I328" s="8">
        <f>IFERROR(H328/H444, "NA")</f>
        <v>0</v>
      </c>
      <c r="J328" s="9"/>
      <c r="K328" s="7">
        <v>0</v>
      </c>
      <c r="L328" s="8">
        <f>IFERROR(K328/K444, "NA")</f>
        <v>0</v>
      </c>
      <c r="M328" s="9"/>
      <c r="N328" s="10">
        <f t="shared" ref="N328:N335" si="81">IFERROR(-(B328-K328), "NA")</f>
        <v>0</v>
      </c>
      <c r="O328" s="8">
        <f>IFERROR(N328/N444, "NA")</f>
        <v>0</v>
      </c>
      <c r="P328" s="9"/>
      <c r="Q328" s="7">
        <v>0</v>
      </c>
      <c r="R328" s="8">
        <f>IFERROR(Q328/Q444, "NA")</f>
        <v>0</v>
      </c>
      <c r="S328" s="9"/>
      <c r="T328" s="7">
        <v>0</v>
      </c>
      <c r="U328" s="8">
        <f>IFERROR(T328/T444, "NA")</f>
        <v>0</v>
      </c>
      <c r="V328" s="9"/>
      <c r="W328" s="10">
        <f t="shared" ref="W328:W335" si="82">IFERROR(-(Q328-T328), "NA")</f>
        <v>0</v>
      </c>
      <c r="X328" s="8">
        <f>IFERROR(W328/W444, "NA")</f>
        <v>0</v>
      </c>
      <c r="Y328" s="9"/>
      <c r="Z328" s="7">
        <v>0</v>
      </c>
      <c r="AA328" s="8">
        <f>IFERROR(Z328/Z444, "NA")</f>
        <v>0</v>
      </c>
      <c r="AB328" s="9"/>
      <c r="AC328" s="10">
        <f t="shared" ref="AC328:AC335" si="83">IFERROR(-(Q328-Z328), "NA")</f>
        <v>0</v>
      </c>
      <c r="AD328" s="8">
        <f>IFERROR(AC328/AC444, "NA")</f>
        <v>0</v>
      </c>
    </row>
    <row r="329" spans="1:30" ht="16.5" customHeight="1" x14ac:dyDescent="0.45">
      <c r="A329" s="6" t="s">
        <v>300</v>
      </c>
      <c r="B329" s="7">
        <v>13526.48</v>
      </c>
      <c r="C329" s="8">
        <f>IFERROR(B329/B444, "NA")</f>
        <v>0.18618820501173441</v>
      </c>
      <c r="D329" s="9"/>
      <c r="E329" s="7">
        <v>13526.48</v>
      </c>
      <c r="F329" s="8">
        <f>IFERROR(E329/E444, "NA")</f>
        <v>0.17879289601696977</v>
      </c>
      <c r="G329" s="9"/>
      <c r="H329" s="10">
        <f t="shared" si="80"/>
        <v>0</v>
      </c>
      <c r="I329" s="8">
        <f>IFERROR(H329/H444, "NA")</f>
        <v>0</v>
      </c>
      <c r="J329" s="9"/>
      <c r="K329" s="7">
        <v>13132.5</v>
      </c>
      <c r="L329" s="8">
        <f>IFERROR(K329/K444, "NA")</f>
        <v>0.18009467364088691</v>
      </c>
      <c r="M329" s="9"/>
      <c r="N329" s="10">
        <f t="shared" si="81"/>
        <v>-393.97999999999956</v>
      </c>
      <c r="O329" s="8">
        <f>IFERROR(N329/N444, "NA")</f>
        <v>1.4565956817509815</v>
      </c>
      <c r="P329" s="9"/>
      <c r="Q329" s="7">
        <v>13526.48</v>
      </c>
      <c r="R329" s="8">
        <f>IFERROR(Q329/Q444, "NA")</f>
        <v>0.18618820501173441</v>
      </c>
      <c r="S329" s="9"/>
      <c r="T329" s="7">
        <v>13526.48</v>
      </c>
      <c r="U329" s="8">
        <f>IFERROR(T329/T444, "NA")</f>
        <v>0.17879289601696977</v>
      </c>
      <c r="V329" s="9"/>
      <c r="W329" s="10">
        <f t="shared" si="82"/>
        <v>0</v>
      </c>
      <c r="X329" s="8">
        <f>IFERROR(W329/W444, "NA")</f>
        <v>0</v>
      </c>
      <c r="Y329" s="9"/>
      <c r="Z329" s="7">
        <v>13132.5</v>
      </c>
      <c r="AA329" s="8">
        <f>IFERROR(Z329/Z444, "NA")</f>
        <v>0.18009467364088691</v>
      </c>
      <c r="AB329" s="9"/>
      <c r="AC329" s="10">
        <f t="shared" si="83"/>
        <v>-393.97999999999956</v>
      </c>
      <c r="AD329" s="8">
        <f>IFERROR(AC329/AC444, "NA")</f>
        <v>1.4565956817509815</v>
      </c>
    </row>
    <row r="330" spans="1:30" ht="16.5" customHeight="1" x14ac:dyDescent="0.45">
      <c r="A330" s="6" t="s">
        <v>301</v>
      </c>
      <c r="B330" s="7">
        <v>2126</v>
      </c>
      <c r="C330" s="8">
        <f>IFERROR(B330/B444, "NA")</f>
        <v>2.9263793969676322E-2</v>
      </c>
      <c r="D330" s="9"/>
      <c r="E330" s="7">
        <v>2126</v>
      </c>
      <c r="F330" s="8">
        <f>IFERROR(E330/E444, "NA")</f>
        <v>2.8101449669986407E-2</v>
      </c>
      <c r="G330" s="9"/>
      <c r="H330" s="10">
        <f t="shared" si="80"/>
        <v>0</v>
      </c>
      <c r="I330" s="8">
        <f>IFERROR(H330/H444, "NA")</f>
        <v>0</v>
      </c>
      <c r="J330" s="9"/>
      <c r="K330" s="7">
        <v>2126</v>
      </c>
      <c r="L330" s="8">
        <f>IFERROR(K330/K444, "NA")</f>
        <v>2.9155246614165284E-2</v>
      </c>
      <c r="M330" s="9"/>
      <c r="N330" s="10">
        <f t="shared" si="81"/>
        <v>0</v>
      </c>
      <c r="O330" s="8">
        <f>IFERROR(N330/N444, "NA")</f>
        <v>0</v>
      </c>
      <c r="P330" s="9"/>
      <c r="Q330" s="7">
        <v>2126</v>
      </c>
      <c r="R330" s="8">
        <f>IFERROR(Q330/Q444, "NA")</f>
        <v>2.9263793969676322E-2</v>
      </c>
      <c r="S330" s="9"/>
      <c r="T330" s="7">
        <v>2126</v>
      </c>
      <c r="U330" s="8">
        <f>IFERROR(T330/T444, "NA")</f>
        <v>2.8101449669986407E-2</v>
      </c>
      <c r="V330" s="9"/>
      <c r="W330" s="10">
        <f t="shared" si="82"/>
        <v>0</v>
      </c>
      <c r="X330" s="8">
        <f>IFERROR(W330/W444, "NA")</f>
        <v>0</v>
      </c>
      <c r="Y330" s="9"/>
      <c r="Z330" s="7">
        <v>2126</v>
      </c>
      <c r="AA330" s="8">
        <f>IFERROR(Z330/Z444, "NA")</f>
        <v>2.9155246614165284E-2</v>
      </c>
      <c r="AB330" s="9"/>
      <c r="AC330" s="10">
        <f t="shared" si="83"/>
        <v>0</v>
      </c>
      <c r="AD330" s="8">
        <f>IFERROR(AC330/AC444, "NA")</f>
        <v>0</v>
      </c>
    </row>
    <row r="331" spans="1:30" ht="16.5" hidden="1" customHeight="1" x14ac:dyDescent="0.45">
      <c r="A331" s="6" t="s">
        <v>302</v>
      </c>
      <c r="B331" s="7">
        <v>0</v>
      </c>
      <c r="C331" s="8">
        <f>IFERROR(B331/B444, "NA")</f>
        <v>0</v>
      </c>
      <c r="D331" s="9"/>
      <c r="E331" s="7">
        <v>0</v>
      </c>
      <c r="F331" s="8">
        <f>IFERROR(E331/E444, "NA")</f>
        <v>0</v>
      </c>
      <c r="G331" s="9"/>
      <c r="H331" s="10">
        <f t="shared" si="80"/>
        <v>0</v>
      </c>
      <c r="I331" s="8">
        <f>IFERROR(H331/H444, "NA")</f>
        <v>0</v>
      </c>
      <c r="J331" s="9"/>
      <c r="K331" s="7">
        <v>0</v>
      </c>
      <c r="L331" s="8">
        <f>IFERROR(K331/K444, "NA")</f>
        <v>0</v>
      </c>
      <c r="M331" s="9"/>
      <c r="N331" s="10">
        <f t="shared" si="81"/>
        <v>0</v>
      </c>
      <c r="O331" s="8">
        <f>IFERROR(N331/N444, "NA")</f>
        <v>0</v>
      </c>
      <c r="P331" s="9"/>
      <c r="Q331" s="7">
        <v>0</v>
      </c>
      <c r="R331" s="8">
        <f>IFERROR(Q331/Q444, "NA")</f>
        <v>0</v>
      </c>
      <c r="S331" s="9"/>
      <c r="T331" s="7">
        <v>0</v>
      </c>
      <c r="U331" s="8">
        <f>IFERROR(T331/T444, "NA")</f>
        <v>0</v>
      </c>
      <c r="V331" s="9"/>
      <c r="W331" s="10">
        <f t="shared" si="82"/>
        <v>0</v>
      </c>
      <c r="X331" s="8">
        <f>IFERROR(W331/W444, "NA")</f>
        <v>0</v>
      </c>
      <c r="Y331" s="9"/>
      <c r="Z331" s="7">
        <v>0</v>
      </c>
      <c r="AA331" s="8">
        <f>IFERROR(Z331/Z444, "NA")</f>
        <v>0</v>
      </c>
      <c r="AB331" s="9"/>
      <c r="AC331" s="10">
        <f t="shared" si="83"/>
        <v>0</v>
      </c>
      <c r="AD331" s="8">
        <f>IFERROR(AC331/AC444, "NA")</f>
        <v>0</v>
      </c>
    </row>
    <row r="332" spans="1:30" ht="16.5" customHeight="1" x14ac:dyDescent="0.45">
      <c r="A332" s="6" t="s">
        <v>303</v>
      </c>
      <c r="B332" s="7">
        <v>180</v>
      </c>
      <c r="C332" s="8">
        <f>IFERROR(B332/B444, "NA")</f>
        <v>2.4776495364730658E-3</v>
      </c>
      <c r="D332" s="9"/>
      <c r="E332" s="7">
        <v>180</v>
      </c>
      <c r="F332" s="8">
        <f>IFERROR(E332/E444, "NA")</f>
        <v>2.3792384480703448E-3</v>
      </c>
      <c r="G332" s="9"/>
      <c r="H332" s="10">
        <f t="shared" si="80"/>
        <v>0</v>
      </c>
      <c r="I332" s="8">
        <f>IFERROR(H332/H444, "NA")</f>
        <v>0</v>
      </c>
      <c r="J332" s="9"/>
      <c r="K332" s="7">
        <v>180</v>
      </c>
      <c r="L332" s="8">
        <f>IFERROR(K332/K444, "NA")</f>
        <v>2.4684592617825732E-3</v>
      </c>
      <c r="M332" s="9"/>
      <c r="N332" s="10">
        <f t="shared" si="81"/>
        <v>0</v>
      </c>
      <c r="O332" s="8">
        <f>IFERROR(N332/N444, "NA")</f>
        <v>0</v>
      </c>
      <c r="P332" s="9"/>
      <c r="Q332" s="7">
        <v>180</v>
      </c>
      <c r="R332" s="8">
        <f>IFERROR(Q332/Q444, "NA")</f>
        <v>2.4776495364730658E-3</v>
      </c>
      <c r="S332" s="9"/>
      <c r="T332" s="7">
        <v>180</v>
      </c>
      <c r="U332" s="8">
        <f>IFERROR(T332/T444, "NA")</f>
        <v>2.3792384480703448E-3</v>
      </c>
      <c r="V332" s="9"/>
      <c r="W332" s="10">
        <f t="shared" si="82"/>
        <v>0</v>
      </c>
      <c r="X332" s="8">
        <f>IFERROR(W332/W444, "NA")</f>
        <v>0</v>
      </c>
      <c r="Y332" s="9"/>
      <c r="Z332" s="7">
        <v>180</v>
      </c>
      <c r="AA332" s="8">
        <f>IFERROR(Z332/Z444, "NA")</f>
        <v>2.4684592617825732E-3</v>
      </c>
      <c r="AB332" s="9"/>
      <c r="AC332" s="10">
        <f t="shared" si="83"/>
        <v>0</v>
      </c>
      <c r="AD332" s="8">
        <f>IFERROR(AC332/AC444, "NA")</f>
        <v>0</v>
      </c>
    </row>
    <row r="333" spans="1:30" ht="16.5" customHeight="1" x14ac:dyDescent="0.45">
      <c r="A333" s="6" t="s">
        <v>304</v>
      </c>
      <c r="B333" s="7">
        <v>1254</v>
      </c>
      <c r="C333" s="8">
        <f>IFERROR(B333/B444, "NA")</f>
        <v>1.7260958437429027E-2</v>
      </c>
      <c r="D333" s="9"/>
      <c r="E333" s="7">
        <v>1025</v>
      </c>
      <c r="F333" s="8">
        <f>IFERROR(E333/E444, "NA")</f>
        <v>1.3548441162622797E-2</v>
      </c>
      <c r="G333" s="9"/>
      <c r="H333" s="10">
        <f t="shared" si="80"/>
        <v>-229</v>
      </c>
      <c r="I333" s="8">
        <f>IFERROR(H333/H444, "NA")</f>
        <v>7.6207337202491718E-2</v>
      </c>
      <c r="J333" s="9"/>
      <c r="K333" s="7">
        <v>1024.69</v>
      </c>
      <c r="L333" s="8">
        <f>IFERROR(K333/K444, "NA")</f>
        <v>1.4052252894199918E-2</v>
      </c>
      <c r="M333" s="9"/>
      <c r="N333" s="10">
        <f t="shared" si="81"/>
        <v>-229.30999999999995</v>
      </c>
      <c r="O333" s="8">
        <f>IFERROR(N333/N444, "NA")</f>
        <v>0.84778911564627102</v>
      </c>
      <c r="P333" s="9"/>
      <c r="Q333" s="7">
        <v>1254</v>
      </c>
      <c r="R333" s="8">
        <f>IFERROR(Q333/Q444, "NA")</f>
        <v>1.7260958437429027E-2</v>
      </c>
      <c r="S333" s="9"/>
      <c r="T333" s="7">
        <v>1025</v>
      </c>
      <c r="U333" s="8">
        <f>IFERROR(T333/T444, "NA")</f>
        <v>1.3548441162622797E-2</v>
      </c>
      <c r="V333" s="9"/>
      <c r="W333" s="10">
        <f t="shared" si="82"/>
        <v>-229</v>
      </c>
      <c r="X333" s="8">
        <f>IFERROR(W333/W444, "NA")</f>
        <v>7.6207337202491718E-2</v>
      </c>
      <c r="Y333" s="9"/>
      <c r="Z333" s="7">
        <v>1024.69</v>
      </c>
      <c r="AA333" s="8">
        <f>IFERROR(Z333/Z444, "NA")</f>
        <v>1.4052252894199918E-2</v>
      </c>
      <c r="AB333" s="9"/>
      <c r="AC333" s="10">
        <f t="shared" si="83"/>
        <v>-229.30999999999995</v>
      </c>
      <c r="AD333" s="8">
        <f>IFERROR(AC333/AC444, "NA")</f>
        <v>0.84778911564627102</v>
      </c>
    </row>
    <row r="334" spans="1:30" ht="16.5" customHeight="1" x14ac:dyDescent="0.45">
      <c r="A334" s="6" t="s">
        <v>305</v>
      </c>
      <c r="B334" s="7">
        <v>-1041.54</v>
      </c>
      <c r="C334" s="8">
        <f>IFERROR(B334/B444, "NA")</f>
        <v>-1.4336506101211984E-2</v>
      </c>
      <c r="D334" s="9"/>
      <c r="E334" s="7">
        <v>-1041.54</v>
      </c>
      <c r="F334" s="8">
        <f>IFERROR(E334/E444, "NA")</f>
        <v>-1.3767066740017705E-2</v>
      </c>
      <c r="G334" s="9"/>
      <c r="H334" s="10">
        <f t="shared" si="80"/>
        <v>0</v>
      </c>
      <c r="I334" s="8">
        <f>IFERROR(H334/H444, "NA")</f>
        <v>0</v>
      </c>
      <c r="J334" s="9"/>
      <c r="K334" s="7">
        <v>-1011.2</v>
      </c>
      <c r="L334" s="8">
        <f>IFERROR(K334/K444, "NA")</f>
        <v>-1.386725558619188E-2</v>
      </c>
      <c r="M334" s="9"/>
      <c r="N334" s="10">
        <f t="shared" si="81"/>
        <v>30.339999999999918</v>
      </c>
      <c r="O334" s="8">
        <f>IFERROR(N334/N444, "NA")</f>
        <v>-0.11217095533865859</v>
      </c>
      <c r="P334" s="9"/>
      <c r="Q334" s="7">
        <v>-1041.54</v>
      </c>
      <c r="R334" s="8">
        <f>IFERROR(Q334/Q444, "NA")</f>
        <v>-1.4336506101211984E-2</v>
      </c>
      <c r="S334" s="9"/>
      <c r="T334" s="7">
        <v>-1041.54</v>
      </c>
      <c r="U334" s="8">
        <f>IFERROR(T334/T444, "NA")</f>
        <v>-1.3767066740017705E-2</v>
      </c>
      <c r="V334" s="9"/>
      <c r="W334" s="10">
        <f t="shared" si="82"/>
        <v>0</v>
      </c>
      <c r="X334" s="8">
        <f>IFERROR(W334/W444, "NA")</f>
        <v>0</v>
      </c>
      <c r="Y334" s="9"/>
      <c r="Z334" s="7">
        <v>-1011.2</v>
      </c>
      <c r="AA334" s="8">
        <f>IFERROR(Z334/Z444, "NA")</f>
        <v>-1.386725558619188E-2</v>
      </c>
      <c r="AB334" s="9"/>
      <c r="AC334" s="10">
        <f t="shared" si="83"/>
        <v>30.339999999999918</v>
      </c>
      <c r="AD334" s="8">
        <f>IFERROR(AC334/AC444, "NA")</f>
        <v>-0.11217095533865859</v>
      </c>
    </row>
    <row r="335" spans="1:30" ht="16.5" hidden="1" customHeight="1" x14ac:dyDescent="0.45">
      <c r="A335" s="6" t="s">
        <v>306</v>
      </c>
      <c r="B335" s="7">
        <v>0</v>
      </c>
      <c r="C335" s="8">
        <f>IFERROR(B335/B444, "NA")</f>
        <v>0</v>
      </c>
      <c r="D335" s="9"/>
      <c r="E335" s="7">
        <v>0</v>
      </c>
      <c r="F335" s="8">
        <f>IFERROR(E335/E444, "NA")</f>
        <v>0</v>
      </c>
      <c r="G335" s="9"/>
      <c r="H335" s="10">
        <f t="shared" si="80"/>
        <v>0</v>
      </c>
      <c r="I335" s="8">
        <f>IFERROR(H335/H444, "NA")</f>
        <v>0</v>
      </c>
      <c r="J335" s="9"/>
      <c r="K335" s="7">
        <v>0</v>
      </c>
      <c r="L335" s="8">
        <f>IFERROR(K335/K444, "NA")</f>
        <v>0</v>
      </c>
      <c r="M335" s="9"/>
      <c r="N335" s="10">
        <f t="shared" si="81"/>
        <v>0</v>
      </c>
      <c r="O335" s="8">
        <f>IFERROR(N335/N444, "NA")</f>
        <v>0</v>
      </c>
      <c r="P335" s="9"/>
      <c r="Q335" s="7">
        <v>0</v>
      </c>
      <c r="R335" s="8">
        <f>IFERROR(Q335/Q444, "NA")</f>
        <v>0</v>
      </c>
      <c r="S335" s="9"/>
      <c r="T335" s="7">
        <v>0</v>
      </c>
      <c r="U335" s="8">
        <f>IFERROR(T335/T444, "NA")</f>
        <v>0</v>
      </c>
      <c r="V335" s="9"/>
      <c r="W335" s="10">
        <f t="shared" si="82"/>
        <v>0</v>
      </c>
      <c r="X335" s="8">
        <f>IFERROR(W335/W444, "NA")</f>
        <v>0</v>
      </c>
      <c r="Y335" s="9"/>
      <c r="Z335" s="7">
        <v>0</v>
      </c>
      <c r="AA335" s="8">
        <f>IFERROR(Z335/Z444, "NA")</f>
        <v>0</v>
      </c>
      <c r="AB335" s="9"/>
      <c r="AC335" s="10">
        <f t="shared" si="83"/>
        <v>0</v>
      </c>
      <c r="AD335" s="8">
        <f>IFERROR(AC335/AC444, "NA")</f>
        <v>0</v>
      </c>
    </row>
    <row r="336" spans="1:30" ht="16.5" customHeight="1" x14ac:dyDescent="0.45">
      <c r="A336" s="11" t="s">
        <v>307</v>
      </c>
      <c r="B336" s="2"/>
      <c r="C336" s="3"/>
      <c r="D336" s="4"/>
      <c r="E336" s="2"/>
      <c r="F336" s="3"/>
      <c r="G336" s="4"/>
      <c r="H336" s="2"/>
      <c r="I336" s="3"/>
      <c r="J336" s="4"/>
      <c r="K336" s="2"/>
      <c r="L336" s="3"/>
      <c r="M336" s="4"/>
      <c r="N336" s="2"/>
      <c r="O336" s="3"/>
      <c r="P336" s="4"/>
      <c r="Q336" s="2"/>
      <c r="R336" s="3"/>
      <c r="S336" s="4"/>
      <c r="T336" s="2"/>
      <c r="U336" s="3"/>
      <c r="V336" s="4"/>
      <c r="W336" s="2"/>
      <c r="X336" s="3"/>
      <c r="Y336" s="4"/>
      <c r="Z336" s="2"/>
      <c r="AA336" s="3"/>
      <c r="AB336" s="4"/>
      <c r="AC336" s="2"/>
      <c r="AD336" s="3"/>
    </row>
    <row r="337" spans="1:30" ht="16.5" hidden="1" customHeight="1" x14ac:dyDescent="0.45">
      <c r="A337" s="12" t="s">
        <v>307</v>
      </c>
      <c r="B337" s="7">
        <v>0</v>
      </c>
      <c r="C337" s="8">
        <f>IFERROR(B337/B444, "NA")</f>
        <v>0</v>
      </c>
      <c r="D337" s="9"/>
      <c r="E337" s="7">
        <v>0</v>
      </c>
      <c r="F337" s="8">
        <f>IFERROR(E337/E444, "NA")</f>
        <v>0</v>
      </c>
      <c r="G337" s="9"/>
      <c r="H337" s="10">
        <f t="shared" ref="H337:H344" si="84">IFERROR(-(B337-E337), "NA")</f>
        <v>0</v>
      </c>
      <c r="I337" s="8">
        <f>IFERROR(H337/H444, "NA")</f>
        <v>0</v>
      </c>
      <c r="J337" s="9"/>
      <c r="K337" s="7">
        <v>0</v>
      </c>
      <c r="L337" s="8">
        <f>IFERROR(K337/K444, "NA")</f>
        <v>0</v>
      </c>
      <c r="M337" s="9"/>
      <c r="N337" s="10">
        <f t="shared" ref="N337:N344" si="85">IFERROR(-(B337-K337), "NA")</f>
        <v>0</v>
      </c>
      <c r="O337" s="8">
        <f>IFERROR(N337/N444, "NA")</f>
        <v>0</v>
      </c>
      <c r="P337" s="9"/>
      <c r="Q337" s="7">
        <v>0</v>
      </c>
      <c r="R337" s="8">
        <f>IFERROR(Q337/Q444, "NA")</f>
        <v>0</v>
      </c>
      <c r="S337" s="9"/>
      <c r="T337" s="7">
        <v>0</v>
      </c>
      <c r="U337" s="8">
        <f>IFERROR(T337/T444, "NA")</f>
        <v>0</v>
      </c>
      <c r="V337" s="9"/>
      <c r="W337" s="10">
        <f t="shared" ref="W337:W344" si="86">IFERROR(-(Q337-T337), "NA")</f>
        <v>0</v>
      </c>
      <c r="X337" s="8">
        <f>IFERROR(W337/W444, "NA")</f>
        <v>0</v>
      </c>
      <c r="Y337" s="9"/>
      <c r="Z337" s="7">
        <v>0</v>
      </c>
      <c r="AA337" s="8">
        <f>IFERROR(Z337/Z444, "NA")</f>
        <v>0</v>
      </c>
      <c r="AB337" s="9"/>
      <c r="AC337" s="10">
        <f t="shared" ref="AC337:AC344" si="87">IFERROR(-(Q337-Z337), "NA")</f>
        <v>0</v>
      </c>
      <c r="AD337" s="8">
        <f>IFERROR(AC337/AC444, "NA")</f>
        <v>0</v>
      </c>
    </row>
    <row r="338" spans="1:30" ht="16.5" customHeight="1" x14ac:dyDescent="0.45">
      <c r="A338" s="12" t="s">
        <v>308</v>
      </c>
      <c r="B338" s="7">
        <v>360</v>
      </c>
      <c r="C338" s="8">
        <f>IFERROR(B338/B444, "NA")</f>
        <v>4.9552990729461316E-3</v>
      </c>
      <c r="D338" s="9"/>
      <c r="E338" s="7">
        <v>302.62</v>
      </c>
      <c r="F338" s="8">
        <f>IFERROR(E338/E444, "NA")</f>
        <v>4.0000285508613766E-3</v>
      </c>
      <c r="G338" s="9"/>
      <c r="H338" s="10">
        <f t="shared" si="84"/>
        <v>-57.379999999999995</v>
      </c>
      <c r="I338" s="8">
        <f>IFERROR(H338/H444, "NA")</f>
        <v>1.9095096107768446E-2</v>
      </c>
      <c r="J338" s="9"/>
      <c r="K338" s="7">
        <v>486.26</v>
      </c>
      <c r="L338" s="8">
        <f>IFERROR(K338/K444, "NA")</f>
        <v>6.6684055590799669E-3</v>
      </c>
      <c r="M338" s="9"/>
      <c r="N338" s="10">
        <f t="shared" si="85"/>
        <v>126.25999999999999</v>
      </c>
      <c r="O338" s="8">
        <f>IFERROR(N338/N444, "NA")</f>
        <v>-0.46679976338362134</v>
      </c>
      <c r="P338" s="9"/>
      <c r="Q338" s="7">
        <v>360</v>
      </c>
      <c r="R338" s="8">
        <f>IFERROR(Q338/Q444, "NA")</f>
        <v>4.9552990729461316E-3</v>
      </c>
      <c r="S338" s="9"/>
      <c r="T338" s="7">
        <v>302.62</v>
      </c>
      <c r="U338" s="8">
        <f>IFERROR(T338/T444, "NA")</f>
        <v>4.0000285508613766E-3</v>
      </c>
      <c r="V338" s="9"/>
      <c r="W338" s="10">
        <f t="shared" si="86"/>
        <v>-57.379999999999995</v>
      </c>
      <c r="X338" s="8">
        <f>IFERROR(W338/W444, "NA")</f>
        <v>1.9095096107768446E-2</v>
      </c>
      <c r="Y338" s="9"/>
      <c r="Z338" s="7">
        <v>486.26</v>
      </c>
      <c r="AA338" s="8">
        <f>IFERROR(Z338/Z444, "NA")</f>
        <v>6.6684055590799669E-3</v>
      </c>
      <c r="AB338" s="9"/>
      <c r="AC338" s="10">
        <f t="shared" si="87"/>
        <v>126.25999999999999</v>
      </c>
      <c r="AD338" s="8">
        <f>IFERROR(AC338/AC444, "NA")</f>
        <v>-0.46679976338362134</v>
      </c>
    </row>
    <row r="339" spans="1:30" ht="16.5" customHeight="1" x14ac:dyDescent="0.45">
      <c r="A339" s="12" t="s">
        <v>309</v>
      </c>
      <c r="B339" s="7">
        <v>400</v>
      </c>
      <c r="C339" s="8">
        <f>IFERROR(B339/B444, "NA")</f>
        <v>5.5058878588290349E-3</v>
      </c>
      <c r="D339" s="9"/>
      <c r="E339" s="7">
        <v>226.96</v>
      </c>
      <c r="F339" s="8">
        <f>IFERROR(E339/E444, "NA")</f>
        <v>2.9999553231891416E-3</v>
      </c>
      <c r="G339" s="9"/>
      <c r="H339" s="10">
        <f t="shared" si="84"/>
        <v>-173.04</v>
      </c>
      <c r="I339" s="8">
        <f>IFERROR(H339/H444, "NA")</f>
        <v>5.758479314200509E-2</v>
      </c>
      <c r="J339" s="9"/>
      <c r="K339" s="7">
        <v>366.74</v>
      </c>
      <c r="L339" s="8">
        <f>IFERROR(K339/K444, "NA")</f>
        <v>5.0293486092563384E-3</v>
      </c>
      <c r="M339" s="9"/>
      <c r="N339" s="10">
        <f t="shared" si="85"/>
        <v>-33.259999999999991</v>
      </c>
      <c r="O339" s="8">
        <f>IFERROR(N339/N444, "NA")</f>
        <v>0.12296657793552386</v>
      </c>
      <c r="P339" s="9"/>
      <c r="Q339" s="7">
        <v>400</v>
      </c>
      <c r="R339" s="8">
        <f>IFERROR(Q339/Q444, "NA")</f>
        <v>5.5058878588290349E-3</v>
      </c>
      <c r="S339" s="9"/>
      <c r="T339" s="7">
        <v>226.96</v>
      </c>
      <c r="U339" s="8">
        <f>IFERROR(T339/T444, "NA")</f>
        <v>2.9999553231891416E-3</v>
      </c>
      <c r="V339" s="9"/>
      <c r="W339" s="10">
        <f t="shared" si="86"/>
        <v>-173.04</v>
      </c>
      <c r="X339" s="8">
        <f>IFERROR(W339/W444, "NA")</f>
        <v>5.758479314200509E-2</v>
      </c>
      <c r="Y339" s="9"/>
      <c r="Z339" s="7">
        <v>366.74</v>
      </c>
      <c r="AA339" s="8">
        <f>IFERROR(Z339/Z444, "NA")</f>
        <v>5.0293486092563384E-3</v>
      </c>
      <c r="AB339" s="9"/>
      <c r="AC339" s="10">
        <f t="shared" si="87"/>
        <v>-33.259999999999991</v>
      </c>
      <c r="AD339" s="8">
        <f>IFERROR(AC339/AC444, "NA")</f>
        <v>0.12296657793552386</v>
      </c>
    </row>
    <row r="340" spans="1:30" ht="16.5" customHeight="1" x14ac:dyDescent="0.45">
      <c r="A340" s="12" t="s">
        <v>310</v>
      </c>
      <c r="B340" s="7">
        <v>433</v>
      </c>
      <c r="C340" s="8">
        <f>IFERROR(B340/B444, "NA")</f>
        <v>5.9601236071824305E-3</v>
      </c>
      <c r="D340" s="9"/>
      <c r="E340" s="7">
        <v>226.96</v>
      </c>
      <c r="F340" s="8">
        <f>IFERROR(E340/E444, "NA")</f>
        <v>2.9999553231891416E-3</v>
      </c>
      <c r="G340" s="9"/>
      <c r="H340" s="10">
        <f t="shared" si="84"/>
        <v>-206.04</v>
      </c>
      <c r="I340" s="8">
        <f>IFERROR(H340/H444, "NA")</f>
        <v>6.8566636494329231E-2</v>
      </c>
      <c r="J340" s="9"/>
      <c r="K340" s="7">
        <v>509.18</v>
      </c>
      <c r="L340" s="8">
        <f>IFERROR(K340/K444, "NA")</f>
        <v>6.9827227050802817E-3</v>
      </c>
      <c r="M340" s="9"/>
      <c r="N340" s="10">
        <f t="shared" si="85"/>
        <v>76.180000000000007</v>
      </c>
      <c r="O340" s="8">
        <f>IFERROR(N340/N444, "NA")</f>
        <v>-0.28164744158533406</v>
      </c>
      <c r="P340" s="9"/>
      <c r="Q340" s="7">
        <v>433</v>
      </c>
      <c r="R340" s="8">
        <f>IFERROR(Q340/Q444, "NA")</f>
        <v>5.9601236071824305E-3</v>
      </c>
      <c r="S340" s="9"/>
      <c r="T340" s="7">
        <v>226.96</v>
      </c>
      <c r="U340" s="8">
        <f>IFERROR(T340/T444, "NA")</f>
        <v>2.9999553231891416E-3</v>
      </c>
      <c r="V340" s="9"/>
      <c r="W340" s="10">
        <f t="shared" si="86"/>
        <v>-206.04</v>
      </c>
      <c r="X340" s="8">
        <f>IFERROR(W340/W444, "NA")</f>
        <v>6.8566636494329231E-2</v>
      </c>
      <c r="Y340" s="9"/>
      <c r="Z340" s="7">
        <v>509.18</v>
      </c>
      <c r="AA340" s="8">
        <f>IFERROR(Z340/Z444, "NA")</f>
        <v>6.9827227050802817E-3</v>
      </c>
      <c r="AB340" s="9"/>
      <c r="AC340" s="10">
        <f t="shared" si="87"/>
        <v>76.180000000000007</v>
      </c>
      <c r="AD340" s="8">
        <f>IFERROR(AC340/AC444, "NA")</f>
        <v>-0.28164744158533406</v>
      </c>
    </row>
    <row r="341" spans="1:30" ht="16.5" customHeight="1" x14ac:dyDescent="0.45">
      <c r="A341" s="12" t="s">
        <v>311</v>
      </c>
      <c r="B341" s="7">
        <v>472.43</v>
      </c>
      <c r="C341" s="8">
        <f>IFERROR(B341/B444, "NA")</f>
        <v>6.5028665028665032E-3</v>
      </c>
      <c r="D341" s="9"/>
      <c r="E341" s="7">
        <v>302.62</v>
      </c>
      <c r="F341" s="8">
        <f>IFERROR(E341/E444, "NA")</f>
        <v>4.0000285508613766E-3</v>
      </c>
      <c r="G341" s="9"/>
      <c r="H341" s="10">
        <f t="shared" si="84"/>
        <v>-169.81</v>
      </c>
      <c r="I341" s="8">
        <f>IFERROR(H341/H444, "NA")</f>
        <v>5.6509903626004887E-2</v>
      </c>
      <c r="J341" s="9"/>
      <c r="K341" s="7">
        <v>470.95</v>
      </c>
      <c r="L341" s="8">
        <f>IFERROR(K341/K444, "NA")</f>
        <v>6.4584493852027939E-3</v>
      </c>
      <c r="M341" s="9"/>
      <c r="N341" s="10">
        <f t="shared" si="85"/>
        <v>-1.4800000000000182</v>
      </c>
      <c r="O341" s="8">
        <f>IFERROR(N341/N444, "NA")</f>
        <v>5.4717539189590375E-3</v>
      </c>
      <c r="P341" s="9"/>
      <c r="Q341" s="7">
        <v>472.43</v>
      </c>
      <c r="R341" s="8">
        <f>IFERROR(Q341/Q444, "NA")</f>
        <v>6.5028665028665032E-3</v>
      </c>
      <c r="S341" s="9"/>
      <c r="T341" s="7">
        <v>302.62</v>
      </c>
      <c r="U341" s="8">
        <f>IFERROR(T341/T444, "NA")</f>
        <v>4.0000285508613766E-3</v>
      </c>
      <c r="V341" s="9"/>
      <c r="W341" s="10">
        <f t="shared" si="86"/>
        <v>-169.81</v>
      </c>
      <c r="X341" s="8">
        <f>IFERROR(W341/W444, "NA")</f>
        <v>5.6509903626004887E-2</v>
      </c>
      <c r="Y341" s="9"/>
      <c r="Z341" s="7">
        <v>470.95</v>
      </c>
      <c r="AA341" s="8">
        <f>IFERROR(Z341/Z444, "NA")</f>
        <v>6.4584493852027939E-3</v>
      </c>
      <c r="AB341" s="9"/>
      <c r="AC341" s="10">
        <f t="shared" si="87"/>
        <v>-1.4800000000000182</v>
      </c>
      <c r="AD341" s="8">
        <f>IFERROR(AC341/AC444, "NA")</f>
        <v>5.4717539189590375E-3</v>
      </c>
    </row>
    <row r="342" spans="1:30" ht="16.5" customHeight="1" x14ac:dyDescent="0.45">
      <c r="A342" s="13" t="s">
        <v>312</v>
      </c>
      <c r="B342" s="14">
        <f>IFERROR(B337+B338+B339+B340+B341, "NA")</f>
        <v>1665.43</v>
      </c>
      <c r="C342" s="15">
        <f>IFERROR(B342/B444, "NA")</f>
        <v>2.29241770418241E-2</v>
      </c>
      <c r="D342" s="2"/>
      <c r="E342" s="14">
        <f>IFERROR(E337+E338+E339+E340+E341, "NA")</f>
        <v>1059.1600000000001</v>
      </c>
      <c r="F342" s="15">
        <f>IFERROR(E342/E444, "NA")</f>
        <v>1.3999967748101038E-2</v>
      </c>
      <c r="G342" s="2"/>
      <c r="H342" s="14">
        <f t="shared" si="84"/>
        <v>-606.27</v>
      </c>
      <c r="I342" s="15">
        <f>IFERROR(H342/H444, "NA")</f>
        <v>0.20175642937010765</v>
      </c>
      <c r="J342" s="2"/>
      <c r="K342" s="14">
        <f>IFERROR(K337+K338+K339+K340+K341, "NA")</f>
        <v>1833.13</v>
      </c>
      <c r="L342" s="15">
        <f>IFERROR(K342/K444, "NA")</f>
        <v>2.5138926258619382E-2</v>
      </c>
      <c r="M342" s="2"/>
      <c r="N342" s="14">
        <f t="shared" si="85"/>
        <v>167.70000000000005</v>
      </c>
      <c r="O342" s="15">
        <f>IFERROR(N342/N444, "NA")</f>
        <v>-0.62000887311447272</v>
      </c>
      <c r="P342" s="2"/>
      <c r="Q342" s="14">
        <f>IFERROR(Q337+Q338+Q339+Q340+Q341, "NA")</f>
        <v>1665.43</v>
      </c>
      <c r="R342" s="15">
        <f>IFERROR(Q342/Q444, "NA")</f>
        <v>2.29241770418241E-2</v>
      </c>
      <c r="S342" s="2"/>
      <c r="T342" s="14">
        <f>IFERROR(T337+T338+T339+T340+T341, "NA")</f>
        <v>1059.1600000000001</v>
      </c>
      <c r="U342" s="15">
        <f>IFERROR(T342/T444, "NA")</f>
        <v>1.3999967748101038E-2</v>
      </c>
      <c r="V342" s="2"/>
      <c r="W342" s="14">
        <f t="shared" si="86"/>
        <v>-606.27</v>
      </c>
      <c r="X342" s="15">
        <f>IFERROR(W342/W444, "NA")</f>
        <v>0.20175642937010765</v>
      </c>
      <c r="Y342" s="2"/>
      <c r="Z342" s="14">
        <f>IFERROR(Z337+Z338+Z339+Z340+Z341, "NA")</f>
        <v>1833.13</v>
      </c>
      <c r="AA342" s="15">
        <f>IFERROR(Z342/Z444, "NA")</f>
        <v>2.5138926258619382E-2</v>
      </c>
      <c r="AB342" s="2"/>
      <c r="AC342" s="14">
        <f t="shared" si="87"/>
        <v>167.70000000000005</v>
      </c>
      <c r="AD342" s="15">
        <f>IFERROR(AC342/AC444, "NA")</f>
        <v>-0.62000887311447272</v>
      </c>
    </row>
    <row r="343" spans="1:30" ht="16.5" customHeight="1" x14ac:dyDescent="0.45">
      <c r="A343" s="19" t="s">
        <v>313</v>
      </c>
      <c r="B343" s="14">
        <f>IFERROR(B328+B329+B330+B331+B332+B333+B334+B335+B337+B338+B339+B340+B341, "NA")</f>
        <v>17710.37</v>
      </c>
      <c r="C343" s="15">
        <f>IFERROR(B343/B444, "NA")</f>
        <v>0.24377827789592493</v>
      </c>
      <c r="D343" s="2"/>
      <c r="E343" s="14">
        <f>IFERROR(E328+E329+E330+E331+E332+E333+E334+E335+E337+E338+E339+E340+E341, "NA")</f>
        <v>16875.099999999999</v>
      </c>
      <c r="F343" s="15">
        <f>IFERROR(E343/E444, "NA")</f>
        <v>0.22305492630573262</v>
      </c>
      <c r="G343" s="2"/>
      <c r="H343" s="14">
        <f t="shared" si="84"/>
        <v>-835.27000000000044</v>
      </c>
      <c r="I343" s="15">
        <f>IFERROR(H343/H444, "NA")</f>
        <v>0.27796376657259952</v>
      </c>
      <c r="J343" s="2"/>
      <c r="K343" s="14">
        <f>IFERROR(K328+K329+K330+K331+K332+K333+K334+K335+K337+K338+K339+K340+K341, "NA")</f>
        <v>17285.12</v>
      </c>
      <c r="L343" s="15">
        <f>IFERROR(K343/K444, "NA")</f>
        <v>0.23704230308346216</v>
      </c>
      <c r="M343" s="2"/>
      <c r="N343" s="14">
        <f t="shared" si="85"/>
        <v>-425.25</v>
      </c>
      <c r="O343" s="15">
        <f>IFERROR(N343/N444, "NA")</f>
        <v>1.5722049689441231</v>
      </c>
      <c r="P343" s="2"/>
      <c r="Q343" s="14">
        <f>IFERROR(Q328+Q329+Q330+Q331+Q332+Q333+Q334+Q335+Q337+Q338+Q339+Q340+Q341, "NA")</f>
        <v>17710.37</v>
      </c>
      <c r="R343" s="15">
        <f>IFERROR(Q343/Q444, "NA")</f>
        <v>0.24377827789592493</v>
      </c>
      <c r="S343" s="2"/>
      <c r="T343" s="14">
        <f>IFERROR(T328+T329+T330+T331+T332+T333+T334+T335+T337+T338+T339+T340+T341, "NA")</f>
        <v>16875.099999999999</v>
      </c>
      <c r="U343" s="15">
        <f>IFERROR(T343/T444, "NA")</f>
        <v>0.22305492630573262</v>
      </c>
      <c r="V343" s="2"/>
      <c r="W343" s="14">
        <f t="shared" si="86"/>
        <v>-835.27000000000044</v>
      </c>
      <c r="X343" s="15">
        <f>IFERROR(W343/W444, "NA")</f>
        <v>0.27796376657259952</v>
      </c>
      <c r="Y343" s="2"/>
      <c r="Z343" s="14">
        <f>IFERROR(Z328+Z329+Z330+Z331+Z332+Z333+Z334+Z335+Z337+Z338+Z339+Z340+Z341, "NA")</f>
        <v>17285.12</v>
      </c>
      <c r="AA343" s="15">
        <f>IFERROR(Z343/Z444, "NA")</f>
        <v>0.23704230308346216</v>
      </c>
      <c r="AB343" s="2"/>
      <c r="AC343" s="14">
        <f t="shared" si="87"/>
        <v>-425.25</v>
      </c>
      <c r="AD343" s="15">
        <f>IFERROR(AC343/AC444, "NA")</f>
        <v>1.5722049689441231</v>
      </c>
    </row>
    <row r="344" spans="1:30" ht="16.5" customHeight="1" x14ac:dyDescent="0.45">
      <c r="A344" s="21" t="s">
        <v>314</v>
      </c>
      <c r="B344" s="14">
        <f>IFERROR(B328+B329+B330+B331+B332+B333+B334+B335+B337+B338+B339+B340+B341, "NA")</f>
        <v>17710.37</v>
      </c>
      <c r="C344" s="15">
        <f>IFERROR(B344/B444, "NA")</f>
        <v>0.24377827789592493</v>
      </c>
      <c r="D344" s="2"/>
      <c r="E344" s="14">
        <f>IFERROR(E328+E329+E330+E331+E332+E333+E334+E335+E337+E338+E339+E340+E341, "NA")</f>
        <v>16875.099999999999</v>
      </c>
      <c r="F344" s="15">
        <f>IFERROR(E344/E444, "NA")</f>
        <v>0.22305492630573262</v>
      </c>
      <c r="G344" s="2"/>
      <c r="H344" s="14">
        <f t="shared" si="84"/>
        <v>-835.27000000000044</v>
      </c>
      <c r="I344" s="15">
        <f>IFERROR(H344/H444, "NA")</f>
        <v>0.27796376657259952</v>
      </c>
      <c r="J344" s="2"/>
      <c r="K344" s="14">
        <f>IFERROR(K328+K329+K330+K331+K332+K333+K334+K335+K337+K338+K339+K340+K341, "NA")</f>
        <v>17285.12</v>
      </c>
      <c r="L344" s="15">
        <f>IFERROR(K344/K444, "NA")</f>
        <v>0.23704230308346216</v>
      </c>
      <c r="M344" s="2"/>
      <c r="N344" s="14">
        <f t="shared" si="85"/>
        <v>-425.25</v>
      </c>
      <c r="O344" s="15">
        <f>IFERROR(N344/N444, "NA")</f>
        <v>1.5722049689441231</v>
      </c>
      <c r="P344" s="2"/>
      <c r="Q344" s="14">
        <f>IFERROR(Q328+Q329+Q330+Q331+Q332+Q333+Q334+Q335+Q337+Q338+Q339+Q340+Q341, "NA")</f>
        <v>17710.37</v>
      </c>
      <c r="R344" s="15">
        <f>IFERROR(Q344/Q444, "NA")</f>
        <v>0.24377827789592493</v>
      </c>
      <c r="S344" s="2"/>
      <c r="T344" s="14">
        <f>IFERROR(T328+T329+T330+T331+T332+T333+T334+T335+T337+T338+T339+T340+T341, "NA")</f>
        <v>16875.099999999999</v>
      </c>
      <c r="U344" s="15">
        <f>IFERROR(T344/T444, "NA")</f>
        <v>0.22305492630573262</v>
      </c>
      <c r="V344" s="2"/>
      <c r="W344" s="14">
        <f t="shared" si="86"/>
        <v>-835.27000000000044</v>
      </c>
      <c r="X344" s="15">
        <f>IFERROR(W344/W444, "NA")</f>
        <v>0.27796376657259952</v>
      </c>
      <c r="Y344" s="2"/>
      <c r="Z344" s="14">
        <f>IFERROR(Z328+Z329+Z330+Z331+Z332+Z333+Z334+Z335+Z337+Z338+Z339+Z340+Z341, "NA")</f>
        <v>17285.12</v>
      </c>
      <c r="AA344" s="15">
        <f>IFERROR(Z344/Z444, "NA")</f>
        <v>0.23704230308346216</v>
      </c>
      <c r="AB344" s="2"/>
      <c r="AC344" s="14">
        <f t="shared" si="87"/>
        <v>-425.25</v>
      </c>
      <c r="AD344" s="15">
        <f>IFERROR(AC344/AC444, "NA")</f>
        <v>1.5722049689441231</v>
      </c>
    </row>
    <row r="345" spans="1:30" ht="16.5" customHeight="1" x14ac:dyDescent="0.45">
      <c r="A345" s="22" t="s">
        <v>315</v>
      </c>
      <c r="B345" s="23">
        <f>IFERROR(B198-B325-B344, "NA")</f>
        <v>-8452.989999999987</v>
      </c>
      <c r="C345" s="24">
        <f>IFERROR(B345/B444, "NA")</f>
        <v>-0.11635303752950794</v>
      </c>
      <c r="D345" s="25"/>
      <c r="E345" s="23">
        <f>IFERROR(E198-E325-E344, "NA")</f>
        <v>-4817.229999999985</v>
      </c>
      <c r="F345" s="24">
        <f>IFERROR(E345/E444, "NA")</f>
        <v>-6.3674104606654847E-2</v>
      </c>
      <c r="G345" s="25"/>
      <c r="H345" s="23">
        <f>IFERROR(B345-E345, "NA")</f>
        <v>-3635.760000000002</v>
      </c>
      <c r="I345" s="24">
        <f>IFERROR(H345/H444, "NA")</f>
        <v>1.2099195995953338</v>
      </c>
      <c r="J345" s="25"/>
      <c r="K345" s="23">
        <f>IFERROR(K198-K325-K344, "NA")</f>
        <v>-10372.549999999999</v>
      </c>
      <c r="L345" s="24">
        <f>IFERROR(K345/K444, "NA")</f>
        <v>-0.14224565064334904</v>
      </c>
      <c r="M345" s="25"/>
      <c r="N345" s="23">
        <f>IFERROR(B345-K345, "NA")</f>
        <v>1919.5600000000122</v>
      </c>
      <c r="O345" s="24">
        <f>IFERROR(N345/N444, "NA")</f>
        <v>-7.0968648328898301</v>
      </c>
      <c r="P345" s="25"/>
      <c r="Q345" s="23">
        <f>IFERROR(Q198-Q325-Q344, "NA")</f>
        <v>-8452.989999999987</v>
      </c>
      <c r="R345" s="24">
        <f>IFERROR(Q345/Q444, "NA")</f>
        <v>-0.11635303752950794</v>
      </c>
      <c r="S345" s="25"/>
      <c r="T345" s="23">
        <f>IFERROR(T198-T325-T344, "NA")</f>
        <v>-4817.229999999985</v>
      </c>
      <c r="U345" s="24">
        <f>IFERROR(T345/T444, "NA")</f>
        <v>-6.3674104606654847E-2</v>
      </c>
      <c r="V345" s="25"/>
      <c r="W345" s="23">
        <f>IFERROR(Q345-T345, "NA")</f>
        <v>-3635.760000000002</v>
      </c>
      <c r="X345" s="24">
        <f>IFERROR(W345/W444, "NA")</f>
        <v>1.2099195995953338</v>
      </c>
      <c r="Y345" s="25"/>
      <c r="Z345" s="23">
        <f>IFERROR(Z198-Z325-Z344, "NA")</f>
        <v>-10372.549999999999</v>
      </c>
      <c r="AA345" s="24">
        <f>IFERROR(Z345/Z444, "NA")</f>
        <v>-0.14224565064334904</v>
      </c>
      <c r="AB345" s="25"/>
      <c r="AC345" s="23">
        <f>IFERROR(Q345-Z345, "NA")</f>
        <v>1919.5600000000122</v>
      </c>
      <c r="AD345" s="24">
        <f>IFERROR(AC345/AC444, "NA")</f>
        <v>-7.0968648328898301</v>
      </c>
    </row>
    <row r="346" spans="1:30" ht="16.5" customHeight="1" x14ac:dyDescent="0.45">
      <c r="A346" s="1" t="s">
        <v>316</v>
      </c>
      <c r="B346" s="2"/>
      <c r="C346" s="3"/>
      <c r="D346" s="4"/>
      <c r="E346" s="2"/>
      <c r="F346" s="3"/>
      <c r="G346" s="4"/>
      <c r="H346" s="2"/>
      <c r="I346" s="3"/>
      <c r="J346" s="4"/>
      <c r="K346" s="2"/>
      <c r="L346" s="3"/>
      <c r="M346" s="4"/>
      <c r="N346" s="2"/>
      <c r="O346" s="3"/>
      <c r="P346" s="4"/>
      <c r="Q346" s="2"/>
      <c r="R346" s="3"/>
      <c r="S346" s="4"/>
      <c r="T346" s="2"/>
      <c r="U346" s="3"/>
      <c r="V346" s="4"/>
      <c r="W346" s="2"/>
      <c r="X346" s="3"/>
      <c r="Y346" s="4"/>
      <c r="Z346" s="2"/>
      <c r="AA346" s="3"/>
      <c r="AB346" s="4"/>
      <c r="AC346" s="2"/>
      <c r="AD346" s="3"/>
    </row>
    <row r="347" spans="1:30" ht="16.5" hidden="1" customHeight="1" x14ac:dyDescent="0.45">
      <c r="A347" s="20" t="s">
        <v>317</v>
      </c>
      <c r="B347" s="7">
        <v>0</v>
      </c>
      <c r="C347" s="8">
        <f>IFERROR(B347/B444, "NA")</f>
        <v>0</v>
      </c>
      <c r="D347" s="9"/>
      <c r="E347" s="7">
        <v>0</v>
      </c>
      <c r="F347" s="8">
        <f>IFERROR(E347/E444, "NA")</f>
        <v>0</v>
      </c>
      <c r="G347" s="9"/>
      <c r="H347" s="10">
        <f>IFERROR(-(B347-E347), "NA")</f>
        <v>0</v>
      </c>
      <c r="I347" s="8">
        <f>IFERROR(H347/H444, "NA")</f>
        <v>0</v>
      </c>
      <c r="J347" s="9"/>
      <c r="K347" s="7">
        <v>0</v>
      </c>
      <c r="L347" s="8">
        <f>IFERROR(K347/K444, "NA")</f>
        <v>0</v>
      </c>
      <c r="M347" s="9"/>
      <c r="N347" s="10">
        <f>IFERROR(-(B347-K347), "NA")</f>
        <v>0</v>
      </c>
      <c r="O347" s="8">
        <f>IFERROR(N347/N444, "NA")</f>
        <v>0</v>
      </c>
      <c r="P347" s="9"/>
      <c r="Q347" s="7">
        <v>0</v>
      </c>
      <c r="R347" s="8">
        <f>IFERROR(Q347/Q444, "NA")</f>
        <v>0</v>
      </c>
      <c r="S347" s="9"/>
      <c r="T347" s="7">
        <v>0</v>
      </c>
      <c r="U347" s="8">
        <f>IFERROR(T347/T444, "NA")</f>
        <v>0</v>
      </c>
      <c r="V347" s="9"/>
      <c r="W347" s="10">
        <f>IFERROR(-(Q347-T347), "NA")</f>
        <v>0</v>
      </c>
      <c r="X347" s="8">
        <f>IFERROR(W347/W444, "NA")</f>
        <v>0</v>
      </c>
      <c r="Y347" s="9"/>
      <c r="Z347" s="7">
        <v>0</v>
      </c>
      <c r="AA347" s="8">
        <f>IFERROR(Z347/Z444, "NA")</f>
        <v>0</v>
      </c>
      <c r="AB347" s="9"/>
      <c r="AC347" s="10">
        <f>IFERROR(-(Q347-Z347), "NA")</f>
        <v>0</v>
      </c>
      <c r="AD347" s="8">
        <f>IFERROR(AC347/AC444, "NA")</f>
        <v>0</v>
      </c>
    </row>
    <row r="348" spans="1:30" ht="16.5" customHeight="1" x14ac:dyDescent="0.45">
      <c r="A348" s="5" t="s">
        <v>318</v>
      </c>
      <c r="B348" s="2"/>
      <c r="C348" s="3"/>
      <c r="D348" s="4"/>
      <c r="E348" s="2"/>
      <c r="F348" s="3"/>
      <c r="G348" s="4"/>
      <c r="H348" s="2"/>
      <c r="I348" s="3"/>
      <c r="J348" s="4"/>
      <c r="K348" s="2"/>
      <c r="L348" s="3"/>
      <c r="M348" s="4"/>
      <c r="N348" s="2"/>
      <c r="O348" s="3"/>
      <c r="P348" s="4"/>
      <c r="Q348" s="2"/>
      <c r="R348" s="3"/>
      <c r="S348" s="4"/>
      <c r="T348" s="2"/>
      <c r="U348" s="3"/>
      <c r="V348" s="4"/>
      <c r="W348" s="2"/>
      <c r="X348" s="3"/>
      <c r="Y348" s="4"/>
      <c r="Z348" s="2"/>
      <c r="AA348" s="3"/>
      <c r="AB348" s="4"/>
      <c r="AC348" s="2"/>
      <c r="AD348" s="3"/>
    </row>
    <row r="349" spans="1:30" ht="16.5" hidden="1" customHeight="1" x14ac:dyDescent="0.45">
      <c r="A349" s="6" t="s">
        <v>318</v>
      </c>
      <c r="B349" s="7">
        <v>0</v>
      </c>
      <c r="C349" s="8">
        <f>IFERROR(B349/B444, "NA")</f>
        <v>0</v>
      </c>
      <c r="D349" s="9"/>
      <c r="E349" s="7">
        <v>0</v>
      </c>
      <c r="F349" s="8">
        <f>IFERROR(E349/E444, "NA")</f>
        <v>0</v>
      </c>
      <c r="G349" s="9"/>
      <c r="H349" s="10">
        <f t="shared" ref="H349:H358" si="88">IFERROR(-(B349-E349), "NA")</f>
        <v>0</v>
      </c>
      <c r="I349" s="8">
        <f>IFERROR(H349/H444, "NA")</f>
        <v>0</v>
      </c>
      <c r="J349" s="9"/>
      <c r="K349" s="7">
        <v>0</v>
      </c>
      <c r="L349" s="8">
        <f>IFERROR(K349/K444, "NA")</f>
        <v>0</v>
      </c>
      <c r="M349" s="9"/>
      <c r="N349" s="10">
        <f t="shared" ref="N349:N358" si="89">IFERROR(-(B349-K349), "NA")</f>
        <v>0</v>
      </c>
      <c r="O349" s="8">
        <f>IFERROR(N349/N444, "NA")</f>
        <v>0</v>
      </c>
      <c r="P349" s="9"/>
      <c r="Q349" s="7">
        <v>0</v>
      </c>
      <c r="R349" s="8">
        <f>IFERROR(Q349/Q444, "NA")</f>
        <v>0</v>
      </c>
      <c r="S349" s="9"/>
      <c r="T349" s="7">
        <v>0</v>
      </c>
      <c r="U349" s="8">
        <f>IFERROR(T349/T444, "NA")</f>
        <v>0</v>
      </c>
      <c r="V349" s="9"/>
      <c r="W349" s="10">
        <f t="shared" ref="W349:W358" si="90">IFERROR(-(Q349-T349), "NA")</f>
        <v>0</v>
      </c>
      <c r="X349" s="8">
        <f>IFERROR(W349/W444, "NA")</f>
        <v>0</v>
      </c>
      <c r="Y349" s="9"/>
      <c r="Z349" s="7">
        <v>0</v>
      </c>
      <c r="AA349" s="8">
        <f>IFERROR(Z349/Z444, "NA")</f>
        <v>0</v>
      </c>
      <c r="AB349" s="9"/>
      <c r="AC349" s="10">
        <f t="shared" ref="AC349:AC358" si="91">IFERROR(-(Q349-Z349), "NA")</f>
        <v>0</v>
      </c>
      <c r="AD349" s="8">
        <f>IFERROR(AC349/AC444, "NA")</f>
        <v>0</v>
      </c>
    </row>
    <row r="350" spans="1:30" ht="16.5" hidden="1" customHeight="1" x14ac:dyDescent="0.45">
      <c r="A350" s="6" t="s">
        <v>319</v>
      </c>
      <c r="B350" s="7">
        <v>0</v>
      </c>
      <c r="C350" s="8">
        <f>IFERROR(B350/B444, "NA")</f>
        <v>0</v>
      </c>
      <c r="D350" s="9"/>
      <c r="E350" s="7">
        <v>0</v>
      </c>
      <c r="F350" s="8">
        <f>IFERROR(E350/E444, "NA")</f>
        <v>0</v>
      </c>
      <c r="G350" s="9"/>
      <c r="H350" s="10">
        <f t="shared" si="88"/>
        <v>0</v>
      </c>
      <c r="I350" s="8">
        <f>IFERROR(H350/H444, "NA")</f>
        <v>0</v>
      </c>
      <c r="J350" s="9"/>
      <c r="K350" s="7">
        <v>0</v>
      </c>
      <c r="L350" s="8">
        <f>IFERROR(K350/K444, "NA")</f>
        <v>0</v>
      </c>
      <c r="M350" s="9"/>
      <c r="N350" s="10">
        <f t="shared" si="89"/>
        <v>0</v>
      </c>
      <c r="O350" s="8">
        <f>IFERROR(N350/N444, "NA")</f>
        <v>0</v>
      </c>
      <c r="P350" s="9"/>
      <c r="Q350" s="7">
        <v>0</v>
      </c>
      <c r="R350" s="8">
        <f>IFERROR(Q350/Q444, "NA")</f>
        <v>0</v>
      </c>
      <c r="S350" s="9"/>
      <c r="T350" s="7">
        <v>0</v>
      </c>
      <c r="U350" s="8">
        <f>IFERROR(T350/T444, "NA")</f>
        <v>0</v>
      </c>
      <c r="V350" s="9"/>
      <c r="W350" s="10">
        <f t="shared" si="90"/>
        <v>0</v>
      </c>
      <c r="X350" s="8">
        <f>IFERROR(W350/W444, "NA")</f>
        <v>0</v>
      </c>
      <c r="Y350" s="9"/>
      <c r="Z350" s="7">
        <v>0</v>
      </c>
      <c r="AA350" s="8">
        <f>IFERROR(Z350/Z444, "NA")</f>
        <v>0</v>
      </c>
      <c r="AB350" s="9"/>
      <c r="AC350" s="10">
        <f t="shared" si="91"/>
        <v>0</v>
      </c>
      <c r="AD350" s="8">
        <f>IFERROR(AC350/AC444, "NA")</f>
        <v>0</v>
      </c>
    </row>
    <row r="351" spans="1:30" ht="16.5" hidden="1" customHeight="1" x14ac:dyDescent="0.45">
      <c r="A351" s="6" t="s">
        <v>320</v>
      </c>
      <c r="B351" s="7">
        <v>0</v>
      </c>
      <c r="C351" s="8">
        <f>IFERROR(B351/B444, "NA")</f>
        <v>0</v>
      </c>
      <c r="D351" s="9"/>
      <c r="E351" s="7">
        <v>0</v>
      </c>
      <c r="F351" s="8">
        <f>IFERROR(E351/E444, "NA")</f>
        <v>0</v>
      </c>
      <c r="G351" s="9"/>
      <c r="H351" s="10">
        <f t="shared" si="88"/>
        <v>0</v>
      </c>
      <c r="I351" s="8">
        <f>IFERROR(H351/H444, "NA")</f>
        <v>0</v>
      </c>
      <c r="J351" s="9"/>
      <c r="K351" s="7">
        <v>0</v>
      </c>
      <c r="L351" s="8">
        <f>IFERROR(K351/K444, "NA")</f>
        <v>0</v>
      </c>
      <c r="M351" s="9"/>
      <c r="N351" s="10">
        <f t="shared" si="89"/>
        <v>0</v>
      </c>
      <c r="O351" s="8">
        <f>IFERROR(N351/N444, "NA")</f>
        <v>0</v>
      </c>
      <c r="P351" s="9"/>
      <c r="Q351" s="7">
        <v>0</v>
      </c>
      <c r="R351" s="8">
        <f>IFERROR(Q351/Q444, "NA")</f>
        <v>0</v>
      </c>
      <c r="S351" s="9"/>
      <c r="T351" s="7">
        <v>0</v>
      </c>
      <c r="U351" s="8">
        <f>IFERROR(T351/T444, "NA")</f>
        <v>0</v>
      </c>
      <c r="V351" s="9"/>
      <c r="W351" s="10">
        <f t="shared" si="90"/>
        <v>0</v>
      </c>
      <c r="X351" s="8">
        <f>IFERROR(W351/W444, "NA")</f>
        <v>0</v>
      </c>
      <c r="Y351" s="9"/>
      <c r="Z351" s="7">
        <v>0</v>
      </c>
      <c r="AA351" s="8">
        <f>IFERROR(Z351/Z444, "NA")</f>
        <v>0</v>
      </c>
      <c r="AB351" s="9"/>
      <c r="AC351" s="10">
        <f t="shared" si="91"/>
        <v>0</v>
      </c>
      <c r="AD351" s="8">
        <f>IFERROR(AC351/AC444, "NA")</f>
        <v>0</v>
      </c>
    </row>
    <row r="352" spans="1:30" ht="16.5" hidden="1" customHeight="1" x14ac:dyDescent="0.45">
      <c r="A352" s="6" t="s">
        <v>321</v>
      </c>
      <c r="B352" s="7">
        <v>0</v>
      </c>
      <c r="C352" s="8">
        <f>IFERROR(B352/B444, "NA")</f>
        <v>0</v>
      </c>
      <c r="D352" s="9"/>
      <c r="E352" s="7">
        <v>0</v>
      </c>
      <c r="F352" s="8">
        <f>IFERROR(E352/E444, "NA")</f>
        <v>0</v>
      </c>
      <c r="G352" s="9"/>
      <c r="H352" s="10">
        <f t="shared" si="88"/>
        <v>0</v>
      </c>
      <c r="I352" s="8">
        <f>IFERROR(H352/H444, "NA")</f>
        <v>0</v>
      </c>
      <c r="J352" s="9"/>
      <c r="K352" s="7">
        <v>0</v>
      </c>
      <c r="L352" s="8">
        <f>IFERROR(K352/K444, "NA")</f>
        <v>0</v>
      </c>
      <c r="M352" s="9"/>
      <c r="N352" s="10">
        <f t="shared" si="89"/>
        <v>0</v>
      </c>
      <c r="O352" s="8">
        <f>IFERROR(N352/N444, "NA")</f>
        <v>0</v>
      </c>
      <c r="P352" s="9"/>
      <c r="Q352" s="7">
        <v>0</v>
      </c>
      <c r="R352" s="8">
        <f>IFERROR(Q352/Q444, "NA")</f>
        <v>0</v>
      </c>
      <c r="S352" s="9"/>
      <c r="T352" s="7">
        <v>0</v>
      </c>
      <c r="U352" s="8">
        <f>IFERROR(T352/T444, "NA")</f>
        <v>0</v>
      </c>
      <c r="V352" s="9"/>
      <c r="W352" s="10">
        <f t="shared" si="90"/>
        <v>0</v>
      </c>
      <c r="X352" s="8">
        <f>IFERROR(W352/W444, "NA")</f>
        <v>0</v>
      </c>
      <c r="Y352" s="9"/>
      <c r="Z352" s="7">
        <v>0</v>
      </c>
      <c r="AA352" s="8">
        <f>IFERROR(Z352/Z444, "NA")</f>
        <v>0</v>
      </c>
      <c r="AB352" s="9"/>
      <c r="AC352" s="10">
        <f t="shared" si="91"/>
        <v>0</v>
      </c>
      <c r="AD352" s="8">
        <f>IFERROR(AC352/AC444, "NA")</f>
        <v>0</v>
      </c>
    </row>
    <row r="353" spans="1:30" ht="16.5" hidden="1" customHeight="1" x14ac:dyDescent="0.45">
      <c r="A353" s="6" t="s">
        <v>322</v>
      </c>
      <c r="B353" s="7">
        <v>0</v>
      </c>
      <c r="C353" s="8">
        <f>IFERROR(B353/B444, "NA")</f>
        <v>0</v>
      </c>
      <c r="D353" s="9"/>
      <c r="E353" s="7">
        <v>0</v>
      </c>
      <c r="F353" s="8">
        <f>IFERROR(E353/E444, "NA")</f>
        <v>0</v>
      </c>
      <c r="G353" s="9"/>
      <c r="H353" s="10">
        <f t="shared" si="88"/>
        <v>0</v>
      </c>
      <c r="I353" s="8">
        <f>IFERROR(H353/H444, "NA")</f>
        <v>0</v>
      </c>
      <c r="J353" s="9"/>
      <c r="K353" s="7">
        <v>0</v>
      </c>
      <c r="L353" s="8">
        <f>IFERROR(K353/K444, "NA")</f>
        <v>0</v>
      </c>
      <c r="M353" s="9"/>
      <c r="N353" s="10">
        <f t="shared" si="89"/>
        <v>0</v>
      </c>
      <c r="O353" s="8">
        <f>IFERROR(N353/N444, "NA")</f>
        <v>0</v>
      </c>
      <c r="P353" s="9"/>
      <c r="Q353" s="7">
        <v>0</v>
      </c>
      <c r="R353" s="8">
        <f>IFERROR(Q353/Q444, "NA")</f>
        <v>0</v>
      </c>
      <c r="S353" s="9"/>
      <c r="T353" s="7">
        <v>0</v>
      </c>
      <c r="U353" s="8">
        <f>IFERROR(T353/T444, "NA")</f>
        <v>0</v>
      </c>
      <c r="V353" s="9"/>
      <c r="W353" s="10">
        <f t="shared" si="90"/>
        <v>0</v>
      </c>
      <c r="X353" s="8">
        <f>IFERROR(W353/W444, "NA")</f>
        <v>0</v>
      </c>
      <c r="Y353" s="9"/>
      <c r="Z353" s="7">
        <v>0</v>
      </c>
      <c r="AA353" s="8">
        <f>IFERROR(Z353/Z444, "NA")</f>
        <v>0</v>
      </c>
      <c r="AB353" s="9"/>
      <c r="AC353" s="10">
        <f t="shared" si="91"/>
        <v>0</v>
      </c>
      <c r="AD353" s="8">
        <f>IFERROR(AC353/AC444, "NA")</f>
        <v>0</v>
      </c>
    </row>
    <row r="354" spans="1:30" ht="16.5" hidden="1" customHeight="1" x14ac:dyDescent="0.45">
      <c r="A354" s="6" t="s">
        <v>323</v>
      </c>
      <c r="B354" s="7">
        <v>0</v>
      </c>
      <c r="C354" s="8">
        <f>IFERROR(B354/B444, "NA")</f>
        <v>0</v>
      </c>
      <c r="D354" s="9"/>
      <c r="E354" s="7">
        <v>0</v>
      </c>
      <c r="F354" s="8">
        <f>IFERROR(E354/E444, "NA")</f>
        <v>0</v>
      </c>
      <c r="G354" s="9"/>
      <c r="H354" s="10">
        <f t="shared" si="88"/>
        <v>0</v>
      </c>
      <c r="I354" s="8">
        <f>IFERROR(H354/H444, "NA")</f>
        <v>0</v>
      </c>
      <c r="J354" s="9"/>
      <c r="K354" s="7">
        <v>0</v>
      </c>
      <c r="L354" s="8">
        <f>IFERROR(K354/K444, "NA")</f>
        <v>0</v>
      </c>
      <c r="M354" s="9"/>
      <c r="N354" s="10">
        <f t="shared" si="89"/>
        <v>0</v>
      </c>
      <c r="O354" s="8">
        <f>IFERROR(N354/N444, "NA")</f>
        <v>0</v>
      </c>
      <c r="P354" s="9"/>
      <c r="Q354" s="7">
        <v>0</v>
      </c>
      <c r="R354" s="8">
        <f>IFERROR(Q354/Q444, "NA")</f>
        <v>0</v>
      </c>
      <c r="S354" s="9"/>
      <c r="T354" s="7">
        <v>0</v>
      </c>
      <c r="U354" s="8">
        <f>IFERROR(T354/T444, "NA")</f>
        <v>0</v>
      </c>
      <c r="V354" s="9"/>
      <c r="W354" s="10">
        <f t="shared" si="90"/>
        <v>0</v>
      </c>
      <c r="X354" s="8">
        <f>IFERROR(W354/W444, "NA")</f>
        <v>0</v>
      </c>
      <c r="Y354" s="9"/>
      <c r="Z354" s="7">
        <v>0</v>
      </c>
      <c r="AA354" s="8">
        <f>IFERROR(Z354/Z444, "NA")</f>
        <v>0</v>
      </c>
      <c r="AB354" s="9"/>
      <c r="AC354" s="10">
        <f t="shared" si="91"/>
        <v>0</v>
      </c>
      <c r="AD354" s="8">
        <f>IFERROR(AC354/AC444, "NA")</f>
        <v>0</v>
      </c>
    </row>
    <row r="355" spans="1:30" ht="16.5" hidden="1" customHeight="1" x14ac:dyDescent="0.45">
      <c r="A355" s="6" t="s">
        <v>324</v>
      </c>
      <c r="B355" s="7">
        <v>0</v>
      </c>
      <c r="C355" s="8">
        <f>IFERROR(B355/B444, "NA")</f>
        <v>0</v>
      </c>
      <c r="D355" s="9"/>
      <c r="E355" s="7">
        <v>0</v>
      </c>
      <c r="F355" s="8">
        <f>IFERROR(E355/E444, "NA")</f>
        <v>0</v>
      </c>
      <c r="G355" s="9"/>
      <c r="H355" s="10">
        <f t="shared" si="88"/>
        <v>0</v>
      </c>
      <c r="I355" s="8">
        <f>IFERROR(H355/H444, "NA")</f>
        <v>0</v>
      </c>
      <c r="J355" s="9"/>
      <c r="K355" s="7">
        <v>0</v>
      </c>
      <c r="L355" s="8">
        <f>IFERROR(K355/K444, "NA")</f>
        <v>0</v>
      </c>
      <c r="M355" s="9"/>
      <c r="N355" s="10">
        <f t="shared" si="89"/>
        <v>0</v>
      </c>
      <c r="O355" s="8">
        <f>IFERROR(N355/N444, "NA")</f>
        <v>0</v>
      </c>
      <c r="P355" s="9"/>
      <c r="Q355" s="7">
        <v>0</v>
      </c>
      <c r="R355" s="8">
        <f>IFERROR(Q355/Q444, "NA")</f>
        <v>0</v>
      </c>
      <c r="S355" s="9"/>
      <c r="T355" s="7">
        <v>0</v>
      </c>
      <c r="U355" s="8">
        <f>IFERROR(T355/T444, "NA")</f>
        <v>0</v>
      </c>
      <c r="V355" s="9"/>
      <c r="W355" s="10">
        <f t="shared" si="90"/>
        <v>0</v>
      </c>
      <c r="X355" s="8">
        <f>IFERROR(W355/W444, "NA")</f>
        <v>0</v>
      </c>
      <c r="Y355" s="9"/>
      <c r="Z355" s="7">
        <v>0</v>
      </c>
      <c r="AA355" s="8">
        <f>IFERROR(Z355/Z444, "NA")</f>
        <v>0</v>
      </c>
      <c r="AB355" s="9"/>
      <c r="AC355" s="10">
        <f t="shared" si="91"/>
        <v>0</v>
      </c>
      <c r="AD355" s="8">
        <f>IFERROR(AC355/AC444, "NA")</f>
        <v>0</v>
      </c>
    </row>
    <row r="356" spans="1:30" ht="16.5" hidden="1" customHeight="1" x14ac:dyDescent="0.45">
      <c r="A356" s="6" t="s">
        <v>325</v>
      </c>
      <c r="B356" s="7">
        <v>0</v>
      </c>
      <c r="C356" s="8">
        <f>IFERROR(B356/B444, "NA")</f>
        <v>0</v>
      </c>
      <c r="D356" s="9"/>
      <c r="E356" s="7">
        <v>0</v>
      </c>
      <c r="F356" s="8">
        <f>IFERROR(E356/E444, "NA")</f>
        <v>0</v>
      </c>
      <c r="G356" s="9"/>
      <c r="H356" s="10">
        <f t="shared" si="88"/>
        <v>0</v>
      </c>
      <c r="I356" s="8">
        <f>IFERROR(H356/H444, "NA")</f>
        <v>0</v>
      </c>
      <c r="J356" s="9"/>
      <c r="K356" s="7">
        <v>0</v>
      </c>
      <c r="L356" s="8">
        <f>IFERROR(K356/K444, "NA")</f>
        <v>0</v>
      </c>
      <c r="M356" s="9"/>
      <c r="N356" s="10">
        <f t="shared" si="89"/>
        <v>0</v>
      </c>
      <c r="O356" s="8">
        <f>IFERROR(N356/N444, "NA")</f>
        <v>0</v>
      </c>
      <c r="P356" s="9"/>
      <c r="Q356" s="7">
        <v>0</v>
      </c>
      <c r="R356" s="8">
        <f>IFERROR(Q356/Q444, "NA")</f>
        <v>0</v>
      </c>
      <c r="S356" s="9"/>
      <c r="T356" s="7">
        <v>0</v>
      </c>
      <c r="U356" s="8">
        <f>IFERROR(T356/T444, "NA")</f>
        <v>0</v>
      </c>
      <c r="V356" s="9"/>
      <c r="W356" s="10">
        <f t="shared" si="90"/>
        <v>0</v>
      </c>
      <c r="X356" s="8">
        <f>IFERROR(W356/W444, "NA")</f>
        <v>0</v>
      </c>
      <c r="Y356" s="9"/>
      <c r="Z356" s="7">
        <v>0</v>
      </c>
      <c r="AA356" s="8">
        <f>IFERROR(Z356/Z444, "NA")</f>
        <v>0</v>
      </c>
      <c r="AB356" s="9"/>
      <c r="AC356" s="10">
        <f t="shared" si="91"/>
        <v>0</v>
      </c>
      <c r="AD356" s="8">
        <f>IFERROR(AC356/AC444, "NA")</f>
        <v>0</v>
      </c>
    </row>
    <row r="357" spans="1:30" ht="16.5" hidden="1" customHeight="1" x14ac:dyDescent="0.45">
      <c r="A357" s="6" t="s">
        <v>326</v>
      </c>
      <c r="B357" s="7">
        <v>0</v>
      </c>
      <c r="C357" s="8">
        <f>IFERROR(B357/B444, "NA")</f>
        <v>0</v>
      </c>
      <c r="D357" s="9"/>
      <c r="E357" s="7">
        <v>0</v>
      </c>
      <c r="F357" s="8">
        <f>IFERROR(E357/E444, "NA")</f>
        <v>0</v>
      </c>
      <c r="G357" s="9"/>
      <c r="H357" s="10">
        <f t="shared" si="88"/>
        <v>0</v>
      </c>
      <c r="I357" s="8">
        <f>IFERROR(H357/H444, "NA")</f>
        <v>0</v>
      </c>
      <c r="J357" s="9"/>
      <c r="K357" s="7">
        <v>0</v>
      </c>
      <c r="L357" s="8">
        <f>IFERROR(K357/K444, "NA")</f>
        <v>0</v>
      </c>
      <c r="M357" s="9"/>
      <c r="N357" s="10">
        <f t="shared" si="89"/>
        <v>0</v>
      </c>
      <c r="O357" s="8">
        <f>IFERROR(N357/N444, "NA")</f>
        <v>0</v>
      </c>
      <c r="P357" s="9"/>
      <c r="Q357" s="7">
        <v>0</v>
      </c>
      <c r="R357" s="8">
        <f>IFERROR(Q357/Q444, "NA")</f>
        <v>0</v>
      </c>
      <c r="S357" s="9"/>
      <c r="T357" s="7">
        <v>0</v>
      </c>
      <c r="U357" s="8">
        <f>IFERROR(T357/T444, "NA")</f>
        <v>0</v>
      </c>
      <c r="V357" s="9"/>
      <c r="W357" s="10">
        <f t="shared" si="90"/>
        <v>0</v>
      </c>
      <c r="X357" s="8">
        <f>IFERROR(W357/W444, "NA")</f>
        <v>0</v>
      </c>
      <c r="Y357" s="9"/>
      <c r="Z357" s="7">
        <v>0</v>
      </c>
      <c r="AA357" s="8">
        <f>IFERROR(Z357/Z444, "NA")</f>
        <v>0</v>
      </c>
      <c r="AB357" s="9"/>
      <c r="AC357" s="10">
        <f t="shared" si="91"/>
        <v>0</v>
      </c>
      <c r="AD357" s="8">
        <f>IFERROR(AC357/AC444, "NA")</f>
        <v>0</v>
      </c>
    </row>
    <row r="358" spans="1:30" ht="16.5" customHeight="1" x14ac:dyDescent="0.45">
      <c r="A358" s="19" t="s">
        <v>327</v>
      </c>
      <c r="B358" s="14">
        <f>IFERROR(B349+B350+B351+B352+B353+B354+B355+B356+B357, "NA")</f>
        <v>0</v>
      </c>
      <c r="C358" s="15">
        <f>IFERROR(B358/B444, "NA")</f>
        <v>0</v>
      </c>
      <c r="D358" s="2"/>
      <c r="E358" s="14">
        <f>IFERROR(E349+E350+E351+E352+E353+E354+E355+E356+E357, "NA")</f>
        <v>0</v>
      </c>
      <c r="F358" s="15">
        <f>IFERROR(E358/E444, "NA")</f>
        <v>0</v>
      </c>
      <c r="G358" s="2"/>
      <c r="H358" s="14">
        <f t="shared" si="88"/>
        <v>0</v>
      </c>
      <c r="I358" s="15">
        <f>IFERROR(H358/H444, "NA")</f>
        <v>0</v>
      </c>
      <c r="J358" s="2"/>
      <c r="K358" s="14">
        <f>IFERROR(K349+K350+K351+K352+K353+K354+K355+K356+K357, "NA")</f>
        <v>0</v>
      </c>
      <c r="L358" s="15">
        <f>IFERROR(K358/K444, "NA")</f>
        <v>0</v>
      </c>
      <c r="M358" s="2"/>
      <c r="N358" s="14">
        <f t="shared" si="89"/>
        <v>0</v>
      </c>
      <c r="O358" s="15">
        <f>IFERROR(N358/N444, "NA")</f>
        <v>0</v>
      </c>
      <c r="P358" s="2"/>
      <c r="Q358" s="14">
        <f>IFERROR(Q349+Q350+Q351+Q352+Q353+Q354+Q355+Q356+Q357, "NA")</f>
        <v>0</v>
      </c>
      <c r="R358" s="15">
        <f>IFERROR(Q358/Q444, "NA")</f>
        <v>0</v>
      </c>
      <c r="S358" s="2"/>
      <c r="T358" s="14">
        <f>IFERROR(T349+T350+T351+T352+T353+T354+T355+T356+T357, "NA")</f>
        <v>0</v>
      </c>
      <c r="U358" s="15">
        <f>IFERROR(T358/T444, "NA")</f>
        <v>0</v>
      </c>
      <c r="V358" s="2"/>
      <c r="W358" s="14">
        <f t="shared" si="90"/>
        <v>0</v>
      </c>
      <c r="X358" s="15">
        <f>IFERROR(W358/W444, "NA")</f>
        <v>0</v>
      </c>
      <c r="Y358" s="2"/>
      <c r="Z358" s="14">
        <f>IFERROR(Z349+Z350+Z351+Z352+Z353+Z354+Z355+Z356+Z357, "NA")</f>
        <v>0</v>
      </c>
      <c r="AA358" s="15">
        <f>IFERROR(Z358/Z444, "NA")</f>
        <v>0</v>
      </c>
      <c r="AB358" s="2"/>
      <c r="AC358" s="14">
        <f t="shared" si="91"/>
        <v>0</v>
      </c>
      <c r="AD358" s="15">
        <f>IFERROR(AC358/AC444, "NA")</f>
        <v>0</v>
      </c>
    </row>
    <row r="359" spans="1:30" ht="16.5" customHeight="1" x14ac:dyDescent="0.45">
      <c r="A359" s="5" t="s">
        <v>328</v>
      </c>
      <c r="B359" s="2"/>
      <c r="C359" s="3"/>
      <c r="D359" s="4"/>
      <c r="E359" s="2"/>
      <c r="F359" s="3"/>
      <c r="G359" s="4"/>
      <c r="H359" s="2"/>
      <c r="I359" s="3"/>
      <c r="J359" s="4"/>
      <c r="K359" s="2"/>
      <c r="L359" s="3"/>
      <c r="M359" s="4"/>
      <c r="N359" s="2"/>
      <c r="O359" s="3"/>
      <c r="P359" s="4"/>
      <c r="Q359" s="2"/>
      <c r="R359" s="3"/>
      <c r="S359" s="4"/>
      <c r="T359" s="2"/>
      <c r="U359" s="3"/>
      <c r="V359" s="4"/>
      <c r="W359" s="2"/>
      <c r="X359" s="3"/>
      <c r="Y359" s="4"/>
      <c r="Z359" s="2"/>
      <c r="AA359" s="3"/>
      <c r="AB359" s="4"/>
      <c r="AC359" s="2"/>
      <c r="AD359" s="3"/>
    </row>
    <row r="360" spans="1:30" ht="16.5" hidden="1" customHeight="1" x14ac:dyDescent="0.45">
      <c r="A360" s="6" t="s">
        <v>328</v>
      </c>
      <c r="B360" s="7">
        <v>0</v>
      </c>
      <c r="C360" s="8">
        <f>IFERROR(B360/B444, "NA")</f>
        <v>0</v>
      </c>
      <c r="D360" s="9"/>
      <c r="E360" s="7">
        <v>0</v>
      </c>
      <c r="F360" s="8">
        <f>IFERROR(E360/E444, "NA")</f>
        <v>0</v>
      </c>
      <c r="G360" s="9"/>
      <c r="H360" s="10">
        <f t="shared" ref="H360:H383" si="92">IFERROR(-(B360-E360), "NA")</f>
        <v>0</v>
      </c>
      <c r="I360" s="8">
        <f>IFERROR(H360/H444, "NA")</f>
        <v>0</v>
      </c>
      <c r="J360" s="9"/>
      <c r="K360" s="7">
        <v>0</v>
      </c>
      <c r="L360" s="8">
        <f>IFERROR(K360/K444, "NA")</f>
        <v>0</v>
      </c>
      <c r="M360" s="9"/>
      <c r="N360" s="10">
        <f t="shared" ref="N360:N383" si="93">IFERROR(-(B360-K360), "NA")</f>
        <v>0</v>
      </c>
      <c r="O360" s="8">
        <f>IFERROR(N360/N444, "NA")</f>
        <v>0</v>
      </c>
      <c r="P360" s="9"/>
      <c r="Q360" s="7">
        <v>0</v>
      </c>
      <c r="R360" s="8">
        <f>IFERROR(Q360/Q444, "NA")</f>
        <v>0</v>
      </c>
      <c r="S360" s="9"/>
      <c r="T360" s="7">
        <v>0</v>
      </c>
      <c r="U360" s="8">
        <f>IFERROR(T360/T444, "NA")</f>
        <v>0</v>
      </c>
      <c r="V360" s="9"/>
      <c r="W360" s="10">
        <f t="shared" ref="W360:W383" si="94">IFERROR(-(Q360-T360), "NA")</f>
        <v>0</v>
      </c>
      <c r="X360" s="8">
        <f>IFERROR(W360/W444, "NA")</f>
        <v>0</v>
      </c>
      <c r="Y360" s="9"/>
      <c r="Z360" s="7">
        <v>0</v>
      </c>
      <c r="AA360" s="8">
        <f>IFERROR(Z360/Z444, "NA")</f>
        <v>0</v>
      </c>
      <c r="AB360" s="9"/>
      <c r="AC360" s="10">
        <f t="shared" ref="AC360:AC383" si="95">IFERROR(-(Q360-Z360), "NA")</f>
        <v>0</v>
      </c>
      <c r="AD360" s="8">
        <f>IFERROR(AC360/AC444, "NA")</f>
        <v>0</v>
      </c>
    </row>
    <row r="361" spans="1:30" ht="16.5" hidden="1" customHeight="1" x14ac:dyDescent="0.45">
      <c r="A361" s="6" t="s">
        <v>329</v>
      </c>
      <c r="B361" s="7">
        <v>0</v>
      </c>
      <c r="C361" s="8">
        <f>IFERROR(B361/B444, "NA")</f>
        <v>0</v>
      </c>
      <c r="D361" s="9"/>
      <c r="E361" s="7">
        <v>0</v>
      </c>
      <c r="F361" s="8">
        <f>IFERROR(E361/E444, "NA")</f>
        <v>0</v>
      </c>
      <c r="G361" s="9"/>
      <c r="H361" s="10">
        <f t="shared" si="92"/>
        <v>0</v>
      </c>
      <c r="I361" s="8">
        <f>IFERROR(H361/H444, "NA")</f>
        <v>0</v>
      </c>
      <c r="J361" s="9"/>
      <c r="K361" s="7">
        <v>0</v>
      </c>
      <c r="L361" s="8">
        <f>IFERROR(K361/K444, "NA")</f>
        <v>0</v>
      </c>
      <c r="M361" s="9"/>
      <c r="N361" s="10">
        <f t="shared" si="93"/>
        <v>0</v>
      </c>
      <c r="O361" s="8">
        <f>IFERROR(N361/N444, "NA")</f>
        <v>0</v>
      </c>
      <c r="P361" s="9"/>
      <c r="Q361" s="7">
        <v>0</v>
      </c>
      <c r="R361" s="8">
        <f>IFERROR(Q361/Q444, "NA")</f>
        <v>0</v>
      </c>
      <c r="S361" s="9"/>
      <c r="T361" s="7">
        <v>0</v>
      </c>
      <c r="U361" s="8">
        <f>IFERROR(T361/T444, "NA")</f>
        <v>0</v>
      </c>
      <c r="V361" s="9"/>
      <c r="W361" s="10">
        <f t="shared" si="94"/>
        <v>0</v>
      </c>
      <c r="X361" s="8">
        <f>IFERROR(W361/W444, "NA")</f>
        <v>0</v>
      </c>
      <c r="Y361" s="9"/>
      <c r="Z361" s="7">
        <v>0</v>
      </c>
      <c r="AA361" s="8">
        <f>IFERROR(Z361/Z444, "NA")</f>
        <v>0</v>
      </c>
      <c r="AB361" s="9"/>
      <c r="AC361" s="10">
        <f t="shared" si="95"/>
        <v>0</v>
      </c>
      <c r="AD361" s="8">
        <f>IFERROR(AC361/AC444, "NA")</f>
        <v>0</v>
      </c>
    </row>
    <row r="362" spans="1:30" ht="16.5" hidden="1" customHeight="1" x14ac:dyDescent="0.45">
      <c r="A362" s="6" t="s">
        <v>330</v>
      </c>
      <c r="B362" s="7">
        <v>0</v>
      </c>
      <c r="C362" s="8">
        <f>IFERROR(B362/B444, "NA")</f>
        <v>0</v>
      </c>
      <c r="D362" s="9"/>
      <c r="E362" s="7">
        <v>0</v>
      </c>
      <c r="F362" s="8">
        <f>IFERROR(E362/E444, "NA")</f>
        <v>0</v>
      </c>
      <c r="G362" s="9"/>
      <c r="H362" s="10">
        <f t="shared" si="92"/>
        <v>0</v>
      </c>
      <c r="I362" s="8">
        <f>IFERROR(H362/H444, "NA")</f>
        <v>0</v>
      </c>
      <c r="J362" s="9"/>
      <c r="K362" s="7">
        <v>0</v>
      </c>
      <c r="L362" s="8">
        <f>IFERROR(K362/K444, "NA")</f>
        <v>0</v>
      </c>
      <c r="M362" s="9"/>
      <c r="N362" s="10">
        <f t="shared" si="93"/>
        <v>0</v>
      </c>
      <c r="O362" s="8">
        <f>IFERROR(N362/N444, "NA")</f>
        <v>0</v>
      </c>
      <c r="P362" s="9"/>
      <c r="Q362" s="7">
        <v>0</v>
      </c>
      <c r="R362" s="8">
        <f>IFERROR(Q362/Q444, "NA")</f>
        <v>0</v>
      </c>
      <c r="S362" s="9"/>
      <c r="T362" s="7">
        <v>0</v>
      </c>
      <c r="U362" s="8">
        <f>IFERROR(T362/T444, "NA")</f>
        <v>0</v>
      </c>
      <c r="V362" s="9"/>
      <c r="W362" s="10">
        <f t="shared" si="94"/>
        <v>0</v>
      </c>
      <c r="X362" s="8">
        <f>IFERROR(W362/W444, "NA")</f>
        <v>0</v>
      </c>
      <c r="Y362" s="9"/>
      <c r="Z362" s="7">
        <v>0</v>
      </c>
      <c r="AA362" s="8">
        <f>IFERROR(Z362/Z444, "NA")</f>
        <v>0</v>
      </c>
      <c r="AB362" s="9"/>
      <c r="AC362" s="10">
        <f t="shared" si="95"/>
        <v>0</v>
      </c>
      <c r="AD362" s="8">
        <f>IFERROR(AC362/AC444, "NA")</f>
        <v>0</v>
      </c>
    </row>
    <row r="363" spans="1:30" ht="16.5" hidden="1" customHeight="1" x14ac:dyDescent="0.45">
      <c r="A363" s="6" t="s">
        <v>331</v>
      </c>
      <c r="B363" s="7">
        <v>0</v>
      </c>
      <c r="C363" s="8">
        <f>IFERROR(B363/B444, "NA")</f>
        <v>0</v>
      </c>
      <c r="D363" s="9"/>
      <c r="E363" s="7">
        <v>0</v>
      </c>
      <c r="F363" s="8">
        <f>IFERROR(E363/E444, "NA")</f>
        <v>0</v>
      </c>
      <c r="G363" s="9"/>
      <c r="H363" s="10">
        <f t="shared" si="92"/>
        <v>0</v>
      </c>
      <c r="I363" s="8">
        <f>IFERROR(H363/H444, "NA")</f>
        <v>0</v>
      </c>
      <c r="J363" s="9"/>
      <c r="K363" s="7">
        <v>0</v>
      </c>
      <c r="L363" s="8">
        <f>IFERROR(K363/K444, "NA")</f>
        <v>0</v>
      </c>
      <c r="M363" s="9"/>
      <c r="N363" s="10">
        <f t="shared" si="93"/>
        <v>0</v>
      </c>
      <c r="O363" s="8">
        <f>IFERROR(N363/N444, "NA")</f>
        <v>0</v>
      </c>
      <c r="P363" s="9"/>
      <c r="Q363" s="7">
        <v>0</v>
      </c>
      <c r="R363" s="8">
        <f>IFERROR(Q363/Q444, "NA")</f>
        <v>0</v>
      </c>
      <c r="S363" s="9"/>
      <c r="T363" s="7">
        <v>0</v>
      </c>
      <c r="U363" s="8">
        <f>IFERROR(T363/T444, "NA")</f>
        <v>0</v>
      </c>
      <c r="V363" s="9"/>
      <c r="W363" s="10">
        <f t="shared" si="94"/>
        <v>0</v>
      </c>
      <c r="X363" s="8">
        <f>IFERROR(W363/W444, "NA")</f>
        <v>0</v>
      </c>
      <c r="Y363" s="9"/>
      <c r="Z363" s="7">
        <v>0</v>
      </c>
      <c r="AA363" s="8">
        <f>IFERROR(Z363/Z444, "NA")</f>
        <v>0</v>
      </c>
      <c r="AB363" s="9"/>
      <c r="AC363" s="10">
        <f t="shared" si="95"/>
        <v>0</v>
      </c>
      <c r="AD363" s="8">
        <f>IFERROR(AC363/AC444, "NA")</f>
        <v>0</v>
      </c>
    </row>
    <row r="364" spans="1:30" ht="16.5" hidden="1" customHeight="1" x14ac:dyDescent="0.45">
      <c r="A364" s="6" t="s">
        <v>332</v>
      </c>
      <c r="B364" s="7">
        <v>0</v>
      </c>
      <c r="C364" s="8">
        <f>IFERROR(B364/B444, "NA")</f>
        <v>0</v>
      </c>
      <c r="D364" s="9"/>
      <c r="E364" s="7">
        <v>0</v>
      </c>
      <c r="F364" s="8">
        <f>IFERROR(E364/E444, "NA")</f>
        <v>0</v>
      </c>
      <c r="G364" s="9"/>
      <c r="H364" s="10">
        <f t="shared" si="92"/>
        <v>0</v>
      </c>
      <c r="I364" s="8">
        <f>IFERROR(H364/H444, "NA")</f>
        <v>0</v>
      </c>
      <c r="J364" s="9"/>
      <c r="K364" s="7">
        <v>0</v>
      </c>
      <c r="L364" s="8">
        <f>IFERROR(K364/K444, "NA")</f>
        <v>0</v>
      </c>
      <c r="M364" s="9"/>
      <c r="N364" s="10">
        <f t="shared" si="93"/>
        <v>0</v>
      </c>
      <c r="O364" s="8">
        <f>IFERROR(N364/N444, "NA")</f>
        <v>0</v>
      </c>
      <c r="P364" s="9"/>
      <c r="Q364" s="7">
        <v>0</v>
      </c>
      <c r="R364" s="8">
        <f>IFERROR(Q364/Q444, "NA")</f>
        <v>0</v>
      </c>
      <c r="S364" s="9"/>
      <c r="T364" s="7">
        <v>0</v>
      </c>
      <c r="U364" s="8">
        <f>IFERROR(T364/T444, "NA")</f>
        <v>0</v>
      </c>
      <c r="V364" s="9"/>
      <c r="W364" s="10">
        <f t="shared" si="94"/>
        <v>0</v>
      </c>
      <c r="X364" s="8">
        <f>IFERROR(W364/W444, "NA")</f>
        <v>0</v>
      </c>
      <c r="Y364" s="9"/>
      <c r="Z364" s="7">
        <v>0</v>
      </c>
      <c r="AA364" s="8">
        <f>IFERROR(Z364/Z444, "NA")</f>
        <v>0</v>
      </c>
      <c r="AB364" s="9"/>
      <c r="AC364" s="10">
        <f t="shared" si="95"/>
        <v>0</v>
      </c>
      <c r="AD364" s="8">
        <f>IFERROR(AC364/AC444, "NA")</f>
        <v>0</v>
      </c>
    </row>
    <row r="365" spans="1:30" ht="16.5" hidden="1" customHeight="1" x14ac:dyDescent="0.45">
      <c r="A365" s="6" t="s">
        <v>333</v>
      </c>
      <c r="B365" s="7">
        <v>0</v>
      </c>
      <c r="C365" s="8">
        <f>IFERROR(B365/B444, "NA")</f>
        <v>0</v>
      </c>
      <c r="D365" s="9"/>
      <c r="E365" s="7">
        <v>0</v>
      </c>
      <c r="F365" s="8">
        <f>IFERROR(E365/E444, "NA")</f>
        <v>0</v>
      </c>
      <c r="G365" s="9"/>
      <c r="H365" s="10">
        <f t="shared" si="92"/>
        <v>0</v>
      </c>
      <c r="I365" s="8">
        <f>IFERROR(H365/H444, "NA")</f>
        <v>0</v>
      </c>
      <c r="J365" s="9"/>
      <c r="K365" s="7">
        <v>0</v>
      </c>
      <c r="L365" s="8">
        <f>IFERROR(K365/K444, "NA")</f>
        <v>0</v>
      </c>
      <c r="M365" s="9"/>
      <c r="N365" s="10">
        <f t="shared" si="93"/>
        <v>0</v>
      </c>
      <c r="O365" s="8">
        <f>IFERROR(N365/N444, "NA")</f>
        <v>0</v>
      </c>
      <c r="P365" s="9"/>
      <c r="Q365" s="7">
        <v>0</v>
      </c>
      <c r="R365" s="8">
        <f>IFERROR(Q365/Q444, "NA")</f>
        <v>0</v>
      </c>
      <c r="S365" s="9"/>
      <c r="T365" s="7">
        <v>0</v>
      </c>
      <c r="U365" s="8">
        <f>IFERROR(T365/T444, "NA")</f>
        <v>0</v>
      </c>
      <c r="V365" s="9"/>
      <c r="W365" s="10">
        <f t="shared" si="94"/>
        <v>0</v>
      </c>
      <c r="X365" s="8">
        <f>IFERROR(W365/W444, "NA")</f>
        <v>0</v>
      </c>
      <c r="Y365" s="9"/>
      <c r="Z365" s="7">
        <v>0</v>
      </c>
      <c r="AA365" s="8">
        <f>IFERROR(Z365/Z444, "NA")</f>
        <v>0</v>
      </c>
      <c r="AB365" s="9"/>
      <c r="AC365" s="10">
        <f t="shared" si="95"/>
        <v>0</v>
      </c>
      <c r="AD365" s="8">
        <f>IFERROR(AC365/AC444, "NA")</f>
        <v>0</v>
      </c>
    </row>
    <row r="366" spans="1:30" ht="16.5" hidden="1" customHeight="1" x14ac:dyDescent="0.45">
      <c r="A366" s="6" t="s">
        <v>334</v>
      </c>
      <c r="B366" s="7">
        <v>0</v>
      </c>
      <c r="C366" s="8">
        <f>IFERROR(B366/B444, "NA")</f>
        <v>0</v>
      </c>
      <c r="D366" s="9"/>
      <c r="E366" s="7">
        <v>0</v>
      </c>
      <c r="F366" s="8">
        <f>IFERROR(E366/E444, "NA")</f>
        <v>0</v>
      </c>
      <c r="G366" s="9"/>
      <c r="H366" s="10">
        <f t="shared" si="92"/>
        <v>0</v>
      </c>
      <c r="I366" s="8">
        <f>IFERROR(H366/H444, "NA")</f>
        <v>0</v>
      </c>
      <c r="J366" s="9"/>
      <c r="K366" s="7">
        <v>0</v>
      </c>
      <c r="L366" s="8">
        <f>IFERROR(K366/K444, "NA")</f>
        <v>0</v>
      </c>
      <c r="M366" s="9"/>
      <c r="N366" s="10">
        <f t="shared" si="93"/>
        <v>0</v>
      </c>
      <c r="O366" s="8">
        <f>IFERROR(N366/N444, "NA")</f>
        <v>0</v>
      </c>
      <c r="P366" s="9"/>
      <c r="Q366" s="7">
        <v>0</v>
      </c>
      <c r="R366" s="8">
        <f>IFERROR(Q366/Q444, "NA")</f>
        <v>0</v>
      </c>
      <c r="S366" s="9"/>
      <c r="T366" s="7">
        <v>0</v>
      </c>
      <c r="U366" s="8">
        <f>IFERROR(T366/T444, "NA")</f>
        <v>0</v>
      </c>
      <c r="V366" s="9"/>
      <c r="W366" s="10">
        <f t="shared" si="94"/>
        <v>0</v>
      </c>
      <c r="X366" s="8">
        <f>IFERROR(W366/W444, "NA")</f>
        <v>0</v>
      </c>
      <c r="Y366" s="9"/>
      <c r="Z366" s="7">
        <v>0</v>
      </c>
      <c r="AA366" s="8">
        <f>IFERROR(Z366/Z444, "NA")</f>
        <v>0</v>
      </c>
      <c r="AB366" s="9"/>
      <c r="AC366" s="10">
        <f t="shared" si="95"/>
        <v>0</v>
      </c>
      <c r="AD366" s="8">
        <f>IFERROR(AC366/AC444, "NA")</f>
        <v>0</v>
      </c>
    </row>
    <row r="367" spans="1:30" ht="16.5" hidden="1" customHeight="1" x14ac:dyDescent="0.45">
      <c r="A367" s="6" t="s">
        <v>335</v>
      </c>
      <c r="B367" s="7">
        <v>0</v>
      </c>
      <c r="C367" s="8">
        <f>IFERROR(B367/B444, "NA")</f>
        <v>0</v>
      </c>
      <c r="D367" s="9"/>
      <c r="E367" s="7">
        <v>0</v>
      </c>
      <c r="F367" s="8">
        <f>IFERROR(E367/E444, "NA")</f>
        <v>0</v>
      </c>
      <c r="G367" s="9"/>
      <c r="H367" s="10">
        <f t="shared" si="92"/>
        <v>0</v>
      </c>
      <c r="I367" s="8">
        <f>IFERROR(H367/H444, "NA")</f>
        <v>0</v>
      </c>
      <c r="J367" s="9"/>
      <c r="K367" s="7">
        <v>0</v>
      </c>
      <c r="L367" s="8">
        <f>IFERROR(K367/K444, "NA")</f>
        <v>0</v>
      </c>
      <c r="M367" s="9"/>
      <c r="N367" s="10">
        <f t="shared" si="93"/>
        <v>0</v>
      </c>
      <c r="O367" s="8">
        <f>IFERROR(N367/N444, "NA")</f>
        <v>0</v>
      </c>
      <c r="P367" s="9"/>
      <c r="Q367" s="7">
        <v>0</v>
      </c>
      <c r="R367" s="8">
        <f>IFERROR(Q367/Q444, "NA")</f>
        <v>0</v>
      </c>
      <c r="S367" s="9"/>
      <c r="T367" s="7">
        <v>0</v>
      </c>
      <c r="U367" s="8">
        <f>IFERROR(T367/T444, "NA")</f>
        <v>0</v>
      </c>
      <c r="V367" s="9"/>
      <c r="W367" s="10">
        <f t="shared" si="94"/>
        <v>0</v>
      </c>
      <c r="X367" s="8">
        <f>IFERROR(W367/W444, "NA")</f>
        <v>0</v>
      </c>
      <c r="Y367" s="9"/>
      <c r="Z367" s="7">
        <v>0</v>
      </c>
      <c r="AA367" s="8">
        <f>IFERROR(Z367/Z444, "NA")</f>
        <v>0</v>
      </c>
      <c r="AB367" s="9"/>
      <c r="AC367" s="10">
        <f t="shared" si="95"/>
        <v>0</v>
      </c>
      <c r="AD367" s="8">
        <f>IFERROR(AC367/AC444, "NA")</f>
        <v>0</v>
      </c>
    </row>
    <row r="368" spans="1:30" ht="16.5" customHeight="1" x14ac:dyDescent="0.45">
      <c r="A368" s="19" t="s">
        <v>336</v>
      </c>
      <c r="B368" s="14">
        <f>IFERROR(B360+B361+B362+B363+B364+B365+B366+B367, "NA")</f>
        <v>0</v>
      </c>
      <c r="C368" s="15">
        <f>IFERROR(B368/B444, "NA")</f>
        <v>0</v>
      </c>
      <c r="D368" s="2"/>
      <c r="E368" s="14">
        <f>IFERROR(E360+E361+E362+E363+E364+E365+E366+E367, "NA")</f>
        <v>0</v>
      </c>
      <c r="F368" s="15">
        <f>IFERROR(E368/E444, "NA")</f>
        <v>0</v>
      </c>
      <c r="G368" s="2"/>
      <c r="H368" s="14">
        <f t="shared" si="92"/>
        <v>0</v>
      </c>
      <c r="I368" s="15">
        <f>IFERROR(H368/H444, "NA")</f>
        <v>0</v>
      </c>
      <c r="J368" s="2"/>
      <c r="K368" s="14">
        <f>IFERROR(K360+K361+K362+K363+K364+K365+K366+K367, "NA")</f>
        <v>0</v>
      </c>
      <c r="L368" s="15">
        <f>IFERROR(K368/K444, "NA")</f>
        <v>0</v>
      </c>
      <c r="M368" s="2"/>
      <c r="N368" s="14">
        <f t="shared" si="93"/>
        <v>0</v>
      </c>
      <c r="O368" s="15">
        <f>IFERROR(N368/N444, "NA")</f>
        <v>0</v>
      </c>
      <c r="P368" s="2"/>
      <c r="Q368" s="14">
        <f>IFERROR(Q360+Q361+Q362+Q363+Q364+Q365+Q366+Q367, "NA")</f>
        <v>0</v>
      </c>
      <c r="R368" s="15">
        <f>IFERROR(Q368/Q444, "NA")</f>
        <v>0</v>
      </c>
      <c r="S368" s="2"/>
      <c r="T368" s="14">
        <f>IFERROR(T360+T361+T362+T363+T364+T365+T366+T367, "NA")</f>
        <v>0</v>
      </c>
      <c r="U368" s="15">
        <f>IFERROR(T368/T444, "NA")</f>
        <v>0</v>
      </c>
      <c r="V368" s="2"/>
      <c r="W368" s="14">
        <f t="shared" si="94"/>
        <v>0</v>
      </c>
      <c r="X368" s="15">
        <f>IFERROR(W368/W444, "NA")</f>
        <v>0</v>
      </c>
      <c r="Y368" s="2"/>
      <c r="Z368" s="14">
        <f>IFERROR(Z360+Z361+Z362+Z363+Z364+Z365+Z366+Z367, "NA")</f>
        <v>0</v>
      </c>
      <c r="AA368" s="15">
        <f>IFERROR(Z368/Z444, "NA")</f>
        <v>0</v>
      </c>
      <c r="AB368" s="2"/>
      <c r="AC368" s="14">
        <f t="shared" si="95"/>
        <v>0</v>
      </c>
      <c r="AD368" s="15">
        <f>IFERROR(AC368/AC444, "NA")</f>
        <v>0</v>
      </c>
    </row>
    <row r="369" spans="1:30" ht="16.5" hidden="1" customHeight="1" x14ac:dyDescent="0.45">
      <c r="A369" s="20" t="s">
        <v>337</v>
      </c>
      <c r="B369" s="7">
        <v>0</v>
      </c>
      <c r="C369" s="8">
        <f>IFERROR(B369/B444, "NA")</f>
        <v>0</v>
      </c>
      <c r="D369" s="9"/>
      <c r="E369" s="7">
        <v>0</v>
      </c>
      <c r="F369" s="8">
        <f>IFERROR(E369/E444, "NA")</f>
        <v>0</v>
      </c>
      <c r="G369" s="9"/>
      <c r="H369" s="10">
        <f t="shared" si="92"/>
        <v>0</v>
      </c>
      <c r="I369" s="8">
        <f>IFERROR(H369/H444, "NA")</f>
        <v>0</v>
      </c>
      <c r="J369" s="9"/>
      <c r="K369" s="7">
        <v>0</v>
      </c>
      <c r="L369" s="8">
        <f>IFERROR(K369/K444, "NA")</f>
        <v>0</v>
      </c>
      <c r="M369" s="9"/>
      <c r="N369" s="10">
        <f t="shared" si="93"/>
        <v>0</v>
      </c>
      <c r="O369" s="8">
        <f>IFERROR(N369/N444, "NA")</f>
        <v>0</v>
      </c>
      <c r="P369" s="9"/>
      <c r="Q369" s="7">
        <v>0</v>
      </c>
      <c r="R369" s="8">
        <f>IFERROR(Q369/Q444, "NA")</f>
        <v>0</v>
      </c>
      <c r="S369" s="9"/>
      <c r="T369" s="7">
        <v>0</v>
      </c>
      <c r="U369" s="8">
        <f>IFERROR(T369/T444, "NA")</f>
        <v>0</v>
      </c>
      <c r="V369" s="9"/>
      <c r="W369" s="10">
        <f t="shared" si="94"/>
        <v>0</v>
      </c>
      <c r="X369" s="8">
        <f>IFERROR(W369/W444, "NA")</f>
        <v>0</v>
      </c>
      <c r="Y369" s="9"/>
      <c r="Z369" s="7">
        <v>0</v>
      </c>
      <c r="AA369" s="8">
        <f>IFERROR(Z369/Z444, "NA")</f>
        <v>0</v>
      </c>
      <c r="AB369" s="9"/>
      <c r="AC369" s="10">
        <f t="shared" si="95"/>
        <v>0</v>
      </c>
      <c r="AD369" s="8">
        <f>IFERROR(AC369/AC444, "NA")</f>
        <v>0</v>
      </c>
    </row>
    <row r="370" spans="1:30" ht="16.5" hidden="1" customHeight="1" x14ac:dyDescent="0.45">
      <c r="A370" s="20" t="s">
        <v>338</v>
      </c>
      <c r="B370" s="7">
        <v>0</v>
      </c>
      <c r="C370" s="8">
        <f>IFERROR(B370/B444, "NA")</f>
        <v>0</v>
      </c>
      <c r="D370" s="9"/>
      <c r="E370" s="7">
        <v>0</v>
      </c>
      <c r="F370" s="8">
        <f>IFERROR(E370/E444, "NA")</f>
        <v>0</v>
      </c>
      <c r="G370" s="9"/>
      <c r="H370" s="10">
        <f t="shared" si="92"/>
        <v>0</v>
      </c>
      <c r="I370" s="8">
        <f>IFERROR(H370/H444, "NA")</f>
        <v>0</v>
      </c>
      <c r="J370" s="9"/>
      <c r="K370" s="7">
        <v>0</v>
      </c>
      <c r="L370" s="8">
        <f>IFERROR(K370/K444, "NA")</f>
        <v>0</v>
      </c>
      <c r="M370" s="9"/>
      <c r="N370" s="10">
        <f t="shared" si="93"/>
        <v>0</v>
      </c>
      <c r="O370" s="8">
        <f>IFERROR(N370/N444, "NA")</f>
        <v>0</v>
      </c>
      <c r="P370" s="9"/>
      <c r="Q370" s="7">
        <v>0</v>
      </c>
      <c r="R370" s="8">
        <f>IFERROR(Q370/Q444, "NA")</f>
        <v>0</v>
      </c>
      <c r="S370" s="9"/>
      <c r="T370" s="7">
        <v>0</v>
      </c>
      <c r="U370" s="8">
        <f>IFERROR(T370/T444, "NA")</f>
        <v>0</v>
      </c>
      <c r="V370" s="9"/>
      <c r="W370" s="10">
        <f t="shared" si="94"/>
        <v>0</v>
      </c>
      <c r="X370" s="8">
        <f>IFERROR(W370/W444, "NA")</f>
        <v>0</v>
      </c>
      <c r="Y370" s="9"/>
      <c r="Z370" s="7">
        <v>0</v>
      </c>
      <c r="AA370" s="8">
        <f>IFERROR(Z370/Z444, "NA")</f>
        <v>0</v>
      </c>
      <c r="AB370" s="9"/>
      <c r="AC370" s="10">
        <f t="shared" si="95"/>
        <v>0</v>
      </c>
      <c r="AD370" s="8">
        <f>IFERROR(AC370/AC444, "NA")</f>
        <v>0</v>
      </c>
    </row>
    <row r="371" spans="1:30" ht="16.5" hidden="1" customHeight="1" x14ac:dyDescent="0.45">
      <c r="A371" s="20" t="s">
        <v>339</v>
      </c>
      <c r="B371" s="7">
        <v>0</v>
      </c>
      <c r="C371" s="8">
        <f>IFERROR(B371/B444, "NA")</f>
        <v>0</v>
      </c>
      <c r="D371" s="9"/>
      <c r="E371" s="7">
        <v>0</v>
      </c>
      <c r="F371" s="8">
        <f>IFERROR(E371/E444, "NA")</f>
        <v>0</v>
      </c>
      <c r="G371" s="9"/>
      <c r="H371" s="10">
        <f t="shared" si="92"/>
        <v>0</v>
      </c>
      <c r="I371" s="8">
        <f>IFERROR(H371/H444, "NA")</f>
        <v>0</v>
      </c>
      <c r="J371" s="9"/>
      <c r="K371" s="7">
        <v>0</v>
      </c>
      <c r="L371" s="8">
        <f>IFERROR(K371/K444, "NA")</f>
        <v>0</v>
      </c>
      <c r="M371" s="9"/>
      <c r="N371" s="10">
        <f t="shared" si="93"/>
        <v>0</v>
      </c>
      <c r="O371" s="8">
        <f>IFERROR(N371/N444, "NA")</f>
        <v>0</v>
      </c>
      <c r="P371" s="9"/>
      <c r="Q371" s="7">
        <v>0</v>
      </c>
      <c r="R371" s="8">
        <f>IFERROR(Q371/Q444, "NA")</f>
        <v>0</v>
      </c>
      <c r="S371" s="9"/>
      <c r="T371" s="7">
        <v>0</v>
      </c>
      <c r="U371" s="8">
        <f>IFERROR(T371/T444, "NA")</f>
        <v>0</v>
      </c>
      <c r="V371" s="9"/>
      <c r="W371" s="10">
        <f t="shared" si="94"/>
        <v>0</v>
      </c>
      <c r="X371" s="8">
        <f>IFERROR(W371/W444, "NA")</f>
        <v>0</v>
      </c>
      <c r="Y371" s="9"/>
      <c r="Z371" s="7">
        <v>0</v>
      </c>
      <c r="AA371" s="8">
        <f>IFERROR(Z371/Z444, "NA")</f>
        <v>0</v>
      </c>
      <c r="AB371" s="9"/>
      <c r="AC371" s="10">
        <f t="shared" si="95"/>
        <v>0</v>
      </c>
      <c r="AD371" s="8">
        <f>IFERROR(AC371/AC444, "NA")</f>
        <v>0</v>
      </c>
    </row>
    <row r="372" spans="1:30" ht="16.5" hidden="1" customHeight="1" x14ac:dyDescent="0.45">
      <c r="A372" s="20" t="s">
        <v>340</v>
      </c>
      <c r="B372" s="7">
        <v>0</v>
      </c>
      <c r="C372" s="8">
        <f>IFERROR(B372/B444, "NA")</f>
        <v>0</v>
      </c>
      <c r="D372" s="9"/>
      <c r="E372" s="7">
        <v>0</v>
      </c>
      <c r="F372" s="8">
        <f>IFERROR(E372/E444, "NA")</f>
        <v>0</v>
      </c>
      <c r="G372" s="9"/>
      <c r="H372" s="10">
        <f t="shared" si="92"/>
        <v>0</v>
      </c>
      <c r="I372" s="8">
        <f>IFERROR(H372/H444, "NA")</f>
        <v>0</v>
      </c>
      <c r="J372" s="9"/>
      <c r="K372" s="7">
        <v>0</v>
      </c>
      <c r="L372" s="8">
        <f>IFERROR(K372/K444, "NA")</f>
        <v>0</v>
      </c>
      <c r="M372" s="9"/>
      <c r="N372" s="10">
        <f t="shared" si="93"/>
        <v>0</v>
      </c>
      <c r="O372" s="8">
        <f>IFERROR(N372/N444, "NA")</f>
        <v>0</v>
      </c>
      <c r="P372" s="9"/>
      <c r="Q372" s="7">
        <v>0</v>
      </c>
      <c r="R372" s="8">
        <f>IFERROR(Q372/Q444, "NA")</f>
        <v>0</v>
      </c>
      <c r="S372" s="9"/>
      <c r="T372" s="7">
        <v>0</v>
      </c>
      <c r="U372" s="8">
        <f>IFERROR(T372/T444, "NA")</f>
        <v>0</v>
      </c>
      <c r="V372" s="9"/>
      <c r="W372" s="10">
        <f t="shared" si="94"/>
        <v>0</v>
      </c>
      <c r="X372" s="8">
        <f>IFERROR(W372/W444, "NA")</f>
        <v>0</v>
      </c>
      <c r="Y372" s="9"/>
      <c r="Z372" s="7">
        <v>0</v>
      </c>
      <c r="AA372" s="8">
        <f>IFERROR(Z372/Z444, "NA")</f>
        <v>0</v>
      </c>
      <c r="AB372" s="9"/>
      <c r="AC372" s="10">
        <f t="shared" si="95"/>
        <v>0</v>
      </c>
      <c r="AD372" s="8">
        <f>IFERROR(AC372/AC444, "NA")</f>
        <v>0</v>
      </c>
    </row>
    <row r="373" spans="1:30" ht="16.5" hidden="1" customHeight="1" x14ac:dyDescent="0.45">
      <c r="A373" s="20" t="s">
        <v>341</v>
      </c>
      <c r="B373" s="7">
        <v>0</v>
      </c>
      <c r="C373" s="8">
        <f>IFERROR(B373/B444, "NA")</f>
        <v>0</v>
      </c>
      <c r="D373" s="9"/>
      <c r="E373" s="7">
        <v>0</v>
      </c>
      <c r="F373" s="8">
        <f>IFERROR(E373/E444, "NA")</f>
        <v>0</v>
      </c>
      <c r="G373" s="9"/>
      <c r="H373" s="10">
        <f t="shared" si="92"/>
        <v>0</v>
      </c>
      <c r="I373" s="8">
        <f>IFERROR(H373/H444, "NA")</f>
        <v>0</v>
      </c>
      <c r="J373" s="9"/>
      <c r="K373" s="7">
        <v>0</v>
      </c>
      <c r="L373" s="8">
        <f>IFERROR(K373/K444, "NA")</f>
        <v>0</v>
      </c>
      <c r="M373" s="9"/>
      <c r="N373" s="10">
        <f t="shared" si="93"/>
        <v>0</v>
      </c>
      <c r="O373" s="8">
        <f>IFERROR(N373/N444, "NA")</f>
        <v>0</v>
      </c>
      <c r="P373" s="9"/>
      <c r="Q373" s="7">
        <v>0</v>
      </c>
      <c r="R373" s="8">
        <f>IFERROR(Q373/Q444, "NA")</f>
        <v>0</v>
      </c>
      <c r="S373" s="9"/>
      <c r="T373" s="7">
        <v>0</v>
      </c>
      <c r="U373" s="8">
        <f>IFERROR(T373/T444, "NA")</f>
        <v>0</v>
      </c>
      <c r="V373" s="9"/>
      <c r="W373" s="10">
        <f t="shared" si="94"/>
        <v>0</v>
      </c>
      <c r="X373" s="8">
        <f>IFERROR(W373/W444, "NA")</f>
        <v>0</v>
      </c>
      <c r="Y373" s="9"/>
      <c r="Z373" s="7">
        <v>0</v>
      </c>
      <c r="AA373" s="8">
        <f>IFERROR(Z373/Z444, "NA")</f>
        <v>0</v>
      </c>
      <c r="AB373" s="9"/>
      <c r="AC373" s="10">
        <f t="shared" si="95"/>
        <v>0</v>
      </c>
      <c r="AD373" s="8">
        <f>IFERROR(AC373/AC444, "NA")</f>
        <v>0</v>
      </c>
    </row>
    <row r="374" spans="1:30" ht="16.5" hidden="1" customHeight="1" x14ac:dyDescent="0.45">
      <c r="A374" s="20" t="s">
        <v>342</v>
      </c>
      <c r="B374" s="7">
        <v>0</v>
      </c>
      <c r="C374" s="8">
        <f>IFERROR(B374/B444, "NA")</f>
        <v>0</v>
      </c>
      <c r="D374" s="9"/>
      <c r="E374" s="7">
        <v>0</v>
      </c>
      <c r="F374" s="8">
        <f>IFERROR(E374/E444, "NA")</f>
        <v>0</v>
      </c>
      <c r="G374" s="9"/>
      <c r="H374" s="10">
        <f t="shared" si="92"/>
        <v>0</v>
      </c>
      <c r="I374" s="8">
        <f>IFERROR(H374/H444, "NA")</f>
        <v>0</v>
      </c>
      <c r="J374" s="9"/>
      <c r="K374" s="7">
        <v>0</v>
      </c>
      <c r="L374" s="8">
        <f>IFERROR(K374/K444, "NA")</f>
        <v>0</v>
      </c>
      <c r="M374" s="9"/>
      <c r="N374" s="10">
        <f t="shared" si="93"/>
        <v>0</v>
      </c>
      <c r="O374" s="8">
        <f>IFERROR(N374/N444, "NA")</f>
        <v>0</v>
      </c>
      <c r="P374" s="9"/>
      <c r="Q374" s="7">
        <v>0</v>
      </c>
      <c r="R374" s="8">
        <f>IFERROR(Q374/Q444, "NA")</f>
        <v>0</v>
      </c>
      <c r="S374" s="9"/>
      <c r="T374" s="7">
        <v>0</v>
      </c>
      <c r="U374" s="8">
        <f>IFERROR(T374/T444, "NA")</f>
        <v>0</v>
      </c>
      <c r="V374" s="9"/>
      <c r="W374" s="10">
        <f t="shared" si="94"/>
        <v>0</v>
      </c>
      <c r="X374" s="8">
        <f>IFERROR(W374/W444, "NA")</f>
        <v>0</v>
      </c>
      <c r="Y374" s="9"/>
      <c r="Z374" s="7">
        <v>0</v>
      </c>
      <c r="AA374" s="8">
        <f>IFERROR(Z374/Z444, "NA")</f>
        <v>0</v>
      </c>
      <c r="AB374" s="9"/>
      <c r="AC374" s="10">
        <f t="shared" si="95"/>
        <v>0</v>
      </c>
      <c r="AD374" s="8">
        <f>IFERROR(AC374/AC444, "NA")</f>
        <v>0</v>
      </c>
    </row>
    <row r="375" spans="1:30" ht="16.5" hidden="1" customHeight="1" x14ac:dyDescent="0.45">
      <c r="A375" s="20" t="s">
        <v>343</v>
      </c>
      <c r="B375" s="7">
        <v>0</v>
      </c>
      <c r="C375" s="8">
        <f>IFERROR(B375/B444, "NA")</f>
        <v>0</v>
      </c>
      <c r="D375" s="9"/>
      <c r="E375" s="7">
        <v>0</v>
      </c>
      <c r="F375" s="8">
        <f>IFERROR(E375/E444, "NA")</f>
        <v>0</v>
      </c>
      <c r="G375" s="9"/>
      <c r="H375" s="10">
        <f t="shared" si="92"/>
        <v>0</v>
      </c>
      <c r="I375" s="8">
        <f>IFERROR(H375/H444, "NA")</f>
        <v>0</v>
      </c>
      <c r="J375" s="9"/>
      <c r="K375" s="7">
        <v>0</v>
      </c>
      <c r="L375" s="8">
        <f>IFERROR(K375/K444, "NA")</f>
        <v>0</v>
      </c>
      <c r="M375" s="9"/>
      <c r="N375" s="10">
        <f t="shared" si="93"/>
        <v>0</v>
      </c>
      <c r="O375" s="8">
        <f>IFERROR(N375/N444, "NA")</f>
        <v>0</v>
      </c>
      <c r="P375" s="9"/>
      <c r="Q375" s="7">
        <v>0</v>
      </c>
      <c r="R375" s="8">
        <f>IFERROR(Q375/Q444, "NA")</f>
        <v>0</v>
      </c>
      <c r="S375" s="9"/>
      <c r="T375" s="7">
        <v>0</v>
      </c>
      <c r="U375" s="8">
        <f>IFERROR(T375/T444, "NA")</f>
        <v>0</v>
      </c>
      <c r="V375" s="9"/>
      <c r="W375" s="10">
        <f t="shared" si="94"/>
        <v>0</v>
      </c>
      <c r="X375" s="8">
        <f>IFERROR(W375/W444, "NA")</f>
        <v>0</v>
      </c>
      <c r="Y375" s="9"/>
      <c r="Z375" s="7">
        <v>0</v>
      </c>
      <c r="AA375" s="8">
        <f>IFERROR(Z375/Z444, "NA")</f>
        <v>0</v>
      </c>
      <c r="AB375" s="9"/>
      <c r="AC375" s="10">
        <f t="shared" si="95"/>
        <v>0</v>
      </c>
      <c r="AD375" s="8">
        <f>IFERROR(AC375/AC444, "NA")</f>
        <v>0</v>
      </c>
    </row>
    <row r="376" spans="1:30" ht="16.5" hidden="1" customHeight="1" x14ac:dyDescent="0.45">
      <c r="A376" s="20" t="s">
        <v>344</v>
      </c>
      <c r="B376" s="7">
        <v>0</v>
      </c>
      <c r="C376" s="8">
        <f>IFERROR(B376/B444, "NA")</f>
        <v>0</v>
      </c>
      <c r="D376" s="9"/>
      <c r="E376" s="7">
        <v>0</v>
      </c>
      <c r="F376" s="8">
        <f>IFERROR(E376/E444, "NA")</f>
        <v>0</v>
      </c>
      <c r="G376" s="9"/>
      <c r="H376" s="10">
        <f t="shared" si="92"/>
        <v>0</v>
      </c>
      <c r="I376" s="8">
        <f>IFERROR(H376/H444, "NA")</f>
        <v>0</v>
      </c>
      <c r="J376" s="9"/>
      <c r="K376" s="7">
        <v>0</v>
      </c>
      <c r="L376" s="8">
        <f>IFERROR(K376/K444, "NA")</f>
        <v>0</v>
      </c>
      <c r="M376" s="9"/>
      <c r="N376" s="10">
        <f t="shared" si="93"/>
        <v>0</v>
      </c>
      <c r="O376" s="8">
        <f>IFERROR(N376/N444, "NA")</f>
        <v>0</v>
      </c>
      <c r="P376" s="9"/>
      <c r="Q376" s="7">
        <v>0</v>
      </c>
      <c r="R376" s="8">
        <f>IFERROR(Q376/Q444, "NA")</f>
        <v>0</v>
      </c>
      <c r="S376" s="9"/>
      <c r="T376" s="7">
        <v>0</v>
      </c>
      <c r="U376" s="8">
        <f>IFERROR(T376/T444, "NA")</f>
        <v>0</v>
      </c>
      <c r="V376" s="9"/>
      <c r="W376" s="10">
        <f t="shared" si="94"/>
        <v>0</v>
      </c>
      <c r="X376" s="8">
        <f>IFERROR(W376/W444, "NA")</f>
        <v>0</v>
      </c>
      <c r="Y376" s="9"/>
      <c r="Z376" s="7">
        <v>0</v>
      </c>
      <c r="AA376" s="8">
        <f>IFERROR(Z376/Z444, "NA")</f>
        <v>0</v>
      </c>
      <c r="AB376" s="9"/>
      <c r="AC376" s="10">
        <f t="shared" si="95"/>
        <v>0</v>
      </c>
      <c r="AD376" s="8">
        <f>IFERROR(AC376/AC444, "NA")</f>
        <v>0</v>
      </c>
    </row>
    <row r="377" spans="1:30" ht="16.5" hidden="1" customHeight="1" x14ac:dyDescent="0.45">
      <c r="A377" s="20" t="s">
        <v>345</v>
      </c>
      <c r="B377" s="7">
        <v>0</v>
      </c>
      <c r="C377" s="8">
        <f>IFERROR(B377/B444, "NA")</f>
        <v>0</v>
      </c>
      <c r="D377" s="9"/>
      <c r="E377" s="7">
        <v>0</v>
      </c>
      <c r="F377" s="8">
        <f>IFERROR(E377/E444, "NA")</f>
        <v>0</v>
      </c>
      <c r="G377" s="9"/>
      <c r="H377" s="10">
        <f t="shared" si="92"/>
        <v>0</v>
      </c>
      <c r="I377" s="8">
        <f>IFERROR(H377/H444, "NA")</f>
        <v>0</v>
      </c>
      <c r="J377" s="9"/>
      <c r="K377" s="7">
        <v>0</v>
      </c>
      <c r="L377" s="8">
        <f>IFERROR(K377/K444, "NA")</f>
        <v>0</v>
      </c>
      <c r="M377" s="9"/>
      <c r="N377" s="10">
        <f t="shared" si="93"/>
        <v>0</v>
      </c>
      <c r="O377" s="8">
        <f>IFERROR(N377/N444, "NA")</f>
        <v>0</v>
      </c>
      <c r="P377" s="9"/>
      <c r="Q377" s="7">
        <v>0</v>
      </c>
      <c r="R377" s="8">
        <f>IFERROR(Q377/Q444, "NA")</f>
        <v>0</v>
      </c>
      <c r="S377" s="9"/>
      <c r="T377" s="7">
        <v>0</v>
      </c>
      <c r="U377" s="8">
        <f>IFERROR(T377/T444, "NA")</f>
        <v>0</v>
      </c>
      <c r="V377" s="9"/>
      <c r="W377" s="10">
        <f t="shared" si="94"/>
        <v>0</v>
      </c>
      <c r="X377" s="8">
        <f>IFERROR(W377/W444, "NA")</f>
        <v>0</v>
      </c>
      <c r="Y377" s="9"/>
      <c r="Z377" s="7">
        <v>0</v>
      </c>
      <c r="AA377" s="8">
        <f>IFERROR(Z377/Z444, "NA")</f>
        <v>0</v>
      </c>
      <c r="AB377" s="9"/>
      <c r="AC377" s="10">
        <f t="shared" si="95"/>
        <v>0</v>
      </c>
      <c r="AD377" s="8">
        <f>IFERROR(AC377/AC444, "NA")</f>
        <v>0</v>
      </c>
    </row>
    <row r="378" spans="1:30" ht="16.5" hidden="1" customHeight="1" x14ac:dyDescent="0.45">
      <c r="A378" s="20" t="s">
        <v>346</v>
      </c>
      <c r="B378" s="7">
        <v>0</v>
      </c>
      <c r="C378" s="8">
        <f>IFERROR(B378/B444, "NA")</f>
        <v>0</v>
      </c>
      <c r="D378" s="9"/>
      <c r="E378" s="7">
        <v>0</v>
      </c>
      <c r="F378" s="8">
        <f>IFERROR(E378/E444, "NA")</f>
        <v>0</v>
      </c>
      <c r="G378" s="9"/>
      <c r="H378" s="10">
        <f t="shared" si="92"/>
        <v>0</v>
      </c>
      <c r="I378" s="8">
        <f>IFERROR(H378/H444, "NA")</f>
        <v>0</v>
      </c>
      <c r="J378" s="9"/>
      <c r="K378" s="7">
        <v>0</v>
      </c>
      <c r="L378" s="8">
        <f>IFERROR(K378/K444, "NA")</f>
        <v>0</v>
      </c>
      <c r="M378" s="9"/>
      <c r="N378" s="10">
        <f t="shared" si="93"/>
        <v>0</v>
      </c>
      <c r="O378" s="8">
        <f>IFERROR(N378/N444, "NA")</f>
        <v>0</v>
      </c>
      <c r="P378" s="9"/>
      <c r="Q378" s="7">
        <v>0</v>
      </c>
      <c r="R378" s="8">
        <f>IFERROR(Q378/Q444, "NA")</f>
        <v>0</v>
      </c>
      <c r="S378" s="9"/>
      <c r="T378" s="7">
        <v>0</v>
      </c>
      <c r="U378" s="8">
        <f>IFERROR(T378/T444, "NA")</f>
        <v>0</v>
      </c>
      <c r="V378" s="9"/>
      <c r="W378" s="10">
        <f t="shared" si="94"/>
        <v>0</v>
      </c>
      <c r="X378" s="8">
        <f>IFERROR(W378/W444, "NA")</f>
        <v>0</v>
      </c>
      <c r="Y378" s="9"/>
      <c r="Z378" s="7">
        <v>0</v>
      </c>
      <c r="AA378" s="8">
        <f>IFERROR(Z378/Z444, "NA")</f>
        <v>0</v>
      </c>
      <c r="AB378" s="9"/>
      <c r="AC378" s="10">
        <f t="shared" si="95"/>
        <v>0</v>
      </c>
      <c r="AD378" s="8">
        <f>IFERROR(AC378/AC444, "NA")</f>
        <v>0</v>
      </c>
    </row>
    <row r="379" spans="1:30" ht="16.5" hidden="1" customHeight="1" x14ac:dyDescent="0.45">
      <c r="A379" s="20" t="s">
        <v>347</v>
      </c>
      <c r="B379" s="7">
        <v>0</v>
      </c>
      <c r="C379" s="8">
        <f>IFERROR(B379/B444, "NA")</f>
        <v>0</v>
      </c>
      <c r="D379" s="9"/>
      <c r="E379" s="7">
        <v>0</v>
      </c>
      <c r="F379" s="8">
        <f>IFERROR(E379/E444, "NA")</f>
        <v>0</v>
      </c>
      <c r="G379" s="9"/>
      <c r="H379" s="10">
        <f t="shared" si="92"/>
        <v>0</v>
      </c>
      <c r="I379" s="8">
        <f>IFERROR(H379/H444, "NA")</f>
        <v>0</v>
      </c>
      <c r="J379" s="9"/>
      <c r="K379" s="7">
        <v>0</v>
      </c>
      <c r="L379" s="8">
        <f>IFERROR(K379/K444, "NA")</f>
        <v>0</v>
      </c>
      <c r="M379" s="9"/>
      <c r="N379" s="10">
        <f t="shared" si="93"/>
        <v>0</v>
      </c>
      <c r="O379" s="8">
        <f>IFERROR(N379/N444, "NA")</f>
        <v>0</v>
      </c>
      <c r="P379" s="9"/>
      <c r="Q379" s="7">
        <v>0</v>
      </c>
      <c r="R379" s="8">
        <f>IFERROR(Q379/Q444, "NA")</f>
        <v>0</v>
      </c>
      <c r="S379" s="9"/>
      <c r="T379" s="7">
        <v>0</v>
      </c>
      <c r="U379" s="8">
        <f>IFERROR(T379/T444, "NA")</f>
        <v>0</v>
      </c>
      <c r="V379" s="9"/>
      <c r="W379" s="10">
        <f t="shared" si="94"/>
        <v>0</v>
      </c>
      <c r="X379" s="8">
        <f>IFERROR(W379/W444, "NA")</f>
        <v>0</v>
      </c>
      <c r="Y379" s="9"/>
      <c r="Z379" s="7">
        <v>0</v>
      </c>
      <c r="AA379" s="8">
        <f>IFERROR(Z379/Z444, "NA")</f>
        <v>0</v>
      </c>
      <c r="AB379" s="9"/>
      <c r="AC379" s="10">
        <f t="shared" si="95"/>
        <v>0</v>
      </c>
      <c r="AD379" s="8">
        <f>IFERROR(AC379/AC444, "NA")</f>
        <v>0</v>
      </c>
    </row>
    <row r="380" spans="1:30" ht="16.5" hidden="1" customHeight="1" x14ac:dyDescent="0.45">
      <c r="A380" s="20" t="s">
        <v>348</v>
      </c>
      <c r="B380" s="7">
        <v>0</v>
      </c>
      <c r="C380" s="8">
        <f>IFERROR(B380/B444, "NA")</f>
        <v>0</v>
      </c>
      <c r="D380" s="9"/>
      <c r="E380" s="7">
        <v>0</v>
      </c>
      <c r="F380" s="8">
        <f>IFERROR(E380/E444, "NA")</f>
        <v>0</v>
      </c>
      <c r="G380" s="9"/>
      <c r="H380" s="10">
        <f t="shared" si="92"/>
        <v>0</v>
      </c>
      <c r="I380" s="8">
        <f>IFERROR(H380/H444, "NA")</f>
        <v>0</v>
      </c>
      <c r="J380" s="9"/>
      <c r="K380" s="7">
        <v>0</v>
      </c>
      <c r="L380" s="8">
        <f>IFERROR(K380/K444, "NA")</f>
        <v>0</v>
      </c>
      <c r="M380" s="9"/>
      <c r="N380" s="10">
        <f t="shared" si="93"/>
        <v>0</v>
      </c>
      <c r="O380" s="8">
        <f>IFERROR(N380/N444, "NA")</f>
        <v>0</v>
      </c>
      <c r="P380" s="9"/>
      <c r="Q380" s="7">
        <v>0</v>
      </c>
      <c r="R380" s="8">
        <f>IFERROR(Q380/Q444, "NA")</f>
        <v>0</v>
      </c>
      <c r="S380" s="9"/>
      <c r="T380" s="7">
        <v>0</v>
      </c>
      <c r="U380" s="8">
        <f>IFERROR(T380/T444, "NA")</f>
        <v>0</v>
      </c>
      <c r="V380" s="9"/>
      <c r="W380" s="10">
        <f t="shared" si="94"/>
        <v>0</v>
      </c>
      <c r="X380" s="8">
        <f>IFERROR(W380/W444, "NA")</f>
        <v>0</v>
      </c>
      <c r="Y380" s="9"/>
      <c r="Z380" s="7">
        <v>0</v>
      </c>
      <c r="AA380" s="8">
        <f>IFERROR(Z380/Z444, "NA")</f>
        <v>0</v>
      </c>
      <c r="AB380" s="9"/>
      <c r="AC380" s="10">
        <f t="shared" si="95"/>
        <v>0</v>
      </c>
      <c r="AD380" s="8">
        <f>IFERROR(AC380/AC444, "NA")</f>
        <v>0</v>
      </c>
    </row>
    <row r="381" spans="1:30" ht="16.5" hidden="1" customHeight="1" x14ac:dyDescent="0.45">
      <c r="A381" s="20" t="s">
        <v>349</v>
      </c>
      <c r="B381" s="7">
        <v>0</v>
      </c>
      <c r="C381" s="8">
        <f>IFERROR(B381/B444, "NA")</f>
        <v>0</v>
      </c>
      <c r="D381" s="9"/>
      <c r="E381" s="7">
        <v>0</v>
      </c>
      <c r="F381" s="8">
        <f>IFERROR(E381/E444, "NA")</f>
        <v>0</v>
      </c>
      <c r="G381" s="9"/>
      <c r="H381" s="10">
        <f t="shared" si="92"/>
        <v>0</v>
      </c>
      <c r="I381" s="8">
        <f>IFERROR(H381/H444, "NA")</f>
        <v>0</v>
      </c>
      <c r="J381" s="9"/>
      <c r="K381" s="7">
        <v>0</v>
      </c>
      <c r="L381" s="8">
        <f>IFERROR(K381/K444, "NA")</f>
        <v>0</v>
      </c>
      <c r="M381" s="9"/>
      <c r="N381" s="10">
        <f t="shared" si="93"/>
        <v>0</v>
      </c>
      <c r="O381" s="8">
        <f>IFERROR(N381/N444, "NA")</f>
        <v>0</v>
      </c>
      <c r="P381" s="9"/>
      <c r="Q381" s="7">
        <v>0</v>
      </c>
      <c r="R381" s="8">
        <f>IFERROR(Q381/Q444, "NA")</f>
        <v>0</v>
      </c>
      <c r="S381" s="9"/>
      <c r="T381" s="7">
        <v>0</v>
      </c>
      <c r="U381" s="8">
        <f>IFERROR(T381/T444, "NA")</f>
        <v>0</v>
      </c>
      <c r="V381" s="9"/>
      <c r="W381" s="10">
        <f t="shared" si="94"/>
        <v>0</v>
      </c>
      <c r="X381" s="8">
        <f>IFERROR(W381/W444, "NA")</f>
        <v>0</v>
      </c>
      <c r="Y381" s="9"/>
      <c r="Z381" s="7">
        <v>0</v>
      </c>
      <c r="AA381" s="8">
        <f>IFERROR(Z381/Z444, "NA")</f>
        <v>0</v>
      </c>
      <c r="AB381" s="9"/>
      <c r="AC381" s="10">
        <f t="shared" si="95"/>
        <v>0</v>
      </c>
      <c r="AD381" s="8">
        <f>IFERROR(AC381/AC444, "NA")</f>
        <v>0</v>
      </c>
    </row>
    <row r="382" spans="1:30" ht="16.5" hidden="1" customHeight="1" x14ac:dyDescent="0.45">
      <c r="A382" s="20" t="s">
        <v>350</v>
      </c>
      <c r="B382" s="7">
        <v>0</v>
      </c>
      <c r="C382" s="8">
        <f>IFERROR(B382/B444, "NA")</f>
        <v>0</v>
      </c>
      <c r="D382" s="9"/>
      <c r="E382" s="7">
        <v>0</v>
      </c>
      <c r="F382" s="8">
        <f>IFERROR(E382/E444, "NA")</f>
        <v>0</v>
      </c>
      <c r="G382" s="9"/>
      <c r="H382" s="10">
        <f t="shared" si="92"/>
        <v>0</v>
      </c>
      <c r="I382" s="8">
        <f>IFERROR(H382/H444, "NA")</f>
        <v>0</v>
      </c>
      <c r="J382" s="9"/>
      <c r="K382" s="7">
        <v>0</v>
      </c>
      <c r="L382" s="8">
        <f>IFERROR(K382/K444, "NA")</f>
        <v>0</v>
      </c>
      <c r="M382" s="9"/>
      <c r="N382" s="10">
        <f t="shared" si="93"/>
        <v>0</v>
      </c>
      <c r="O382" s="8">
        <f>IFERROR(N382/N444, "NA")</f>
        <v>0</v>
      </c>
      <c r="P382" s="9"/>
      <c r="Q382" s="7">
        <v>0</v>
      </c>
      <c r="R382" s="8">
        <f>IFERROR(Q382/Q444, "NA")</f>
        <v>0</v>
      </c>
      <c r="S382" s="9"/>
      <c r="T382" s="7">
        <v>0</v>
      </c>
      <c r="U382" s="8">
        <f>IFERROR(T382/T444, "NA")</f>
        <v>0</v>
      </c>
      <c r="V382" s="9"/>
      <c r="W382" s="10">
        <f t="shared" si="94"/>
        <v>0</v>
      </c>
      <c r="X382" s="8">
        <f>IFERROR(W382/W444, "NA")</f>
        <v>0</v>
      </c>
      <c r="Y382" s="9"/>
      <c r="Z382" s="7">
        <v>0</v>
      </c>
      <c r="AA382" s="8">
        <f>IFERROR(Z382/Z444, "NA")</f>
        <v>0</v>
      </c>
      <c r="AB382" s="9"/>
      <c r="AC382" s="10">
        <f t="shared" si="95"/>
        <v>0</v>
      </c>
      <c r="AD382" s="8">
        <f>IFERROR(AC382/AC444, "NA")</f>
        <v>0</v>
      </c>
    </row>
    <row r="383" spans="1:30" ht="16.5" hidden="1" customHeight="1" x14ac:dyDescent="0.45">
      <c r="A383" s="20" t="s">
        <v>351</v>
      </c>
      <c r="B383" s="7">
        <v>0</v>
      </c>
      <c r="C383" s="8">
        <f>IFERROR(B383/B444, "NA")</f>
        <v>0</v>
      </c>
      <c r="D383" s="9"/>
      <c r="E383" s="7">
        <v>0</v>
      </c>
      <c r="F383" s="8">
        <f>IFERROR(E383/E444, "NA")</f>
        <v>0</v>
      </c>
      <c r="G383" s="9"/>
      <c r="H383" s="10">
        <f t="shared" si="92"/>
        <v>0</v>
      </c>
      <c r="I383" s="8">
        <f>IFERROR(H383/H444, "NA")</f>
        <v>0</v>
      </c>
      <c r="J383" s="9"/>
      <c r="K383" s="7">
        <v>0</v>
      </c>
      <c r="L383" s="8">
        <f>IFERROR(K383/K444, "NA")</f>
        <v>0</v>
      </c>
      <c r="M383" s="9"/>
      <c r="N383" s="10">
        <f t="shared" si="93"/>
        <v>0</v>
      </c>
      <c r="O383" s="8">
        <f>IFERROR(N383/N444, "NA")</f>
        <v>0</v>
      </c>
      <c r="P383" s="9"/>
      <c r="Q383" s="7">
        <v>0</v>
      </c>
      <c r="R383" s="8">
        <f>IFERROR(Q383/Q444, "NA")</f>
        <v>0</v>
      </c>
      <c r="S383" s="9"/>
      <c r="T383" s="7">
        <v>0</v>
      </c>
      <c r="U383" s="8">
        <f>IFERROR(T383/T444, "NA")</f>
        <v>0</v>
      </c>
      <c r="V383" s="9"/>
      <c r="W383" s="10">
        <f t="shared" si="94"/>
        <v>0</v>
      </c>
      <c r="X383" s="8">
        <f>IFERROR(W383/W444, "NA")</f>
        <v>0</v>
      </c>
      <c r="Y383" s="9"/>
      <c r="Z383" s="7">
        <v>0</v>
      </c>
      <c r="AA383" s="8">
        <f>IFERROR(Z383/Z444, "NA")</f>
        <v>0</v>
      </c>
      <c r="AB383" s="9"/>
      <c r="AC383" s="10">
        <f t="shared" si="95"/>
        <v>0</v>
      </c>
      <c r="AD383" s="8">
        <f>IFERROR(AC383/AC444, "NA")</f>
        <v>0</v>
      </c>
    </row>
    <row r="384" spans="1:30" ht="16.5" customHeight="1" x14ac:dyDescent="0.45">
      <c r="A384" s="5" t="s">
        <v>352</v>
      </c>
      <c r="B384" s="2"/>
      <c r="C384" s="3"/>
      <c r="D384" s="4"/>
      <c r="E384" s="2"/>
      <c r="F384" s="3"/>
      <c r="G384" s="4"/>
      <c r="H384" s="2"/>
      <c r="I384" s="3"/>
      <c r="J384" s="4"/>
      <c r="K384" s="2"/>
      <c r="L384" s="3"/>
      <c r="M384" s="4"/>
      <c r="N384" s="2"/>
      <c r="O384" s="3"/>
      <c r="P384" s="4"/>
      <c r="Q384" s="2"/>
      <c r="R384" s="3"/>
      <c r="S384" s="4"/>
      <c r="T384" s="2"/>
      <c r="U384" s="3"/>
      <c r="V384" s="4"/>
      <c r="W384" s="2"/>
      <c r="X384" s="3"/>
      <c r="Y384" s="4"/>
      <c r="Z384" s="2"/>
      <c r="AA384" s="3"/>
      <c r="AB384" s="4"/>
      <c r="AC384" s="2"/>
      <c r="AD384" s="3"/>
    </row>
    <row r="385" spans="1:30" ht="16.5" hidden="1" customHeight="1" x14ac:dyDescent="0.45">
      <c r="A385" s="6" t="s">
        <v>352</v>
      </c>
      <c r="B385" s="7">
        <v>0</v>
      </c>
      <c r="C385" s="8">
        <f>IFERROR(B385/B444, "NA")</f>
        <v>0</v>
      </c>
      <c r="D385" s="9"/>
      <c r="E385" s="7">
        <v>0</v>
      </c>
      <c r="F385" s="8">
        <f>IFERROR(E385/E444, "NA")</f>
        <v>0</v>
      </c>
      <c r="G385" s="9"/>
      <c r="H385" s="10">
        <f>IFERROR(-(B385-E385), "NA")</f>
        <v>0</v>
      </c>
      <c r="I385" s="8">
        <f>IFERROR(H385/H444, "NA")</f>
        <v>0</v>
      </c>
      <c r="J385" s="9"/>
      <c r="K385" s="7">
        <v>0</v>
      </c>
      <c r="L385" s="8">
        <f>IFERROR(K385/K444, "NA")</f>
        <v>0</v>
      </c>
      <c r="M385" s="9"/>
      <c r="N385" s="10">
        <f>IFERROR(-(B385-K385), "NA")</f>
        <v>0</v>
      </c>
      <c r="O385" s="8">
        <f>IFERROR(N385/N444, "NA")</f>
        <v>0</v>
      </c>
      <c r="P385" s="9"/>
      <c r="Q385" s="7">
        <v>0</v>
      </c>
      <c r="R385" s="8">
        <f>IFERROR(Q385/Q444, "NA")</f>
        <v>0</v>
      </c>
      <c r="S385" s="9"/>
      <c r="T385" s="7">
        <v>0</v>
      </c>
      <c r="U385" s="8">
        <f>IFERROR(T385/T444, "NA")</f>
        <v>0</v>
      </c>
      <c r="V385" s="9"/>
      <c r="W385" s="10">
        <f>IFERROR(-(Q385-T385), "NA")</f>
        <v>0</v>
      </c>
      <c r="X385" s="8">
        <f>IFERROR(W385/W444, "NA")</f>
        <v>0</v>
      </c>
      <c r="Y385" s="9"/>
      <c r="Z385" s="7">
        <v>0</v>
      </c>
      <c r="AA385" s="8">
        <f>IFERROR(Z385/Z444, "NA")</f>
        <v>0</v>
      </c>
      <c r="AB385" s="9"/>
      <c r="AC385" s="10">
        <f>IFERROR(-(Q385-Z385), "NA")</f>
        <v>0</v>
      </c>
      <c r="AD385" s="8">
        <f>IFERROR(AC385/AC444, "NA")</f>
        <v>0</v>
      </c>
    </row>
    <row r="386" spans="1:30" ht="16.5" hidden="1" customHeight="1" x14ac:dyDescent="0.45">
      <c r="A386" s="6" t="s">
        <v>353</v>
      </c>
      <c r="B386" s="7">
        <v>0</v>
      </c>
      <c r="C386" s="8">
        <f>IFERROR(B386/B444, "NA")</f>
        <v>0</v>
      </c>
      <c r="D386" s="9"/>
      <c r="E386" s="7">
        <v>0</v>
      </c>
      <c r="F386" s="8">
        <f>IFERROR(E386/E444, "NA")</f>
        <v>0</v>
      </c>
      <c r="G386" s="9"/>
      <c r="H386" s="10">
        <f>IFERROR(-(B386-E386), "NA")</f>
        <v>0</v>
      </c>
      <c r="I386" s="8">
        <f>IFERROR(H386/H444, "NA")</f>
        <v>0</v>
      </c>
      <c r="J386" s="9"/>
      <c r="K386" s="7">
        <v>0</v>
      </c>
      <c r="L386" s="8">
        <f>IFERROR(K386/K444, "NA")</f>
        <v>0</v>
      </c>
      <c r="M386" s="9"/>
      <c r="N386" s="10">
        <f>IFERROR(-(B386-K386), "NA")</f>
        <v>0</v>
      </c>
      <c r="O386" s="8">
        <f>IFERROR(N386/N444, "NA")</f>
        <v>0</v>
      </c>
      <c r="P386" s="9"/>
      <c r="Q386" s="7">
        <v>0</v>
      </c>
      <c r="R386" s="8">
        <f>IFERROR(Q386/Q444, "NA")</f>
        <v>0</v>
      </c>
      <c r="S386" s="9"/>
      <c r="T386" s="7">
        <v>0</v>
      </c>
      <c r="U386" s="8">
        <f>IFERROR(T386/T444, "NA")</f>
        <v>0</v>
      </c>
      <c r="V386" s="9"/>
      <c r="W386" s="10">
        <f>IFERROR(-(Q386-T386), "NA")</f>
        <v>0</v>
      </c>
      <c r="X386" s="8">
        <f>IFERROR(W386/W444, "NA")</f>
        <v>0</v>
      </c>
      <c r="Y386" s="9"/>
      <c r="Z386" s="7">
        <v>0</v>
      </c>
      <c r="AA386" s="8">
        <f>IFERROR(Z386/Z444, "NA")</f>
        <v>0</v>
      </c>
      <c r="AB386" s="9"/>
      <c r="AC386" s="10">
        <f>IFERROR(-(Q386-Z386), "NA")</f>
        <v>0</v>
      </c>
      <c r="AD386" s="8">
        <f>IFERROR(AC386/AC444, "NA")</f>
        <v>0</v>
      </c>
    </row>
    <row r="387" spans="1:30" ht="16.5" customHeight="1" x14ac:dyDescent="0.45">
      <c r="A387" s="11" t="s">
        <v>354</v>
      </c>
      <c r="B387" s="2"/>
      <c r="C387" s="3"/>
      <c r="D387" s="4"/>
      <c r="E387" s="2"/>
      <c r="F387" s="3"/>
      <c r="G387" s="4"/>
      <c r="H387" s="2"/>
      <c r="I387" s="3"/>
      <c r="J387" s="4"/>
      <c r="K387" s="2"/>
      <c r="L387" s="3"/>
      <c r="M387" s="4"/>
      <c r="N387" s="2"/>
      <c r="O387" s="3"/>
      <c r="P387" s="4"/>
      <c r="Q387" s="2"/>
      <c r="R387" s="3"/>
      <c r="S387" s="4"/>
      <c r="T387" s="2"/>
      <c r="U387" s="3"/>
      <c r="V387" s="4"/>
      <c r="W387" s="2"/>
      <c r="X387" s="3"/>
      <c r="Y387" s="4"/>
      <c r="Z387" s="2"/>
      <c r="AA387" s="3"/>
      <c r="AB387" s="4"/>
      <c r="AC387" s="2"/>
      <c r="AD387" s="3"/>
    </row>
    <row r="388" spans="1:30" ht="16.5" hidden="1" customHeight="1" x14ac:dyDescent="0.45">
      <c r="A388" s="12" t="s">
        <v>354</v>
      </c>
      <c r="B388" s="7">
        <v>0</v>
      </c>
      <c r="C388" s="8">
        <f>IFERROR(B388/B444, "NA")</f>
        <v>0</v>
      </c>
      <c r="D388" s="9"/>
      <c r="E388" s="7">
        <v>0</v>
      </c>
      <c r="F388" s="8">
        <f>IFERROR(E388/E444, "NA")</f>
        <v>0</v>
      </c>
      <c r="G388" s="9"/>
      <c r="H388" s="10">
        <f t="shared" ref="H388:H403" si="96">IFERROR(-(B388-E388), "NA")</f>
        <v>0</v>
      </c>
      <c r="I388" s="8">
        <f>IFERROR(H388/H444, "NA")</f>
        <v>0</v>
      </c>
      <c r="J388" s="9"/>
      <c r="K388" s="7">
        <v>0</v>
      </c>
      <c r="L388" s="8">
        <f>IFERROR(K388/K444, "NA")</f>
        <v>0</v>
      </c>
      <c r="M388" s="9"/>
      <c r="N388" s="10">
        <f t="shared" ref="N388:N403" si="97">IFERROR(-(B388-K388), "NA")</f>
        <v>0</v>
      </c>
      <c r="O388" s="8">
        <f>IFERROR(N388/N444, "NA")</f>
        <v>0</v>
      </c>
      <c r="P388" s="9"/>
      <c r="Q388" s="7">
        <v>0</v>
      </c>
      <c r="R388" s="8">
        <f>IFERROR(Q388/Q444, "NA")</f>
        <v>0</v>
      </c>
      <c r="S388" s="9"/>
      <c r="T388" s="7">
        <v>0</v>
      </c>
      <c r="U388" s="8">
        <f>IFERROR(T388/T444, "NA")</f>
        <v>0</v>
      </c>
      <c r="V388" s="9"/>
      <c r="W388" s="10">
        <f t="shared" ref="W388:W403" si="98">IFERROR(-(Q388-T388), "NA")</f>
        <v>0</v>
      </c>
      <c r="X388" s="8">
        <f>IFERROR(W388/W444, "NA")</f>
        <v>0</v>
      </c>
      <c r="Y388" s="9"/>
      <c r="Z388" s="7">
        <v>0</v>
      </c>
      <c r="AA388" s="8">
        <f>IFERROR(Z388/Z444, "NA")</f>
        <v>0</v>
      </c>
      <c r="AB388" s="9"/>
      <c r="AC388" s="10">
        <f t="shared" ref="AC388:AC403" si="99">IFERROR(-(Q388-Z388), "NA")</f>
        <v>0</v>
      </c>
      <c r="AD388" s="8">
        <f>IFERROR(AC388/AC444, "NA")</f>
        <v>0</v>
      </c>
    </row>
    <row r="389" spans="1:30" ht="16.5" hidden="1" customHeight="1" x14ac:dyDescent="0.45">
      <c r="A389" s="12" t="s">
        <v>355</v>
      </c>
      <c r="B389" s="7">
        <v>0</v>
      </c>
      <c r="C389" s="8">
        <f>IFERROR(B389/B444, "NA")</f>
        <v>0</v>
      </c>
      <c r="D389" s="9"/>
      <c r="E389" s="7">
        <v>0</v>
      </c>
      <c r="F389" s="8">
        <f>IFERROR(E389/E444, "NA")</f>
        <v>0</v>
      </c>
      <c r="G389" s="9"/>
      <c r="H389" s="10">
        <f t="shared" si="96"/>
        <v>0</v>
      </c>
      <c r="I389" s="8">
        <f>IFERROR(H389/H444, "NA")</f>
        <v>0</v>
      </c>
      <c r="J389" s="9"/>
      <c r="K389" s="7">
        <v>0</v>
      </c>
      <c r="L389" s="8">
        <f>IFERROR(K389/K444, "NA")</f>
        <v>0</v>
      </c>
      <c r="M389" s="9"/>
      <c r="N389" s="10">
        <f t="shared" si="97"/>
        <v>0</v>
      </c>
      <c r="O389" s="8">
        <f>IFERROR(N389/N444, "NA")</f>
        <v>0</v>
      </c>
      <c r="P389" s="9"/>
      <c r="Q389" s="7">
        <v>0</v>
      </c>
      <c r="R389" s="8">
        <f>IFERROR(Q389/Q444, "NA")</f>
        <v>0</v>
      </c>
      <c r="S389" s="9"/>
      <c r="T389" s="7">
        <v>0</v>
      </c>
      <c r="U389" s="8">
        <f>IFERROR(T389/T444, "NA")</f>
        <v>0</v>
      </c>
      <c r="V389" s="9"/>
      <c r="W389" s="10">
        <f t="shared" si="98"/>
        <v>0</v>
      </c>
      <c r="X389" s="8">
        <f>IFERROR(W389/W444, "NA")</f>
        <v>0</v>
      </c>
      <c r="Y389" s="9"/>
      <c r="Z389" s="7">
        <v>0</v>
      </c>
      <c r="AA389" s="8">
        <f>IFERROR(Z389/Z444, "NA")</f>
        <v>0</v>
      </c>
      <c r="AB389" s="9"/>
      <c r="AC389" s="10">
        <f t="shared" si="99"/>
        <v>0</v>
      </c>
      <c r="AD389" s="8">
        <f>IFERROR(AC389/AC444, "NA")</f>
        <v>0</v>
      </c>
    </row>
    <row r="390" spans="1:30" ht="16.5" hidden="1" customHeight="1" x14ac:dyDescent="0.45">
      <c r="A390" s="12" t="s">
        <v>356</v>
      </c>
      <c r="B390" s="7">
        <v>0</v>
      </c>
      <c r="C390" s="8">
        <f>IFERROR(B390/B444, "NA")</f>
        <v>0</v>
      </c>
      <c r="D390" s="9"/>
      <c r="E390" s="7">
        <v>0</v>
      </c>
      <c r="F390" s="8">
        <f>IFERROR(E390/E444, "NA")</f>
        <v>0</v>
      </c>
      <c r="G390" s="9"/>
      <c r="H390" s="10">
        <f t="shared" si="96"/>
        <v>0</v>
      </c>
      <c r="I390" s="8">
        <f>IFERROR(H390/H444, "NA")</f>
        <v>0</v>
      </c>
      <c r="J390" s="9"/>
      <c r="K390" s="7">
        <v>0</v>
      </c>
      <c r="L390" s="8">
        <f>IFERROR(K390/K444, "NA")</f>
        <v>0</v>
      </c>
      <c r="M390" s="9"/>
      <c r="N390" s="10">
        <f t="shared" si="97"/>
        <v>0</v>
      </c>
      <c r="O390" s="8">
        <f>IFERROR(N390/N444, "NA")</f>
        <v>0</v>
      </c>
      <c r="P390" s="9"/>
      <c r="Q390" s="7">
        <v>0</v>
      </c>
      <c r="R390" s="8">
        <f>IFERROR(Q390/Q444, "NA")</f>
        <v>0</v>
      </c>
      <c r="S390" s="9"/>
      <c r="T390" s="7">
        <v>0</v>
      </c>
      <c r="U390" s="8">
        <f>IFERROR(T390/T444, "NA")</f>
        <v>0</v>
      </c>
      <c r="V390" s="9"/>
      <c r="W390" s="10">
        <f t="shared" si="98"/>
        <v>0</v>
      </c>
      <c r="X390" s="8">
        <f>IFERROR(W390/W444, "NA")</f>
        <v>0</v>
      </c>
      <c r="Y390" s="9"/>
      <c r="Z390" s="7">
        <v>0</v>
      </c>
      <c r="AA390" s="8">
        <f>IFERROR(Z390/Z444, "NA")</f>
        <v>0</v>
      </c>
      <c r="AB390" s="9"/>
      <c r="AC390" s="10">
        <f t="shared" si="99"/>
        <v>0</v>
      </c>
      <c r="AD390" s="8">
        <f>IFERROR(AC390/AC444, "NA")</f>
        <v>0</v>
      </c>
    </row>
    <row r="391" spans="1:30" ht="16.5" hidden="1" customHeight="1" x14ac:dyDescent="0.45">
      <c r="A391" s="12" t="s">
        <v>357</v>
      </c>
      <c r="B391" s="7">
        <v>0</v>
      </c>
      <c r="C391" s="8">
        <f>IFERROR(B391/B444, "NA")</f>
        <v>0</v>
      </c>
      <c r="D391" s="9"/>
      <c r="E391" s="7">
        <v>0</v>
      </c>
      <c r="F391" s="8">
        <f>IFERROR(E391/E444, "NA")</f>
        <v>0</v>
      </c>
      <c r="G391" s="9"/>
      <c r="H391" s="10">
        <f t="shared" si="96"/>
        <v>0</v>
      </c>
      <c r="I391" s="8">
        <f>IFERROR(H391/H444, "NA")</f>
        <v>0</v>
      </c>
      <c r="J391" s="9"/>
      <c r="K391" s="7">
        <v>0</v>
      </c>
      <c r="L391" s="8">
        <f>IFERROR(K391/K444, "NA")</f>
        <v>0</v>
      </c>
      <c r="M391" s="9"/>
      <c r="N391" s="10">
        <f t="shared" si="97"/>
        <v>0</v>
      </c>
      <c r="O391" s="8">
        <f>IFERROR(N391/N444, "NA")</f>
        <v>0</v>
      </c>
      <c r="P391" s="9"/>
      <c r="Q391" s="7">
        <v>0</v>
      </c>
      <c r="R391" s="8">
        <f>IFERROR(Q391/Q444, "NA")</f>
        <v>0</v>
      </c>
      <c r="S391" s="9"/>
      <c r="T391" s="7">
        <v>0</v>
      </c>
      <c r="U391" s="8">
        <f>IFERROR(T391/T444, "NA")</f>
        <v>0</v>
      </c>
      <c r="V391" s="9"/>
      <c r="W391" s="10">
        <f t="shared" si="98"/>
        <v>0</v>
      </c>
      <c r="X391" s="8">
        <f>IFERROR(W391/W444, "NA")</f>
        <v>0</v>
      </c>
      <c r="Y391" s="9"/>
      <c r="Z391" s="7">
        <v>0</v>
      </c>
      <c r="AA391" s="8">
        <f>IFERROR(Z391/Z444, "NA")</f>
        <v>0</v>
      </c>
      <c r="AB391" s="9"/>
      <c r="AC391" s="10">
        <f t="shared" si="99"/>
        <v>0</v>
      </c>
      <c r="AD391" s="8">
        <f>IFERROR(AC391/AC444, "NA")</f>
        <v>0</v>
      </c>
    </row>
    <row r="392" spans="1:30" ht="16.5" hidden="1" customHeight="1" x14ac:dyDescent="0.45">
      <c r="A392" s="12" t="s">
        <v>358</v>
      </c>
      <c r="B392" s="7">
        <v>0</v>
      </c>
      <c r="C392" s="8">
        <f>IFERROR(B392/B444, "NA")</f>
        <v>0</v>
      </c>
      <c r="D392" s="9"/>
      <c r="E392" s="7">
        <v>0</v>
      </c>
      <c r="F392" s="8">
        <f>IFERROR(E392/E444, "NA")</f>
        <v>0</v>
      </c>
      <c r="G392" s="9"/>
      <c r="H392" s="10">
        <f t="shared" si="96"/>
        <v>0</v>
      </c>
      <c r="I392" s="8">
        <f>IFERROR(H392/H444, "NA")</f>
        <v>0</v>
      </c>
      <c r="J392" s="9"/>
      <c r="K392" s="7">
        <v>0</v>
      </c>
      <c r="L392" s="8">
        <f>IFERROR(K392/K444, "NA")</f>
        <v>0</v>
      </c>
      <c r="M392" s="9"/>
      <c r="N392" s="10">
        <f t="shared" si="97"/>
        <v>0</v>
      </c>
      <c r="O392" s="8">
        <f>IFERROR(N392/N444, "NA")</f>
        <v>0</v>
      </c>
      <c r="P392" s="9"/>
      <c r="Q392" s="7">
        <v>0</v>
      </c>
      <c r="R392" s="8">
        <f>IFERROR(Q392/Q444, "NA")</f>
        <v>0</v>
      </c>
      <c r="S392" s="9"/>
      <c r="T392" s="7">
        <v>0</v>
      </c>
      <c r="U392" s="8">
        <f>IFERROR(T392/T444, "NA")</f>
        <v>0</v>
      </c>
      <c r="V392" s="9"/>
      <c r="W392" s="10">
        <f t="shared" si="98"/>
        <v>0</v>
      </c>
      <c r="X392" s="8">
        <f>IFERROR(W392/W444, "NA")</f>
        <v>0</v>
      </c>
      <c r="Y392" s="9"/>
      <c r="Z392" s="7">
        <v>0</v>
      </c>
      <c r="AA392" s="8">
        <f>IFERROR(Z392/Z444, "NA")</f>
        <v>0</v>
      </c>
      <c r="AB392" s="9"/>
      <c r="AC392" s="10">
        <f t="shared" si="99"/>
        <v>0</v>
      </c>
      <c r="AD392" s="8">
        <f>IFERROR(AC392/AC444, "NA")</f>
        <v>0</v>
      </c>
    </row>
    <row r="393" spans="1:30" ht="16.5" customHeight="1" x14ac:dyDescent="0.45">
      <c r="A393" s="13" t="s">
        <v>359</v>
      </c>
      <c r="B393" s="14">
        <f>IFERROR(B388+B389+B390+B391+B392, "NA")</f>
        <v>0</v>
      </c>
      <c r="C393" s="15">
        <f>IFERROR(B393/B444, "NA")</f>
        <v>0</v>
      </c>
      <c r="D393" s="2"/>
      <c r="E393" s="14">
        <f>IFERROR(E388+E389+E390+E391+E392, "NA")</f>
        <v>0</v>
      </c>
      <c r="F393" s="15">
        <f>IFERROR(E393/E444, "NA")</f>
        <v>0</v>
      </c>
      <c r="G393" s="2"/>
      <c r="H393" s="14">
        <f t="shared" si="96"/>
        <v>0</v>
      </c>
      <c r="I393" s="15">
        <f>IFERROR(H393/H444, "NA")</f>
        <v>0</v>
      </c>
      <c r="J393" s="2"/>
      <c r="K393" s="14">
        <f>IFERROR(K388+K389+K390+K391+K392, "NA")</f>
        <v>0</v>
      </c>
      <c r="L393" s="15">
        <f>IFERROR(K393/K444, "NA")</f>
        <v>0</v>
      </c>
      <c r="M393" s="2"/>
      <c r="N393" s="14">
        <f t="shared" si="97"/>
        <v>0</v>
      </c>
      <c r="O393" s="15">
        <f>IFERROR(N393/N444, "NA")</f>
        <v>0</v>
      </c>
      <c r="P393" s="2"/>
      <c r="Q393" s="14">
        <f>IFERROR(Q388+Q389+Q390+Q391+Q392, "NA")</f>
        <v>0</v>
      </c>
      <c r="R393" s="15">
        <f>IFERROR(Q393/Q444, "NA")</f>
        <v>0</v>
      </c>
      <c r="S393" s="2"/>
      <c r="T393" s="14">
        <f>IFERROR(T388+T389+T390+T391+T392, "NA")</f>
        <v>0</v>
      </c>
      <c r="U393" s="15">
        <f>IFERROR(T393/T444, "NA")</f>
        <v>0</v>
      </c>
      <c r="V393" s="2"/>
      <c r="W393" s="14">
        <f t="shared" si="98"/>
        <v>0</v>
      </c>
      <c r="X393" s="15">
        <f>IFERROR(W393/W444, "NA")</f>
        <v>0</v>
      </c>
      <c r="Y393" s="2"/>
      <c r="Z393" s="14">
        <f>IFERROR(Z388+Z389+Z390+Z391+Z392, "NA")</f>
        <v>0</v>
      </c>
      <c r="AA393" s="15">
        <f>IFERROR(Z393/Z444, "NA")</f>
        <v>0</v>
      </c>
      <c r="AB393" s="2"/>
      <c r="AC393" s="14">
        <f t="shared" si="99"/>
        <v>0</v>
      </c>
      <c r="AD393" s="15">
        <f>IFERROR(AC393/AC444, "NA")</f>
        <v>0</v>
      </c>
    </row>
    <row r="394" spans="1:30" ht="16.5" hidden="1" customHeight="1" x14ac:dyDescent="0.45">
      <c r="A394" s="6" t="s">
        <v>360</v>
      </c>
      <c r="B394" s="7">
        <v>0</v>
      </c>
      <c r="C394" s="8">
        <f>IFERROR(B394/B444, "NA")</f>
        <v>0</v>
      </c>
      <c r="D394" s="9"/>
      <c r="E394" s="7">
        <v>0</v>
      </c>
      <c r="F394" s="8">
        <f>IFERROR(E394/E444, "NA")</f>
        <v>0</v>
      </c>
      <c r="G394" s="9"/>
      <c r="H394" s="10">
        <f t="shared" si="96"/>
        <v>0</v>
      </c>
      <c r="I394" s="8">
        <f>IFERROR(H394/H444, "NA")</f>
        <v>0</v>
      </c>
      <c r="J394" s="9"/>
      <c r="K394" s="7">
        <v>0</v>
      </c>
      <c r="L394" s="8">
        <f>IFERROR(K394/K444, "NA")</f>
        <v>0</v>
      </c>
      <c r="M394" s="9"/>
      <c r="N394" s="10">
        <f t="shared" si="97"/>
        <v>0</v>
      </c>
      <c r="O394" s="8">
        <f>IFERROR(N394/N444, "NA")</f>
        <v>0</v>
      </c>
      <c r="P394" s="9"/>
      <c r="Q394" s="7">
        <v>0</v>
      </c>
      <c r="R394" s="8">
        <f>IFERROR(Q394/Q444, "NA")</f>
        <v>0</v>
      </c>
      <c r="S394" s="9"/>
      <c r="T394" s="7">
        <v>0</v>
      </c>
      <c r="U394" s="8">
        <f>IFERROR(T394/T444, "NA")</f>
        <v>0</v>
      </c>
      <c r="V394" s="9"/>
      <c r="W394" s="10">
        <f t="shared" si="98"/>
        <v>0</v>
      </c>
      <c r="X394" s="8">
        <f>IFERROR(W394/W444, "NA")</f>
        <v>0</v>
      </c>
      <c r="Y394" s="9"/>
      <c r="Z394" s="7">
        <v>0</v>
      </c>
      <c r="AA394" s="8">
        <f>IFERROR(Z394/Z444, "NA")</f>
        <v>0</v>
      </c>
      <c r="AB394" s="9"/>
      <c r="AC394" s="10">
        <f t="shared" si="99"/>
        <v>0</v>
      </c>
      <c r="AD394" s="8">
        <f>IFERROR(AC394/AC444, "NA")</f>
        <v>0</v>
      </c>
    </row>
    <row r="395" spans="1:30" ht="16.5" hidden="1" customHeight="1" x14ac:dyDescent="0.45">
      <c r="A395" s="6" t="s">
        <v>361</v>
      </c>
      <c r="B395" s="7">
        <v>0</v>
      </c>
      <c r="C395" s="8">
        <f>IFERROR(B395/B444, "NA")</f>
        <v>0</v>
      </c>
      <c r="D395" s="9"/>
      <c r="E395" s="7">
        <v>0</v>
      </c>
      <c r="F395" s="8">
        <f>IFERROR(E395/E444, "NA")</f>
        <v>0</v>
      </c>
      <c r="G395" s="9"/>
      <c r="H395" s="10">
        <f t="shared" si="96"/>
        <v>0</v>
      </c>
      <c r="I395" s="8">
        <f>IFERROR(H395/H444, "NA")</f>
        <v>0</v>
      </c>
      <c r="J395" s="9"/>
      <c r="K395" s="7">
        <v>0</v>
      </c>
      <c r="L395" s="8">
        <f>IFERROR(K395/K444, "NA")</f>
        <v>0</v>
      </c>
      <c r="M395" s="9"/>
      <c r="N395" s="10">
        <f t="shared" si="97"/>
        <v>0</v>
      </c>
      <c r="O395" s="8">
        <f>IFERROR(N395/N444, "NA")</f>
        <v>0</v>
      </c>
      <c r="P395" s="9"/>
      <c r="Q395" s="7">
        <v>0</v>
      </c>
      <c r="R395" s="8">
        <f>IFERROR(Q395/Q444, "NA")</f>
        <v>0</v>
      </c>
      <c r="S395" s="9"/>
      <c r="T395" s="7">
        <v>0</v>
      </c>
      <c r="U395" s="8">
        <f>IFERROR(T395/T444, "NA")</f>
        <v>0</v>
      </c>
      <c r="V395" s="9"/>
      <c r="W395" s="10">
        <f t="shared" si="98"/>
        <v>0</v>
      </c>
      <c r="X395" s="8">
        <f>IFERROR(W395/W444, "NA")</f>
        <v>0</v>
      </c>
      <c r="Y395" s="9"/>
      <c r="Z395" s="7">
        <v>0</v>
      </c>
      <c r="AA395" s="8">
        <f>IFERROR(Z395/Z444, "NA")</f>
        <v>0</v>
      </c>
      <c r="AB395" s="9"/>
      <c r="AC395" s="10">
        <f t="shared" si="99"/>
        <v>0</v>
      </c>
      <c r="AD395" s="8">
        <f>IFERROR(AC395/AC444, "NA")</f>
        <v>0</v>
      </c>
    </row>
    <row r="396" spans="1:30" ht="16.5" customHeight="1" x14ac:dyDescent="0.45">
      <c r="A396" s="19" t="s">
        <v>362</v>
      </c>
      <c r="B396" s="14">
        <f>IFERROR(B385+B386+B388+B389+B390+B391+B392+B394+B395, "NA")</f>
        <v>0</v>
      </c>
      <c r="C396" s="15">
        <f>IFERROR(B396/B444, "NA")</f>
        <v>0</v>
      </c>
      <c r="D396" s="2"/>
      <c r="E396" s="14">
        <f>IFERROR(E385+E386+E388+E389+E390+E391+E392+E394+E395, "NA")</f>
        <v>0</v>
      </c>
      <c r="F396" s="15">
        <f>IFERROR(E396/E444, "NA")</f>
        <v>0</v>
      </c>
      <c r="G396" s="2"/>
      <c r="H396" s="14">
        <f t="shared" si="96"/>
        <v>0</v>
      </c>
      <c r="I396" s="15">
        <f>IFERROR(H396/H444, "NA")</f>
        <v>0</v>
      </c>
      <c r="J396" s="2"/>
      <c r="K396" s="14">
        <f>IFERROR(K385+K386+K388+K389+K390+K391+K392+K394+K395, "NA")</f>
        <v>0</v>
      </c>
      <c r="L396" s="15">
        <f>IFERROR(K396/K444, "NA")</f>
        <v>0</v>
      </c>
      <c r="M396" s="2"/>
      <c r="N396" s="14">
        <f t="shared" si="97"/>
        <v>0</v>
      </c>
      <c r="O396" s="15">
        <f>IFERROR(N396/N444, "NA")</f>
        <v>0</v>
      </c>
      <c r="P396" s="2"/>
      <c r="Q396" s="14">
        <f>IFERROR(Q385+Q386+Q388+Q389+Q390+Q391+Q392+Q394+Q395, "NA")</f>
        <v>0</v>
      </c>
      <c r="R396" s="15">
        <f>IFERROR(Q396/Q444, "NA")</f>
        <v>0</v>
      </c>
      <c r="S396" s="2"/>
      <c r="T396" s="14">
        <f>IFERROR(T385+T386+T388+T389+T390+T391+T392+T394+T395, "NA")</f>
        <v>0</v>
      </c>
      <c r="U396" s="15">
        <f>IFERROR(T396/T444, "NA")</f>
        <v>0</v>
      </c>
      <c r="V396" s="2"/>
      <c r="W396" s="14">
        <f t="shared" si="98"/>
        <v>0</v>
      </c>
      <c r="X396" s="15">
        <f>IFERROR(W396/W444, "NA")</f>
        <v>0</v>
      </c>
      <c r="Y396" s="2"/>
      <c r="Z396" s="14">
        <f>IFERROR(Z385+Z386+Z388+Z389+Z390+Z391+Z392+Z394+Z395, "NA")</f>
        <v>0</v>
      </c>
      <c r="AA396" s="15">
        <f>IFERROR(Z396/Z444, "NA")</f>
        <v>0</v>
      </c>
      <c r="AB396" s="2"/>
      <c r="AC396" s="14">
        <f t="shared" si="99"/>
        <v>0</v>
      </c>
      <c r="AD396" s="15">
        <f>IFERROR(AC396/AC444, "NA")</f>
        <v>0</v>
      </c>
    </row>
    <row r="397" spans="1:30" ht="16.5" hidden="1" customHeight="1" x14ac:dyDescent="0.45">
      <c r="A397" s="20" t="s">
        <v>363</v>
      </c>
      <c r="B397" s="7">
        <v>0</v>
      </c>
      <c r="C397" s="8">
        <f>IFERROR(B397/B444, "NA")</f>
        <v>0</v>
      </c>
      <c r="D397" s="9"/>
      <c r="E397" s="7">
        <v>0</v>
      </c>
      <c r="F397" s="8">
        <f>IFERROR(E397/E444, "NA")</f>
        <v>0</v>
      </c>
      <c r="G397" s="9"/>
      <c r="H397" s="10">
        <f t="shared" si="96"/>
        <v>0</v>
      </c>
      <c r="I397" s="8">
        <f>IFERROR(H397/H444, "NA")</f>
        <v>0</v>
      </c>
      <c r="J397" s="9"/>
      <c r="K397" s="7">
        <v>0</v>
      </c>
      <c r="L397" s="8">
        <f>IFERROR(K397/K444, "NA")</f>
        <v>0</v>
      </c>
      <c r="M397" s="9"/>
      <c r="N397" s="10">
        <f t="shared" si="97"/>
        <v>0</v>
      </c>
      <c r="O397" s="8">
        <f>IFERROR(N397/N444, "NA")</f>
        <v>0</v>
      </c>
      <c r="P397" s="9"/>
      <c r="Q397" s="7">
        <v>0</v>
      </c>
      <c r="R397" s="8">
        <f>IFERROR(Q397/Q444, "NA")</f>
        <v>0</v>
      </c>
      <c r="S397" s="9"/>
      <c r="T397" s="7">
        <v>0</v>
      </c>
      <c r="U397" s="8">
        <f>IFERROR(T397/T444, "NA")</f>
        <v>0</v>
      </c>
      <c r="V397" s="9"/>
      <c r="W397" s="10">
        <f t="shared" si="98"/>
        <v>0</v>
      </c>
      <c r="X397" s="8">
        <f>IFERROR(W397/W444, "NA")</f>
        <v>0</v>
      </c>
      <c r="Y397" s="9"/>
      <c r="Z397" s="7">
        <v>0</v>
      </c>
      <c r="AA397" s="8">
        <f>IFERROR(Z397/Z444, "NA")</f>
        <v>0</v>
      </c>
      <c r="AB397" s="9"/>
      <c r="AC397" s="10">
        <f t="shared" si="99"/>
        <v>0</v>
      </c>
      <c r="AD397" s="8">
        <f>IFERROR(AC397/AC444, "NA")</f>
        <v>0</v>
      </c>
    </row>
    <row r="398" spans="1:30" ht="16.5" hidden="1" customHeight="1" x14ac:dyDescent="0.45">
      <c r="A398" s="20" t="s">
        <v>364</v>
      </c>
      <c r="B398" s="7">
        <v>0</v>
      </c>
      <c r="C398" s="8">
        <f>IFERROR(B398/B444, "NA")</f>
        <v>0</v>
      </c>
      <c r="D398" s="9"/>
      <c r="E398" s="7">
        <v>0</v>
      </c>
      <c r="F398" s="8">
        <f>IFERROR(E398/E444, "NA")</f>
        <v>0</v>
      </c>
      <c r="G398" s="9"/>
      <c r="H398" s="10">
        <f t="shared" si="96"/>
        <v>0</v>
      </c>
      <c r="I398" s="8">
        <f>IFERROR(H398/H444, "NA")</f>
        <v>0</v>
      </c>
      <c r="J398" s="9"/>
      <c r="K398" s="7">
        <v>0</v>
      </c>
      <c r="L398" s="8">
        <f>IFERROR(K398/K444, "NA")</f>
        <v>0</v>
      </c>
      <c r="M398" s="9"/>
      <c r="N398" s="10">
        <f t="shared" si="97"/>
        <v>0</v>
      </c>
      <c r="O398" s="8">
        <f>IFERROR(N398/N444, "NA")</f>
        <v>0</v>
      </c>
      <c r="P398" s="9"/>
      <c r="Q398" s="7">
        <v>0</v>
      </c>
      <c r="R398" s="8">
        <f>IFERROR(Q398/Q444, "NA")</f>
        <v>0</v>
      </c>
      <c r="S398" s="9"/>
      <c r="T398" s="7">
        <v>0</v>
      </c>
      <c r="U398" s="8">
        <f>IFERROR(T398/T444, "NA")</f>
        <v>0</v>
      </c>
      <c r="V398" s="9"/>
      <c r="W398" s="10">
        <f t="shared" si="98"/>
        <v>0</v>
      </c>
      <c r="X398" s="8">
        <f>IFERROR(W398/W444, "NA")</f>
        <v>0</v>
      </c>
      <c r="Y398" s="9"/>
      <c r="Z398" s="7">
        <v>0</v>
      </c>
      <c r="AA398" s="8">
        <f>IFERROR(Z398/Z444, "NA")</f>
        <v>0</v>
      </c>
      <c r="AB398" s="9"/>
      <c r="AC398" s="10">
        <f t="shared" si="99"/>
        <v>0</v>
      </c>
      <c r="AD398" s="8">
        <f>IFERROR(AC398/AC444, "NA")</f>
        <v>0</v>
      </c>
    </row>
    <row r="399" spans="1:30" ht="16.5" hidden="1" customHeight="1" x14ac:dyDescent="0.45">
      <c r="A399" s="20" t="s">
        <v>365</v>
      </c>
      <c r="B399" s="7">
        <v>0</v>
      </c>
      <c r="C399" s="8">
        <f>IFERROR(B399/B444, "NA")</f>
        <v>0</v>
      </c>
      <c r="D399" s="9"/>
      <c r="E399" s="7">
        <v>0</v>
      </c>
      <c r="F399" s="8">
        <f>IFERROR(E399/E444, "NA")</f>
        <v>0</v>
      </c>
      <c r="G399" s="9"/>
      <c r="H399" s="10">
        <f t="shared" si="96"/>
        <v>0</v>
      </c>
      <c r="I399" s="8">
        <f>IFERROR(H399/H444, "NA")</f>
        <v>0</v>
      </c>
      <c r="J399" s="9"/>
      <c r="K399" s="7">
        <v>0</v>
      </c>
      <c r="L399" s="8">
        <f>IFERROR(K399/K444, "NA")</f>
        <v>0</v>
      </c>
      <c r="M399" s="9"/>
      <c r="N399" s="10">
        <f t="shared" si="97"/>
        <v>0</v>
      </c>
      <c r="O399" s="8">
        <f>IFERROR(N399/N444, "NA")</f>
        <v>0</v>
      </c>
      <c r="P399" s="9"/>
      <c r="Q399" s="7">
        <v>0</v>
      </c>
      <c r="R399" s="8">
        <f>IFERROR(Q399/Q444, "NA")</f>
        <v>0</v>
      </c>
      <c r="S399" s="9"/>
      <c r="T399" s="7">
        <v>0</v>
      </c>
      <c r="U399" s="8">
        <f>IFERROR(T399/T444, "NA")</f>
        <v>0</v>
      </c>
      <c r="V399" s="9"/>
      <c r="W399" s="10">
        <f t="shared" si="98"/>
        <v>0</v>
      </c>
      <c r="X399" s="8">
        <f>IFERROR(W399/W444, "NA")</f>
        <v>0</v>
      </c>
      <c r="Y399" s="9"/>
      <c r="Z399" s="7">
        <v>0</v>
      </c>
      <c r="AA399" s="8">
        <f>IFERROR(Z399/Z444, "NA")</f>
        <v>0</v>
      </c>
      <c r="AB399" s="9"/>
      <c r="AC399" s="10">
        <f t="shared" si="99"/>
        <v>0</v>
      </c>
      <c r="AD399" s="8">
        <f>IFERROR(AC399/AC444, "NA")</f>
        <v>0</v>
      </c>
    </row>
    <row r="400" spans="1:30" ht="16.5" hidden="1" customHeight="1" x14ac:dyDescent="0.45">
      <c r="A400" s="20" t="s">
        <v>366</v>
      </c>
      <c r="B400" s="7">
        <v>0</v>
      </c>
      <c r="C400" s="8">
        <f>IFERROR(B400/B444, "NA")</f>
        <v>0</v>
      </c>
      <c r="D400" s="9"/>
      <c r="E400" s="7">
        <v>0</v>
      </c>
      <c r="F400" s="8">
        <f>IFERROR(E400/E444, "NA")</f>
        <v>0</v>
      </c>
      <c r="G400" s="9"/>
      <c r="H400" s="10">
        <f t="shared" si="96"/>
        <v>0</v>
      </c>
      <c r="I400" s="8">
        <f>IFERROR(H400/H444, "NA")</f>
        <v>0</v>
      </c>
      <c r="J400" s="9"/>
      <c r="K400" s="7">
        <v>0</v>
      </c>
      <c r="L400" s="8">
        <f>IFERROR(K400/K444, "NA")</f>
        <v>0</v>
      </c>
      <c r="M400" s="9"/>
      <c r="N400" s="10">
        <f t="shared" si="97"/>
        <v>0</v>
      </c>
      <c r="O400" s="8">
        <f>IFERROR(N400/N444, "NA")</f>
        <v>0</v>
      </c>
      <c r="P400" s="9"/>
      <c r="Q400" s="7">
        <v>0</v>
      </c>
      <c r="R400" s="8">
        <f>IFERROR(Q400/Q444, "NA")</f>
        <v>0</v>
      </c>
      <c r="S400" s="9"/>
      <c r="T400" s="7">
        <v>0</v>
      </c>
      <c r="U400" s="8">
        <f>IFERROR(T400/T444, "NA")</f>
        <v>0</v>
      </c>
      <c r="V400" s="9"/>
      <c r="W400" s="10">
        <f t="shared" si="98"/>
        <v>0</v>
      </c>
      <c r="X400" s="8">
        <f>IFERROR(W400/W444, "NA")</f>
        <v>0</v>
      </c>
      <c r="Y400" s="9"/>
      <c r="Z400" s="7">
        <v>0</v>
      </c>
      <c r="AA400" s="8">
        <f>IFERROR(Z400/Z444, "NA")</f>
        <v>0</v>
      </c>
      <c r="AB400" s="9"/>
      <c r="AC400" s="10">
        <f t="shared" si="99"/>
        <v>0</v>
      </c>
      <c r="AD400" s="8">
        <f>IFERROR(AC400/AC444, "NA")</f>
        <v>0</v>
      </c>
    </row>
    <row r="401" spans="1:30" ht="16.5" hidden="1" customHeight="1" x14ac:dyDescent="0.45">
      <c r="A401" s="20" t="s">
        <v>367</v>
      </c>
      <c r="B401" s="7">
        <v>0</v>
      </c>
      <c r="C401" s="8">
        <f>IFERROR(B401/B444, "NA")</f>
        <v>0</v>
      </c>
      <c r="D401" s="9"/>
      <c r="E401" s="7">
        <v>0</v>
      </c>
      <c r="F401" s="8">
        <f>IFERROR(E401/E444, "NA")</f>
        <v>0</v>
      </c>
      <c r="G401" s="9"/>
      <c r="H401" s="10">
        <f t="shared" si="96"/>
        <v>0</v>
      </c>
      <c r="I401" s="8">
        <f>IFERROR(H401/H444, "NA")</f>
        <v>0</v>
      </c>
      <c r="J401" s="9"/>
      <c r="K401" s="7">
        <v>0</v>
      </c>
      <c r="L401" s="8">
        <f>IFERROR(K401/K444, "NA")</f>
        <v>0</v>
      </c>
      <c r="M401" s="9"/>
      <c r="N401" s="10">
        <f t="shared" si="97"/>
        <v>0</v>
      </c>
      <c r="O401" s="8">
        <f>IFERROR(N401/N444, "NA")</f>
        <v>0</v>
      </c>
      <c r="P401" s="9"/>
      <c r="Q401" s="7">
        <v>0</v>
      </c>
      <c r="R401" s="8">
        <f>IFERROR(Q401/Q444, "NA")</f>
        <v>0</v>
      </c>
      <c r="S401" s="9"/>
      <c r="T401" s="7">
        <v>0</v>
      </c>
      <c r="U401" s="8">
        <f>IFERROR(T401/T444, "NA")</f>
        <v>0</v>
      </c>
      <c r="V401" s="9"/>
      <c r="W401" s="10">
        <f t="shared" si="98"/>
        <v>0</v>
      </c>
      <c r="X401" s="8">
        <f>IFERROR(W401/W444, "NA")</f>
        <v>0</v>
      </c>
      <c r="Y401" s="9"/>
      <c r="Z401" s="7">
        <v>0</v>
      </c>
      <c r="AA401" s="8">
        <f>IFERROR(Z401/Z444, "NA")</f>
        <v>0</v>
      </c>
      <c r="AB401" s="9"/>
      <c r="AC401" s="10">
        <f t="shared" si="99"/>
        <v>0</v>
      </c>
      <c r="AD401" s="8">
        <f>IFERROR(AC401/AC444, "NA")</f>
        <v>0</v>
      </c>
    </row>
    <row r="402" spans="1:30" ht="16.5" hidden="1" customHeight="1" x14ac:dyDescent="0.45">
      <c r="A402" s="20" t="s">
        <v>368</v>
      </c>
      <c r="B402" s="7">
        <v>0</v>
      </c>
      <c r="C402" s="8">
        <f>IFERROR(B402/B444, "NA")</f>
        <v>0</v>
      </c>
      <c r="D402" s="9"/>
      <c r="E402" s="7">
        <v>0</v>
      </c>
      <c r="F402" s="8">
        <f>IFERROR(E402/E444, "NA")</f>
        <v>0</v>
      </c>
      <c r="G402" s="9"/>
      <c r="H402" s="10">
        <f t="shared" si="96"/>
        <v>0</v>
      </c>
      <c r="I402" s="8">
        <f>IFERROR(H402/H444, "NA")</f>
        <v>0</v>
      </c>
      <c r="J402" s="9"/>
      <c r="K402" s="7">
        <v>0</v>
      </c>
      <c r="L402" s="8">
        <f>IFERROR(K402/K444, "NA")</f>
        <v>0</v>
      </c>
      <c r="M402" s="9"/>
      <c r="N402" s="10">
        <f t="shared" si="97"/>
        <v>0</v>
      </c>
      <c r="O402" s="8">
        <f>IFERROR(N402/N444, "NA")</f>
        <v>0</v>
      </c>
      <c r="P402" s="9"/>
      <c r="Q402" s="7">
        <v>0</v>
      </c>
      <c r="R402" s="8">
        <f>IFERROR(Q402/Q444, "NA")</f>
        <v>0</v>
      </c>
      <c r="S402" s="9"/>
      <c r="T402" s="7">
        <v>0</v>
      </c>
      <c r="U402" s="8">
        <f>IFERROR(T402/T444, "NA")</f>
        <v>0</v>
      </c>
      <c r="V402" s="9"/>
      <c r="W402" s="10">
        <f t="shared" si="98"/>
        <v>0</v>
      </c>
      <c r="X402" s="8">
        <f>IFERROR(W402/W444, "NA")</f>
        <v>0</v>
      </c>
      <c r="Y402" s="9"/>
      <c r="Z402" s="7">
        <v>0</v>
      </c>
      <c r="AA402" s="8">
        <f>IFERROR(Z402/Z444, "NA")</f>
        <v>0</v>
      </c>
      <c r="AB402" s="9"/>
      <c r="AC402" s="10">
        <f t="shared" si="99"/>
        <v>0</v>
      </c>
      <c r="AD402" s="8">
        <f>IFERROR(AC402/AC444, "NA")</f>
        <v>0</v>
      </c>
    </row>
    <row r="403" spans="1:30" ht="16.5" customHeight="1" x14ac:dyDescent="0.45">
      <c r="A403" s="21" t="s">
        <v>369</v>
      </c>
      <c r="B403" s="14">
        <f>IFERROR(B347+B349+B350+B351+B352+B353+B354+B355+B356+B357+B360+B361+B362+B363+B364+B365+B366+B367+B369+B370+B371+B372+B373+B374+B375+B376+B377+B378+B379+B380+B381+B382+B383+B385+B386+B388+B389+B390+B391+B392+B394+B395+B397+B398+B399+B400+B401+B402, "NA")</f>
        <v>0</v>
      </c>
      <c r="C403" s="15">
        <f>IFERROR(B403/B444, "NA")</f>
        <v>0</v>
      </c>
      <c r="D403" s="2"/>
      <c r="E403" s="14">
        <f>IFERROR(E347+E349+E350+E351+E352+E353+E354+E355+E356+E357+E360+E361+E362+E363+E364+E365+E366+E367+E369+E370+E371+E372+E373+E374+E375+E376+E377+E378+E379+E380+E381+E382+E383+E385+E386+E388+E389+E390+E391+E392+E394+E395+E397+E398+E399+E400+E401+E402, "NA")</f>
        <v>0</v>
      </c>
      <c r="F403" s="15">
        <f>IFERROR(E403/E444, "NA")</f>
        <v>0</v>
      </c>
      <c r="G403" s="2"/>
      <c r="H403" s="14">
        <f t="shared" si="96"/>
        <v>0</v>
      </c>
      <c r="I403" s="15">
        <f>IFERROR(H403/H444, "NA")</f>
        <v>0</v>
      </c>
      <c r="J403" s="2"/>
      <c r="K403" s="14">
        <f>IFERROR(K347+K349+K350+K351+K352+K353+K354+K355+K356+K357+K360+K361+K362+K363+K364+K365+K366+K367+K369+K370+K371+K372+K373+K374+K375+K376+K377+K378+K379+K380+K381+K382+K383+K385+K386+K388+K389+K390+K391+K392+K394+K395+K397+K398+K399+K400+K401+K402, "NA")</f>
        <v>0</v>
      </c>
      <c r="L403" s="15">
        <f>IFERROR(K403/K444, "NA")</f>
        <v>0</v>
      </c>
      <c r="M403" s="2"/>
      <c r="N403" s="14">
        <f t="shared" si="97"/>
        <v>0</v>
      </c>
      <c r="O403" s="15">
        <f>IFERROR(N403/N444, "NA")</f>
        <v>0</v>
      </c>
      <c r="P403" s="2"/>
      <c r="Q403" s="14">
        <f>IFERROR(Q347+Q349+Q350+Q351+Q352+Q353+Q354+Q355+Q356+Q357+Q360+Q361+Q362+Q363+Q364+Q365+Q366+Q367+Q369+Q370+Q371+Q372+Q373+Q374+Q375+Q376+Q377+Q378+Q379+Q380+Q381+Q382+Q383+Q385+Q386+Q388+Q389+Q390+Q391+Q392+Q394+Q395+Q397+Q398+Q399+Q400+Q401+Q402, "NA")</f>
        <v>0</v>
      </c>
      <c r="R403" s="15">
        <f>IFERROR(Q403/Q444, "NA")</f>
        <v>0</v>
      </c>
      <c r="S403" s="2"/>
      <c r="T403" s="14">
        <f>IFERROR(T347+T349+T350+T351+T352+T353+T354+T355+T356+T357+T360+T361+T362+T363+T364+T365+T366+T367+T369+T370+T371+T372+T373+T374+T375+T376+T377+T378+T379+T380+T381+T382+T383+T385+T386+T388+T389+T390+T391+T392+T394+T395+T397+T398+T399+T400+T401+T402, "NA")</f>
        <v>0</v>
      </c>
      <c r="U403" s="15">
        <f>IFERROR(T403/T444, "NA")</f>
        <v>0</v>
      </c>
      <c r="V403" s="2"/>
      <c r="W403" s="14">
        <f t="shared" si="98"/>
        <v>0</v>
      </c>
      <c r="X403" s="15">
        <f>IFERROR(W403/W444, "NA")</f>
        <v>0</v>
      </c>
      <c r="Y403" s="2"/>
      <c r="Z403" s="14">
        <f>IFERROR(Z347+Z349+Z350+Z351+Z352+Z353+Z354+Z355+Z356+Z357+Z360+Z361+Z362+Z363+Z364+Z365+Z366+Z367+Z369+Z370+Z371+Z372+Z373+Z374+Z375+Z376+Z377+Z378+Z379+Z380+Z381+Z382+Z383+Z385+Z386+Z388+Z389+Z390+Z391+Z392+Z394+Z395+Z397+Z398+Z399+Z400+Z401+Z402, "NA")</f>
        <v>0</v>
      </c>
      <c r="AA403" s="15">
        <f>IFERROR(Z403/Z444, "NA")</f>
        <v>0</v>
      </c>
      <c r="AB403" s="2"/>
      <c r="AC403" s="14">
        <f t="shared" si="99"/>
        <v>0</v>
      </c>
      <c r="AD403" s="15">
        <f>IFERROR(AC403/AC444, "NA")</f>
        <v>0</v>
      </c>
    </row>
    <row r="404" spans="1:30" ht="16.5" customHeight="1" x14ac:dyDescent="0.45">
      <c r="A404" s="22" t="s">
        <v>370</v>
      </c>
      <c r="B404" s="23">
        <f>IFERROR(B345-B403, "NA")</f>
        <v>-8452.989999999987</v>
      </c>
      <c r="C404" s="24">
        <f>IFERROR(B404/B444, "NA")</f>
        <v>-0.11635303752950794</v>
      </c>
      <c r="D404" s="25"/>
      <c r="E404" s="23">
        <f>IFERROR(E345-E403, "NA")</f>
        <v>-4817.229999999985</v>
      </c>
      <c r="F404" s="24">
        <f>IFERROR(E404/E444, "NA")</f>
        <v>-6.3674104606654847E-2</v>
      </c>
      <c r="G404" s="25"/>
      <c r="H404" s="23">
        <f>IFERROR(B404-E404, "NA")</f>
        <v>-3635.760000000002</v>
      </c>
      <c r="I404" s="24">
        <f>IFERROR(H404/H444, "NA")</f>
        <v>1.2099195995953338</v>
      </c>
      <c r="J404" s="25"/>
      <c r="K404" s="23">
        <f>IFERROR(K345-K403, "NA")</f>
        <v>-10372.549999999999</v>
      </c>
      <c r="L404" s="24">
        <f>IFERROR(K404/K444, "NA")</f>
        <v>-0.14224565064334904</v>
      </c>
      <c r="M404" s="25"/>
      <c r="N404" s="23">
        <f>IFERROR(B404-K404, "NA")</f>
        <v>1919.5600000000122</v>
      </c>
      <c r="O404" s="24">
        <f>IFERROR(N404/N444, "NA")</f>
        <v>-7.0968648328898301</v>
      </c>
      <c r="P404" s="25"/>
      <c r="Q404" s="23">
        <f>IFERROR(Q345-Q403, "NA")</f>
        <v>-8452.989999999987</v>
      </c>
      <c r="R404" s="24">
        <f>IFERROR(Q404/Q444, "NA")</f>
        <v>-0.11635303752950794</v>
      </c>
      <c r="S404" s="25"/>
      <c r="T404" s="23">
        <f>IFERROR(T345-T403, "NA")</f>
        <v>-4817.229999999985</v>
      </c>
      <c r="U404" s="24">
        <f>IFERROR(T404/T444, "NA")</f>
        <v>-6.3674104606654847E-2</v>
      </c>
      <c r="V404" s="25"/>
      <c r="W404" s="23">
        <f>IFERROR(Q404-T404, "NA")</f>
        <v>-3635.760000000002</v>
      </c>
      <c r="X404" s="24">
        <f>IFERROR(W404/W444, "NA")</f>
        <v>1.2099195995953338</v>
      </c>
      <c r="Y404" s="25"/>
      <c r="Z404" s="23">
        <f>IFERROR(Z345-Z403, "NA")</f>
        <v>-10372.549999999999</v>
      </c>
      <c r="AA404" s="24">
        <f>IFERROR(Z404/Z444, "NA")</f>
        <v>-0.14224565064334904</v>
      </c>
      <c r="AB404" s="25"/>
      <c r="AC404" s="23">
        <f>IFERROR(Q404-Z404, "NA")</f>
        <v>1919.5600000000122</v>
      </c>
      <c r="AD404" s="24">
        <f>IFERROR(AC404/AC444, "NA")</f>
        <v>-7.0968648328898301</v>
      </c>
    </row>
    <row r="405" spans="1:30" ht="16.5" customHeight="1" x14ac:dyDescent="0.45">
      <c r="A405" s="1" t="s">
        <v>371</v>
      </c>
      <c r="B405" s="2"/>
      <c r="C405" s="3"/>
      <c r="D405" s="4"/>
      <c r="E405" s="2"/>
      <c r="F405" s="3"/>
      <c r="G405" s="4"/>
      <c r="H405" s="2"/>
      <c r="I405" s="3"/>
      <c r="J405" s="4"/>
      <c r="K405" s="2"/>
      <c r="L405" s="3"/>
      <c r="M405" s="4"/>
      <c r="N405" s="2"/>
      <c r="O405" s="3"/>
      <c r="P405" s="4"/>
      <c r="Q405" s="2"/>
      <c r="R405" s="3"/>
      <c r="S405" s="4"/>
      <c r="T405" s="2"/>
      <c r="U405" s="3"/>
      <c r="V405" s="4"/>
      <c r="W405" s="2"/>
      <c r="X405" s="3"/>
      <c r="Y405" s="4"/>
      <c r="Z405" s="2"/>
      <c r="AA405" s="3"/>
      <c r="AB405" s="4"/>
      <c r="AC405" s="2"/>
      <c r="AD405" s="3"/>
    </row>
    <row r="406" spans="1:30" ht="16.5" customHeight="1" x14ac:dyDescent="0.45">
      <c r="A406" s="5" t="s">
        <v>372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45">
      <c r="A407" s="6" t="s">
        <v>372</v>
      </c>
      <c r="B407" s="7">
        <v>0</v>
      </c>
      <c r="C407" s="8">
        <f>IFERROR(B407/B444, "NA")</f>
        <v>0</v>
      </c>
      <c r="D407" s="9"/>
      <c r="E407" s="7">
        <v>8344.91</v>
      </c>
      <c r="F407" s="8">
        <f>IFERROR(E407/E444, "NA")</f>
        <v>0.11030294843159279</v>
      </c>
      <c r="G407" s="9"/>
      <c r="H407" s="10">
        <f t="shared" ref="H407:H429" si="100">IFERROR(-(B407-E407), "NA")</f>
        <v>8344.91</v>
      </c>
      <c r="I407" s="8">
        <f>IFERROR(H407/H444, "NA")</f>
        <v>-2.7770452851285814</v>
      </c>
      <c r="J407" s="9"/>
      <c r="K407" s="7">
        <v>0</v>
      </c>
      <c r="L407" s="8">
        <f>IFERROR(K407/K444, "NA")</f>
        <v>0</v>
      </c>
      <c r="M407" s="9"/>
      <c r="N407" s="10">
        <f t="shared" ref="N407:N429" si="101">IFERROR(-(B407-K407), "NA")</f>
        <v>0</v>
      </c>
      <c r="O407" s="8">
        <f>IFERROR(N407/N444, "NA")</f>
        <v>0</v>
      </c>
      <c r="P407" s="9"/>
      <c r="Q407" s="7">
        <v>0</v>
      </c>
      <c r="R407" s="8">
        <f>IFERROR(Q407/Q444, "NA")</f>
        <v>0</v>
      </c>
      <c r="S407" s="9"/>
      <c r="T407" s="7">
        <v>8344.91</v>
      </c>
      <c r="U407" s="8">
        <f>IFERROR(T407/T444, "NA")</f>
        <v>0.11030294843159279</v>
      </c>
      <c r="V407" s="9"/>
      <c r="W407" s="10">
        <f t="shared" ref="W407:W429" si="102">IFERROR(-(Q407-T407), "NA")</f>
        <v>8344.91</v>
      </c>
      <c r="X407" s="8">
        <f>IFERROR(W407/W444, "NA")</f>
        <v>-2.7770452851285814</v>
      </c>
      <c r="Y407" s="9"/>
      <c r="Z407" s="7">
        <v>0</v>
      </c>
      <c r="AA407" s="8">
        <f>IFERROR(Z407/Z444, "NA")</f>
        <v>0</v>
      </c>
      <c r="AB407" s="9"/>
      <c r="AC407" s="10">
        <f t="shared" ref="AC407:AC429" si="103">IFERROR(-(Q407-Z407), "NA")</f>
        <v>0</v>
      </c>
      <c r="AD407" s="8">
        <f>IFERROR(AC407/AC444, "NA")</f>
        <v>0</v>
      </c>
    </row>
    <row r="408" spans="1:30" ht="16.5" hidden="1" customHeight="1" x14ac:dyDescent="0.45">
      <c r="A408" s="6" t="s">
        <v>373</v>
      </c>
      <c r="B408" s="7">
        <v>0</v>
      </c>
      <c r="C408" s="8">
        <f>IFERROR(B408/B444, "NA")</f>
        <v>0</v>
      </c>
      <c r="D408" s="9"/>
      <c r="E408" s="7">
        <v>0</v>
      </c>
      <c r="F408" s="8">
        <f>IFERROR(E408/E444, "NA")</f>
        <v>0</v>
      </c>
      <c r="G408" s="9"/>
      <c r="H408" s="10">
        <f t="shared" si="100"/>
        <v>0</v>
      </c>
      <c r="I408" s="8">
        <f>IFERROR(H408/H444, "NA")</f>
        <v>0</v>
      </c>
      <c r="J408" s="9"/>
      <c r="K408" s="7">
        <v>0</v>
      </c>
      <c r="L408" s="8">
        <f>IFERROR(K408/K444, "NA")</f>
        <v>0</v>
      </c>
      <c r="M408" s="9"/>
      <c r="N408" s="10">
        <f t="shared" si="101"/>
        <v>0</v>
      </c>
      <c r="O408" s="8">
        <f>IFERROR(N408/N444, "NA")</f>
        <v>0</v>
      </c>
      <c r="P408" s="9"/>
      <c r="Q408" s="7">
        <v>0</v>
      </c>
      <c r="R408" s="8">
        <f>IFERROR(Q408/Q444, "NA")</f>
        <v>0</v>
      </c>
      <c r="S408" s="9"/>
      <c r="T408" s="7">
        <v>0</v>
      </c>
      <c r="U408" s="8">
        <f>IFERROR(T408/T444, "NA")</f>
        <v>0</v>
      </c>
      <c r="V408" s="9"/>
      <c r="W408" s="10">
        <f t="shared" si="102"/>
        <v>0</v>
      </c>
      <c r="X408" s="8">
        <f>IFERROR(W408/W444, "NA")</f>
        <v>0</v>
      </c>
      <c r="Y408" s="9"/>
      <c r="Z408" s="7">
        <v>0</v>
      </c>
      <c r="AA408" s="8">
        <f>IFERROR(Z408/Z444, "NA")</f>
        <v>0</v>
      </c>
      <c r="AB408" s="9"/>
      <c r="AC408" s="10">
        <f t="shared" si="103"/>
        <v>0</v>
      </c>
      <c r="AD408" s="8">
        <f>IFERROR(AC408/AC444, "NA")</f>
        <v>0</v>
      </c>
    </row>
    <row r="409" spans="1:30" ht="16.5" hidden="1" customHeight="1" x14ac:dyDescent="0.45">
      <c r="A409" s="6" t="s">
        <v>374</v>
      </c>
      <c r="B409" s="7">
        <v>0</v>
      </c>
      <c r="C409" s="8">
        <f>IFERROR(B409/B444, "NA")</f>
        <v>0</v>
      </c>
      <c r="D409" s="9"/>
      <c r="E409" s="7">
        <v>0</v>
      </c>
      <c r="F409" s="8">
        <f>IFERROR(E409/E444, "NA")</f>
        <v>0</v>
      </c>
      <c r="G409" s="9"/>
      <c r="H409" s="10">
        <f t="shared" si="100"/>
        <v>0</v>
      </c>
      <c r="I409" s="8">
        <f>IFERROR(H409/H444, "NA")</f>
        <v>0</v>
      </c>
      <c r="J409" s="9"/>
      <c r="K409" s="7">
        <v>0</v>
      </c>
      <c r="L409" s="8">
        <f>IFERROR(K409/K444, "NA")</f>
        <v>0</v>
      </c>
      <c r="M409" s="9"/>
      <c r="N409" s="10">
        <f t="shared" si="101"/>
        <v>0</v>
      </c>
      <c r="O409" s="8">
        <f>IFERROR(N409/N444, "NA")</f>
        <v>0</v>
      </c>
      <c r="P409" s="9"/>
      <c r="Q409" s="7">
        <v>0</v>
      </c>
      <c r="R409" s="8">
        <f>IFERROR(Q409/Q444, "NA")</f>
        <v>0</v>
      </c>
      <c r="S409" s="9"/>
      <c r="T409" s="7">
        <v>0</v>
      </c>
      <c r="U409" s="8">
        <f>IFERROR(T409/T444, "NA")</f>
        <v>0</v>
      </c>
      <c r="V409" s="9"/>
      <c r="W409" s="10">
        <f t="shared" si="102"/>
        <v>0</v>
      </c>
      <c r="X409" s="8">
        <f>IFERROR(W409/W444, "NA")</f>
        <v>0</v>
      </c>
      <c r="Y409" s="9"/>
      <c r="Z409" s="7">
        <v>0</v>
      </c>
      <c r="AA409" s="8">
        <f>IFERROR(Z409/Z444, "NA")</f>
        <v>0</v>
      </c>
      <c r="AB409" s="9"/>
      <c r="AC409" s="10">
        <f t="shared" si="103"/>
        <v>0</v>
      </c>
      <c r="AD409" s="8">
        <f>IFERROR(AC409/AC444, "NA")</f>
        <v>0</v>
      </c>
    </row>
    <row r="410" spans="1:30" ht="16.5" customHeight="1" x14ac:dyDescent="0.45">
      <c r="A410" s="6" t="s">
        <v>375</v>
      </c>
      <c r="B410" s="7">
        <v>8507.99</v>
      </c>
      <c r="C410" s="8">
        <f>IFERROR(B410/B444, "NA")</f>
        <v>0.11711009711009711</v>
      </c>
      <c r="D410" s="9"/>
      <c r="E410" s="7">
        <v>0</v>
      </c>
      <c r="F410" s="8">
        <f>IFERROR(E410/E444, "NA")</f>
        <v>0</v>
      </c>
      <c r="G410" s="9"/>
      <c r="H410" s="10">
        <f t="shared" si="100"/>
        <v>-8507.99</v>
      </c>
      <c r="I410" s="8">
        <f>IFERROR(H410/H444, "NA")</f>
        <v>2.8313155582769758</v>
      </c>
      <c r="J410" s="9"/>
      <c r="K410" s="7">
        <v>8002</v>
      </c>
      <c r="L410" s="8">
        <f>IFERROR(K410/K444, "NA")</f>
        <v>0.10973672784880084</v>
      </c>
      <c r="M410" s="9"/>
      <c r="N410" s="10">
        <f t="shared" si="101"/>
        <v>-505.98999999999978</v>
      </c>
      <c r="O410" s="8">
        <f>IFERROR(N410/N444, "NA")</f>
        <v>1.870711328009492</v>
      </c>
      <c r="P410" s="9"/>
      <c r="Q410" s="7">
        <v>8507.99</v>
      </c>
      <c r="R410" s="8">
        <f>IFERROR(Q410/Q444, "NA")</f>
        <v>0.11711009711009711</v>
      </c>
      <c r="S410" s="9"/>
      <c r="T410" s="7">
        <v>0</v>
      </c>
      <c r="U410" s="8">
        <f>IFERROR(T410/T444, "NA")</f>
        <v>0</v>
      </c>
      <c r="V410" s="9"/>
      <c r="W410" s="10">
        <f t="shared" si="102"/>
        <v>-8507.99</v>
      </c>
      <c r="X410" s="8">
        <f>IFERROR(W410/W444, "NA")</f>
        <v>2.8313155582769758</v>
      </c>
      <c r="Y410" s="9"/>
      <c r="Z410" s="7">
        <v>8002</v>
      </c>
      <c r="AA410" s="8">
        <f>IFERROR(Z410/Z444, "NA")</f>
        <v>0.10973672784880084</v>
      </c>
      <c r="AB410" s="9"/>
      <c r="AC410" s="10">
        <f t="shared" si="103"/>
        <v>-505.98999999999978</v>
      </c>
      <c r="AD410" s="8">
        <f>IFERROR(AC410/AC444, "NA")</f>
        <v>1.870711328009492</v>
      </c>
    </row>
    <row r="411" spans="1:30" ht="16.5" hidden="1" customHeight="1" x14ac:dyDescent="0.45">
      <c r="A411" s="6" t="s">
        <v>376</v>
      </c>
      <c r="B411" s="7">
        <v>0</v>
      </c>
      <c r="C411" s="8">
        <f>IFERROR(B411/B444, "NA")</f>
        <v>0</v>
      </c>
      <c r="D411" s="9"/>
      <c r="E411" s="7">
        <v>0</v>
      </c>
      <c r="F411" s="8">
        <f>IFERROR(E411/E444, "NA")</f>
        <v>0</v>
      </c>
      <c r="G411" s="9"/>
      <c r="H411" s="10">
        <f t="shared" si="100"/>
        <v>0</v>
      </c>
      <c r="I411" s="8">
        <f>IFERROR(H411/H444, "NA")</f>
        <v>0</v>
      </c>
      <c r="J411" s="9"/>
      <c r="K411" s="7">
        <v>0</v>
      </c>
      <c r="L411" s="8">
        <f>IFERROR(K411/K444, "NA")</f>
        <v>0</v>
      </c>
      <c r="M411" s="9"/>
      <c r="N411" s="10">
        <f t="shared" si="101"/>
        <v>0</v>
      </c>
      <c r="O411" s="8">
        <f>IFERROR(N411/N444, "NA")</f>
        <v>0</v>
      </c>
      <c r="P411" s="9"/>
      <c r="Q411" s="7">
        <v>0</v>
      </c>
      <c r="R411" s="8">
        <f>IFERROR(Q411/Q444, "NA")</f>
        <v>0</v>
      </c>
      <c r="S411" s="9"/>
      <c r="T411" s="7">
        <v>0</v>
      </c>
      <c r="U411" s="8">
        <f>IFERROR(T411/T444, "NA")</f>
        <v>0</v>
      </c>
      <c r="V411" s="9"/>
      <c r="W411" s="10">
        <f t="shared" si="102"/>
        <v>0</v>
      </c>
      <c r="X411" s="8">
        <f>IFERROR(W411/W444, "NA")</f>
        <v>0</v>
      </c>
      <c r="Y411" s="9"/>
      <c r="Z411" s="7">
        <v>0</v>
      </c>
      <c r="AA411" s="8">
        <f>IFERROR(Z411/Z444, "NA")</f>
        <v>0</v>
      </c>
      <c r="AB411" s="9"/>
      <c r="AC411" s="10">
        <f t="shared" si="103"/>
        <v>0</v>
      </c>
      <c r="AD411" s="8">
        <f>IFERROR(AC411/AC444, "NA")</f>
        <v>0</v>
      </c>
    </row>
    <row r="412" spans="1:30" ht="16.5" hidden="1" customHeight="1" x14ac:dyDescent="0.45">
      <c r="A412" s="6" t="s">
        <v>377</v>
      </c>
      <c r="B412" s="7">
        <v>0</v>
      </c>
      <c r="C412" s="8">
        <f>IFERROR(B412/B444, "NA")</f>
        <v>0</v>
      </c>
      <c r="D412" s="9"/>
      <c r="E412" s="7">
        <v>0</v>
      </c>
      <c r="F412" s="8">
        <f>IFERROR(E412/E444, "NA")</f>
        <v>0</v>
      </c>
      <c r="G412" s="9"/>
      <c r="H412" s="10">
        <f t="shared" si="100"/>
        <v>0</v>
      </c>
      <c r="I412" s="8">
        <f>IFERROR(H412/H444, "NA")</f>
        <v>0</v>
      </c>
      <c r="J412" s="9"/>
      <c r="K412" s="7">
        <v>0</v>
      </c>
      <c r="L412" s="8">
        <f>IFERROR(K412/K444, "NA")</f>
        <v>0</v>
      </c>
      <c r="M412" s="9"/>
      <c r="N412" s="10">
        <f t="shared" si="101"/>
        <v>0</v>
      </c>
      <c r="O412" s="8">
        <f>IFERROR(N412/N444, "NA")</f>
        <v>0</v>
      </c>
      <c r="P412" s="9"/>
      <c r="Q412" s="7">
        <v>0</v>
      </c>
      <c r="R412" s="8">
        <f>IFERROR(Q412/Q444, "NA")</f>
        <v>0</v>
      </c>
      <c r="S412" s="9"/>
      <c r="T412" s="7">
        <v>0</v>
      </c>
      <c r="U412" s="8">
        <f>IFERROR(T412/T444, "NA")</f>
        <v>0</v>
      </c>
      <c r="V412" s="9"/>
      <c r="W412" s="10">
        <f t="shared" si="102"/>
        <v>0</v>
      </c>
      <c r="X412" s="8">
        <f>IFERROR(W412/W444, "NA")</f>
        <v>0</v>
      </c>
      <c r="Y412" s="9"/>
      <c r="Z412" s="7">
        <v>0</v>
      </c>
      <c r="AA412" s="8">
        <f>IFERROR(Z412/Z444, "NA")</f>
        <v>0</v>
      </c>
      <c r="AB412" s="9"/>
      <c r="AC412" s="10">
        <f t="shared" si="103"/>
        <v>0</v>
      </c>
      <c r="AD412" s="8">
        <f>IFERROR(AC412/AC444, "NA")</f>
        <v>0</v>
      </c>
    </row>
    <row r="413" spans="1:30" ht="16.5" hidden="1" customHeight="1" x14ac:dyDescent="0.45">
      <c r="A413" s="6" t="s">
        <v>378</v>
      </c>
      <c r="B413" s="7">
        <v>0</v>
      </c>
      <c r="C413" s="8">
        <f>IFERROR(B413/B444, "NA")</f>
        <v>0</v>
      </c>
      <c r="D413" s="9"/>
      <c r="E413" s="7">
        <v>0</v>
      </c>
      <c r="F413" s="8">
        <f>IFERROR(E413/E444, "NA")</f>
        <v>0</v>
      </c>
      <c r="G413" s="9"/>
      <c r="H413" s="10">
        <f t="shared" si="100"/>
        <v>0</v>
      </c>
      <c r="I413" s="8">
        <f>IFERROR(H413/H444, "NA")</f>
        <v>0</v>
      </c>
      <c r="J413" s="9"/>
      <c r="K413" s="7">
        <v>0</v>
      </c>
      <c r="L413" s="8">
        <f>IFERROR(K413/K444, "NA")</f>
        <v>0</v>
      </c>
      <c r="M413" s="9"/>
      <c r="N413" s="10">
        <f t="shared" si="101"/>
        <v>0</v>
      </c>
      <c r="O413" s="8">
        <f>IFERROR(N413/N444, "NA")</f>
        <v>0</v>
      </c>
      <c r="P413" s="9"/>
      <c r="Q413" s="7">
        <v>0</v>
      </c>
      <c r="R413" s="8">
        <f>IFERROR(Q413/Q444, "NA")</f>
        <v>0</v>
      </c>
      <c r="S413" s="9"/>
      <c r="T413" s="7">
        <v>0</v>
      </c>
      <c r="U413" s="8">
        <f>IFERROR(T413/T444, "NA")</f>
        <v>0</v>
      </c>
      <c r="V413" s="9"/>
      <c r="W413" s="10">
        <f t="shared" si="102"/>
        <v>0</v>
      </c>
      <c r="X413" s="8">
        <f>IFERROR(W413/W444, "NA")</f>
        <v>0</v>
      </c>
      <c r="Y413" s="9"/>
      <c r="Z413" s="7">
        <v>0</v>
      </c>
      <c r="AA413" s="8">
        <f>IFERROR(Z413/Z444, "NA")</f>
        <v>0</v>
      </c>
      <c r="AB413" s="9"/>
      <c r="AC413" s="10">
        <f t="shared" si="103"/>
        <v>0</v>
      </c>
      <c r="AD413" s="8">
        <f>IFERROR(AC413/AC444, "NA")</f>
        <v>0</v>
      </c>
    </row>
    <row r="414" spans="1:30" ht="16.5" hidden="1" customHeight="1" x14ac:dyDescent="0.45">
      <c r="A414" s="6" t="s">
        <v>379</v>
      </c>
      <c r="B414" s="7">
        <v>0</v>
      </c>
      <c r="C414" s="8">
        <f>IFERROR(B414/B444, "NA")</f>
        <v>0</v>
      </c>
      <c r="D414" s="9"/>
      <c r="E414" s="7">
        <v>0</v>
      </c>
      <c r="F414" s="8">
        <f>IFERROR(E414/E444, "NA")</f>
        <v>0</v>
      </c>
      <c r="G414" s="9"/>
      <c r="H414" s="10">
        <f t="shared" si="100"/>
        <v>0</v>
      </c>
      <c r="I414" s="8">
        <f>IFERROR(H414/H444, "NA")</f>
        <v>0</v>
      </c>
      <c r="J414" s="9"/>
      <c r="K414" s="7">
        <v>0</v>
      </c>
      <c r="L414" s="8">
        <f>IFERROR(K414/K444, "NA")</f>
        <v>0</v>
      </c>
      <c r="M414" s="9"/>
      <c r="N414" s="10">
        <f t="shared" si="101"/>
        <v>0</v>
      </c>
      <c r="O414" s="8">
        <f>IFERROR(N414/N444, "NA")</f>
        <v>0</v>
      </c>
      <c r="P414" s="9"/>
      <c r="Q414" s="7">
        <v>0</v>
      </c>
      <c r="R414" s="8">
        <f>IFERROR(Q414/Q444, "NA")</f>
        <v>0</v>
      </c>
      <c r="S414" s="9"/>
      <c r="T414" s="7">
        <v>0</v>
      </c>
      <c r="U414" s="8">
        <f>IFERROR(T414/T444, "NA")</f>
        <v>0</v>
      </c>
      <c r="V414" s="9"/>
      <c r="W414" s="10">
        <f t="shared" si="102"/>
        <v>0</v>
      </c>
      <c r="X414" s="8">
        <f>IFERROR(W414/W444, "NA")</f>
        <v>0</v>
      </c>
      <c r="Y414" s="9"/>
      <c r="Z414" s="7">
        <v>0</v>
      </c>
      <c r="AA414" s="8">
        <f>IFERROR(Z414/Z444, "NA")</f>
        <v>0</v>
      </c>
      <c r="AB414" s="9"/>
      <c r="AC414" s="10">
        <f t="shared" si="103"/>
        <v>0</v>
      </c>
      <c r="AD414" s="8">
        <f>IFERROR(AC414/AC444, "NA")</f>
        <v>0</v>
      </c>
    </row>
    <row r="415" spans="1:30" ht="16.5" hidden="1" customHeight="1" x14ac:dyDescent="0.45">
      <c r="A415" s="6" t="s">
        <v>380</v>
      </c>
      <c r="B415" s="7">
        <v>0</v>
      </c>
      <c r="C415" s="8">
        <f>IFERROR(B415/B444, "NA")</f>
        <v>0</v>
      </c>
      <c r="D415" s="9"/>
      <c r="E415" s="7">
        <v>0</v>
      </c>
      <c r="F415" s="8">
        <f>IFERROR(E415/E444, "NA")</f>
        <v>0</v>
      </c>
      <c r="G415" s="9"/>
      <c r="H415" s="10">
        <f t="shared" si="100"/>
        <v>0</v>
      </c>
      <c r="I415" s="8">
        <f>IFERROR(H415/H444, "NA")</f>
        <v>0</v>
      </c>
      <c r="J415" s="9"/>
      <c r="K415" s="7">
        <v>0</v>
      </c>
      <c r="L415" s="8">
        <f>IFERROR(K415/K444, "NA")</f>
        <v>0</v>
      </c>
      <c r="M415" s="9"/>
      <c r="N415" s="10">
        <f t="shared" si="101"/>
        <v>0</v>
      </c>
      <c r="O415" s="8">
        <f>IFERROR(N415/N444, "NA")</f>
        <v>0</v>
      </c>
      <c r="P415" s="9"/>
      <c r="Q415" s="7">
        <v>0</v>
      </c>
      <c r="R415" s="8">
        <f>IFERROR(Q415/Q444, "NA")</f>
        <v>0</v>
      </c>
      <c r="S415" s="9"/>
      <c r="T415" s="7">
        <v>0</v>
      </c>
      <c r="U415" s="8">
        <f>IFERROR(T415/T444, "NA")</f>
        <v>0</v>
      </c>
      <c r="V415" s="9"/>
      <c r="W415" s="10">
        <f t="shared" si="102"/>
        <v>0</v>
      </c>
      <c r="X415" s="8">
        <f>IFERROR(W415/W444, "NA")</f>
        <v>0</v>
      </c>
      <c r="Y415" s="9"/>
      <c r="Z415" s="7">
        <v>0</v>
      </c>
      <c r="AA415" s="8">
        <f>IFERROR(Z415/Z444, "NA")</f>
        <v>0</v>
      </c>
      <c r="AB415" s="9"/>
      <c r="AC415" s="10">
        <f t="shared" si="103"/>
        <v>0</v>
      </c>
      <c r="AD415" s="8">
        <f>IFERROR(AC415/AC444, "NA")</f>
        <v>0</v>
      </c>
    </row>
    <row r="416" spans="1:30" ht="16.5" customHeight="1" x14ac:dyDescent="0.45">
      <c r="A416" s="6" t="s">
        <v>381</v>
      </c>
      <c r="B416" s="7">
        <v>-28.34</v>
      </c>
      <c r="C416" s="8">
        <f>IFERROR(B416/B444, "NA")</f>
        <v>-3.9009215479803716E-4</v>
      </c>
      <c r="D416" s="9"/>
      <c r="E416" s="7">
        <v>0</v>
      </c>
      <c r="F416" s="8">
        <f>IFERROR(E416/E444, "NA")</f>
        <v>0</v>
      </c>
      <c r="G416" s="9"/>
      <c r="H416" s="10">
        <f t="shared" si="100"/>
        <v>28.34</v>
      </c>
      <c r="I416" s="8">
        <f>IFERROR(H416/H444, "NA")</f>
        <v>-9.4310739577232114E-3</v>
      </c>
      <c r="J416" s="9"/>
      <c r="K416" s="7">
        <v>-29.31</v>
      </c>
      <c r="L416" s="8">
        <f>IFERROR(K416/K444, "NA")</f>
        <v>-4.0194744979359564E-4</v>
      </c>
      <c r="M416" s="9"/>
      <c r="N416" s="10">
        <f t="shared" si="101"/>
        <v>-0.96999999999999886</v>
      </c>
      <c r="O416" s="8">
        <f>IFERROR(N416/N444, "NA")</f>
        <v>3.5862170955339155E-3</v>
      </c>
      <c r="P416" s="9"/>
      <c r="Q416" s="7">
        <v>-28.34</v>
      </c>
      <c r="R416" s="8">
        <f>IFERROR(Q416/Q444, "NA")</f>
        <v>-3.9009215479803716E-4</v>
      </c>
      <c r="S416" s="9"/>
      <c r="T416" s="7">
        <v>0</v>
      </c>
      <c r="U416" s="8">
        <f>IFERROR(T416/T444, "NA")</f>
        <v>0</v>
      </c>
      <c r="V416" s="9"/>
      <c r="W416" s="10">
        <f t="shared" si="102"/>
        <v>28.34</v>
      </c>
      <c r="X416" s="8">
        <f>IFERROR(W416/W444, "NA")</f>
        <v>-9.4310739577232114E-3</v>
      </c>
      <c r="Y416" s="9"/>
      <c r="Z416" s="7">
        <v>-29.31</v>
      </c>
      <c r="AA416" s="8">
        <f>IFERROR(Z416/Z444, "NA")</f>
        <v>-4.0194744979359564E-4</v>
      </c>
      <c r="AB416" s="9"/>
      <c r="AC416" s="10">
        <f t="shared" si="103"/>
        <v>-0.96999999999999886</v>
      </c>
      <c r="AD416" s="8">
        <f>IFERROR(AC416/AC444, "NA")</f>
        <v>3.5862170955339155E-3</v>
      </c>
    </row>
    <row r="417" spans="1:30" ht="16.5" customHeight="1" x14ac:dyDescent="0.45">
      <c r="A417" s="6" t="s">
        <v>382</v>
      </c>
      <c r="B417" s="7">
        <v>-43.29</v>
      </c>
      <c r="C417" s="8">
        <f>IFERROR(B417/B444, "NA")</f>
        <v>-5.958747135217723E-4</v>
      </c>
      <c r="D417" s="9"/>
      <c r="E417" s="7">
        <v>0</v>
      </c>
      <c r="F417" s="8">
        <f>IFERROR(E417/E444, "NA")</f>
        <v>0</v>
      </c>
      <c r="G417" s="9"/>
      <c r="H417" s="10">
        <f t="shared" si="100"/>
        <v>43.29</v>
      </c>
      <c r="I417" s="8">
        <f>IFERROR(H417/H444, "NA")</f>
        <v>-1.4406181779457931E-2</v>
      </c>
      <c r="J417" s="9"/>
      <c r="K417" s="7">
        <v>70.599999999999994</v>
      </c>
      <c r="L417" s="8">
        <f>IFERROR(K417/K444, "NA")</f>
        <v>9.68184577121387E-4</v>
      </c>
      <c r="M417" s="9"/>
      <c r="N417" s="10">
        <f t="shared" si="101"/>
        <v>113.88999999999999</v>
      </c>
      <c r="O417" s="8">
        <f>IFERROR(N417/N444, "NA")</f>
        <v>-0.42106625258799801</v>
      </c>
      <c r="P417" s="9"/>
      <c r="Q417" s="7">
        <v>-43.29</v>
      </c>
      <c r="R417" s="8">
        <f>IFERROR(Q417/Q444, "NA")</f>
        <v>-5.958747135217723E-4</v>
      </c>
      <c r="S417" s="9"/>
      <c r="T417" s="7">
        <v>0</v>
      </c>
      <c r="U417" s="8">
        <f>IFERROR(T417/T444, "NA")</f>
        <v>0</v>
      </c>
      <c r="V417" s="9"/>
      <c r="W417" s="10">
        <f t="shared" si="102"/>
        <v>43.29</v>
      </c>
      <c r="X417" s="8">
        <f>IFERROR(W417/W444, "NA")</f>
        <v>-1.4406181779457931E-2</v>
      </c>
      <c r="Y417" s="9"/>
      <c r="Z417" s="7">
        <v>70.599999999999994</v>
      </c>
      <c r="AA417" s="8">
        <f>IFERROR(Z417/Z444, "NA")</f>
        <v>9.68184577121387E-4</v>
      </c>
      <c r="AB417" s="9"/>
      <c r="AC417" s="10">
        <f t="shared" si="103"/>
        <v>113.88999999999999</v>
      </c>
      <c r="AD417" s="8">
        <f>IFERROR(AC417/AC444, "NA")</f>
        <v>-0.42106625258799801</v>
      </c>
    </row>
    <row r="418" spans="1:30" ht="16.5" hidden="1" customHeight="1" x14ac:dyDescent="0.45">
      <c r="A418" s="6" t="s">
        <v>383</v>
      </c>
      <c r="B418" s="7">
        <v>0</v>
      </c>
      <c r="C418" s="8">
        <f>IFERROR(B418/B444, "NA")</f>
        <v>0</v>
      </c>
      <c r="D418" s="9"/>
      <c r="E418" s="7">
        <v>0</v>
      </c>
      <c r="F418" s="8">
        <f>IFERROR(E418/E444, "NA")</f>
        <v>0</v>
      </c>
      <c r="G418" s="9"/>
      <c r="H418" s="10">
        <f t="shared" si="100"/>
        <v>0</v>
      </c>
      <c r="I418" s="8">
        <f>IFERROR(H418/H444, "NA")</f>
        <v>0</v>
      </c>
      <c r="J418" s="9"/>
      <c r="K418" s="7">
        <v>0</v>
      </c>
      <c r="L418" s="8">
        <f>IFERROR(K418/K444, "NA")</f>
        <v>0</v>
      </c>
      <c r="M418" s="9"/>
      <c r="N418" s="10">
        <f t="shared" si="101"/>
        <v>0</v>
      </c>
      <c r="O418" s="8">
        <f>IFERROR(N418/N444, "NA")</f>
        <v>0</v>
      </c>
      <c r="P418" s="9"/>
      <c r="Q418" s="7">
        <v>0</v>
      </c>
      <c r="R418" s="8">
        <f>IFERROR(Q418/Q444, "NA")</f>
        <v>0</v>
      </c>
      <c r="S418" s="9"/>
      <c r="T418" s="7">
        <v>0</v>
      </c>
      <c r="U418" s="8">
        <f>IFERROR(T418/T444, "NA")</f>
        <v>0</v>
      </c>
      <c r="V418" s="9"/>
      <c r="W418" s="10">
        <f t="shared" si="102"/>
        <v>0</v>
      </c>
      <c r="X418" s="8">
        <f>IFERROR(W418/W444, "NA")</f>
        <v>0</v>
      </c>
      <c r="Y418" s="9"/>
      <c r="Z418" s="7">
        <v>0</v>
      </c>
      <c r="AA418" s="8">
        <f>IFERROR(Z418/Z444, "NA")</f>
        <v>0</v>
      </c>
      <c r="AB418" s="9"/>
      <c r="AC418" s="10">
        <f t="shared" si="103"/>
        <v>0</v>
      </c>
      <c r="AD418" s="8">
        <f>IFERROR(AC418/AC444, "NA")</f>
        <v>0</v>
      </c>
    </row>
    <row r="419" spans="1:30" ht="16.5" hidden="1" customHeight="1" x14ac:dyDescent="0.45">
      <c r="A419" s="6" t="s">
        <v>384</v>
      </c>
      <c r="B419" s="7">
        <v>0</v>
      </c>
      <c r="C419" s="8">
        <f>IFERROR(B419/B444, "NA")</f>
        <v>0</v>
      </c>
      <c r="D419" s="9"/>
      <c r="E419" s="7">
        <v>0</v>
      </c>
      <c r="F419" s="8">
        <f>IFERROR(E419/E444, "NA")</f>
        <v>0</v>
      </c>
      <c r="G419" s="9"/>
      <c r="H419" s="10">
        <f t="shared" si="100"/>
        <v>0</v>
      </c>
      <c r="I419" s="8">
        <f>IFERROR(H419/H444, "NA")</f>
        <v>0</v>
      </c>
      <c r="J419" s="9"/>
      <c r="K419" s="7">
        <v>0</v>
      </c>
      <c r="L419" s="8">
        <f>IFERROR(K419/K444, "NA")</f>
        <v>0</v>
      </c>
      <c r="M419" s="9"/>
      <c r="N419" s="10">
        <f t="shared" si="101"/>
        <v>0</v>
      </c>
      <c r="O419" s="8">
        <f>IFERROR(N419/N444, "NA")</f>
        <v>0</v>
      </c>
      <c r="P419" s="9"/>
      <c r="Q419" s="7">
        <v>0</v>
      </c>
      <c r="R419" s="8">
        <f>IFERROR(Q419/Q444, "NA")</f>
        <v>0</v>
      </c>
      <c r="S419" s="9"/>
      <c r="T419" s="7">
        <v>0</v>
      </c>
      <c r="U419" s="8">
        <f>IFERROR(T419/T444, "NA")</f>
        <v>0</v>
      </c>
      <c r="V419" s="9"/>
      <c r="W419" s="10">
        <f t="shared" si="102"/>
        <v>0</v>
      </c>
      <c r="X419" s="8">
        <f>IFERROR(W419/W444, "NA")</f>
        <v>0</v>
      </c>
      <c r="Y419" s="9"/>
      <c r="Z419" s="7">
        <v>0</v>
      </c>
      <c r="AA419" s="8">
        <f>IFERROR(Z419/Z444, "NA")</f>
        <v>0</v>
      </c>
      <c r="AB419" s="9"/>
      <c r="AC419" s="10">
        <f t="shared" si="103"/>
        <v>0</v>
      </c>
      <c r="AD419" s="8">
        <f>IFERROR(AC419/AC444, "NA")</f>
        <v>0</v>
      </c>
    </row>
    <row r="420" spans="1:30" ht="16.5" hidden="1" customHeight="1" x14ac:dyDescent="0.45">
      <c r="A420" s="6" t="s">
        <v>385</v>
      </c>
      <c r="B420" s="7">
        <v>0</v>
      </c>
      <c r="C420" s="8">
        <f>IFERROR(B420/B444, "NA")</f>
        <v>0</v>
      </c>
      <c r="D420" s="9"/>
      <c r="E420" s="7">
        <v>0</v>
      </c>
      <c r="F420" s="8">
        <f>IFERROR(E420/E444, "NA")</f>
        <v>0</v>
      </c>
      <c r="G420" s="9"/>
      <c r="H420" s="10">
        <f t="shared" si="100"/>
        <v>0</v>
      </c>
      <c r="I420" s="8">
        <f>IFERROR(H420/H444, "NA")</f>
        <v>0</v>
      </c>
      <c r="J420" s="9"/>
      <c r="K420" s="7">
        <v>0</v>
      </c>
      <c r="L420" s="8">
        <f>IFERROR(K420/K444, "NA")</f>
        <v>0</v>
      </c>
      <c r="M420" s="9"/>
      <c r="N420" s="10">
        <f t="shared" si="101"/>
        <v>0</v>
      </c>
      <c r="O420" s="8">
        <f>IFERROR(N420/N444, "NA")</f>
        <v>0</v>
      </c>
      <c r="P420" s="9"/>
      <c r="Q420" s="7">
        <v>0</v>
      </c>
      <c r="R420" s="8">
        <f>IFERROR(Q420/Q444, "NA")</f>
        <v>0</v>
      </c>
      <c r="S420" s="9"/>
      <c r="T420" s="7">
        <v>0</v>
      </c>
      <c r="U420" s="8">
        <f>IFERROR(T420/T444, "NA")</f>
        <v>0</v>
      </c>
      <c r="V420" s="9"/>
      <c r="W420" s="10">
        <f t="shared" si="102"/>
        <v>0</v>
      </c>
      <c r="X420" s="8">
        <f>IFERROR(W420/W444, "NA")</f>
        <v>0</v>
      </c>
      <c r="Y420" s="9"/>
      <c r="Z420" s="7">
        <v>0</v>
      </c>
      <c r="AA420" s="8">
        <f>IFERROR(Z420/Z444, "NA")</f>
        <v>0</v>
      </c>
      <c r="AB420" s="9"/>
      <c r="AC420" s="10">
        <f t="shared" si="103"/>
        <v>0</v>
      </c>
      <c r="AD420" s="8">
        <f>IFERROR(AC420/AC444, "NA")</f>
        <v>0</v>
      </c>
    </row>
    <row r="421" spans="1:30" ht="16.5" hidden="1" customHeight="1" x14ac:dyDescent="0.45">
      <c r="A421" s="6" t="s">
        <v>386</v>
      </c>
      <c r="B421" s="7">
        <v>0</v>
      </c>
      <c r="C421" s="8">
        <f>IFERROR(B421/B444, "NA")</f>
        <v>0</v>
      </c>
      <c r="D421" s="9"/>
      <c r="E421" s="7">
        <v>0</v>
      </c>
      <c r="F421" s="8">
        <f>IFERROR(E421/E444, "NA")</f>
        <v>0</v>
      </c>
      <c r="G421" s="9"/>
      <c r="H421" s="10">
        <f t="shared" si="100"/>
        <v>0</v>
      </c>
      <c r="I421" s="8">
        <f>IFERROR(H421/H444, "NA")</f>
        <v>0</v>
      </c>
      <c r="J421" s="9"/>
      <c r="K421" s="7">
        <v>0</v>
      </c>
      <c r="L421" s="8">
        <f>IFERROR(K421/K444, "NA")</f>
        <v>0</v>
      </c>
      <c r="M421" s="9"/>
      <c r="N421" s="10">
        <f t="shared" si="101"/>
        <v>0</v>
      </c>
      <c r="O421" s="8">
        <f>IFERROR(N421/N444, "NA")</f>
        <v>0</v>
      </c>
      <c r="P421" s="9"/>
      <c r="Q421" s="7">
        <v>0</v>
      </c>
      <c r="R421" s="8">
        <f>IFERROR(Q421/Q444, "NA")</f>
        <v>0</v>
      </c>
      <c r="S421" s="9"/>
      <c r="T421" s="7">
        <v>0</v>
      </c>
      <c r="U421" s="8">
        <f>IFERROR(T421/T444, "NA")</f>
        <v>0</v>
      </c>
      <c r="V421" s="9"/>
      <c r="W421" s="10">
        <f t="shared" si="102"/>
        <v>0</v>
      </c>
      <c r="X421" s="8">
        <f>IFERROR(W421/W444, "NA")</f>
        <v>0</v>
      </c>
      <c r="Y421" s="9"/>
      <c r="Z421" s="7">
        <v>0</v>
      </c>
      <c r="AA421" s="8">
        <f>IFERROR(Z421/Z444, "NA")</f>
        <v>0</v>
      </c>
      <c r="AB421" s="9"/>
      <c r="AC421" s="10">
        <f t="shared" si="103"/>
        <v>0</v>
      </c>
      <c r="AD421" s="8">
        <f>IFERROR(AC421/AC444, "NA")</f>
        <v>0</v>
      </c>
    </row>
    <row r="422" spans="1:30" ht="16.5" hidden="1" customHeight="1" x14ac:dyDescent="0.45">
      <c r="A422" s="6" t="s">
        <v>387</v>
      </c>
      <c r="B422" s="7">
        <v>0</v>
      </c>
      <c r="C422" s="8">
        <f>IFERROR(B422/B444, "NA")</f>
        <v>0</v>
      </c>
      <c r="D422" s="9"/>
      <c r="E422" s="7">
        <v>0</v>
      </c>
      <c r="F422" s="8">
        <f>IFERROR(E422/E444, "NA")</f>
        <v>0</v>
      </c>
      <c r="G422" s="9"/>
      <c r="H422" s="10">
        <f t="shared" si="100"/>
        <v>0</v>
      </c>
      <c r="I422" s="8">
        <f>IFERROR(H422/H444, "NA")</f>
        <v>0</v>
      </c>
      <c r="J422" s="9"/>
      <c r="K422" s="7">
        <v>0</v>
      </c>
      <c r="L422" s="8">
        <f>IFERROR(K422/K444, "NA")</f>
        <v>0</v>
      </c>
      <c r="M422" s="9"/>
      <c r="N422" s="10">
        <f t="shared" si="101"/>
        <v>0</v>
      </c>
      <c r="O422" s="8">
        <f>IFERROR(N422/N444, "NA")</f>
        <v>0</v>
      </c>
      <c r="P422" s="9"/>
      <c r="Q422" s="7">
        <v>0</v>
      </c>
      <c r="R422" s="8">
        <f>IFERROR(Q422/Q444, "NA")</f>
        <v>0</v>
      </c>
      <c r="S422" s="9"/>
      <c r="T422" s="7">
        <v>0</v>
      </c>
      <c r="U422" s="8">
        <f>IFERROR(T422/T444, "NA")</f>
        <v>0</v>
      </c>
      <c r="V422" s="9"/>
      <c r="W422" s="10">
        <f t="shared" si="102"/>
        <v>0</v>
      </c>
      <c r="X422" s="8">
        <f>IFERROR(W422/W444, "NA")</f>
        <v>0</v>
      </c>
      <c r="Y422" s="9"/>
      <c r="Z422" s="7">
        <v>0</v>
      </c>
      <c r="AA422" s="8">
        <f>IFERROR(Z422/Z444, "NA")</f>
        <v>0</v>
      </c>
      <c r="AB422" s="9"/>
      <c r="AC422" s="10">
        <f t="shared" si="103"/>
        <v>0</v>
      </c>
      <c r="AD422" s="8">
        <f>IFERROR(AC422/AC444, "NA")</f>
        <v>0</v>
      </c>
    </row>
    <row r="423" spans="1:30" ht="16.5" hidden="1" customHeight="1" x14ac:dyDescent="0.45">
      <c r="A423" s="6" t="s">
        <v>388</v>
      </c>
      <c r="B423" s="7">
        <v>0</v>
      </c>
      <c r="C423" s="8">
        <f>IFERROR(B423/B444, "NA")</f>
        <v>0</v>
      </c>
      <c r="D423" s="9"/>
      <c r="E423" s="7">
        <v>0</v>
      </c>
      <c r="F423" s="8">
        <f>IFERROR(E423/E444, "NA")</f>
        <v>0</v>
      </c>
      <c r="G423" s="9"/>
      <c r="H423" s="10">
        <f t="shared" si="100"/>
        <v>0</v>
      </c>
      <c r="I423" s="8">
        <f>IFERROR(H423/H444, "NA")</f>
        <v>0</v>
      </c>
      <c r="J423" s="9"/>
      <c r="K423" s="7">
        <v>0</v>
      </c>
      <c r="L423" s="8">
        <f>IFERROR(K423/K444, "NA")</f>
        <v>0</v>
      </c>
      <c r="M423" s="9"/>
      <c r="N423" s="10">
        <f t="shared" si="101"/>
        <v>0</v>
      </c>
      <c r="O423" s="8">
        <f>IFERROR(N423/N444, "NA")</f>
        <v>0</v>
      </c>
      <c r="P423" s="9"/>
      <c r="Q423" s="7">
        <v>0</v>
      </c>
      <c r="R423" s="8">
        <f>IFERROR(Q423/Q444, "NA")</f>
        <v>0</v>
      </c>
      <c r="S423" s="9"/>
      <c r="T423" s="7">
        <v>0</v>
      </c>
      <c r="U423" s="8">
        <f>IFERROR(T423/T444, "NA")</f>
        <v>0</v>
      </c>
      <c r="V423" s="9"/>
      <c r="W423" s="10">
        <f t="shared" si="102"/>
        <v>0</v>
      </c>
      <c r="X423" s="8">
        <f>IFERROR(W423/W444, "NA")</f>
        <v>0</v>
      </c>
      <c r="Y423" s="9"/>
      <c r="Z423" s="7">
        <v>0</v>
      </c>
      <c r="AA423" s="8">
        <f>IFERROR(Z423/Z444, "NA")</f>
        <v>0</v>
      </c>
      <c r="AB423" s="9"/>
      <c r="AC423" s="10">
        <f t="shared" si="103"/>
        <v>0</v>
      </c>
      <c r="AD423" s="8">
        <f>IFERROR(AC423/AC444, "NA")</f>
        <v>0</v>
      </c>
    </row>
    <row r="424" spans="1:30" ht="16.5" hidden="1" customHeight="1" x14ac:dyDescent="0.45">
      <c r="A424" s="6" t="s">
        <v>389</v>
      </c>
      <c r="B424" s="7">
        <v>0</v>
      </c>
      <c r="C424" s="8">
        <f>IFERROR(B424/B444, "NA")</f>
        <v>0</v>
      </c>
      <c r="D424" s="9"/>
      <c r="E424" s="7">
        <v>0</v>
      </c>
      <c r="F424" s="8">
        <f>IFERROR(E424/E444, "NA")</f>
        <v>0</v>
      </c>
      <c r="G424" s="9"/>
      <c r="H424" s="10">
        <f t="shared" si="100"/>
        <v>0</v>
      </c>
      <c r="I424" s="8">
        <f>IFERROR(H424/H444, "NA")</f>
        <v>0</v>
      </c>
      <c r="J424" s="9"/>
      <c r="K424" s="7">
        <v>0</v>
      </c>
      <c r="L424" s="8">
        <f>IFERROR(K424/K444, "NA")</f>
        <v>0</v>
      </c>
      <c r="M424" s="9"/>
      <c r="N424" s="10">
        <f t="shared" si="101"/>
        <v>0</v>
      </c>
      <c r="O424" s="8">
        <f>IFERROR(N424/N444, "NA")</f>
        <v>0</v>
      </c>
      <c r="P424" s="9"/>
      <c r="Q424" s="7">
        <v>0</v>
      </c>
      <c r="R424" s="8">
        <f>IFERROR(Q424/Q444, "NA")</f>
        <v>0</v>
      </c>
      <c r="S424" s="9"/>
      <c r="T424" s="7">
        <v>0</v>
      </c>
      <c r="U424" s="8">
        <f>IFERROR(T424/T444, "NA")</f>
        <v>0</v>
      </c>
      <c r="V424" s="9"/>
      <c r="W424" s="10">
        <f t="shared" si="102"/>
        <v>0</v>
      </c>
      <c r="X424" s="8">
        <f>IFERROR(W424/W444, "NA")</f>
        <v>0</v>
      </c>
      <c r="Y424" s="9"/>
      <c r="Z424" s="7">
        <v>0</v>
      </c>
      <c r="AA424" s="8">
        <f>IFERROR(Z424/Z444, "NA")</f>
        <v>0</v>
      </c>
      <c r="AB424" s="9"/>
      <c r="AC424" s="10">
        <f t="shared" si="103"/>
        <v>0</v>
      </c>
      <c r="AD424" s="8">
        <f>IFERROR(AC424/AC444, "NA")</f>
        <v>0</v>
      </c>
    </row>
    <row r="425" spans="1:30" ht="16.5" hidden="1" customHeight="1" x14ac:dyDescent="0.45">
      <c r="A425" s="6" t="s">
        <v>390</v>
      </c>
      <c r="B425" s="7">
        <v>0</v>
      </c>
      <c r="C425" s="8">
        <f>IFERROR(B425/B444, "NA")</f>
        <v>0</v>
      </c>
      <c r="D425" s="9"/>
      <c r="E425" s="7">
        <v>0</v>
      </c>
      <c r="F425" s="8">
        <f>IFERROR(E425/E444, "NA")</f>
        <v>0</v>
      </c>
      <c r="G425" s="9"/>
      <c r="H425" s="10">
        <f t="shared" si="100"/>
        <v>0</v>
      </c>
      <c r="I425" s="8">
        <f>IFERROR(H425/H444, "NA")</f>
        <v>0</v>
      </c>
      <c r="J425" s="9"/>
      <c r="K425" s="7">
        <v>0</v>
      </c>
      <c r="L425" s="8">
        <f>IFERROR(K425/K444, "NA")</f>
        <v>0</v>
      </c>
      <c r="M425" s="9"/>
      <c r="N425" s="10">
        <f t="shared" si="101"/>
        <v>0</v>
      </c>
      <c r="O425" s="8">
        <f>IFERROR(N425/N444, "NA")</f>
        <v>0</v>
      </c>
      <c r="P425" s="9"/>
      <c r="Q425" s="7">
        <v>0</v>
      </c>
      <c r="R425" s="8">
        <f>IFERROR(Q425/Q444, "NA")</f>
        <v>0</v>
      </c>
      <c r="S425" s="9"/>
      <c r="T425" s="7">
        <v>0</v>
      </c>
      <c r="U425" s="8">
        <f>IFERROR(T425/T444, "NA")</f>
        <v>0</v>
      </c>
      <c r="V425" s="9"/>
      <c r="W425" s="10">
        <f t="shared" si="102"/>
        <v>0</v>
      </c>
      <c r="X425" s="8">
        <f>IFERROR(W425/W444, "NA")</f>
        <v>0</v>
      </c>
      <c r="Y425" s="9"/>
      <c r="Z425" s="7">
        <v>0</v>
      </c>
      <c r="AA425" s="8">
        <f>IFERROR(Z425/Z444, "NA")</f>
        <v>0</v>
      </c>
      <c r="AB425" s="9"/>
      <c r="AC425" s="10">
        <f t="shared" si="103"/>
        <v>0</v>
      </c>
      <c r="AD425" s="8">
        <f>IFERROR(AC425/AC444, "NA")</f>
        <v>0</v>
      </c>
    </row>
    <row r="426" spans="1:30" ht="16.5" hidden="1" customHeight="1" x14ac:dyDescent="0.45">
      <c r="A426" s="6" t="s">
        <v>391</v>
      </c>
      <c r="B426" s="7">
        <v>0</v>
      </c>
      <c r="C426" s="8">
        <f>IFERROR(B426/B444, "NA")</f>
        <v>0</v>
      </c>
      <c r="D426" s="9"/>
      <c r="E426" s="7">
        <v>0</v>
      </c>
      <c r="F426" s="8">
        <f>IFERROR(E426/E444, "NA")</f>
        <v>0</v>
      </c>
      <c r="G426" s="9"/>
      <c r="H426" s="10">
        <f t="shared" si="100"/>
        <v>0</v>
      </c>
      <c r="I426" s="8">
        <f>IFERROR(H426/H444, "NA")</f>
        <v>0</v>
      </c>
      <c r="J426" s="9"/>
      <c r="K426" s="7">
        <v>0</v>
      </c>
      <c r="L426" s="8">
        <f>IFERROR(K426/K444, "NA")</f>
        <v>0</v>
      </c>
      <c r="M426" s="9"/>
      <c r="N426" s="10">
        <f t="shared" si="101"/>
        <v>0</v>
      </c>
      <c r="O426" s="8">
        <f>IFERROR(N426/N444, "NA")</f>
        <v>0</v>
      </c>
      <c r="P426" s="9"/>
      <c r="Q426" s="7">
        <v>0</v>
      </c>
      <c r="R426" s="8">
        <f>IFERROR(Q426/Q444, "NA")</f>
        <v>0</v>
      </c>
      <c r="S426" s="9"/>
      <c r="T426" s="7">
        <v>0</v>
      </c>
      <c r="U426" s="8">
        <f>IFERROR(T426/T444, "NA")</f>
        <v>0</v>
      </c>
      <c r="V426" s="9"/>
      <c r="W426" s="10">
        <f t="shared" si="102"/>
        <v>0</v>
      </c>
      <c r="X426" s="8">
        <f>IFERROR(W426/W444, "NA")</f>
        <v>0</v>
      </c>
      <c r="Y426" s="9"/>
      <c r="Z426" s="7">
        <v>0</v>
      </c>
      <c r="AA426" s="8">
        <f>IFERROR(Z426/Z444, "NA")</f>
        <v>0</v>
      </c>
      <c r="AB426" s="9"/>
      <c r="AC426" s="10">
        <f t="shared" si="103"/>
        <v>0</v>
      </c>
      <c r="AD426" s="8">
        <f>IFERROR(AC426/AC444, "NA")</f>
        <v>0</v>
      </c>
    </row>
    <row r="427" spans="1:30" ht="16.5" hidden="1" customHeight="1" x14ac:dyDescent="0.45">
      <c r="A427" s="6" t="s">
        <v>392</v>
      </c>
      <c r="B427" s="7">
        <v>0</v>
      </c>
      <c r="C427" s="8">
        <f>IFERROR(B427/B444, "NA")</f>
        <v>0</v>
      </c>
      <c r="D427" s="9"/>
      <c r="E427" s="7">
        <v>0</v>
      </c>
      <c r="F427" s="8">
        <f>IFERROR(E427/E444, "NA")</f>
        <v>0</v>
      </c>
      <c r="G427" s="9"/>
      <c r="H427" s="10">
        <f t="shared" si="100"/>
        <v>0</v>
      </c>
      <c r="I427" s="8">
        <f>IFERROR(H427/H444, "NA")</f>
        <v>0</v>
      </c>
      <c r="J427" s="9"/>
      <c r="K427" s="7">
        <v>0</v>
      </c>
      <c r="L427" s="8">
        <f>IFERROR(K427/K444, "NA")</f>
        <v>0</v>
      </c>
      <c r="M427" s="9"/>
      <c r="N427" s="10">
        <f t="shared" si="101"/>
        <v>0</v>
      </c>
      <c r="O427" s="8">
        <f>IFERROR(N427/N444, "NA")</f>
        <v>0</v>
      </c>
      <c r="P427" s="9"/>
      <c r="Q427" s="7">
        <v>0</v>
      </c>
      <c r="R427" s="8">
        <f>IFERROR(Q427/Q444, "NA")</f>
        <v>0</v>
      </c>
      <c r="S427" s="9"/>
      <c r="T427" s="7">
        <v>0</v>
      </c>
      <c r="U427" s="8">
        <f>IFERROR(T427/T444, "NA")</f>
        <v>0</v>
      </c>
      <c r="V427" s="9"/>
      <c r="W427" s="10">
        <f t="shared" si="102"/>
        <v>0</v>
      </c>
      <c r="X427" s="8">
        <f>IFERROR(W427/W444, "NA")</f>
        <v>0</v>
      </c>
      <c r="Y427" s="9"/>
      <c r="Z427" s="7">
        <v>0</v>
      </c>
      <c r="AA427" s="8">
        <f>IFERROR(Z427/Z444, "NA")</f>
        <v>0</v>
      </c>
      <c r="AB427" s="9"/>
      <c r="AC427" s="10">
        <f t="shared" si="103"/>
        <v>0</v>
      </c>
      <c r="AD427" s="8">
        <f>IFERROR(AC427/AC444, "NA")</f>
        <v>0</v>
      </c>
    </row>
    <row r="428" spans="1:30" ht="16.5" customHeight="1" x14ac:dyDescent="0.45">
      <c r="A428" s="19" t="s">
        <v>393</v>
      </c>
      <c r="B428" s="14">
        <f>IFERROR(B407+B408+B409+B410+B411+B412+B413+B414+B415+B416+B417+B418+B419+B420+B421+B422+B423+B424+B425+B426+B427, "NA")</f>
        <v>8436.3599999999988</v>
      </c>
      <c r="C428" s="15">
        <f>IFERROR(B428/B444, "NA")</f>
        <v>0.11612413024177728</v>
      </c>
      <c r="D428" s="2"/>
      <c r="E428" s="14">
        <f>IFERROR(E407+E408+E409+E410+E411+E412+E413+E414+E415+E416+E417+E418+E419+E420+E421+E422+E423+E424+E425+E426+E427, "NA")</f>
        <v>8344.91</v>
      </c>
      <c r="F428" s="15">
        <f>IFERROR(E428/E444, "NA")</f>
        <v>0.11030294843159279</v>
      </c>
      <c r="G428" s="2"/>
      <c r="H428" s="14">
        <f t="shared" si="100"/>
        <v>-91.449999999998909</v>
      </c>
      <c r="I428" s="15">
        <f>IFERROR(H428/H444, "NA")</f>
        <v>3.0433017411213032E-2</v>
      </c>
      <c r="J428" s="2"/>
      <c r="K428" s="14">
        <f>IFERROR(K407+K408+K409+K410+K411+K412+K413+K414+K415+K416+K417+K418+K419+K420+K421+K422+K423+K424+K425+K426+K427, "NA")</f>
        <v>8043.29</v>
      </c>
      <c r="L428" s="15">
        <f>IFERROR(K428/K444, "NA")</f>
        <v>0.11030296497612864</v>
      </c>
      <c r="M428" s="2"/>
      <c r="N428" s="14">
        <f t="shared" si="101"/>
        <v>-393.0699999999988</v>
      </c>
      <c r="O428" s="15">
        <f>IFERROR(N428/N444, "NA")</f>
        <v>1.4532312925170243</v>
      </c>
      <c r="P428" s="2"/>
      <c r="Q428" s="14">
        <f>IFERROR(Q407+Q408+Q409+Q410+Q411+Q412+Q413+Q414+Q415+Q416+Q417+Q418+Q419+Q420+Q421+Q422+Q423+Q424+Q425+Q426+Q427, "NA")</f>
        <v>8436.3599999999988</v>
      </c>
      <c r="R428" s="15">
        <f>IFERROR(Q428/Q444, "NA")</f>
        <v>0.11612413024177728</v>
      </c>
      <c r="S428" s="2"/>
      <c r="T428" s="14">
        <f>IFERROR(T407+T408+T409+T410+T411+T412+T413+T414+T415+T416+T417+T418+T419+T420+T421+T422+T423+T424+T425+T426+T427, "NA")</f>
        <v>8344.91</v>
      </c>
      <c r="U428" s="15">
        <f>IFERROR(T428/T444, "NA")</f>
        <v>0.11030294843159279</v>
      </c>
      <c r="V428" s="2"/>
      <c r="W428" s="14">
        <f t="shared" si="102"/>
        <v>-91.449999999998909</v>
      </c>
      <c r="X428" s="15">
        <f>IFERROR(W428/W444, "NA")</f>
        <v>3.0433017411213032E-2</v>
      </c>
      <c r="Y428" s="2"/>
      <c r="Z428" s="14">
        <f>IFERROR(Z407+Z408+Z409+Z410+Z411+Z412+Z413+Z414+Z415+Z416+Z417+Z418+Z419+Z420+Z421+Z422+Z423+Z424+Z425+Z426+Z427, "NA")</f>
        <v>8043.29</v>
      </c>
      <c r="AA428" s="15">
        <f>IFERROR(Z428/Z444, "NA")</f>
        <v>0.11030296497612864</v>
      </c>
      <c r="AB428" s="2"/>
      <c r="AC428" s="14">
        <f t="shared" si="103"/>
        <v>-393.0699999999988</v>
      </c>
      <c r="AD428" s="15">
        <f>IFERROR(AC428/AC444, "NA")</f>
        <v>1.4532312925170243</v>
      </c>
    </row>
    <row r="429" spans="1:30" ht="16.5" customHeight="1" x14ac:dyDescent="0.45">
      <c r="A429" s="21" t="s">
        <v>394</v>
      </c>
      <c r="B429" s="14">
        <f>IFERROR(B407+B408+B409+B410+B411+B412+B413+B414+B415+B416+B417+B418+B419+B420+B421+B422+B423+B424+B425+B426+B427, "NA")</f>
        <v>8436.3599999999988</v>
      </c>
      <c r="C429" s="15">
        <f>IFERROR(B429/B444, "NA")</f>
        <v>0.11612413024177728</v>
      </c>
      <c r="D429" s="2"/>
      <c r="E429" s="14">
        <f>IFERROR(E407+E408+E409+E410+E411+E412+E413+E414+E415+E416+E417+E418+E419+E420+E421+E422+E423+E424+E425+E426+E427, "NA")</f>
        <v>8344.91</v>
      </c>
      <c r="F429" s="15">
        <f>IFERROR(E429/E444, "NA")</f>
        <v>0.11030294843159279</v>
      </c>
      <c r="G429" s="2"/>
      <c r="H429" s="14">
        <f t="shared" si="100"/>
        <v>-91.449999999998909</v>
      </c>
      <c r="I429" s="15">
        <f>IFERROR(H429/H444, "NA")</f>
        <v>3.0433017411213032E-2</v>
      </c>
      <c r="J429" s="2"/>
      <c r="K429" s="14">
        <f>IFERROR(K407+K408+K409+K410+K411+K412+K413+K414+K415+K416+K417+K418+K419+K420+K421+K422+K423+K424+K425+K426+K427, "NA")</f>
        <v>8043.29</v>
      </c>
      <c r="L429" s="15">
        <f>IFERROR(K429/K444, "NA")</f>
        <v>0.11030296497612864</v>
      </c>
      <c r="M429" s="2"/>
      <c r="N429" s="14">
        <f t="shared" si="101"/>
        <v>-393.0699999999988</v>
      </c>
      <c r="O429" s="15">
        <f>IFERROR(N429/N444, "NA")</f>
        <v>1.4532312925170243</v>
      </c>
      <c r="P429" s="2"/>
      <c r="Q429" s="14">
        <f>IFERROR(Q407+Q408+Q409+Q410+Q411+Q412+Q413+Q414+Q415+Q416+Q417+Q418+Q419+Q420+Q421+Q422+Q423+Q424+Q425+Q426+Q427, "NA")</f>
        <v>8436.3599999999988</v>
      </c>
      <c r="R429" s="15">
        <f>IFERROR(Q429/Q444, "NA")</f>
        <v>0.11612413024177728</v>
      </c>
      <c r="S429" s="2"/>
      <c r="T429" s="14">
        <f>IFERROR(T407+T408+T409+T410+T411+T412+T413+T414+T415+T416+T417+T418+T419+T420+T421+T422+T423+T424+T425+T426+T427, "NA")</f>
        <v>8344.91</v>
      </c>
      <c r="U429" s="15">
        <f>IFERROR(T429/T444, "NA")</f>
        <v>0.11030294843159279</v>
      </c>
      <c r="V429" s="2"/>
      <c r="W429" s="14">
        <f t="shared" si="102"/>
        <v>-91.449999999998909</v>
      </c>
      <c r="X429" s="15">
        <f>IFERROR(W429/W444, "NA")</f>
        <v>3.0433017411213032E-2</v>
      </c>
      <c r="Y429" s="2"/>
      <c r="Z429" s="14">
        <f>IFERROR(Z407+Z408+Z409+Z410+Z411+Z412+Z413+Z414+Z415+Z416+Z417+Z418+Z419+Z420+Z421+Z422+Z423+Z424+Z425+Z426+Z427, "NA")</f>
        <v>8043.29</v>
      </c>
      <c r="AA429" s="15">
        <f>IFERROR(Z429/Z444, "NA")</f>
        <v>0.11030296497612864</v>
      </c>
      <c r="AB429" s="2"/>
      <c r="AC429" s="14">
        <f t="shared" si="103"/>
        <v>-393.0699999999988</v>
      </c>
      <c r="AD429" s="15">
        <f>IFERROR(AC429/AC444, "NA")</f>
        <v>1.4532312925170243</v>
      </c>
    </row>
    <row r="430" spans="1:30" ht="16.5" customHeight="1" x14ac:dyDescent="0.45">
      <c r="A430" s="1" t="s">
        <v>395</v>
      </c>
      <c r="B430" s="2"/>
      <c r="C430" s="3"/>
      <c r="D430" s="4"/>
      <c r="E430" s="2"/>
      <c r="F430" s="3"/>
      <c r="G430" s="4"/>
      <c r="H430" s="2"/>
      <c r="I430" s="3"/>
      <c r="J430" s="4"/>
      <c r="K430" s="2"/>
      <c r="L430" s="3"/>
      <c r="M430" s="4"/>
      <c r="N430" s="2"/>
      <c r="O430" s="3"/>
      <c r="P430" s="4"/>
      <c r="Q430" s="2"/>
      <c r="R430" s="3"/>
      <c r="S430" s="4"/>
      <c r="T430" s="2"/>
      <c r="U430" s="3"/>
      <c r="V430" s="4"/>
      <c r="W430" s="2"/>
      <c r="X430" s="3"/>
      <c r="Y430" s="4"/>
      <c r="Z430" s="2"/>
      <c r="AA430" s="3"/>
      <c r="AB430" s="4"/>
      <c r="AC430" s="2"/>
      <c r="AD430" s="3"/>
    </row>
    <row r="431" spans="1:30" ht="16.5" customHeight="1" x14ac:dyDescent="0.45">
      <c r="A431" s="5" t="s">
        <v>396</v>
      </c>
      <c r="B431" s="2"/>
      <c r="C431" s="3"/>
      <c r="D431" s="4"/>
      <c r="E431" s="2"/>
      <c r="F431" s="3"/>
      <c r="G431" s="4"/>
      <c r="H431" s="2"/>
      <c r="I431" s="3"/>
      <c r="J431" s="4"/>
      <c r="K431" s="2"/>
      <c r="L431" s="3"/>
      <c r="M431" s="4"/>
      <c r="N431" s="2"/>
      <c r="O431" s="3"/>
      <c r="P431" s="4"/>
      <c r="Q431" s="2"/>
      <c r="R431" s="3"/>
      <c r="S431" s="4"/>
      <c r="T431" s="2"/>
      <c r="U431" s="3"/>
      <c r="V431" s="4"/>
      <c r="W431" s="2"/>
      <c r="X431" s="3"/>
      <c r="Y431" s="4"/>
      <c r="Z431" s="2"/>
      <c r="AA431" s="3"/>
      <c r="AB431" s="4"/>
      <c r="AC431" s="2"/>
      <c r="AD431" s="3"/>
    </row>
    <row r="432" spans="1:30" ht="16.5" hidden="1" customHeight="1" x14ac:dyDescent="0.45">
      <c r="A432" s="6" t="s">
        <v>396</v>
      </c>
      <c r="B432" s="7">
        <v>0</v>
      </c>
      <c r="C432" s="8">
        <f>IFERROR(B432/B444, "NA")</f>
        <v>0</v>
      </c>
      <c r="D432" s="9"/>
      <c r="E432" s="7">
        <v>0</v>
      </c>
      <c r="F432" s="8">
        <f>IFERROR(E432/E444, "NA")</f>
        <v>0</v>
      </c>
      <c r="G432" s="9"/>
      <c r="H432" s="10">
        <f t="shared" ref="H432:H442" si="104">IFERROR(-(B432-E432), "NA")</f>
        <v>0</v>
      </c>
      <c r="I432" s="8">
        <f>IFERROR(H432/H444, "NA")</f>
        <v>0</v>
      </c>
      <c r="J432" s="9"/>
      <c r="K432" s="7">
        <v>0</v>
      </c>
      <c r="L432" s="8">
        <f>IFERROR(K432/K444, "NA")</f>
        <v>0</v>
      </c>
      <c r="M432" s="9"/>
      <c r="N432" s="10">
        <f t="shared" ref="N432:N442" si="105">IFERROR(-(B432-K432), "NA")</f>
        <v>0</v>
      </c>
      <c r="O432" s="8">
        <f>IFERROR(N432/N444, "NA")</f>
        <v>0</v>
      </c>
      <c r="P432" s="9"/>
      <c r="Q432" s="7">
        <v>0</v>
      </c>
      <c r="R432" s="8">
        <f>IFERROR(Q432/Q444, "NA")</f>
        <v>0</v>
      </c>
      <c r="S432" s="9"/>
      <c r="T432" s="7">
        <v>0</v>
      </c>
      <c r="U432" s="8">
        <f>IFERROR(T432/T444, "NA")</f>
        <v>0</v>
      </c>
      <c r="V432" s="9"/>
      <c r="W432" s="10">
        <f t="shared" ref="W432:W442" si="106">IFERROR(-(Q432-T432), "NA")</f>
        <v>0</v>
      </c>
      <c r="X432" s="8">
        <f>IFERROR(W432/W444, "NA")</f>
        <v>0</v>
      </c>
      <c r="Y432" s="9"/>
      <c r="Z432" s="7">
        <v>0</v>
      </c>
      <c r="AA432" s="8">
        <f>IFERROR(Z432/Z444, "NA")</f>
        <v>0</v>
      </c>
      <c r="AB432" s="9"/>
      <c r="AC432" s="10">
        <f t="shared" ref="AC432:AC442" si="107">IFERROR(-(Q432-Z432), "NA")</f>
        <v>0</v>
      </c>
      <c r="AD432" s="8">
        <f>IFERROR(AC432/AC444, "NA")</f>
        <v>0</v>
      </c>
    </row>
    <row r="433" spans="1:30" ht="16.5" hidden="1" customHeight="1" x14ac:dyDescent="0.45">
      <c r="A433" s="6" t="s">
        <v>397</v>
      </c>
      <c r="B433" s="7">
        <v>0</v>
      </c>
      <c r="C433" s="8">
        <f>IFERROR(B433/B444, "NA")</f>
        <v>0</v>
      </c>
      <c r="D433" s="9"/>
      <c r="E433" s="7">
        <v>0</v>
      </c>
      <c r="F433" s="8">
        <f>IFERROR(E433/E444, "NA")</f>
        <v>0</v>
      </c>
      <c r="G433" s="9"/>
      <c r="H433" s="10">
        <f t="shared" si="104"/>
        <v>0</v>
      </c>
      <c r="I433" s="8">
        <f>IFERROR(H433/H444, "NA")</f>
        <v>0</v>
      </c>
      <c r="J433" s="9"/>
      <c r="K433" s="7">
        <v>0</v>
      </c>
      <c r="L433" s="8">
        <f>IFERROR(K433/K444, "NA")</f>
        <v>0</v>
      </c>
      <c r="M433" s="9"/>
      <c r="N433" s="10">
        <f t="shared" si="105"/>
        <v>0</v>
      </c>
      <c r="O433" s="8">
        <f>IFERROR(N433/N444, "NA")</f>
        <v>0</v>
      </c>
      <c r="P433" s="9"/>
      <c r="Q433" s="7">
        <v>0</v>
      </c>
      <c r="R433" s="8">
        <f>IFERROR(Q433/Q444, "NA")</f>
        <v>0</v>
      </c>
      <c r="S433" s="9"/>
      <c r="T433" s="7">
        <v>0</v>
      </c>
      <c r="U433" s="8">
        <f>IFERROR(T433/T444, "NA")</f>
        <v>0</v>
      </c>
      <c r="V433" s="9"/>
      <c r="W433" s="10">
        <f t="shared" si="106"/>
        <v>0</v>
      </c>
      <c r="X433" s="8">
        <f>IFERROR(W433/W444, "NA")</f>
        <v>0</v>
      </c>
      <c r="Y433" s="9"/>
      <c r="Z433" s="7">
        <v>0</v>
      </c>
      <c r="AA433" s="8">
        <f>IFERROR(Z433/Z444, "NA")</f>
        <v>0</v>
      </c>
      <c r="AB433" s="9"/>
      <c r="AC433" s="10">
        <f t="shared" si="107"/>
        <v>0</v>
      </c>
      <c r="AD433" s="8">
        <f>IFERROR(AC433/AC444, "NA")</f>
        <v>0</v>
      </c>
    </row>
    <row r="434" spans="1:30" ht="16.5" hidden="1" customHeight="1" x14ac:dyDescent="0.45">
      <c r="A434" s="6" t="s">
        <v>398</v>
      </c>
      <c r="B434" s="7">
        <v>0</v>
      </c>
      <c r="C434" s="8">
        <f>IFERROR(B434/B444, "NA")</f>
        <v>0</v>
      </c>
      <c r="D434" s="9"/>
      <c r="E434" s="7">
        <v>0</v>
      </c>
      <c r="F434" s="8">
        <f>IFERROR(E434/E444, "NA")</f>
        <v>0</v>
      </c>
      <c r="G434" s="9"/>
      <c r="H434" s="10">
        <f t="shared" si="104"/>
        <v>0</v>
      </c>
      <c r="I434" s="8">
        <f>IFERROR(H434/H444, "NA")</f>
        <v>0</v>
      </c>
      <c r="J434" s="9"/>
      <c r="K434" s="7">
        <v>0</v>
      </c>
      <c r="L434" s="8">
        <f>IFERROR(K434/K444, "NA")</f>
        <v>0</v>
      </c>
      <c r="M434" s="9"/>
      <c r="N434" s="10">
        <f t="shared" si="105"/>
        <v>0</v>
      </c>
      <c r="O434" s="8">
        <f>IFERROR(N434/N444, "NA")</f>
        <v>0</v>
      </c>
      <c r="P434" s="9"/>
      <c r="Q434" s="7">
        <v>0</v>
      </c>
      <c r="R434" s="8">
        <f>IFERROR(Q434/Q444, "NA")</f>
        <v>0</v>
      </c>
      <c r="S434" s="9"/>
      <c r="T434" s="7">
        <v>0</v>
      </c>
      <c r="U434" s="8">
        <f>IFERROR(T434/T444, "NA")</f>
        <v>0</v>
      </c>
      <c r="V434" s="9"/>
      <c r="W434" s="10">
        <f t="shared" si="106"/>
        <v>0</v>
      </c>
      <c r="X434" s="8">
        <f>IFERROR(W434/W444, "NA")</f>
        <v>0</v>
      </c>
      <c r="Y434" s="9"/>
      <c r="Z434" s="7">
        <v>0</v>
      </c>
      <c r="AA434" s="8">
        <f>IFERROR(Z434/Z444, "NA")</f>
        <v>0</v>
      </c>
      <c r="AB434" s="9"/>
      <c r="AC434" s="10">
        <f t="shared" si="107"/>
        <v>0</v>
      </c>
      <c r="AD434" s="8">
        <f>IFERROR(AC434/AC444, "NA")</f>
        <v>0</v>
      </c>
    </row>
    <row r="435" spans="1:30" ht="16.5" hidden="1" customHeight="1" x14ac:dyDescent="0.45">
      <c r="A435" s="6" t="s">
        <v>399</v>
      </c>
      <c r="B435" s="7">
        <v>0</v>
      </c>
      <c r="C435" s="8">
        <f>IFERROR(B435/B444, "NA")</f>
        <v>0</v>
      </c>
      <c r="D435" s="9"/>
      <c r="E435" s="7">
        <v>0</v>
      </c>
      <c r="F435" s="8">
        <f>IFERROR(E435/E444, "NA")</f>
        <v>0</v>
      </c>
      <c r="G435" s="9"/>
      <c r="H435" s="10">
        <f t="shared" si="104"/>
        <v>0</v>
      </c>
      <c r="I435" s="8">
        <f>IFERROR(H435/H444, "NA")</f>
        <v>0</v>
      </c>
      <c r="J435" s="9"/>
      <c r="K435" s="7">
        <v>0</v>
      </c>
      <c r="L435" s="8">
        <f>IFERROR(K435/K444, "NA")</f>
        <v>0</v>
      </c>
      <c r="M435" s="9"/>
      <c r="N435" s="10">
        <f t="shared" si="105"/>
        <v>0</v>
      </c>
      <c r="O435" s="8">
        <f>IFERROR(N435/N444, "NA")</f>
        <v>0</v>
      </c>
      <c r="P435" s="9"/>
      <c r="Q435" s="7">
        <v>0</v>
      </c>
      <c r="R435" s="8">
        <f>IFERROR(Q435/Q444, "NA")</f>
        <v>0</v>
      </c>
      <c r="S435" s="9"/>
      <c r="T435" s="7">
        <v>0</v>
      </c>
      <c r="U435" s="8">
        <f>IFERROR(T435/T444, "NA")</f>
        <v>0</v>
      </c>
      <c r="V435" s="9"/>
      <c r="W435" s="10">
        <f t="shared" si="106"/>
        <v>0</v>
      </c>
      <c r="X435" s="8">
        <f>IFERROR(W435/W444, "NA")</f>
        <v>0</v>
      </c>
      <c r="Y435" s="9"/>
      <c r="Z435" s="7">
        <v>0</v>
      </c>
      <c r="AA435" s="8">
        <f>IFERROR(Z435/Z444, "NA")</f>
        <v>0</v>
      </c>
      <c r="AB435" s="9"/>
      <c r="AC435" s="10">
        <f t="shared" si="107"/>
        <v>0</v>
      </c>
      <c r="AD435" s="8">
        <f>IFERROR(AC435/AC444, "NA")</f>
        <v>0</v>
      </c>
    </row>
    <row r="436" spans="1:30" ht="16.5" hidden="1" customHeight="1" x14ac:dyDescent="0.45">
      <c r="A436" s="6" t="s">
        <v>400</v>
      </c>
      <c r="B436" s="7">
        <v>0</v>
      </c>
      <c r="C436" s="8">
        <f>IFERROR(B436/B444, "NA")</f>
        <v>0</v>
      </c>
      <c r="D436" s="9"/>
      <c r="E436" s="7">
        <v>0</v>
      </c>
      <c r="F436" s="8">
        <f>IFERROR(E436/E444, "NA")</f>
        <v>0</v>
      </c>
      <c r="G436" s="9"/>
      <c r="H436" s="10">
        <f t="shared" si="104"/>
        <v>0</v>
      </c>
      <c r="I436" s="8">
        <f>IFERROR(H436/H444, "NA")</f>
        <v>0</v>
      </c>
      <c r="J436" s="9"/>
      <c r="K436" s="7">
        <v>0</v>
      </c>
      <c r="L436" s="8">
        <f>IFERROR(K436/K444, "NA")</f>
        <v>0</v>
      </c>
      <c r="M436" s="9"/>
      <c r="N436" s="10">
        <f t="shared" si="105"/>
        <v>0</v>
      </c>
      <c r="O436" s="8">
        <f>IFERROR(N436/N444, "NA")</f>
        <v>0</v>
      </c>
      <c r="P436" s="9"/>
      <c r="Q436" s="7">
        <v>0</v>
      </c>
      <c r="R436" s="8">
        <f>IFERROR(Q436/Q444, "NA")</f>
        <v>0</v>
      </c>
      <c r="S436" s="9"/>
      <c r="T436" s="7">
        <v>0</v>
      </c>
      <c r="U436" s="8">
        <f>IFERROR(T436/T444, "NA")</f>
        <v>0</v>
      </c>
      <c r="V436" s="9"/>
      <c r="W436" s="10">
        <f t="shared" si="106"/>
        <v>0</v>
      </c>
      <c r="X436" s="8">
        <f>IFERROR(W436/W444, "NA")</f>
        <v>0</v>
      </c>
      <c r="Y436" s="9"/>
      <c r="Z436" s="7">
        <v>0</v>
      </c>
      <c r="AA436" s="8">
        <f>IFERROR(Z436/Z444, "NA")</f>
        <v>0</v>
      </c>
      <c r="AB436" s="9"/>
      <c r="AC436" s="10">
        <f t="shared" si="107"/>
        <v>0</v>
      </c>
      <c r="AD436" s="8">
        <f>IFERROR(AC436/AC444, "NA")</f>
        <v>0</v>
      </c>
    </row>
    <row r="437" spans="1:30" ht="16.5" hidden="1" customHeight="1" x14ac:dyDescent="0.45">
      <c r="A437" s="6" t="s">
        <v>401</v>
      </c>
      <c r="B437" s="7">
        <v>0</v>
      </c>
      <c r="C437" s="8">
        <f>IFERROR(B437/B444, "NA")</f>
        <v>0</v>
      </c>
      <c r="D437" s="9"/>
      <c r="E437" s="7">
        <v>0</v>
      </c>
      <c r="F437" s="8">
        <f>IFERROR(E437/E444, "NA")</f>
        <v>0</v>
      </c>
      <c r="G437" s="9"/>
      <c r="H437" s="10">
        <f t="shared" si="104"/>
        <v>0</v>
      </c>
      <c r="I437" s="8">
        <f>IFERROR(H437/H444, "NA")</f>
        <v>0</v>
      </c>
      <c r="J437" s="9"/>
      <c r="K437" s="7">
        <v>0</v>
      </c>
      <c r="L437" s="8">
        <f>IFERROR(K437/K444, "NA")</f>
        <v>0</v>
      </c>
      <c r="M437" s="9"/>
      <c r="N437" s="10">
        <f t="shared" si="105"/>
        <v>0</v>
      </c>
      <c r="O437" s="8">
        <f>IFERROR(N437/N444, "NA")</f>
        <v>0</v>
      </c>
      <c r="P437" s="9"/>
      <c r="Q437" s="7">
        <v>0</v>
      </c>
      <c r="R437" s="8">
        <f>IFERROR(Q437/Q444, "NA")</f>
        <v>0</v>
      </c>
      <c r="S437" s="9"/>
      <c r="T437" s="7">
        <v>0</v>
      </c>
      <c r="U437" s="8">
        <f>IFERROR(T437/T444, "NA")</f>
        <v>0</v>
      </c>
      <c r="V437" s="9"/>
      <c r="W437" s="10">
        <f t="shared" si="106"/>
        <v>0</v>
      </c>
      <c r="X437" s="8">
        <f>IFERROR(W437/W444, "NA")</f>
        <v>0</v>
      </c>
      <c r="Y437" s="9"/>
      <c r="Z437" s="7">
        <v>0</v>
      </c>
      <c r="AA437" s="8">
        <f>IFERROR(Z437/Z444, "NA")</f>
        <v>0</v>
      </c>
      <c r="AB437" s="9"/>
      <c r="AC437" s="10">
        <f t="shared" si="107"/>
        <v>0</v>
      </c>
      <c r="AD437" s="8">
        <f>IFERROR(AC437/AC444, "NA")</f>
        <v>0</v>
      </c>
    </row>
    <row r="438" spans="1:30" ht="30.75" hidden="1" customHeight="1" x14ac:dyDescent="0.45">
      <c r="A438" s="6" t="s">
        <v>402</v>
      </c>
      <c r="B438" s="7">
        <v>0</v>
      </c>
      <c r="C438" s="8">
        <f>IFERROR(B438/B444, "NA")</f>
        <v>0</v>
      </c>
      <c r="D438" s="9"/>
      <c r="E438" s="7">
        <v>0</v>
      </c>
      <c r="F438" s="8">
        <f>IFERROR(E438/E444, "NA")</f>
        <v>0</v>
      </c>
      <c r="G438" s="9"/>
      <c r="H438" s="10">
        <f t="shared" si="104"/>
        <v>0</v>
      </c>
      <c r="I438" s="8">
        <f>IFERROR(H438/H444, "NA")</f>
        <v>0</v>
      </c>
      <c r="J438" s="9"/>
      <c r="K438" s="7">
        <v>0</v>
      </c>
      <c r="L438" s="8">
        <f>IFERROR(K438/K444, "NA")</f>
        <v>0</v>
      </c>
      <c r="M438" s="9"/>
      <c r="N438" s="10">
        <f t="shared" si="105"/>
        <v>0</v>
      </c>
      <c r="O438" s="8">
        <f>IFERROR(N438/N444, "NA")</f>
        <v>0</v>
      </c>
      <c r="P438" s="9"/>
      <c r="Q438" s="7">
        <v>0</v>
      </c>
      <c r="R438" s="8">
        <f>IFERROR(Q438/Q444, "NA")</f>
        <v>0</v>
      </c>
      <c r="S438" s="9"/>
      <c r="T438" s="7">
        <v>0</v>
      </c>
      <c r="U438" s="8">
        <f>IFERROR(T438/T444, "NA")</f>
        <v>0</v>
      </c>
      <c r="V438" s="9"/>
      <c r="W438" s="10">
        <f t="shared" si="106"/>
        <v>0</v>
      </c>
      <c r="X438" s="8">
        <f>IFERROR(W438/W444, "NA")</f>
        <v>0</v>
      </c>
      <c r="Y438" s="9"/>
      <c r="Z438" s="7">
        <v>0</v>
      </c>
      <c r="AA438" s="8">
        <f>IFERROR(Z438/Z444, "NA")</f>
        <v>0</v>
      </c>
      <c r="AB438" s="9"/>
      <c r="AC438" s="10">
        <f t="shared" si="107"/>
        <v>0</v>
      </c>
      <c r="AD438" s="8">
        <f>IFERROR(AC438/AC444, "NA")</f>
        <v>0</v>
      </c>
    </row>
    <row r="439" spans="1:30" ht="16.5" hidden="1" customHeight="1" x14ac:dyDescent="0.45">
      <c r="A439" s="6" t="s">
        <v>403</v>
      </c>
      <c r="B439" s="7">
        <v>0</v>
      </c>
      <c r="C439" s="8">
        <f>IFERROR(B439/B444, "NA")</f>
        <v>0</v>
      </c>
      <c r="D439" s="9"/>
      <c r="E439" s="7">
        <v>0</v>
      </c>
      <c r="F439" s="8">
        <f>IFERROR(E439/E444, "NA")</f>
        <v>0</v>
      </c>
      <c r="G439" s="9"/>
      <c r="H439" s="10">
        <f t="shared" si="104"/>
        <v>0</v>
      </c>
      <c r="I439" s="8">
        <f>IFERROR(H439/H444, "NA")</f>
        <v>0</v>
      </c>
      <c r="J439" s="9"/>
      <c r="K439" s="7">
        <v>0</v>
      </c>
      <c r="L439" s="8">
        <f>IFERROR(K439/K444, "NA")</f>
        <v>0</v>
      </c>
      <c r="M439" s="9"/>
      <c r="N439" s="10">
        <f t="shared" si="105"/>
        <v>0</v>
      </c>
      <c r="O439" s="8">
        <f>IFERROR(N439/N444, "NA")</f>
        <v>0</v>
      </c>
      <c r="P439" s="9"/>
      <c r="Q439" s="7">
        <v>0</v>
      </c>
      <c r="R439" s="8">
        <f>IFERROR(Q439/Q444, "NA")</f>
        <v>0</v>
      </c>
      <c r="S439" s="9"/>
      <c r="T439" s="7">
        <v>0</v>
      </c>
      <c r="U439" s="8">
        <f>IFERROR(T439/T444, "NA")</f>
        <v>0</v>
      </c>
      <c r="V439" s="9"/>
      <c r="W439" s="10">
        <f t="shared" si="106"/>
        <v>0</v>
      </c>
      <c r="X439" s="8">
        <f>IFERROR(W439/W444, "NA")</f>
        <v>0</v>
      </c>
      <c r="Y439" s="9"/>
      <c r="Z439" s="7">
        <v>0</v>
      </c>
      <c r="AA439" s="8">
        <f>IFERROR(Z439/Z444, "NA")</f>
        <v>0</v>
      </c>
      <c r="AB439" s="9"/>
      <c r="AC439" s="10">
        <f t="shared" si="107"/>
        <v>0</v>
      </c>
      <c r="AD439" s="8">
        <f>IFERROR(AC439/AC444, "NA")</f>
        <v>0</v>
      </c>
    </row>
    <row r="440" spans="1:30" ht="30.75" hidden="1" customHeight="1" x14ac:dyDescent="0.45">
      <c r="A440" s="6" t="s">
        <v>404</v>
      </c>
      <c r="B440" s="7">
        <v>0</v>
      </c>
      <c r="C440" s="8">
        <f>IFERROR(B440/B444, "NA")</f>
        <v>0</v>
      </c>
      <c r="D440" s="9"/>
      <c r="E440" s="7">
        <v>0</v>
      </c>
      <c r="F440" s="8">
        <f>IFERROR(E440/E444, "NA")</f>
        <v>0</v>
      </c>
      <c r="G440" s="9"/>
      <c r="H440" s="10">
        <f t="shared" si="104"/>
        <v>0</v>
      </c>
      <c r="I440" s="8">
        <f>IFERROR(H440/H444, "NA")</f>
        <v>0</v>
      </c>
      <c r="J440" s="9"/>
      <c r="K440" s="7">
        <v>0</v>
      </c>
      <c r="L440" s="8">
        <f>IFERROR(K440/K444, "NA")</f>
        <v>0</v>
      </c>
      <c r="M440" s="9"/>
      <c r="N440" s="10">
        <f t="shared" si="105"/>
        <v>0</v>
      </c>
      <c r="O440" s="8">
        <f>IFERROR(N440/N444, "NA")</f>
        <v>0</v>
      </c>
      <c r="P440" s="9"/>
      <c r="Q440" s="7">
        <v>0</v>
      </c>
      <c r="R440" s="8">
        <f>IFERROR(Q440/Q444, "NA")</f>
        <v>0</v>
      </c>
      <c r="S440" s="9"/>
      <c r="T440" s="7">
        <v>0</v>
      </c>
      <c r="U440" s="8">
        <f>IFERROR(T440/T444, "NA")</f>
        <v>0</v>
      </c>
      <c r="V440" s="9"/>
      <c r="W440" s="10">
        <f t="shared" si="106"/>
        <v>0</v>
      </c>
      <c r="X440" s="8">
        <f>IFERROR(W440/W444, "NA")</f>
        <v>0</v>
      </c>
      <c r="Y440" s="9"/>
      <c r="Z440" s="7">
        <v>0</v>
      </c>
      <c r="AA440" s="8">
        <f>IFERROR(Z440/Z444, "NA")</f>
        <v>0</v>
      </c>
      <c r="AB440" s="9"/>
      <c r="AC440" s="10">
        <f t="shared" si="107"/>
        <v>0</v>
      </c>
      <c r="AD440" s="8">
        <f>IFERROR(AC440/AC444, "NA")</f>
        <v>0</v>
      </c>
    </row>
    <row r="441" spans="1:30" ht="16.5" customHeight="1" x14ac:dyDescent="0.45">
      <c r="A441" s="19" t="s">
        <v>405</v>
      </c>
      <c r="B441" s="14">
        <f>IFERROR(B432+B433+B434+B435+B436+B437+B438+B439+B440, "NA")</f>
        <v>0</v>
      </c>
      <c r="C441" s="15">
        <f>IFERROR(B441/B444, "NA")</f>
        <v>0</v>
      </c>
      <c r="D441" s="2"/>
      <c r="E441" s="14">
        <f>IFERROR(E432+E433+E434+E435+E436+E437+E438+E439+E440, "NA")</f>
        <v>0</v>
      </c>
      <c r="F441" s="15">
        <f>IFERROR(E441/E444, "NA")</f>
        <v>0</v>
      </c>
      <c r="G441" s="2"/>
      <c r="H441" s="14">
        <f t="shared" si="104"/>
        <v>0</v>
      </c>
      <c r="I441" s="15">
        <f>IFERROR(H441/H444, "NA")</f>
        <v>0</v>
      </c>
      <c r="J441" s="2"/>
      <c r="K441" s="14">
        <f>IFERROR(K432+K433+K434+K435+K436+K437+K438+K439+K440, "NA")</f>
        <v>0</v>
      </c>
      <c r="L441" s="15">
        <f>IFERROR(K441/K444, "NA")</f>
        <v>0</v>
      </c>
      <c r="M441" s="2"/>
      <c r="N441" s="14">
        <f t="shared" si="105"/>
        <v>0</v>
      </c>
      <c r="O441" s="15">
        <f>IFERROR(N441/N444, "NA")</f>
        <v>0</v>
      </c>
      <c r="P441" s="2"/>
      <c r="Q441" s="14">
        <f>IFERROR(Q432+Q433+Q434+Q435+Q436+Q437+Q438+Q439+Q440, "NA")</f>
        <v>0</v>
      </c>
      <c r="R441" s="15">
        <f>IFERROR(Q441/Q444, "NA")</f>
        <v>0</v>
      </c>
      <c r="S441" s="2"/>
      <c r="T441" s="14">
        <f>IFERROR(T432+T433+T434+T435+T436+T437+T438+T439+T440, "NA")</f>
        <v>0</v>
      </c>
      <c r="U441" s="15">
        <f>IFERROR(T441/T444, "NA")</f>
        <v>0</v>
      </c>
      <c r="V441" s="2"/>
      <c r="W441" s="14">
        <f t="shared" si="106"/>
        <v>0</v>
      </c>
      <c r="X441" s="15">
        <f>IFERROR(W441/W444, "NA")</f>
        <v>0</v>
      </c>
      <c r="Y441" s="2"/>
      <c r="Z441" s="14">
        <f>IFERROR(Z432+Z433+Z434+Z435+Z436+Z437+Z438+Z439+Z440, "NA")</f>
        <v>0</v>
      </c>
      <c r="AA441" s="15">
        <f>IFERROR(Z441/Z444, "NA")</f>
        <v>0</v>
      </c>
      <c r="AB441" s="2"/>
      <c r="AC441" s="14">
        <f t="shared" si="107"/>
        <v>0</v>
      </c>
      <c r="AD441" s="15">
        <f>IFERROR(AC441/AC444, "NA")</f>
        <v>0</v>
      </c>
    </row>
    <row r="442" spans="1:30" ht="16.5" customHeight="1" x14ac:dyDescent="0.45">
      <c r="A442" s="21" t="s">
        <v>406</v>
      </c>
      <c r="B442" s="14">
        <f>IFERROR(B432+B433+B434+B435+B436+B437+B438+B439+B440, "NA")</f>
        <v>0</v>
      </c>
      <c r="C442" s="15">
        <f>IFERROR(B442/B444, "NA")</f>
        <v>0</v>
      </c>
      <c r="D442" s="2"/>
      <c r="E442" s="14">
        <f>IFERROR(E432+E433+E434+E435+E436+E437+E438+E439+E440, "NA")</f>
        <v>0</v>
      </c>
      <c r="F442" s="15">
        <f>IFERROR(E442/E444, "NA")</f>
        <v>0</v>
      </c>
      <c r="G442" s="2"/>
      <c r="H442" s="14">
        <f t="shared" si="104"/>
        <v>0</v>
      </c>
      <c r="I442" s="15">
        <f>IFERROR(H442/H444, "NA")</f>
        <v>0</v>
      </c>
      <c r="J442" s="2"/>
      <c r="K442" s="14">
        <f>IFERROR(K432+K433+K434+K435+K436+K437+K438+K439+K440, "NA")</f>
        <v>0</v>
      </c>
      <c r="L442" s="15">
        <f>IFERROR(K442/K444, "NA")</f>
        <v>0</v>
      </c>
      <c r="M442" s="2"/>
      <c r="N442" s="14">
        <f t="shared" si="105"/>
        <v>0</v>
      </c>
      <c r="O442" s="15">
        <f>IFERROR(N442/N444, "NA")</f>
        <v>0</v>
      </c>
      <c r="P442" s="2"/>
      <c r="Q442" s="14">
        <f>IFERROR(Q432+Q433+Q434+Q435+Q436+Q437+Q438+Q439+Q440, "NA")</f>
        <v>0</v>
      </c>
      <c r="R442" s="15">
        <f>IFERROR(Q442/Q444, "NA")</f>
        <v>0</v>
      </c>
      <c r="S442" s="2"/>
      <c r="T442" s="14">
        <f>IFERROR(T432+T433+T434+T435+T436+T437+T438+T439+T440, "NA")</f>
        <v>0</v>
      </c>
      <c r="U442" s="15">
        <f>IFERROR(T442/T444, "NA")</f>
        <v>0</v>
      </c>
      <c r="V442" s="2"/>
      <c r="W442" s="14">
        <f t="shared" si="106"/>
        <v>0</v>
      </c>
      <c r="X442" s="15">
        <f>IFERROR(W442/W444, "NA")</f>
        <v>0</v>
      </c>
      <c r="Y442" s="2"/>
      <c r="Z442" s="14">
        <f>IFERROR(Z432+Z433+Z434+Z435+Z436+Z437+Z438+Z439+Z440, "NA")</f>
        <v>0</v>
      </c>
      <c r="AA442" s="15">
        <f>IFERROR(Z442/Z444, "NA")</f>
        <v>0</v>
      </c>
      <c r="AB442" s="2"/>
      <c r="AC442" s="14">
        <f t="shared" si="107"/>
        <v>0</v>
      </c>
      <c r="AD442" s="15">
        <f>IFERROR(AC442/AC444, "NA")</f>
        <v>0</v>
      </c>
    </row>
    <row r="443" spans="1:30" ht="16.5" customHeight="1" x14ac:dyDescent="0.45">
      <c r="A443" s="22" t="s">
        <v>407</v>
      </c>
      <c r="B443" s="23">
        <f>IFERROR(B404-B429-B442, "NA")</f>
        <v>-16889.349999999984</v>
      </c>
      <c r="C443" s="24">
        <f>IFERROR(B443/B444, "NA")</f>
        <v>-0.23247716777128519</v>
      </c>
      <c r="D443" s="25"/>
      <c r="E443" s="23">
        <f>IFERROR(E404-E429-E442, "NA")</f>
        <v>-13162.139999999985</v>
      </c>
      <c r="F443" s="24">
        <f>IFERROR(E443/E444, "NA")</f>
        <v>-0.17397705303824762</v>
      </c>
      <c r="G443" s="25"/>
      <c r="H443" s="23">
        <f>IFERROR(B443-E443, "NA")</f>
        <v>-3727.2099999999991</v>
      </c>
      <c r="I443" s="24">
        <f>IFERROR(H443/H444, "NA")</f>
        <v>1.2403526170065462</v>
      </c>
      <c r="J443" s="25"/>
      <c r="K443" s="23">
        <f>IFERROR(K404-K429-K442, "NA")</f>
        <v>-18415.84</v>
      </c>
      <c r="L443" s="24">
        <f>IFERROR(K443/K444, "NA")</f>
        <v>-0.25254861561947772</v>
      </c>
      <c r="M443" s="25"/>
      <c r="N443" s="23">
        <f>IFERROR(B443-K443, "NA")</f>
        <v>1526.4900000000162</v>
      </c>
      <c r="O443" s="24">
        <f>IFERROR(N443/N444, "NA")</f>
        <v>-5.6436335403728153</v>
      </c>
      <c r="P443" s="25"/>
      <c r="Q443" s="23">
        <f>IFERROR(Q404-Q429-Q442, "NA")</f>
        <v>-16889.349999999984</v>
      </c>
      <c r="R443" s="24">
        <f>IFERROR(Q443/Q444, "NA")</f>
        <v>-0.23247716777128519</v>
      </c>
      <c r="S443" s="25"/>
      <c r="T443" s="23">
        <f>IFERROR(T404-T429-T442, "NA")</f>
        <v>-13162.139999999985</v>
      </c>
      <c r="U443" s="24">
        <f>IFERROR(T443/T444, "NA")</f>
        <v>-0.17397705303824762</v>
      </c>
      <c r="V443" s="25"/>
      <c r="W443" s="23">
        <f>IFERROR(Q443-T443, "NA")</f>
        <v>-3727.2099999999991</v>
      </c>
      <c r="X443" s="24">
        <f>IFERROR(W443/W444, "NA")</f>
        <v>1.2403526170065462</v>
      </c>
      <c r="Y443" s="25"/>
      <c r="Z443" s="23">
        <f>IFERROR(Z404-Z429-Z442, "NA")</f>
        <v>-18415.84</v>
      </c>
      <c r="AA443" s="24">
        <f>IFERROR(Z443/Z444, "NA")</f>
        <v>-0.25254861561947772</v>
      </c>
      <c r="AB443" s="25"/>
      <c r="AC443" s="23">
        <f>IFERROR(Q443-Z443, "NA")</f>
        <v>1526.4900000000162</v>
      </c>
      <c r="AD443" s="24">
        <f>IFERROR(AC443/AC444, "NA")</f>
        <v>-5.6436335403728153</v>
      </c>
    </row>
    <row r="444" spans="1:30" ht="15.75" hidden="1" x14ac:dyDescent="0.45">
      <c r="A444" s="26" t="s">
        <v>117</v>
      </c>
      <c r="B444" s="7">
        <v>72649.5</v>
      </c>
      <c r="C444" s="27"/>
      <c r="D444" s="9"/>
      <c r="E444" s="7">
        <v>75654.460000000006</v>
      </c>
      <c r="F444" s="27"/>
      <c r="G444" s="9"/>
      <c r="H444" s="10">
        <f>IFERROR(B444-E444, "NA")</f>
        <v>-3004.9600000000064</v>
      </c>
      <c r="I444" s="27"/>
      <c r="J444" s="9"/>
      <c r="K444" s="7">
        <v>72919.98</v>
      </c>
      <c r="L444" s="27"/>
      <c r="M444" s="9"/>
      <c r="N444" s="10">
        <f>IFERROR(B444-K444, "NA")</f>
        <v>-270.47999999999593</v>
      </c>
      <c r="O444" s="27"/>
      <c r="P444" s="9"/>
      <c r="Q444" s="7">
        <v>72649.5</v>
      </c>
      <c r="R444" s="27"/>
      <c r="S444" s="9"/>
      <c r="T444" s="7">
        <v>75654.460000000006</v>
      </c>
      <c r="U444" s="27"/>
      <c r="V444" s="9"/>
      <c r="W444" s="10">
        <f>IFERROR(Q444-T444, "NA")</f>
        <v>-3004.9600000000064</v>
      </c>
      <c r="X444" s="27"/>
      <c r="Y444" s="9"/>
      <c r="Z444" s="7">
        <v>72919.98</v>
      </c>
      <c r="AA444" s="27"/>
      <c r="AB444" s="9"/>
      <c r="AC444" s="10">
        <f>IFERROR(Q444-Z444, "NA")</f>
        <v>-270.47999999999593</v>
      </c>
      <c r="AD444" s="27"/>
    </row>
    <row r="447" spans="1:30" ht="15.75" x14ac:dyDescent="0.5">
      <c r="A447" s="28" t="s">
        <v>408</v>
      </c>
    </row>
    <row r="448" spans="1:30" ht="15.75" x14ac:dyDescent="0.5">
      <c r="A448" s="28" t="s">
        <v>409</v>
      </c>
    </row>
    <row r="449" spans="1:1" ht="15.75" x14ac:dyDescent="0.5">
      <c r="A449" s="28" t="s">
        <v>410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49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AD44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4.25" x14ac:dyDescent="0.45"/>
  <cols>
    <col min="1" max="1" width="42.86328125" customWidth="1"/>
    <col min="2" max="2" width="17.1328125" customWidth="1"/>
    <col min="3" max="3" width="9.3984375" customWidth="1"/>
    <col min="4" max="4" width="1.3984375" customWidth="1"/>
    <col min="5" max="5" width="17.1328125" customWidth="1"/>
    <col min="6" max="6" width="9.3984375" customWidth="1"/>
    <col min="7" max="7" width="1.3984375" customWidth="1"/>
    <col min="8" max="8" width="17.1328125" customWidth="1"/>
    <col min="9" max="9" width="9.3984375" customWidth="1"/>
    <col min="10" max="10" width="1.3984375" customWidth="1"/>
    <col min="11" max="11" width="17.1328125" customWidth="1"/>
    <col min="12" max="12" width="9.3984375" customWidth="1"/>
    <col min="13" max="13" width="1.3984375" customWidth="1"/>
    <col min="14" max="14" width="17.1328125" customWidth="1"/>
    <col min="15" max="15" width="9.3984375" customWidth="1"/>
    <col min="16" max="16" width="1.3984375" customWidth="1"/>
    <col min="17" max="17" width="17.1328125" customWidth="1"/>
    <col min="18" max="18" width="9.3984375" customWidth="1"/>
    <col min="19" max="19" width="1.3984375" customWidth="1"/>
    <col min="20" max="20" width="17.1328125" customWidth="1"/>
    <col min="21" max="21" width="9.3984375" customWidth="1"/>
    <col min="22" max="22" width="1.3984375" customWidth="1"/>
    <col min="23" max="23" width="17.1328125" customWidth="1"/>
    <col min="24" max="24" width="9.3984375" customWidth="1"/>
    <col min="25" max="25" width="1.3984375" customWidth="1"/>
    <col min="26" max="26" width="17.1328125" customWidth="1"/>
    <col min="27" max="27" width="9.3984375" customWidth="1"/>
    <col min="28" max="28" width="1.3984375" customWidth="1"/>
    <col min="29" max="29" width="17.1328125" customWidth="1"/>
    <col min="30" max="30" width="9.3984375" customWidth="1"/>
  </cols>
  <sheetData>
    <row r="1" spans="1:30" ht="33.4" x14ac:dyDescent="0.45">
      <c r="A1" s="29" t="s">
        <v>0</v>
      </c>
      <c r="B1" s="29" t="s">
        <v>0</v>
      </c>
      <c r="C1" s="29" t="s">
        <v>0</v>
      </c>
      <c r="D1" s="29" t="s">
        <v>0</v>
      </c>
      <c r="E1" s="29" t="s">
        <v>0</v>
      </c>
      <c r="F1" s="29" t="s">
        <v>0</v>
      </c>
      <c r="G1" s="29" t="s">
        <v>0</v>
      </c>
      <c r="H1" s="29" t="s">
        <v>0</v>
      </c>
      <c r="I1" s="29" t="s">
        <v>0</v>
      </c>
      <c r="J1" s="29" t="s">
        <v>0</v>
      </c>
      <c r="K1" s="29" t="s">
        <v>0</v>
      </c>
      <c r="L1" s="29" t="s">
        <v>0</v>
      </c>
      <c r="M1" s="29" t="s">
        <v>0</v>
      </c>
      <c r="N1" s="29" t="s">
        <v>0</v>
      </c>
      <c r="O1" s="29" t="s">
        <v>0</v>
      </c>
      <c r="P1" s="29" t="s">
        <v>0</v>
      </c>
      <c r="Q1" s="29" t="s">
        <v>0</v>
      </c>
      <c r="R1" s="29" t="s">
        <v>0</v>
      </c>
      <c r="S1" s="29" t="s">
        <v>0</v>
      </c>
      <c r="T1" s="29" t="s">
        <v>0</v>
      </c>
      <c r="U1" s="29" t="s">
        <v>0</v>
      </c>
      <c r="V1" s="29" t="s">
        <v>0</v>
      </c>
      <c r="W1" s="29" t="s">
        <v>0</v>
      </c>
      <c r="X1" s="29" t="s">
        <v>0</v>
      </c>
      <c r="Y1" s="29" t="s">
        <v>0</v>
      </c>
      <c r="Z1" s="29" t="s">
        <v>0</v>
      </c>
      <c r="AA1" s="29" t="s">
        <v>0</v>
      </c>
      <c r="AB1" s="29" t="s">
        <v>0</v>
      </c>
      <c r="AC1" s="29" t="s">
        <v>0</v>
      </c>
      <c r="AD1" s="29" t="s">
        <v>0</v>
      </c>
    </row>
    <row r="2" spans="1:30" ht="23.25" x14ac:dyDescent="0.45">
      <c r="A2" s="30" t="s">
        <v>1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0" t="s">
        <v>1</v>
      </c>
      <c r="O2" s="30" t="s">
        <v>1</v>
      </c>
      <c r="P2" s="30" t="s">
        <v>1</v>
      </c>
      <c r="Q2" s="30" t="s">
        <v>1</v>
      </c>
      <c r="R2" s="30" t="s">
        <v>1</v>
      </c>
      <c r="S2" s="30" t="s">
        <v>1</v>
      </c>
      <c r="T2" s="30" t="s">
        <v>1</v>
      </c>
      <c r="U2" s="30" t="s">
        <v>1</v>
      </c>
      <c r="V2" s="30" t="s">
        <v>1</v>
      </c>
      <c r="W2" s="30" t="s">
        <v>1</v>
      </c>
      <c r="X2" s="30" t="s">
        <v>1</v>
      </c>
      <c r="Y2" s="30" t="s">
        <v>1</v>
      </c>
      <c r="Z2" s="30" t="s">
        <v>1</v>
      </c>
      <c r="AA2" s="30" t="s">
        <v>1</v>
      </c>
      <c r="AB2" s="30" t="s">
        <v>1</v>
      </c>
      <c r="AC2" s="30" t="s">
        <v>1</v>
      </c>
      <c r="AD2" s="30" t="s">
        <v>1</v>
      </c>
    </row>
    <row r="3" spans="1:30" ht="15.75" x14ac:dyDescent="0.45">
      <c r="A3" s="31" t="s">
        <v>416</v>
      </c>
      <c r="B3" s="31" t="s">
        <v>416</v>
      </c>
      <c r="C3" s="31" t="s">
        <v>416</v>
      </c>
      <c r="D3" s="31" t="s">
        <v>416</v>
      </c>
      <c r="E3" s="31" t="s">
        <v>416</v>
      </c>
      <c r="F3" s="31" t="s">
        <v>416</v>
      </c>
      <c r="G3" s="31" t="s">
        <v>416</v>
      </c>
      <c r="H3" s="31" t="s">
        <v>416</v>
      </c>
      <c r="I3" s="31" t="s">
        <v>416</v>
      </c>
      <c r="J3" s="31" t="s">
        <v>416</v>
      </c>
      <c r="K3" s="31" t="s">
        <v>416</v>
      </c>
      <c r="L3" s="31" t="s">
        <v>416</v>
      </c>
      <c r="M3" s="31" t="s">
        <v>416</v>
      </c>
      <c r="N3" s="31" t="s">
        <v>416</v>
      </c>
      <c r="O3" s="31" t="s">
        <v>416</v>
      </c>
      <c r="P3" s="31" t="s">
        <v>416</v>
      </c>
      <c r="Q3" s="31" t="s">
        <v>416</v>
      </c>
      <c r="R3" s="31" t="s">
        <v>416</v>
      </c>
      <c r="S3" s="31" t="s">
        <v>416</v>
      </c>
      <c r="T3" s="31" t="s">
        <v>416</v>
      </c>
      <c r="U3" s="31" t="s">
        <v>416</v>
      </c>
      <c r="V3" s="31" t="s">
        <v>416</v>
      </c>
      <c r="W3" s="31" t="s">
        <v>416</v>
      </c>
      <c r="X3" s="31" t="s">
        <v>416</v>
      </c>
      <c r="Y3" s="31" t="s">
        <v>416</v>
      </c>
      <c r="Z3" s="31" t="s">
        <v>416</v>
      </c>
      <c r="AA3" s="31" t="s">
        <v>416</v>
      </c>
      <c r="AB3" s="31" t="s">
        <v>416</v>
      </c>
      <c r="AC3" s="31" t="s">
        <v>416</v>
      </c>
      <c r="AD3" s="31" t="s">
        <v>416</v>
      </c>
    </row>
    <row r="5" spans="1:30" ht="16.5" customHeight="1" x14ac:dyDescent="0.45">
      <c r="A5" s="32" t="s">
        <v>3</v>
      </c>
      <c r="B5" s="33" t="s">
        <v>4</v>
      </c>
      <c r="C5" s="34" t="s">
        <v>3</v>
      </c>
      <c r="D5" s="32" t="s">
        <v>3</v>
      </c>
      <c r="E5" s="33" t="s">
        <v>5</v>
      </c>
      <c r="F5" s="34" t="s">
        <v>3</v>
      </c>
      <c r="G5" s="32" t="s">
        <v>3</v>
      </c>
      <c r="H5" s="33" t="s">
        <v>6</v>
      </c>
      <c r="I5" s="34" t="s">
        <v>3</v>
      </c>
      <c r="J5" s="32" t="s">
        <v>3</v>
      </c>
      <c r="K5" s="33" t="s">
        <v>7</v>
      </c>
      <c r="L5" s="34" t="s">
        <v>3</v>
      </c>
      <c r="M5" s="32" t="s">
        <v>3</v>
      </c>
      <c r="N5" s="33" t="s">
        <v>6</v>
      </c>
      <c r="O5" s="34" t="s">
        <v>3</v>
      </c>
      <c r="P5" s="32" t="s">
        <v>3</v>
      </c>
      <c r="Q5" s="33" t="s">
        <v>8</v>
      </c>
      <c r="R5" s="34" t="s">
        <v>3</v>
      </c>
      <c r="S5" s="32" t="s">
        <v>3</v>
      </c>
      <c r="T5" s="33" t="s">
        <v>9</v>
      </c>
      <c r="U5" s="34" t="s">
        <v>3</v>
      </c>
      <c r="V5" s="32" t="s">
        <v>3</v>
      </c>
      <c r="W5" s="33" t="s">
        <v>6</v>
      </c>
      <c r="X5" s="34" t="s">
        <v>3</v>
      </c>
      <c r="Y5" s="32" t="s">
        <v>3</v>
      </c>
      <c r="Z5" s="33" t="s">
        <v>10</v>
      </c>
      <c r="AA5" s="34" t="s">
        <v>3</v>
      </c>
      <c r="AB5" s="32" t="s">
        <v>3</v>
      </c>
      <c r="AC5" s="33" t="s">
        <v>6</v>
      </c>
      <c r="AD5" s="34" t="s">
        <v>3</v>
      </c>
    </row>
    <row r="6" spans="1:30" ht="16.5" customHeight="1" x14ac:dyDescent="0.45">
      <c r="A6" s="1" t="s">
        <v>11</v>
      </c>
      <c r="B6" s="2"/>
      <c r="C6" s="3"/>
      <c r="D6" s="4"/>
      <c r="E6" s="2"/>
      <c r="F6" s="3"/>
      <c r="G6" s="4"/>
      <c r="H6" s="2"/>
      <c r="I6" s="3"/>
      <c r="J6" s="4"/>
      <c r="K6" s="2"/>
      <c r="L6" s="3"/>
      <c r="M6" s="4"/>
      <c r="N6" s="2"/>
      <c r="O6" s="3"/>
      <c r="P6" s="4"/>
      <c r="Q6" s="2"/>
      <c r="R6" s="3"/>
      <c r="S6" s="4"/>
      <c r="T6" s="2"/>
      <c r="U6" s="3"/>
      <c r="V6" s="4"/>
      <c r="W6" s="2"/>
      <c r="X6" s="3"/>
      <c r="Y6" s="4"/>
      <c r="Z6" s="2"/>
      <c r="AA6" s="3"/>
      <c r="AB6" s="4"/>
      <c r="AC6" s="2"/>
      <c r="AD6" s="3"/>
    </row>
    <row r="7" spans="1:30" ht="16.5" customHeight="1" x14ac:dyDescent="0.45">
      <c r="A7" s="5" t="s">
        <v>11</v>
      </c>
      <c r="B7" s="2"/>
      <c r="C7" s="3"/>
      <c r="D7" s="4"/>
      <c r="E7" s="2"/>
      <c r="F7" s="3"/>
      <c r="G7" s="4"/>
      <c r="H7" s="2"/>
      <c r="I7" s="3"/>
      <c r="J7" s="4"/>
      <c r="K7" s="2"/>
      <c r="L7" s="3"/>
      <c r="M7" s="4"/>
      <c r="N7" s="2"/>
      <c r="O7" s="3"/>
      <c r="P7" s="4"/>
      <c r="Q7" s="2"/>
      <c r="R7" s="3"/>
      <c r="S7" s="4"/>
      <c r="T7" s="2"/>
      <c r="U7" s="3"/>
      <c r="V7" s="4"/>
      <c r="W7" s="2"/>
      <c r="X7" s="3"/>
      <c r="Y7" s="4"/>
      <c r="Z7" s="2"/>
      <c r="AA7" s="3"/>
      <c r="AB7" s="4"/>
      <c r="AC7" s="2"/>
      <c r="AD7" s="3"/>
    </row>
    <row r="8" spans="1:30" ht="16.5" hidden="1" customHeight="1" x14ac:dyDescent="0.45">
      <c r="A8" s="6" t="s">
        <v>11</v>
      </c>
      <c r="B8" s="7">
        <v>0</v>
      </c>
      <c r="C8" s="8">
        <f>IFERROR(B8/B444, "NA")</f>
        <v>0</v>
      </c>
      <c r="D8" s="9"/>
      <c r="E8" s="7">
        <v>0</v>
      </c>
      <c r="F8" s="8">
        <f>IFERROR(E8/E444, "NA")</f>
        <v>0</v>
      </c>
      <c r="G8" s="9"/>
      <c r="H8" s="10">
        <f>IFERROR(B8-E8, "NA")</f>
        <v>0</v>
      </c>
      <c r="I8" s="8">
        <f>IFERROR(H8/H444, "NA")</f>
        <v>0</v>
      </c>
      <c r="J8" s="9"/>
      <c r="K8" s="7">
        <v>0</v>
      </c>
      <c r="L8" s="8">
        <f>IFERROR(K8/K444, "NA")</f>
        <v>0</v>
      </c>
      <c r="M8" s="9"/>
      <c r="N8" s="10">
        <f>IFERROR(B8-K8, "NA")</f>
        <v>0</v>
      </c>
      <c r="O8" s="8">
        <f>IFERROR(N8/N444, "NA")</f>
        <v>0</v>
      </c>
      <c r="P8" s="9"/>
      <c r="Q8" s="7">
        <v>0</v>
      </c>
      <c r="R8" s="8">
        <f>IFERROR(Q8/Q444, "NA")</f>
        <v>0</v>
      </c>
      <c r="S8" s="9"/>
      <c r="T8" s="7">
        <v>0</v>
      </c>
      <c r="U8" s="8">
        <f>IFERROR(T8/T444, "NA")</f>
        <v>0</v>
      </c>
      <c r="V8" s="9"/>
      <c r="W8" s="10">
        <f>IFERROR(Q8-T8, "NA")</f>
        <v>0</v>
      </c>
      <c r="X8" s="8">
        <f>IFERROR(W8/W444, "NA")</f>
        <v>0</v>
      </c>
      <c r="Y8" s="9"/>
      <c r="Z8" s="7">
        <v>0</v>
      </c>
      <c r="AA8" s="8">
        <f>IFERROR(Z8/Z444, "NA")</f>
        <v>0</v>
      </c>
      <c r="AB8" s="9"/>
      <c r="AC8" s="10">
        <f>IFERROR(Q8-Z8, "NA")</f>
        <v>0</v>
      </c>
      <c r="AD8" s="8">
        <f>IFERROR(AC8/AC444, "NA")</f>
        <v>0</v>
      </c>
    </row>
    <row r="9" spans="1:30" ht="16.5" customHeight="1" x14ac:dyDescent="0.45">
      <c r="A9" s="11" t="s">
        <v>12</v>
      </c>
      <c r="B9" s="2"/>
      <c r="C9" s="3"/>
      <c r="D9" s="4"/>
      <c r="E9" s="2"/>
      <c r="F9" s="3"/>
      <c r="G9" s="4"/>
      <c r="H9" s="2"/>
      <c r="I9" s="3"/>
      <c r="J9" s="4"/>
      <c r="K9" s="2"/>
      <c r="L9" s="3"/>
      <c r="M9" s="4"/>
      <c r="N9" s="2"/>
      <c r="O9" s="3"/>
      <c r="P9" s="4"/>
      <c r="Q9" s="2"/>
      <c r="R9" s="3"/>
      <c r="S9" s="4"/>
      <c r="T9" s="2"/>
      <c r="U9" s="3"/>
      <c r="V9" s="4"/>
      <c r="W9" s="2"/>
      <c r="X9" s="3"/>
      <c r="Y9" s="4"/>
      <c r="Z9" s="2"/>
      <c r="AA9" s="3"/>
      <c r="AB9" s="4"/>
      <c r="AC9" s="2"/>
      <c r="AD9" s="3"/>
    </row>
    <row r="10" spans="1:30" ht="16.5" customHeight="1" x14ac:dyDescent="0.45">
      <c r="A10" s="12" t="s">
        <v>12</v>
      </c>
      <c r="B10" s="7">
        <v>0</v>
      </c>
      <c r="C10" s="8">
        <f>IFERROR(B10/B444, "NA")</f>
        <v>0</v>
      </c>
      <c r="D10" s="9"/>
      <c r="E10" s="7">
        <v>46420.480000000003</v>
      </c>
      <c r="F10" s="8">
        <f>IFERROR(E10/E444, "NA")</f>
        <v>0.47799997487488416</v>
      </c>
      <c r="G10" s="9"/>
      <c r="H10" s="10">
        <f t="shared" ref="H10:H19" si="0">IFERROR(B10-E10, "NA")</f>
        <v>-46420.480000000003</v>
      </c>
      <c r="I10" s="8">
        <f>IFERROR(H10/H444, "NA")</f>
        <v>7.5425388618715887</v>
      </c>
      <c r="J10" s="9"/>
      <c r="K10" s="7">
        <v>0</v>
      </c>
      <c r="L10" s="8">
        <f>IFERROR(K10/K444, "NA")</f>
        <v>0</v>
      </c>
      <c r="M10" s="9"/>
      <c r="N10" s="10">
        <f t="shared" ref="N10:N19" si="1">IFERROR(B10-K10, "NA")</f>
        <v>0</v>
      </c>
      <c r="O10" s="8">
        <f>IFERROR(N10/N444, "NA")</f>
        <v>0</v>
      </c>
      <c r="P10" s="9"/>
      <c r="Q10" s="7">
        <v>0</v>
      </c>
      <c r="R10" s="8">
        <f>IFERROR(Q10/Q444, "NA")</f>
        <v>0</v>
      </c>
      <c r="S10" s="9"/>
      <c r="T10" s="7">
        <v>46420.480000000003</v>
      </c>
      <c r="U10" s="8">
        <f>IFERROR(T10/T444, "NA")</f>
        <v>0.47799997487488416</v>
      </c>
      <c r="V10" s="9"/>
      <c r="W10" s="10">
        <f t="shared" ref="W10:W19" si="2">IFERROR(Q10-T10, "NA")</f>
        <v>-46420.480000000003</v>
      </c>
      <c r="X10" s="8">
        <f>IFERROR(W10/W444, "NA")</f>
        <v>7.5425388618715887</v>
      </c>
      <c r="Y10" s="9"/>
      <c r="Z10" s="7">
        <v>0</v>
      </c>
      <c r="AA10" s="8">
        <f>IFERROR(Z10/Z444, "NA")</f>
        <v>0</v>
      </c>
      <c r="AB10" s="9"/>
      <c r="AC10" s="10">
        <f t="shared" ref="AC10:AC19" si="3">IFERROR(Q10-Z10, "NA")</f>
        <v>0</v>
      </c>
      <c r="AD10" s="8">
        <f>IFERROR(AC10/AC444, "NA")</f>
        <v>0</v>
      </c>
    </row>
    <row r="11" spans="1:30" ht="16.5" customHeight="1" x14ac:dyDescent="0.45">
      <c r="A11" s="12" t="s">
        <v>13</v>
      </c>
      <c r="B11" s="7">
        <v>41060.230000000003</v>
      </c>
      <c r="C11" s="8">
        <f>IFERROR(B11/B444, "NA")</f>
        <v>0.45141227155077496</v>
      </c>
      <c r="D11" s="9"/>
      <c r="E11" s="7">
        <v>0</v>
      </c>
      <c r="F11" s="8">
        <f>IFERROR(E11/E444, "NA")</f>
        <v>0</v>
      </c>
      <c r="G11" s="9"/>
      <c r="H11" s="10">
        <f t="shared" si="0"/>
        <v>41060.230000000003</v>
      </c>
      <c r="I11" s="8">
        <f>IFERROR(H11/H444, "NA")</f>
        <v>-6.6715893599632246</v>
      </c>
      <c r="J11" s="9"/>
      <c r="K11" s="7">
        <v>41210.6</v>
      </c>
      <c r="L11" s="8">
        <f>IFERROR(K11/K444, "NA")</f>
        <v>0.43156690540559783</v>
      </c>
      <c r="M11" s="9"/>
      <c r="N11" s="10">
        <f t="shared" si="1"/>
        <v>-150.36999999999534</v>
      </c>
      <c r="O11" s="8">
        <f>IFERROR(N11/N444, "NA")</f>
        <v>3.3185835825341368E-2</v>
      </c>
      <c r="P11" s="9"/>
      <c r="Q11" s="7">
        <v>41060.230000000003</v>
      </c>
      <c r="R11" s="8">
        <f>IFERROR(Q11/Q444, "NA")</f>
        <v>0.45141227155077496</v>
      </c>
      <c r="S11" s="9"/>
      <c r="T11" s="7">
        <v>0</v>
      </c>
      <c r="U11" s="8">
        <f>IFERROR(T11/T444, "NA")</f>
        <v>0</v>
      </c>
      <c r="V11" s="9"/>
      <c r="W11" s="10">
        <f t="shared" si="2"/>
        <v>41060.230000000003</v>
      </c>
      <c r="X11" s="8">
        <f>IFERROR(W11/W444, "NA")</f>
        <v>-6.6715893599632246</v>
      </c>
      <c r="Y11" s="9"/>
      <c r="Z11" s="7">
        <v>41210.6</v>
      </c>
      <c r="AA11" s="8">
        <f>IFERROR(Z11/Z444, "NA")</f>
        <v>0.43156690540559783</v>
      </c>
      <c r="AB11" s="9"/>
      <c r="AC11" s="10">
        <f t="shared" si="3"/>
        <v>-150.36999999999534</v>
      </c>
      <c r="AD11" s="8">
        <f>IFERROR(AC11/AC444, "NA")</f>
        <v>3.3185835825341368E-2</v>
      </c>
    </row>
    <row r="12" spans="1:30" ht="16.5" customHeight="1" x14ac:dyDescent="0.45">
      <c r="A12" s="12" t="s">
        <v>14</v>
      </c>
      <c r="B12" s="7">
        <v>4325.6499999999996</v>
      </c>
      <c r="C12" s="8">
        <f>IFERROR(B12/B444, "NA")</f>
        <v>4.7555785548050011E-2</v>
      </c>
      <c r="D12" s="9"/>
      <c r="E12" s="7">
        <v>0</v>
      </c>
      <c r="F12" s="8">
        <f>IFERROR(E12/E444, "NA")</f>
        <v>0</v>
      </c>
      <c r="G12" s="9"/>
      <c r="H12" s="10">
        <f t="shared" si="0"/>
        <v>4325.6499999999996</v>
      </c>
      <c r="I12" s="8">
        <f>IFERROR(H12/H444, "NA")</f>
        <v>-0.70284458988478427</v>
      </c>
      <c r="J12" s="9"/>
      <c r="K12" s="7">
        <v>4275.05</v>
      </c>
      <c r="L12" s="8">
        <f>IFERROR(K12/K444, "NA")</f>
        <v>4.4769309327071218E-2</v>
      </c>
      <c r="M12" s="9"/>
      <c r="N12" s="10">
        <f t="shared" si="1"/>
        <v>50.599999999999454</v>
      </c>
      <c r="O12" s="8">
        <f>IFERROR(N12/N444, "NA")</f>
        <v>-1.1167142999017804E-2</v>
      </c>
      <c r="P12" s="9"/>
      <c r="Q12" s="7">
        <v>4325.6499999999996</v>
      </c>
      <c r="R12" s="8">
        <f>IFERROR(Q12/Q444, "NA")</f>
        <v>4.7555785548050011E-2</v>
      </c>
      <c r="S12" s="9"/>
      <c r="T12" s="7">
        <v>0</v>
      </c>
      <c r="U12" s="8">
        <f>IFERROR(T12/T444, "NA")</f>
        <v>0</v>
      </c>
      <c r="V12" s="9"/>
      <c r="W12" s="10">
        <f t="shared" si="2"/>
        <v>4325.6499999999996</v>
      </c>
      <c r="X12" s="8">
        <f>IFERROR(W12/W444, "NA")</f>
        <v>-0.70284458988478427</v>
      </c>
      <c r="Y12" s="9"/>
      <c r="Z12" s="7">
        <v>4275.05</v>
      </c>
      <c r="AA12" s="8">
        <f>IFERROR(Z12/Z444, "NA")</f>
        <v>4.4769309327071218E-2</v>
      </c>
      <c r="AB12" s="9"/>
      <c r="AC12" s="10">
        <f t="shared" si="3"/>
        <v>50.599999999999454</v>
      </c>
      <c r="AD12" s="8">
        <f>IFERROR(AC12/AC444, "NA")</f>
        <v>-1.1167142999017804E-2</v>
      </c>
    </row>
    <row r="13" spans="1:30" ht="16.5" customHeight="1" x14ac:dyDescent="0.45">
      <c r="A13" s="12" t="s">
        <v>15</v>
      </c>
      <c r="B13" s="7">
        <v>116.5</v>
      </c>
      <c r="C13" s="8">
        <f>IFERROR(B13/B444, "NA")</f>
        <v>1.2807899428635757E-3</v>
      </c>
      <c r="D13" s="9"/>
      <c r="E13" s="7">
        <v>0</v>
      </c>
      <c r="F13" s="8">
        <f>IFERROR(E13/E444, "NA")</f>
        <v>0</v>
      </c>
      <c r="G13" s="9"/>
      <c r="H13" s="10">
        <f t="shared" si="0"/>
        <v>116.5</v>
      </c>
      <c r="I13" s="8">
        <f>IFERROR(H13/H444, "NA")</f>
        <v>-1.8929269525175957E-2</v>
      </c>
      <c r="J13" s="9"/>
      <c r="K13" s="7">
        <v>77</v>
      </c>
      <c r="L13" s="8">
        <f>IFERROR(K13/K444, "NA")</f>
        <v>8.0636175440859962E-4</v>
      </c>
      <c r="M13" s="9"/>
      <c r="N13" s="10">
        <f t="shared" si="1"/>
        <v>39.5</v>
      </c>
      <c r="O13" s="8">
        <f>IFERROR(N13/N444, "NA")</f>
        <v>-8.7174337640554943E-3</v>
      </c>
      <c r="P13" s="9"/>
      <c r="Q13" s="7">
        <v>116.5</v>
      </c>
      <c r="R13" s="8">
        <f>IFERROR(Q13/Q444, "NA")</f>
        <v>1.2807899428635757E-3</v>
      </c>
      <c r="S13" s="9"/>
      <c r="T13" s="7">
        <v>0</v>
      </c>
      <c r="U13" s="8">
        <f>IFERROR(T13/T444, "NA")</f>
        <v>0</v>
      </c>
      <c r="V13" s="9"/>
      <c r="W13" s="10">
        <f t="shared" si="2"/>
        <v>116.5</v>
      </c>
      <c r="X13" s="8">
        <f>IFERROR(W13/W444, "NA")</f>
        <v>-1.8929269525175957E-2</v>
      </c>
      <c r="Y13" s="9"/>
      <c r="Z13" s="7">
        <v>77</v>
      </c>
      <c r="AA13" s="8">
        <f>IFERROR(Z13/Z444, "NA")</f>
        <v>8.0636175440859962E-4</v>
      </c>
      <c r="AB13" s="9"/>
      <c r="AC13" s="10">
        <f t="shared" si="3"/>
        <v>39.5</v>
      </c>
      <c r="AD13" s="8">
        <f>IFERROR(AC13/AC444, "NA")</f>
        <v>-8.7174337640554943E-3</v>
      </c>
    </row>
    <row r="14" spans="1:30" ht="16.5" customHeight="1" x14ac:dyDescent="0.45">
      <c r="A14" s="12" t="s">
        <v>16</v>
      </c>
      <c r="B14" s="7">
        <v>10</v>
      </c>
      <c r="C14" s="8">
        <f>IFERROR(B14/B444, "NA")</f>
        <v>1.0993905088957732E-4</v>
      </c>
      <c r="D14" s="9"/>
      <c r="E14" s="7">
        <v>0</v>
      </c>
      <c r="F14" s="8">
        <f>IFERROR(E14/E444, "NA")</f>
        <v>0</v>
      </c>
      <c r="G14" s="9"/>
      <c r="H14" s="10">
        <f t="shared" si="0"/>
        <v>10</v>
      </c>
      <c r="I14" s="8">
        <f>IFERROR(H14/H444, "NA")</f>
        <v>-1.6248300021610264E-3</v>
      </c>
      <c r="J14" s="9"/>
      <c r="K14" s="7">
        <v>300</v>
      </c>
      <c r="L14" s="8">
        <f>IFERROR(K14/K444, "NA")</f>
        <v>3.1416691730205182E-3</v>
      </c>
      <c r="M14" s="9"/>
      <c r="N14" s="10">
        <f t="shared" si="1"/>
        <v>-290</v>
      </c>
      <c r="O14" s="8">
        <f>IFERROR(N14/N444, "NA")</f>
        <v>6.4001412444964378E-2</v>
      </c>
      <c r="P14" s="9"/>
      <c r="Q14" s="7">
        <v>10</v>
      </c>
      <c r="R14" s="8">
        <f>IFERROR(Q14/Q444, "NA")</f>
        <v>1.0993905088957732E-4</v>
      </c>
      <c r="S14" s="9"/>
      <c r="T14" s="7">
        <v>0</v>
      </c>
      <c r="U14" s="8">
        <f>IFERROR(T14/T444, "NA")</f>
        <v>0</v>
      </c>
      <c r="V14" s="9"/>
      <c r="W14" s="10">
        <f t="shared" si="2"/>
        <v>10</v>
      </c>
      <c r="X14" s="8">
        <f>IFERROR(W14/W444, "NA")</f>
        <v>-1.6248300021610264E-3</v>
      </c>
      <c r="Y14" s="9"/>
      <c r="Z14" s="7">
        <v>300</v>
      </c>
      <c r="AA14" s="8">
        <f>IFERROR(Z14/Z444, "NA")</f>
        <v>3.1416691730205182E-3</v>
      </c>
      <c r="AB14" s="9"/>
      <c r="AC14" s="10">
        <f t="shared" si="3"/>
        <v>-290</v>
      </c>
      <c r="AD14" s="8">
        <f>IFERROR(AC14/AC444, "NA")</f>
        <v>6.4001412444964378E-2</v>
      </c>
    </row>
    <row r="15" spans="1:30" ht="16.5" customHeight="1" x14ac:dyDescent="0.45">
      <c r="A15" s="12" t="s">
        <v>17</v>
      </c>
      <c r="B15" s="7">
        <v>42</v>
      </c>
      <c r="C15" s="8">
        <f>IFERROR(B15/B444, "NA")</f>
        <v>4.6174401373622477E-4</v>
      </c>
      <c r="D15" s="9"/>
      <c r="E15" s="7">
        <v>0</v>
      </c>
      <c r="F15" s="8">
        <f>IFERROR(E15/E444, "NA")</f>
        <v>0</v>
      </c>
      <c r="G15" s="9"/>
      <c r="H15" s="10">
        <f t="shared" si="0"/>
        <v>42</v>
      </c>
      <c r="I15" s="8">
        <f>IFERROR(H15/H444, "NA")</f>
        <v>-6.8242860090763106E-3</v>
      </c>
      <c r="J15" s="9"/>
      <c r="K15" s="7">
        <v>54</v>
      </c>
      <c r="L15" s="8">
        <f>IFERROR(K15/K444, "NA")</f>
        <v>5.6550045114369329E-4</v>
      </c>
      <c r="M15" s="9"/>
      <c r="N15" s="10">
        <f t="shared" si="1"/>
        <v>-12</v>
      </c>
      <c r="O15" s="8">
        <f>IFERROR(N15/N444, "NA")</f>
        <v>2.6483343080674917E-3</v>
      </c>
      <c r="P15" s="9"/>
      <c r="Q15" s="7">
        <v>42</v>
      </c>
      <c r="R15" s="8">
        <f>IFERROR(Q15/Q444, "NA")</f>
        <v>4.6174401373622477E-4</v>
      </c>
      <c r="S15" s="9"/>
      <c r="T15" s="7">
        <v>0</v>
      </c>
      <c r="U15" s="8">
        <f>IFERROR(T15/T444, "NA")</f>
        <v>0</v>
      </c>
      <c r="V15" s="9"/>
      <c r="W15" s="10">
        <f t="shared" si="2"/>
        <v>42</v>
      </c>
      <c r="X15" s="8">
        <f>IFERROR(W15/W444, "NA")</f>
        <v>-6.8242860090763106E-3</v>
      </c>
      <c r="Y15" s="9"/>
      <c r="Z15" s="7">
        <v>54</v>
      </c>
      <c r="AA15" s="8">
        <f>IFERROR(Z15/Z444, "NA")</f>
        <v>5.6550045114369329E-4</v>
      </c>
      <c r="AB15" s="9"/>
      <c r="AC15" s="10">
        <f t="shared" si="3"/>
        <v>-12</v>
      </c>
      <c r="AD15" s="8">
        <f>IFERROR(AC15/AC444, "NA")</f>
        <v>2.6483343080674917E-3</v>
      </c>
    </row>
    <row r="16" spans="1:30" ht="16.5" customHeight="1" x14ac:dyDescent="0.45">
      <c r="A16" s="12" t="s">
        <v>18</v>
      </c>
      <c r="B16" s="7">
        <v>0.12</v>
      </c>
      <c r="C16" s="8">
        <f>IFERROR(B16/B444, "NA")</f>
        <v>1.3192686106749278E-6</v>
      </c>
      <c r="D16" s="9"/>
      <c r="E16" s="7">
        <v>0</v>
      </c>
      <c r="F16" s="8">
        <f>IFERROR(E16/E444, "NA")</f>
        <v>0</v>
      </c>
      <c r="G16" s="9"/>
      <c r="H16" s="10">
        <f t="shared" si="0"/>
        <v>0.12</v>
      </c>
      <c r="I16" s="8">
        <f>IFERROR(H16/H444, "NA")</f>
        <v>-1.9497960025932316E-5</v>
      </c>
      <c r="J16" s="9"/>
      <c r="K16" s="7">
        <v>0</v>
      </c>
      <c r="L16" s="8">
        <f>IFERROR(K16/K444, "NA")</f>
        <v>0</v>
      </c>
      <c r="M16" s="9"/>
      <c r="N16" s="10">
        <f t="shared" si="1"/>
        <v>0.12</v>
      </c>
      <c r="O16" s="8">
        <f>IFERROR(N16/N444, "NA")</f>
        <v>-2.6483343080674916E-5</v>
      </c>
      <c r="P16" s="9"/>
      <c r="Q16" s="7">
        <v>0.12</v>
      </c>
      <c r="R16" s="8">
        <f>IFERROR(Q16/Q444, "NA")</f>
        <v>1.3192686106749278E-6</v>
      </c>
      <c r="S16" s="9"/>
      <c r="T16" s="7">
        <v>0</v>
      </c>
      <c r="U16" s="8">
        <f>IFERROR(T16/T444, "NA")</f>
        <v>0</v>
      </c>
      <c r="V16" s="9"/>
      <c r="W16" s="10">
        <f t="shared" si="2"/>
        <v>0.12</v>
      </c>
      <c r="X16" s="8">
        <f>IFERROR(W16/W444, "NA")</f>
        <v>-1.9497960025932316E-5</v>
      </c>
      <c r="Y16" s="9"/>
      <c r="Z16" s="7">
        <v>0</v>
      </c>
      <c r="AA16" s="8">
        <f>IFERROR(Z16/Z444, "NA")</f>
        <v>0</v>
      </c>
      <c r="AB16" s="9"/>
      <c r="AC16" s="10">
        <f t="shared" si="3"/>
        <v>0.12</v>
      </c>
      <c r="AD16" s="8">
        <f>IFERROR(AC16/AC444, "NA")</f>
        <v>-2.6483343080674916E-5</v>
      </c>
    </row>
    <row r="17" spans="1:30" ht="16.5" hidden="1" customHeight="1" x14ac:dyDescent="0.45">
      <c r="A17" s="12" t="s">
        <v>19</v>
      </c>
      <c r="B17" s="7">
        <v>0</v>
      </c>
      <c r="C17" s="8">
        <f>IFERROR(B17/B444, "NA")</f>
        <v>0</v>
      </c>
      <c r="D17" s="9"/>
      <c r="E17" s="7">
        <v>0</v>
      </c>
      <c r="F17" s="8">
        <f>IFERROR(E17/E444, "NA")</f>
        <v>0</v>
      </c>
      <c r="G17" s="9"/>
      <c r="H17" s="10">
        <f t="shared" si="0"/>
        <v>0</v>
      </c>
      <c r="I17" s="8">
        <f>IFERROR(H17/H444, "NA")</f>
        <v>0</v>
      </c>
      <c r="J17" s="9"/>
      <c r="K17" s="7">
        <v>0</v>
      </c>
      <c r="L17" s="8">
        <f>IFERROR(K17/K444, "NA")</f>
        <v>0</v>
      </c>
      <c r="M17" s="9"/>
      <c r="N17" s="10">
        <f t="shared" si="1"/>
        <v>0</v>
      </c>
      <c r="O17" s="8">
        <f>IFERROR(N17/N444, "NA")</f>
        <v>0</v>
      </c>
      <c r="P17" s="9"/>
      <c r="Q17" s="7">
        <v>0</v>
      </c>
      <c r="R17" s="8">
        <f>IFERROR(Q17/Q444, "NA")</f>
        <v>0</v>
      </c>
      <c r="S17" s="9"/>
      <c r="T17" s="7">
        <v>0</v>
      </c>
      <c r="U17" s="8">
        <f>IFERROR(T17/T444, "NA")</f>
        <v>0</v>
      </c>
      <c r="V17" s="9"/>
      <c r="W17" s="10">
        <f t="shared" si="2"/>
        <v>0</v>
      </c>
      <c r="X17" s="8">
        <f>IFERROR(W17/W444, "NA")</f>
        <v>0</v>
      </c>
      <c r="Y17" s="9"/>
      <c r="Z17" s="7">
        <v>0</v>
      </c>
      <c r="AA17" s="8">
        <f>IFERROR(Z17/Z444, "NA")</f>
        <v>0</v>
      </c>
      <c r="AB17" s="9"/>
      <c r="AC17" s="10">
        <f t="shared" si="3"/>
        <v>0</v>
      </c>
      <c r="AD17" s="8">
        <f>IFERROR(AC17/AC444, "NA")</f>
        <v>0</v>
      </c>
    </row>
    <row r="18" spans="1:30" ht="16.5" customHeight="1" x14ac:dyDescent="0.45">
      <c r="A18" s="13" t="s">
        <v>20</v>
      </c>
      <c r="B18" s="14">
        <f>IFERROR(B10+B11+B12+B13+B14+B15+B16+B17, "NA")</f>
        <v>45554.500000000007</v>
      </c>
      <c r="C18" s="15">
        <f>IFERROR(B18/B444, "NA")</f>
        <v>0.50082184937492513</v>
      </c>
      <c r="D18" s="2"/>
      <c r="E18" s="14">
        <f>IFERROR(E10+E11+E12+E13+E14+E15+E16+E17, "NA")</f>
        <v>46420.480000000003</v>
      </c>
      <c r="F18" s="15">
        <f>IFERROR(E18/E444, "NA")</f>
        <v>0.47799997487488416</v>
      </c>
      <c r="G18" s="2"/>
      <c r="H18" s="14">
        <f t="shared" si="0"/>
        <v>-865.97999999999593</v>
      </c>
      <c r="I18" s="15">
        <f>IFERROR(H18/H444, "NA")</f>
        <v>0.1407070285271399</v>
      </c>
      <c r="J18" s="2"/>
      <c r="K18" s="14">
        <f>IFERROR(K10+K11+K12+K13+K14+K15+K16+K17, "NA")</f>
        <v>45916.65</v>
      </c>
      <c r="L18" s="15">
        <f>IFERROR(K18/K444, "NA")</f>
        <v>0.48084974611124193</v>
      </c>
      <c r="M18" s="2"/>
      <c r="N18" s="14">
        <f t="shared" si="1"/>
        <v>-362.14999999999418</v>
      </c>
      <c r="O18" s="15">
        <f>IFERROR(N18/N444, "NA")</f>
        <v>7.9924522472218901E-2</v>
      </c>
      <c r="P18" s="2"/>
      <c r="Q18" s="14">
        <f>IFERROR(Q10+Q11+Q12+Q13+Q14+Q15+Q16+Q17, "NA")</f>
        <v>45554.500000000007</v>
      </c>
      <c r="R18" s="15">
        <f>IFERROR(Q18/Q444, "NA")</f>
        <v>0.50082184937492513</v>
      </c>
      <c r="S18" s="2"/>
      <c r="T18" s="14">
        <f>IFERROR(T10+T11+T12+T13+T14+T15+T16+T17, "NA")</f>
        <v>46420.480000000003</v>
      </c>
      <c r="U18" s="15">
        <f>IFERROR(T18/T444, "NA")</f>
        <v>0.47799997487488416</v>
      </c>
      <c r="V18" s="2"/>
      <c r="W18" s="14">
        <f t="shared" si="2"/>
        <v>-865.97999999999593</v>
      </c>
      <c r="X18" s="15">
        <f>IFERROR(W18/W444, "NA")</f>
        <v>0.1407070285271399</v>
      </c>
      <c r="Y18" s="2"/>
      <c r="Z18" s="14">
        <f>IFERROR(Z10+Z11+Z12+Z13+Z14+Z15+Z16+Z17, "NA")</f>
        <v>45916.65</v>
      </c>
      <c r="AA18" s="15">
        <f>IFERROR(Z18/Z444, "NA")</f>
        <v>0.48084974611124193</v>
      </c>
      <c r="AB18" s="2"/>
      <c r="AC18" s="14">
        <f t="shared" si="3"/>
        <v>-362.14999999999418</v>
      </c>
      <c r="AD18" s="15">
        <f>IFERROR(AC18/AC444, "NA")</f>
        <v>7.9924522472218901E-2</v>
      </c>
    </row>
    <row r="19" spans="1:30" ht="16.5" hidden="1" customHeight="1" x14ac:dyDescent="0.45">
      <c r="A19" s="6" t="s">
        <v>21</v>
      </c>
      <c r="B19" s="7">
        <v>0</v>
      </c>
      <c r="C19" s="8">
        <f>IFERROR(B19/B444, "NA")</f>
        <v>0</v>
      </c>
      <c r="D19" s="9"/>
      <c r="E19" s="7">
        <v>0</v>
      </c>
      <c r="F19" s="8">
        <f>IFERROR(E19/E444, "NA")</f>
        <v>0</v>
      </c>
      <c r="G19" s="9"/>
      <c r="H19" s="10">
        <f t="shared" si="0"/>
        <v>0</v>
      </c>
      <c r="I19" s="8">
        <f>IFERROR(H19/H444, "NA")</f>
        <v>0</v>
      </c>
      <c r="J19" s="9"/>
      <c r="K19" s="7">
        <v>0</v>
      </c>
      <c r="L19" s="8">
        <f>IFERROR(K19/K444, "NA")</f>
        <v>0</v>
      </c>
      <c r="M19" s="9"/>
      <c r="N19" s="10">
        <f t="shared" si="1"/>
        <v>0</v>
      </c>
      <c r="O19" s="8">
        <f>IFERROR(N19/N444, "NA")</f>
        <v>0</v>
      </c>
      <c r="P19" s="9"/>
      <c r="Q19" s="7">
        <v>0</v>
      </c>
      <c r="R19" s="8">
        <f>IFERROR(Q19/Q444, "NA")</f>
        <v>0</v>
      </c>
      <c r="S19" s="9"/>
      <c r="T19" s="7">
        <v>0</v>
      </c>
      <c r="U19" s="8">
        <f>IFERROR(T19/T444, "NA")</f>
        <v>0</v>
      </c>
      <c r="V19" s="9"/>
      <c r="W19" s="10">
        <f t="shared" si="2"/>
        <v>0</v>
      </c>
      <c r="X19" s="8">
        <f>IFERROR(W19/W444, "NA")</f>
        <v>0</v>
      </c>
      <c r="Y19" s="9"/>
      <c r="Z19" s="7">
        <v>0</v>
      </c>
      <c r="AA19" s="8">
        <f>IFERROR(Z19/Z444, "NA")</f>
        <v>0</v>
      </c>
      <c r="AB19" s="9"/>
      <c r="AC19" s="10">
        <f t="shared" si="3"/>
        <v>0</v>
      </c>
      <c r="AD19" s="8">
        <f>IFERROR(AC19/AC444, "NA")</f>
        <v>0</v>
      </c>
    </row>
    <row r="20" spans="1:30" ht="16.5" customHeight="1" x14ac:dyDescent="0.45">
      <c r="A20" s="11" t="s">
        <v>22</v>
      </c>
      <c r="B20" s="2"/>
      <c r="C20" s="3"/>
      <c r="D20" s="4"/>
      <c r="E20" s="2"/>
      <c r="F20" s="3"/>
      <c r="G20" s="4"/>
      <c r="H20" s="2"/>
      <c r="I20" s="3"/>
      <c r="J20" s="4"/>
      <c r="K20" s="2"/>
      <c r="L20" s="3"/>
      <c r="M20" s="4"/>
      <c r="N20" s="2"/>
      <c r="O20" s="3"/>
      <c r="P20" s="4"/>
      <c r="Q20" s="2"/>
      <c r="R20" s="3"/>
      <c r="S20" s="4"/>
      <c r="T20" s="2"/>
      <c r="U20" s="3"/>
      <c r="V20" s="4"/>
      <c r="W20" s="2"/>
      <c r="X20" s="3"/>
      <c r="Y20" s="4"/>
      <c r="Z20" s="2"/>
      <c r="AA20" s="3"/>
      <c r="AB20" s="4"/>
      <c r="AC20" s="2"/>
      <c r="AD20" s="3"/>
    </row>
    <row r="21" spans="1:30" ht="16.5" customHeight="1" x14ac:dyDescent="0.45">
      <c r="A21" s="12" t="s">
        <v>22</v>
      </c>
      <c r="B21" s="7">
        <v>0</v>
      </c>
      <c r="C21" s="8">
        <f>IFERROR(B21/B444, "NA")</f>
        <v>0</v>
      </c>
      <c r="D21" s="9"/>
      <c r="E21" s="7">
        <v>10391.200000000001</v>
      </c>
      <c r="F21" s="8">
        <f>IFERROR(E21/E444, "NA")</f>
        <v>0.10700004263031956</v>
      </c>
      <c r="G21" s="9"/>
      <c r="H21" s="10">
        <f t="shared" ref="H21:H29" si="4">IFERROR(B21-E21, "NA")</f>
        <v>-10391.200000000001</v>
      </c>
      <c r="I21" s="8">
        <f>IFERROR(H21/H444, "NA")</f>
        <v>1.6883933518455658</v>
      </c>
      <c r="J21" s="9"/>
      <c r="K21" s="7">
        <v>0</v>
      </c>
      <c r="L21" s="8">
        <f>IFERROR(K21/K444, "NA")</f>
        <v>0</v>
      </c>
      <c r="M21" s="9"/>
      <c r="N21" s="10">
        <f t="shared" ref="N21:N29" si="5">IFERROR(B21-K21, "NA")</f>
        <v>0</v>
      </c>
      <c r="O21" s="8">
        <f>IFERROR(N21/N444, "NA")</f>
        <v>0</v>
      </c>
      <c r="P21" s="9"/>
      <c r="Q21" s="7">
        <v>0</v>
      </c>
      <c r="R21" s="8">
        <f>IFERROR(Q21/Q444, "NA")</f>
        <v>0</v>
      </c>
      <c r="S21" s="9"/>
      <c r="T21" s="7">
        <v>10391.200000000001</v>
      </c>
      <c r="U21" s="8">
        <f>IFERROR(T21/T444, "NA")</f>
        <v>0.10700004263031956</v>
      </c>
      <c r="V21" s="9"/>
      <c r="W21" s="10">
        <f t="shared" ref="W21:W29" si="6">IFERROR(Q21-T21, "NA")</f>
        <v>-10391.200000000001</v>
      </c>
      <c r="X21" s="8">
        <f>IFERROR(W21/W444, "NA")</f>
        <v>1.6883933518455658</v>
      </c>
      <c r="Y21" s="9"/>
      <c r="Z21" s="7">
        <v>0</v>
      </c>
      <c r="AA21" s="8">
        <f>IFERROR(Z21/Z444, "NA")</f>
        <v>0</v>
      </c>
      <c r="AB21" s="9"/>
      <c r="AC21" s="10">
        <f t="shared" ref="AC21:AC29" si="7">IFERROR(Q21-Z21, "NA")</f>
        <v>0</v>
      </c>
      <c r="AD21" s="8">
        <f>IFERROR(AC21/AC444, "NA")</f>
        <v>0</v>
      </c>
    </row>
    <row r="22" spans="1:30" ht="16.5" customHeight="1" x14ac:dyDescent="0.45">
      <c r="A22" s="12" t="s">
        <v>23</v>
      </c>
      <c r="B22" s="7">
        <v>5174.3900000000003</v>
      </c>
      <c r="C22" s="8">
        <f>IFERROR(B22/B444, "NA")</f>
        <v>5.6886752553252005E-2</v>
      </c>
      <c r="D22" s="9"/>
      <c r="E22" s="7">
        <v>0</v>
      </c>
      <c r="F22" s="8">
        <f>IFERROR(E22/E444, "NA")</f>
        <v>0</v>
      </c>
      <c r="G22" s="9"/>
      <c r="H22" s="10">
        <f t="shared" si="4"/>
        <v>5174.3900000000003</v>
      </c>
      <c r="I22" s="8">
        <f>IFERROR(H22/H444, "NA")</f>
        <v>-0.8407504114881994</v>
      </c>
      <c r="J22" s="9"/>
      <c r="K22" s="7">
        <v>7744.8</v>
      </c>
      <c r="L22" s="8">
        <f>IFERROR(K22/K444, "NA")</f>
        <v>8.1105331370697697E-2</v>
      </c>
      <c r="M22" s="9"/>
      <c r="N22" s="10">
        <f t="shared" si="5"/>
        <v>-2570.41</v>
      </c>
      <c r="O22" s="8">
        <f>IFERROR(N22/N444, "NA")</f>
        <v>0.56727541573331342</v>
      </c>
      <c r="P22" s="9"/>
      <c r="Q22" s="7">
        <v>5174.3900000000003</v>
      </c>
      <c r="R22" s="8">
        <f>IFERROR(Q22/Q444, "NA")</f>
        <v>5.6886752553252005E-2</v>
      </c>
      <c r="S22" s="9"/>
      <c r="T22" s="7">
        <v>0</v>
      </c>
      <c r="U22" s="8">
        <f>IFERROR(T22/T444, "NA")</f>
        <v>0</v>
      </c>
      <c r="V22" s="9"/>
      <c r="W22" s="10">
        <f t="shared" si="6"/>
        <v>5174.3900000000003</v>
      </c>
      <c r="X22" s="8">
        <f>IFERROR(W22/W444, "NA")</f>
        <v>-0.8407504114881994</v>
      </c>
      <c r="Y22" s="9"/>
      <c r="Z22" s="7">
        <v>7744.8</v>
      </c>
      <c r="AA22" s="8">
        <f>IFERROR(Z22/Z444, "NA")</f>
        <v>8.1105331370697697E-2</v>
      </c>
      <c r="AB22" s="9"/>
      <c r="AC22" s="10">
        <f t="shared" si="7"/>
        <v>-2570.41</v>
      </c>
      <c r="AD22" s="8">
        <f>IFERROR(AC22/AC444, "NA")</f>
        <v>0.56727541573331342</v>
      </c>
    </row>
    <row r="23" spans="1:30" ht="16.5" customHeight="1" x14ac:dyDescent="0.45">
      <c r="A23" s="12" t="s">
        <v>24</v>
      </c>
      <c r="B23" s="7">
        <v>3277.77</v>
      </c>
      <c r="C23" s="8">
        <f>IFERROR(B23/B444, "NA")</f>
        <v>3.6035492283432988E-2</v>
      </c>
      <c r="D23" s="9"/>
      <c r="E23" s="7">
        <v>0</v>
      </c>
      <c r="F23" s="8">
        <f>IFERROR(E23/E444, "NA")</f>
        <v>0</v>
      </c>
      <c r="G23" s="9"/>
      <c r="H23" s="10">
        <f t="shared" si="4"/>
        <v>3277.77</v>
      </c>
      <c r="I23" s="8">
        <f>IFERROR(H23/H444, "NA")</f>
        <v>-0.53258190361833468</v>
      </c>
      <c r="J23" s="9"/>
      <c r="K23" s="7">
        <v>0</v>
      </c>
      <c r="L23" s="8">
        <f>IFERROR(K23/K444, "NA")</f>
        <v>0</v>
      </c>
      <c r="M23" s="9"/>
      <c r="N23" s="10">
        <f t="shared" si="5"/>
        <v>3277.77</v>
      </c>
      <c r="O23" s="8">
        <f>IFERROR(N23/N444, "NA")</f>
        <v>-0.72338589541286524</v>
      </c>
      <c r="P23" s="9"/>
      <c r="Q23" s="7">
        <v>3277.77</v>
      </c>
      <c r="R23" s="8">
        <f>IFERROR(Q23/Q444, "NA")</f>
        <v>3.6035492283432988E-2</v>
      </c>
      <c r="S23" s="9"/>
      <c r="T23" s="7">
        <v>0</v>
      </c>
      <c r="U23" s="8">
        <f>IFERROR(T23/T444, "NA")</f>
        <v>0</v>
      </c>
      <c r="V23" s="9"/>
      <c r="W23" s="10">
        <f t="shared" si="6"/>
        <v>3277.77</v>
      </c>
      <c r="X23" s="8">
        <f>IFERROR(W23/W444, "NA")</f>
        <v>-0.53258190361833468</v>
      </c>
      <c r="Y23" s="9"/>
      <c r="Z23" s="7">
        <v>0</v>
      </c>
      <c r="AA23" s="8">
        <f>IFERROR(Z23/Z444, "NA")</f>
        <v>0</v>
      </c>
      <c r="AB23" s="9"/>
      <c r="AC23" s="10">
        <f t="shared" si="7"/>
        <v>3277.77</v>
      </c>
      <c r="AD23" s="8">
        <f>IFERROR(AC23/AC444, "NA")</f>
        <v>-0.72338589541286524</v>
      </c>
    </row>
    <row r="24" spans="1:30" ht="16.5" customHeight="1" x14ac:dyDescent="0.45">
      <c r="A24" s="12" t="s">
        <v>25</v>
      </c>
      <c r="B24" s="7">
        <v>775.25</v>
      </c>
      <c r="C24" s="8">
        <f>IFERROR(B24/B444, "NA")</f>
        <v>8.5230249202144816E-3</v>
      </c>
      <c r="D24" s="9"/>
      <c r="E24" s="7">
        <v>0</v>
      </c>
      <c r="F24" s="8">
        <f>IFERROR(E24/E444, "NA")</f>
        <v>0</v>
      </c>
      <c r="G24" s="9"/>
      <c r="H24" s="10">
        <f t="shared" si="4"/>
        <v>775.25</v>
      </c>
      <c r="I24" s="8">
        <f>IFERROR(H24/H444, "NA")</f>
        <v>-0.12596494591753357</v>
      </c>
      <c r="J24" s="9"/>
      <c r="K24" s="7">
        <v>1089.1300000000001</v>
      </c>
      <c r="L24" s="8">
        <f>IFERROR(K24/K444, "NA")</f>
        <v>1.1405620488039458E-2</v>
      </c>
      <c r="M24" s="9"/>
      <c r="N24" s="10">
        <f t="shared" si="5"/>
        <v>-313.88000000000011</v>
      </c>
      <c r="O24" s="8">
        <f>IFERROR(N24/N444, "NA")</f>
        <v>6.9271597718018718E-2</v>
      </c>
      <c r="P24" s="9"/>
      <c r="Q24" s="7">
        <v>775.25</v>
      </c>
      <c r="R24" s="8">
        <f>IFERROR(Q24/Q444, "NA")</f>
        <v>8.5230249202144816E-3</v>
      </c>
      <c r="S24" s="9"/>
      <c r="T24" s="7">
        <v>0</v>
      </c>
      <c r="U24" s="8">
        <f>IFERROR(T24/T444, "NA")</f>
        <v>0</v>
      </c>
      <c r="V24" s="9"/>
      <c r="W24" s="10">
        <f t="shared" si="6"/>
        <v>775.25</v>
      </c>
      <c r="X24" s="8">
        <f>IFERROR(W24/W444, "NA")</f>
        <v>-0.12596494591753357</v>
      </c>
      <c r="Y24" s="9"/>
      <c r="Z24" s="7">
        <v>1089.1300000000001</v>
      </c>
      <c r="AA24" s="8">
        <f>IFERROR(Z24/Z444, "NA")</f>
        <v>1.1405620488039458E-2</v>
      </c>
      <c r="AB24" s="9"/>
      <c r="AC24" s="10">
        <f t="shared" si="7"/>
        <v>-313.88000000000011</v>
      </c>
      <c r="AD24" s="8">
        <f>IFERROR(AC24/AC444, "NA")</f>
        <v>6.9271597718018718E-2</v>
      </c>
    </row>
    <row r="25" spans="1:30" ht="16.5" customHeight="1" x14ac:dyDescent="0.45">
      <c r="A25" s="12" t="s">
        <v>26</v>
      </c>
      <c r="B25" s="7">
        <v>106.62</v>
      </c>
      <c r="C25" s="8">
        <f>IFERROR(B25/B444, "NA")</f>
        <v>1.1721701605846735E-3</v>
      </c>
      <c r="D25" s="9"/>
      <c r="E25" s="7">
        <v>0</v>
      </c>
      <c r="F25" s="8">
        <f>IFERROR(E25/E444, "NA")</f>
        <v>0</v>
      </c>
      <c r="G25" s="9"/>
      <c r="H25" s="10">
        <f t="shared" si="4"/>
        <v>106.62</v>
      </c>
      <c r="I25" s="8">
        <f>IFERROR(H25/H444, "NA")</f>
        <v>-1.7323937483040865E-2</v>
      </c>
      <c r="J25" s="9"/>
      <c r="K25" s="7">
        <v>0</v>
      </c>
      <c r="L25" s="8">
        <f>IFERROR(K25/K444, "NA")</f>
        <v>0</v>
      </c>
      <c r="M25" s="9"/>
      <c r="N25" s="10">
        <f t="shared" si="5"/>
        <v>106.62</v>
      </c>
      <c r="O25" s="8">
        <f>IFERROR(N25/N444, "NA")</f>
        <v>-2.3530450327179667E-2</v>
      </c>
      <c r="P25" s="9"/>
      <c r="Q25" s="7">
        <v>106.62</v>
      </c>
      <c r="R25" s="8">
        <f>IFERROR(Q25/Q444, "NA")</f>
        <v>1.1721701605846735E-3</v>
      </c>
      <c r="S25" s="9"/>
      <c r="T25" s="7">
        <v>0</v>
      </c>
      <c r="U25" s="8">
        <f>IFERROR(T25/T444, "NA")</f>
        <v>0</v>
      </c>
      <c r="V25" s="9"/>
      <c r="W25" s="10">
        <f t="shared" si="6"/>
        <v>106.62</v>
      </c>
      <c r="X25" s="8">
        <f>IFERROR(W25/W444, "NA")</f>
        <v>-1.7323937483040865E-2</v>
      </c>
      <c r="Y25" s="9"/>
      <c r="Z25" s="7">
        <v>0</v>
      </c>
      <c r="AA25" s="8">
        <f>IFERROR(Z25/Z444, "NA")</f>
        <v>0</v>
      </c>
      <c r="AB25" s="9"/>
      <c r="AC25" s="10">
        <f t="shared" si="7"/>
        <v>106.62</v>
      </c>
      <c r="AD25" s="8">
        <f>IFERROR(AC25/AC444, "NA")</f>
        <v>-2.3530450327179667E-2</v>
      </c>
    </row>
    <row r="26" spans="1:30" ht="16.5" customHeight="1" x14ac:dyDescent="0.45">
      <c r="A26" s="12" t="s">
        <v>27</v>
      </c>
      <c r="B26" s="7">
        <v>562.80999999999995</v>
      </c>
      <c r="C26" s="8">
        <f>IFERROR(B26/B444, "NA")</f>
        <v>6.1874797231163004E-3</v>
      </c>
      <c r="D26" s="9"/>
      <c r="E26" s="7">
        <v>0</v>
      </c>
      <c r="F26" s="8">
        <f>IFERROR(E26/E444, "NA")</f>
        <v>0</v>
      </c>
      <c r="G26" s="9"/>
      <c r="H26" s="10">
        <f t="shared" si="4"/>
        <v>562.80999999999995</v>
      </c>
      <c r="I26" s="8">
        <f>IFERROR(H26/H444, "NA")</f>
        <v>-9.1447057351624714E-2</v>
      </c>
      <c r="J26" s="9"/>
      <c r="K26" s="7">
        <v>0</v>
      </c>
      <c r="L26" s="8">
        <f>IFERROR(K26/K444, "NA")</f>
        <v>0</v>
      </c>
      <c r="M26" s="9"/>
      <c r="N26" s="10">
        <f t="shared" si="5"/>
        <v>562.80999999999995</v>
      </c>
      <c r="O26" s="8">
        <f>IFERROR(N26/N444, "NA")</f>
        <v>-0.12420908599362207</v>
      </c>
      <c r="P26" s="9"/>
      <c r="Q26" s="7">
        <v>562.80999999999995</v>
      </c>
      <c r="R26" s="8">
        <f>IFERROR(Q26/Q444, "NA")</f>
        <v>6.1874797231163004E-3</v>
      </c>
      <c r="S26" s="9"/>
      <c r="T26" s="7">
        <v>0</v>
      </c>
      <c r="U26" s="8">
        <f>IFERROR(T26/T444, "NA")</f>
        <v>0</v>
      </c>
      <c r="V26" s="9"/>
      <c r="W26" s="10">
        <f t="shared" si="6"/>
        <v>562.80999999999995</v>
      </c>
      <c r="X26" s="8">
        <f>IFERROR(W26/W444, "NA")</f>
        <v>-9.1447057351624714E-2</v>
      </c>
      <c r="Y26" s="9"/>
      <c r="Z26" s="7">
        <v>0</v>
      </c>
      <c r="AA26" s="8">
        <f>IFERROR(Z26/Z444, "NA")</f>
        <v>0</v>
      </c>
      <c r="AB26" s="9"/>
      <c r="AC26" s="10">
        <f t="shared" si="7"/>
        <v>562.80999999999995</v>
      </c>
      <c r="AD26" s="8">
        <f>IFERROR(AC26/AC444, "NA")</f>
        <v>-0.12420908599362207</v>
      </c>
    </row>
    <row r="27" spans="1:30" ht="16.5" hidden="1" customHeight="1" x14ac:dyDescent="0.45">
      <c r="A27" s="12" t="s">
        <v>28</v>
      </c>
      <c r="B27" s="7">
        <v>0</v>
      </c>
      <c r="C27" s="8">
        <f>IFERROR(B27/B444, "NA")</f>
        <v>0</v>
      </c>
      <c r="D27" s="9"/>
      <c r="E27" s="7">
        <v>0</v>
      </c>
      <c r="F27" s="8">
        <f>IFERROR(E27/E444, "NA")</f>
        <v>0</v>
      </c>
      <c r="G27" s="9"/>
      <c r="H27" s="10">
        <f t="shared" si="4"/>
        <v>0</v>
      </c>
      <c r="I27" s="8">
        <f>IFERROR(H27/H444, "NA")</f>
        <v>0</v>
      </c>
      <c r="J27" s="9"/>
      <c r="K27" s="7">
        <v>0</v>
      </c>
      <c r="L27" s="8">
        <f>IFERROR(K27/K444, "NA")</f>
        <v>0</v>
      </c>
      <c r="M27" s="9"/>
      <c r="N27" s="10">
        <f t="shared" si="5"/>
        <v>0</v>
      </c>
      <c r="O27" s="8">
        <f>IFERROR(N27/N444, "NA")</f>
        <v>0</v>
      </c>
      <c r="P27" s="9"/>
      <c r="Q27" s="7">
        <v>0</v>
      </c>
      <c r="R27" s="8">
        <f>IFERROR(Q27/Q444, "NA")</f>
        <v>0</v>
      </c>
      <c r="S27" s="9"/>
      <c r="T27" s="7">
        <v>0</v>
      </c>
      <c r="U27" s="8">
        <f>IFERROR(T27/T444, "NA")</f>
        <v>0</v>
      </c>
      <c r="V27" s="9"/>
      <c r="W27" s="10">
        <f t="shared" si="6"/>
        <v>0</v>
      </c>
      <c r="X27" s="8">
        <f>IFERROR(W27/W444, "NA")</f>
        <v>0</v>
      </c>
      <c r="Y27" s="9"/>
      <c r="Z27" s="7">
        <v>0</v>
      </c>
      <c r="AA27" s="8">
        <f>IFERROR(Z27/Z444, "NA")</f>
        <v>0</v>
      </c>
      <c r="AB27" s="9"/>
      <c r="AC27" s="10">
        <f t="shared" si="7"/>
        <v>0</v>
      </c>
      <c r="AD27" s="8">
        <f>IFERROR(AC27/AC444, "NA")</f>
        <v>0</v>
      </c>
    </row>
    <row r="28" spans="1:30" ht="16.5" customHeight="1" x14ac:dyDescent="0.45">
      <c r="A28" s="12" t="s">
        <v>29</v>
      </c>
      <c r="B28" s="7">
        <v>808.65</v>
      </c>
      <c r="C28" s="8">
        <f>IFERROR(B28/B444, "NA")</f>
        <v>8.8902213501856706E-3</v>
      </c>
      <c r="D28" s="9"/>
      <c r="E28" s="7">
        <v>0</v>
      </c>
      <c r="F28" s="8">
        <f>IFERROR(E28/E444, "NA")</f>
        <v>0</v>
      </c>
      <c r="G28" s="9"/>
      <c r="H28" s="10">
        <f t="shared" si="4"/>
        <v>808.65</v>
      </c>
      <c r="I28" s="8">
        <f>IFERROR(H28/H444, "NA")</f>
        <v>-0.13139187812475139</v>
      </c>
      <c r="J28" s="9"/>
      <c r="K28" s="7">
        <v>838.6</v>
      </c>
      <c r="L28" s="8">
        <f>IFERROR(K28/K444, "NA")</f>
        <v>8.7820125616500221E-3</v>
      </c>
      <c r="M28" s="9"/>
      <c r="N28" s="10">
        <f t="shared" si="5"/>
        <v>-29.950000000000045</v>
      </c>
      <c r="O28" s="8">
        <f>IFERROR(N28/N444, "NA")</f>
        <v>6.6098010438851249E-3</v>
      </c>
      <c r="P28" s="9"/>
      <c r="Q28" s="7">
        <v>808.65</v>
      </c>
      <c r="R28" s="8">
        <f>IFERROR(Q28/Q444, "NA")</f>
        <v>8.8902213501856706E-3</v>
      </c>
      <c r="S28" s="9"/>
      <c r="T28" s="7">
        <v>0</v>
      </c>
      <c r="U28" s="8">
        <f>IFERROR(T28/T444, "NA")</f>
        <v>0</v>
      </c>
      <c r="V28" s="9"/>
      <c r="W28" s="10">
        <f t="shared" si="6"/>
        <v>808.65</v>
      </c>
      <c r="X28" s="8">
        <f>IFERROR(W28/W444, "NA")</f>
        <v>-0.13139187812475139</v>
      </c>
      <c r="Y28" s="9"/>
      <c r="Z28" s="7">
        <v>838.6</v>
      </c>
      <c r="AA28" s="8">
        <f>IFERROR(Z28/Z444, "NA")</f>
        <v>8.7820125616500221E-3</v>
      </c>
      <c r="AB28" s="9"/>
      <c r="AC28" s="10">
        <f t="shared" si="7"/>
        <v>-29.950000000000045</v>
      </c>
      <c r="AD28" s="8">
        <f>IFERROR(AC28/AC444, "NA")</f>
        <v>6.6098010438851249E-3</v>
      </c>
    </row>
    <row r="29" spans="1:30" ht="16.5" customHeight="1" x14ac:dyDescent="0.45">
      <c r="A29" s="13" t="s">
        <v>30</v>
      </c>
      <c r="B29" s="14">
        <f>IFERROR(B21+B22+B23+B24+B25+B26+B27+B28, "NA")</f>
        <v>10705.49</v>
      </c>
      <c r="C29" s="15">
        <f>IFERROR(B29/B444, "NA")</f>
        <v>0.11769514099078611</v>
      </c>
      <c r="D29" s="2"/>
      <c r="E29" s="14">
        <f>IFERROR(E21+E22+E23+E24+E25+E26+E27+E28, "NA")</f>
        <v>10391.200000000001</v>
      </c>
      <c r="F29" s="15">
        <f>IFERROR(E29/E444, "NA")</f>
        <v>0.10700004263031956</v>
      </c>
      <c r="G29" s="2"/>
      <c r="H29" s="14">
        <f t="shared" si="4"/>
        <v>314.28999999999905</v>
      </c>
      <c r="I29" s="15">
        <f>IFERROR(H29/H444, "NA")</f>
        <v>-5.1066782137918744E-2</v>
      </c>
      <c r="J29" s="2"/>
      <c r="K29" s="14">
        <f>IFERROR(K21+K22+K23+K24+K25+K26+K27+K28, "NA")</f>
        <v>9672.5300000000007</v>
      </c>
      <c r="L29" s="15">
        <f>IFERROR(K29/K444, "NA")</f>
        <v>0.10129296442038718</v>
      </c>
      <c r="M29" s="2"/>
      <c r="N29" s="14">
        <f t="shared" si="5"/>
        <v>1032.9599999999991</v>
      </c>
      <c r="O29" s="15">
        <f>IFERROR(N29/N444, "NA")</f>
        <v>-0.22796861723844949</v>
      </c>
      <c r="P29" s="2"/>
      <c r="Q29" s="14">
        <f>IFERROR(Q21+Q22+Q23+Q24+Q25+Q26+Q27+Q28, "NA")</f>
        <v>10705.49</v>
      </c>
      <c r="R29" s="15">
        <f>IFERROR(Q29/Q444, "NA")</f>
        <v>0.11769514099078611</v>
      </c>
      <c r="S29" s="2"/>
      <c r="T29" s="14">
        <f>IFERROR(T21+T22+T23+T24+T25+T26+T27+T28, "NA")</f>
        <v>10391.200000000001</v>
      </c>
      <c r="U29" s="15">
        <f>IFERROR(T29/T444, "NA")</f>
        <v>0.10700004263031956</v>
      </c>
      <c r="V29" s="2"/>
      <c r="W29" s="14">
        <f t="shared" si="6"/>
        <v>314.28999999999905</v>
      </c>
      <c r="X29" s="15">
        <f>IFERROR(W29/W444, "NA")</f>
        <v>-5.1066782137918744E-2</v>
      </c>
      <c r="Y29" s="2"/>
      <c r="Z29" s="14">
        <f>IFERROR(Z21+Z22+Z23+Z24+Z25+Z26+Z27+Z28, "NA")</f>
        <v>9672.5300000000007</v>
      </c>
      <c r="AA29" s="15">
        <f>IFERROR(Z29/Z444, "NA")</f>
        <v>0.10129296442038718</v>
      </c>
      <c r="AB29" s="2"/>
      <c r="AC29" s="14">
        <f t="shared" si="7"/>
        <v>1032.9599999999991</v>
      </c>
      <c r="AD29" s="15">
        <f>IFERROR(AC29/AC444, "NA")</f>
        <v>-0.22796861723844949</v>
      </c>
    </row>
    <row r="30" spans="1:30" ht="16.5" customHeight="1" x14ac:dyDescent="0.45">
      <c r="A30" s="11" t="s">
        <v>31</v>
      </c>
      <c r="B30" s="2"/>
      <c r="C30" s="3"/>
      <c r="D30" s="4"/>
      <c r="E30" s="2"/>
      <c r="F30" s="3"/>
      <c r="G30" s="4"/>
      <c r="H30" s="2"/>
      <c r="I30" s="3"/>
      <c r="J30" s="4"/>
      <c r="K30" s="2"/>
      <c r="L30" s="3"/>
      <c r="M30" s="4"/>
      <c r="N30" s="2"/>
      <c r="O30" s="3"/>
      <c r="P30" s="4"/>
      <c r="Q30" s="2"/>
      <c r="R30" s="3"/>
      <c r="S30" s="4"/>
      <c r="T30" s="2"/>
      <c r="U30" s="3"/>
      <c r="V30" s="4"/>
      <c r="W30" s="2"/>
      <c r="X30" s="3"/>
      <c r="Y30" s="4"/>
      <c r="Z30" s="2"/>
      <c r="AA30" s="3"/>
      <c r="AB30" s="4"/>
      <c r="AC30" s="2"/>
      <c r="AD30" s="3"/>
    </row>
    <row r="31" spans="1:30" ht="16.5" customHeight="1" x14ac:dyDescent="0.45">
      <c r="A31" s="12" t="s">
        <v>31</v>
      </c>
      <c r="B31" s="7">
        <v>0</v>
      </c>
      <c r="C31" s="8">
        <f>IFERROR(B31/B444, "NA")</f>
        <v>0</v>
      </c>
      <c r="D31" s="9"/>
      <c r="E31" s="7">
        <v>17674.740000000002</v>
      </c>
      <c r="F31" s="8">
        <f>IFERROR(E31/E444, "NA")</f>
        <v>0.18199995510430117</v>
      </c>
      <c r="G31" s="9"/>
      <c r="H31" s="10">
        <f t="shared" ref="H31:H40" si="8">IFERROR(B31-E31, "NA")</f>
        <v>-17674.740000000002</v>
      </c>
      <c r="I31" s="8">
        <f>IFERROR(H31/H444, "NA")</f>
        <v>2.8718447832395584</v>
      </c>
      <c r="J31" s="9"/>
      <c r="K31" s="7">
        <v>0</v>
      </c>
      <c r="L31" s="8">
        <f>IFERROR(K31/K444, "NA")</f>
        <v>0</v>
      </c>
      <c r="M31" s="9"/>
      <c r="N31" s="10">
        <f t="shared" ref="N31:N40" si="9">IFERROR(B31-K31, "NA")</f>
        <v>0</v>
      </c>
      <c r="O31" s="8">
        <f>IFERROR(N31/N444, "NA")</f>
        <v>0</v>
      </c>
      <c r="P31" s="9"/>
      <c r="Q31" s="7">
        <v>0</v>
      </c>
      <c r="R31" s="8">
        <f>IFERROR(Q31/Q444, "NA")</f>
        <v>0</v>
      </c>
      <c r="S31" s="9"/>
      <c r="T31" s="7">
        <v>17674.740000000002</v>
      </c>
      <c r="U31" s="8">
        <f>IFERROR(T31/T444, "NA")</f>
        <v>0.18199995510430117</v>
      </c>
      <c r="V31" s="9"/>
      <c r="W31" s="10">
        <f t="shared" ref="W31:W40" si="10">IFERROR(Q31-T31, "NA")</f>
        <v>-17674.740000000002</v>
      </c>
      <c r="X31" s="8">
        <f>IFERROR(W31/W444, "NA")</f>
        <v>2.8718447832395584</v>
      </c>
      <c r="Y31" s="9"/>
      <c r="Z31" s="7">
        <v>0</v>
      </c>
      <c r="AA31" s="8">
        <f>IFERROR(Z31/Z444, "NA")</f>
        <v>0</v>
      </c>
      <c r="AB31" s="9"/>
      <c r="AC31" s="10">
        <f t="shared" ref="AC31:AC40" si="11">IFERROR(Q31-Z31, "NA")</f>
        <v>0</v>
      </c>
      <c r="AD31" s="8">
        <f>IFERROR(AC31/AC444, "NA")</f>
        <v>0</v>
      </c>
    </row>
    <row r="32" spans="1:30" ht="16.5" hidden="1" customHeight="1" x14ac:dyDescent="0.45">
      <c r="A32" s="12" t="s">
        <v>32</v>
      </c>
      <c r="B32" s="7">
        <v>0</v>
      </c>
      <c r="C32" s="8">
        <f>IFERROR(B32/B444, "NA")</f>
        <v>0</v>
      </c>
      <c r="D32" s="9"/>
      <c r="E32" s="7">
        <v>0</v>
      </c>
      <c r="F32" s="8">
        <f>IFERROR(E32/E444, "NA")</f>
        <v>0</v>
      </c>
      <c r="G32" s="9"/>
      <c r="H32" s="10">
        <f t="shared" si="8"/>
        <v>0</v>
      </c>
      <c r="I32" s="8">
        <f>IFERROR(H32/H444, "NA")</f>
        <v>0</v>
      </c>
      <c r="J32" s="9"/>
      <c r="K32" s="7">
        <v>0</v>
      </c>
      <c r="L32" s="8">
        <f>IFERROR(K32/K444, "NA")</f>
        <v>0</v>
      </c>
      <c r="M32" s="9"/>
      <c r="N32" s="10">
        <f t="shared" si="9"/>
        <v>0</v>
      </c>
      <c r="O32" s="8">
        <f>IFERROR(N32/N444, "NA")</f>
        <v>0</v>
      </c>
      <c r="P32" s="9"/>
      <c r="Q32" s="7">
        <v>0</v>
      </c>
      <c r="R32" s="8">
        <f>IFERROR(Q32/Q444, "NA")</f>
        <v>0</v>
      </c>
      <c r="S32" s="9"/>
      <c r="T32" s="7">
        <v>0</v>
      </c>
      <c r="U32" s="8">
        <f>IFERROR(T32/T444, "NA")</f>
        <v>0</v>
      </c>
      <c r="V32" s="9"/>
      <c r="W32" s="10">
        <f t="shared" si="10"/>
        <v>0</v>
      </c>
      <c r="X32" s="8">
        <f>IFERROR(W32/W444, "NA")</f>
        <v>0</v>
      </c>
      <c r="Y32" s="9"/>
      <c r="Z32" s="7">
        <v>0</v>
      </c>
      <c r="AA32" s="8">
        <f>IFERROR(Z32/Z444, "NA")</f>
        <v>0</v>
      </c>
      <c r="AB32" s="9"/>
      <c r="AC32" s="10">
        <f t="shared" si="11"/>
        <v>0</v>
      </c>
      <c r="AD32" s="8">
        <f>IFERROR(AC32/AC444, "NA")</f>
        <v>0</v>
      </c>
    </row>
    <row r="33" spans="1:30" ht="16.5" customHeight="1" x14ac:dyDescent="0.45">
      <c r="A33" s="12" t="s">
        <v>33</v>
      </c>
      <c r="B33" s="7">
        <v>9034.7000000000007</v>
      </c>
      <c r="C33" s="8">
        <f>IFERROR(B33/B444, "NA")</f>
        <v>9.9326634307206424E-2</v>
      </c>
      <c r="D33" s="9"/>
      <c r="E33" s="7">
        <v>0</v>
      </c>
      <c r="F33" s="8">
        <f>IFERROR(E33/E444, "NA")</f>
        <v>0</v>
      </c>
      <c r="G33" s="9"/>
      <c r="H33" s="10">
        <f t="shared" si="8"/>
        <v>9034.7000000000007</v>
      </c>
      <c r="I33" s="8">
        <f>IFERROR(H33/H444, "NA")</f>
        <v>-1.4679851620524227</v>
      </c>
      <c r="J33" s="9"/>
      <c r="K33" s="7">
        <v>6554.99</v>
      </c>
      <c r="L33" s="8">
        <f>IFERROR(K33/K444, "NA")</f>
        <v>6.8645366708192546E-2</v>
      </c>
      <c r="M33" s="9"/>
      <c r="N33" s="10">
        <f t="shared" si="9"/>
        <v>2479.7100000000009</v>
      </c>
      <c r="O33" s="8">
        <f>IFERROR(N33/N444, "NA")</f>
        <v>-0.5472584222548369</v>
      </c>
      <c r="P33" s="9"/>
      <c r="Q33" s="7">
        <v>9034.7000000000007</v>
      </c>
      <c r="R33" s="8">
        <f>IFERROR(Q33/Q444, "NA")</f>
        <v>9.9326634307206424E-2</v>
      </c>
      <c r="S33" s="9"/>
      <c r="T33" s="7">
        <v>0</v>
      </c>
      <c r="U33" s="8">
        <f>IFERROR(T33/T444, "NA")</f>
        <v>0</v>
      </c>
      <c r="V33" s="9"/>
      <c r="W33" s="10">
        <f t="shared" si="10"/>
        <v>9034.7000000000007</v>
      </c>
      <c r="X33" s="8">
        <f>IFERROR(W33/W444, "NA")</f>
        <v>-1.4679851620524227</v>
      </c>
      <c r="Y33" s="9"/>
      <c r="Z33" s="7">
        <v>6554.99</v>
      </c>
      <c r="AA33" s="8">
        <f>IFERROR(Z33/Z444, "NA")</f>
        <v>6.8645366708192546E-2</v>
      </c>
      <c r="AB33" s="9"/>
      <c r="AC33" s="10">
        <f t="shared" si="11"/>
        <v>2479.7100000000009</v>
      </c>
      <c r="AD33" s="8">
        <f>IFERROR(AC33/AC444, "NA")</f>
        <v>-0.5472584222548369</v>
      </c>
    </row>
    <row r="34" spans="1:30" ht="16.5" hidden="1" customHeight="1" x14ac:dyDescent="0.45">
      <c r="A34" s="12" t="s">
        <v>34</v>
      </c>
      <c r="B34" s="7">
        <v>0</v>
      </c>
      <c r="C34" s="8">
        <f>IFERROR(B34/B444, "NA")</f>
        <v>0</v>
      </c>
      <c r="D34" s="9"/>
      <c r="E34" s="7">
        <v>0</v>
      </c>
      <c r="F34" s="8">
        <f>IFERROR(E34/E444, "NA")</f>
        <v>0</v>
      </c>
      <c r="G34" s="9"/>
      <c r="H34" s="10">
        <f t="shared" si="8"/>
        <v>0</v>
      </c>
      <c r="I34" s="8">
        <f>IFERROR(H34/H444, "NA")</f>
        <v>0</v>
      </c>
      <c r="J34" s="9"/>
      <c r="K34" s="7">
        <v>0</v>
      </c>
      <c r="L34" s="8">
        <f>IFERROR(K34/K444, "NA")</f>
        <v>0</v>
      </c>
      <c r="M34" s="9"/>
      <c r="N34" s="10">
        <f t="shared" si="9"/>
        <v>0</v>
      </c>
      <c r="O34" s="8">
        <f>IFERROR(N34/N444, "NA")</f>
        <v>0</v>
      </c>
      <c r="P34" s="9"/>
      <c r="Q34" s="7">
        <v>0</v>
      </c>
      <c r="R34" s="8">
        <f>IFERROR(Q34/Q444, "NA")</f>
        <v>0</v>
      </c>
      <c r="S34" s="9"/>
      <c r="T34" s="7">
        <v>0</v>
      </c>
      <c r="U34" s="8">
        <f>IFERROR(T34/T444, "NA")</f>
        <v>0</v>
      </c>
      <c r="V34" s="9"/>
      <c r="W34" s="10">
        <f t="shared" si="10"/>
        <v>0</v>
      </c>
      <c r="X34" s="8">
        <f>IFERROR(W34/W444, "NA")</f>
        <v>0</v>
      </c>
      <c r="Y34" s="9"/>
      <c r="Z34" s="7">
        <v>0</v>
      </c>
      <c r="AA34" s="8">
        <f>IFERROR(Z34/Z444, "NA")</f>
        <v>0</v>
      </c>
      <c r="AB34" s="9"/>
      <c r="AC34" s="10">
        <f t="shared" si="11"/>
        <v>0</v>
      </c>
      <c r="AD34" s="8">
        <f>IFERROR(AC34/AC444, "NA")</f>
        <v>0</v>
      </c>
    </row>
    <row r="35" spans="1:30" ht="16.5" customHeight="1" x14ac:dyDescent="0.45">
      <c r="A35" s="12" t="s">
        <v>35</v>
      </c>
      <c r="B35" s="7">
        <v>840.76</v>
      </c>
      <c r="C35" s="8">
        <f>IFERROR(B35/B444, "NA")</f>
        <v>9.2432356425921035E-3</v>
      </c>
      <c r="D35" s="9"/>
      <c r="E35" s="7">
        <v>0</v>
      </c>
      <c r="F35" s="8">
        <f>IFERROR(E35/E444, "NA")</f>
        <v>0</v>
      </c>
      <c r="G35" s="9"/>
      <c r="H35" s="10">
        <f t="shared" si="8"/>
        <v>840.76</v>
      </c>
      <c r="I35" s="8">
        <f>IFERROR(H35/H444, "NA")</f>
        <v>-0.13660920726169046</v>
      </c>
      <c r="J35" s="9"/>
      <c r="K35" s="7">
        <v>809.79</v>
      </c>
      <c r="L35" s="8">
        <f>IFERROR(K35/K444, "NA")</f>
        <v>8.4803075987342838E-3</v>
      </c>
      <c r="M35" s="9"/>
      <c r="N35" s="10">
        <f t="shared" si="9"/>
        <v>30.970000000000027</v>
      </c>
      <c r="O35" s="8">
        <f>IFERROR(N35/N444, "NA")</f>
        <v>-6.8349094600708574E-3</v>
      </c>
      <c r="P35" s="9"/>
      <c r="Q35" s="7">
        <v>840.76</v>
      </c>
      <c r="R35" s="8">
        <f>IFERROR(Q35/Q444, "NA")</f>
        <v>9.2432356425921035E-3</v>
      </c>
      <c r="S35" s="9"/>
      <c r="T35" s="7">
        <v>0</v>
      </c>
      <c r="U35" s="8">
        <f>IFERROR(T35/T444, "NA")</f>
        <v>0</v>
      </c>
      <c r="V35" s="9"/>
      <c r="W35" s="10">
        <f t="shared" si="10"/>
        <v>840.76</v>
      </c>
      <c r="X35" s="8">
        <f>IFERROR(W35/W444, "NA")</f>
        <v>-0.13660920726169046</v>
      </c>
      <c r="Y35" s="9"/>
      <c r="Z35" s="7">
        <v>809.79</v>
      </c>
      <c r="AA35" s="8">
        <f>IFERROR(Z35/Z444, "NA")</f>
        <v>8.4803075987342838E-3</v>
      </c>
      <c r="AB35" s="9"/>
      <c r="AC35" s="10">
        <f t="shared" si="11"/>
        <v>30.970000000000027</v>
      </c>
      <c r="AD35" s="8">
        <f>IFERROR(AC35/AC444, "NA")</f>
        <v>-6.8349094600708574E-3</v>
      </c>
    </row>
    <row r="36" spans="1:30" ht="16.5" customHeight="1" x14ac:dyDescent="0.45">
      <c r="A36" s="12" t="s">
        <v>36</v>
      </c>
      <c r="B36" s="7">
        <v>6479.66</v>
      </c>
      <c r="C36" s="8">
        <f>IFERROR(B36/B444, "NA")</f>
        <v>7.1236767048715857E-2</v>
      </c>
      <c r="D36" s="9"/>
      <c r="E36" s="7">
        <v>0</v>
      </c>
      <c r="F36" s="8">
        <f>IFERROR(E36/E444, "NA")</f>
        <v>0</v>
      </c>
      <c r="G36" s="9"/>
      <c r="H36" s="10">
        <f t="shared" si="8"/>
        <v>6479.66</v>
      </c>
      <c r="I36" s="8">
        <f>IFERROR(H36/H444, "NA")</f>
        <v>-1.0528345971802715</v>
      </c>
      <c r="J36" s="9"/>
      <c r="K36" s="7">
        <v>8777.9599999999991</v>
      </c>
      <c r="L36" s="8">
        <f>IFERROR(K36/K444, "NA")</f>
        <v>9.1924821113357286E-2</v>
      </c>
      <c r="M36" s="9"/>
      <c r="N36" s="10">
        <f t="shared" si="9"/>
        <v>-2298.2999999999993</v>
      </c>
      <c r="O36" s="8">
        <f>IFERROR(N36/N444, "NA")</f>
        <v>0.5072222283526262</v>
      </c>
      <c r="P36" s="9"/>
      <c r="Q36" s="7">
        <v>6479.66</v>
      </c>
      <c r="R36" s="8">
        <f>IFERROR(Q36/Q444, "NA")</f>
        <v>7.1236767048715857E-2</v>
      </c>
      <c r="S36" s="9"/>
      <c r="T36" s="7">
        <v>0</v>
      </c>
      <c r="U36" s="8">
        <f>IFERROR(T36/T444, "NA")</f>
        <v>0</v>
      </c>
      <c r="V36" s="9"/>
      <c r="W36" s="10">
        <f t="shared" si="10"/>
        <v>6479.66</v>
      </c>
      <c r="X36" s="8">
        <f>IFERROR(W36/W444, "NA")</f>
        <v>-1.0528345971802715</v>
      </c>
      <c r="Y36" s="9"/>
      <c r="Z36" s="7">
        <v>8777.9599999999991</v>
      </c>
      <c r="AA36" s="8">
        <f>IFERROR(Z36/Z444, "NA")</f>
        <v>9.1924821113357286E-2</v>
      </c>
      <c r="AB36" s="9"/>
      <c r="AC36" s="10">
        <f t="shared" si="11"/>
        <v>-2298.2999999999993</v>
      </c>
      <c r="AD36" s="8">
        <f>IFERROR(AC36/AC444, "NA")</f>
        <v>0.5072222283526262</v>
      </c>
    </row>
    <row r="37" spans="1:30" ht="16.5" customHeight="1" x14ac:dyDescent="0.45">
      <c r="A37" s="12" t="s">
        <v>37</v>
      </c>
      <c r="B37" s="7">
        <v>454.6</v>
      </c>
      <c r="C37" s="8">
        <f>IFERROR(B37/B444, "NA")</f>
        <v>4.9978292534401851E-3</v>
      </c>
      <c r="D37" s="9"/>
      <c r="E37" s="7">
        <v>0</v>
      </c>
      <c r="F37" s="8">
        <f>IFERROR(E37/E444, "NA")</f>
        <v>0</v>
      </c>
      <c r="G37" s="9"/>
      <c r="H37" s="10">
        <f t="shared" si="8"/>
        <v>454.6</v>
      </c>
      <c r="I37" s="8">
        <f>IFERROR(H37/H444, "NA")</f>
        <v>-7.3864771898240256E-2</v>
      </c>
      <c r="J37" s="9"/>
      <c r="K37" s="7">
        <v>0</v>
      </c>
      <c r="L37" s="8">
        <f>IFERROR(K37/K444, "NA")</f>
        <v>0</v>
      </c>
      <c r="M37" s="9"/>
      <c r="N37" s="10">
        <f t="shared" si="9"/>
        <v>454.6</v>
      </c>
      <c r="O37" s="8">
        <f>IFERROR(N37/N444, "NA")</f>
        <v>-0.10032773137062348</v>
      </c>
      <c r="P37" s="9"/>
      <c r="Q37" s="7">
        <v>454.6</v>
      </c>
      <c r="R37" s="8">
        <f>IFERROR(Q37/Q444, "NA")</f>
        <v>4.9978292534401851E-3</v>
      </c>
      <c r="S37" s="9"/>
      <c r="T37" s="7">
        <v>0</v>
      </c>
      <c r="U37" s="8">
        <f>IFERROR(T37/T444, "NA")</f>
        <v>0</v>
      </c>
      <c r="V37" s="9"/>
      <c r="W37" s="10">
        <f t="shared" si="10"/>
        <v>454.6</v>
      </c>
      <c r="X37" s="8">
        <f>IFERROR(W37/W444, "NA")</f>
        <v>-7.3864771898240256E-2</v>
      </c>
      <c r="Y37" s="9"/>
      <c r="Z37" s="7">
        <v>0</v>
      </c>
      <c r="AA37" s="8">
        <f>IFERROR(Z37/Z444, "NA")</f>
        <v>0</v>
      </c>
      <c r="AB37" s="9"/>
      <c r="AC37" s="10">
        <f t="shared" si="11"/>
        <v>454.6</v>
      </c>
      <c r="AD37" s="8">
        <f>IFERROR(AC37/AC444, "NA")</f>
        <v>-0.10032773137062348</v>
      </c>
    </row>
    <row r="38" spans="1:30" ht="16.5" hidden="1" customHeight="1" x14ac:dyDescent="0.45">
      <c r="A38" s="12" t="s">
        <v>38</v>
      </c>
      <c r="B38" s="7">
        <v>0</v>
      </c>
      <c r="C38" s="8">
        <f>IFERROR(B38/B444, "NA")</f>
        <v>0</v>
      </c>
      <c r="D38" s="9"/>
      <c r="E38" s="7">
        <v>0</v>
      </c>
      <c r="F38" s="8">
        <f>IFERROR(E38/E444, "NA")</f>
        <v>0</v>
      </c>
      <c r="G38" s="9"/>
      <c r="H38" s="10">
        <f t="shared" si="8"/>
        <v>0</v>
      </c>
      <c r="I38" s="8">
        <f>IFERROR(H38/H444, "NA")</f>
        <v>0</v>
      </c>
      <c r="J38" s="9"/>
      <c r="K38" s="7">
        <v>0</v>
      </c>
      <c r="L38" s="8">
        <f>IFERROR(K38/K444, "NA")</f>
        <v>0</v>
      </c>
      <c r="M38" s="9"/>
      <c r="N38" s="10">
        <f t="shared" si="9"/>
        <v>0</v>
      </c>
      <c r="O38" s="8">
        <f>IFERROR(N38/N444, "NA")</f>
        <v>0</v>
      </c>
      <c r="P38" s="9"/>
      <c r="Q38" s="7">
        <v>0</v>
      </c>
      <c r="R38" s="8">
        <f>IFERROR(Q38/Q444, "NA")</f>
        <v>0</v>
      </c>
      <c r="S38" s="9"/>
      <c r="T38" s="7">
        <v>0</v>
      </c>
      <c r="U38" s="8">
        <f>IFERROR(T38/T444, "NA")</f>
        <v>0</v>
      </c>
      <c r="V38" s="9"/>
      <c r="W38" s="10">
        <f t="shared" si="10"/>
        <v>0</v>
      </c>
      <c r="X38" s="8">
        <f>IFERROR(W38/W444, "NA")</f>
        <v>0</v>
      </c>
      <c r="Y38" s="9"/>
      <c r="Z38" s="7">
        <v>0</v>
      </c>
      <c r="AA38" s="8">
        <f>IFERROR(Z38/Z444, "NA")</f>
        <v>0</v>
      </c>
      <c r="AB38" s="9"/>
      <c r="AC38" s="10">
        <f t="shared" si="11"/>
        <v>0</v>
      </c>
      <c r="AD38" s="8">
        <f>IFERROR(AC38/AC444, "NA")</f>
        <v>0</v>
      </c>
    </row>
    <row r="39" spans="1:30" ht="16.5" customHeight="1" x14ac:dyDescent="0.45">
      <c r="A39" s="12" t="s">
        <v>39</v>
      </c>
      <c r="B39" s="7">
        <v>521.4</v>
      </c>
      <c r="C39" s="8">
        <f>IFERROR(B39/B444, "NA")</f>
        <v>5.7322221133825615E-3</v>
      </c>
      <c r="D39" s="9"/>
      <c r="E39" s="7">
        <v>0</v>
      </c>
      <c r="F39" s="8">
        <f>IFERROR(E39/E444, "NA")</f>
        <v>0</v>
      </c>
      <c r="G39" s="9"/>
      <c r="H39" s="10">
        <f t="shared" si="8"/>
        <v>521.4</v>
      </c>
      <c r="I39" s="8">
        <f>IFERROR(H39/H444, "NA")</f>
        <v>-8.4718636312675913E-2</v>
      </c>
      <c r="J39" s="9"/>
      <c r="K39" s="7">
        <v>919.25</v>
      </c>
      <c r="L39" s="8">
        <f>IFERROR(K39/K444, "NA")</f>
        <v>9.6265979576637042E-3</v>
      </c>
      <c r="M39" s="9"/>
      <c r="N39" s="10">
        <f t="shared" si="9"/>
        <v>-397.85</v>
      </c>
      <c r="O39" s="8">
        <f>IFERROR(N39/N444, "NA")</f>
        <v>8.7803317038720977E-2</v>
      </c>
      <c r="P39" s="9"/>
      <c r="Q39" s="7">
        <v>521.4</v>
      </c>
      <c r="R39" s="8">
        <f>IFERROR(Q39/Q444, "NA")</f>
        <v>5.7322221133825615E-3</v>
      </c>
      <c r="S39" s="9"/>
      <c r="T39" s="7">
        <v>0</v>
      </c>
      <c r="U39" s="8">
        <f>IFERROR(T39/T444, "NA")</f>
        <v>0</v>
      </c>
      <c r="V39" s="9"/>
      <c r="W39" s="10">
        <f t="shared" si="10"/>
        <v>521.4</v>
      </c>
      <c r="X39" s="8">
        <f>IFERROR(W39/W444, "NA")</f>
        <v>-8.4718636312675913E-2</v>
      </c>
      <c r="Y39" s="9"/>
      <c r="Z39" s="7">
        <v>919.25</v>
      </c>
      <c r="AA39" s="8">
        <f>IFERROR(Z39/Z444, "NA")</f>
        <v>9.6265979576637042E-3</v>
      </c>
      <c r="AB39" s="9"/>
      <c r="AC39" s="10">
        <f t="shared" si="11"/>
        <v>-397.85</v>
      </c>
      <c r="AD39" s="8">
        <f>IFERROR(AC39/AC444, "NA")</f>
        <v>8.7803317038720977E-2</v>
      </c>
    </row>
    <row r="40" spans="1:30" ht="16.5" customHeight="1" x14ac:dyDescent="0.45">
      <c r="A40" s="13" t="s">
        <v>40</v>
      </c>
      <c r="B40" s="14">
        <f>IFERROR(B31+B32+B33+B34+B35+B36+B37+B38+B39, "NA")</f>
        <v>17331.120000000003</v>
      </c>
      <c r="C40" s="15">
        <f>IFERROR(B40/B444, "NA")</f>
        <v>0.19053668836533716</v>
      </c>
      <c r="D40" s="2"/>
      <c r="E40" s="14">
        <f>IFERROR(E31+E32+E33+E34+E35+E36+E37+E38+E39, "NA")</f>
        <v>17674.740000000002</v>
      </c>
      <c r="F40" s="15">
        <f>IFERROR(E40/E444, "NA")</f>
        <v>0.18199995510430117</v>
      </c>
      <c r="G40" s="2"/>
      <c r="H40" s="14">
        <f t="shared" si="8"/>
        <v>-343.61999999999898</v>
      </c>
      <c r="I40" s="15">
        <f>IFERROR(H40/H444, "NA")</f>
        <v>5.5832408534257021E-2</v>
      </c>
      <c r="J40" s="2"/>
      <c r="K40" s="14">
        <f>IFERROR(K31+K32+K33+K34+K35+K36+K37+K38+K39, "NA")</f>
        <v>17061.989999999998</v>
      </c>
      <c r="L40" s="15">
        <f>IFERROR(K40/K444, "NA")</f>
        <v>0.17867709337794782</v>
      </c>
      <c r="M40" s="2"/>
      <c r="N40" s="14">
        <f t="shared" si="9"/>
        <v>269.13000000000466</v>
      </c>
      <c r="O40" s="15">
        <f>IFERROR(N40/N444, "NA")</f>
        <v>-5.9395517694184698E-2</v>
      </c>
      <c r="P40" s="2"/>
      <c r="Q40" s="14">
        <f>IFERROR(Q31+Q32+Q33+Q34+Q35+Q36+Q37+Q38+Q39, "NA")</f>
        <v>17331.120000000003</v>
      </c>
      <c r="R40" s="15">
        <f>IFERROR(Q40/Q444, "NA")</f>
        <v>0.19053668836533716</v>
      </c>
      <c r="S40" s="2"/>
      <c r="T40" s="14">
        <f>IFERROR(T31+T32+T33+T34+T35+T36+T37+T38+T39, "NA")</f>
        <v>17674.740000000002</v>
      </c>
      <c r="U40" s="15">
        <f>IFERROR(T40/T444, "NA")</f>
        <v>0.18199995510430117</v>
      </c>
      <c r="V40" s="2"/>
      <c r="W40" s="14">
        <f t="shared" si="10"/>
        <v>-343.61999999999898</v>
      </c>
      <c r="X40" s="15">
        <f>IFERROR(W40/W444, "NA")</f>
        <v>5.5832408534257021E-2</v>
      </c>
      <c r="Y40" s="2"/>
      <c r="Z40" s="14">
        <f>IFERROR(Z31+Z32+Z33+Z34+Z35+Z36+Z37+Z38+Z39, "NA")</f>
        <v>17061.989999999998</v>
      </c>
      <c r="AA40" s="15">
        <f>IFERROR(Z40/Z444, "NA")</f>
        <v>0.17867709337794782</v>
      </c>
      <c r="AB40" s="2"/>
      <c r="AC40" s="14">
        <f t="shared" si="11"/>
        <v>269.13000000000466</v>
      </c>
      <c r="AD40" s="15">
        <f>IFERROR(AC40/AC444, "NA")</f>
        <v>-5.9395517694184698E-2</v>
      </c>
    </row>
    <row r="41" spans="1:30" ht="16.5" customHeight="1" x14ac:dyDescent="0.45">
      <c r="A41" s="11" t="s">
        <v>41</v>
      </c>
      <c r="B41" s="2"/>
      <c r="C41" s="3"/>
      <c r="D41" s="4"/>
      <c r="E41" s="2"/>
      <c r="F41" s="3"/>
      <c r="G41" s="4"/>
      <c r="H41" s="2"/>
      <c r="I41" s="3"/>
      <c r="J41" s="4"/>
      <c r="K41" s="2"/>
      <c r="L41" s="3"/>
      <c r="M41" s="4"/>
      <c r="N41" s="2"/>
      <c r="O41" s="3"/>
      <c r="P41" s="4"/>
      <c r="Q41" s="2"/>
      <c r="R41" s="3"/>
      <c r="S41" s="4"/>
      <c r="T41" s="2"/>
      <c r="U41" s="3"/>
      <c r="V41" s="4"/>
      <c r="W41" s="2"/>
      <c r="X41" s="3"/>
      <c r="Y41" s="4"/>
      <c r="Z41" s="2"/>
      <c r="AA41" s="3"/>
      <c r="AB41" s="4"/>
      <c r="AC41" s="2"/>
      <c r="AD41" s="3"/>
    </row>
    <row r="42" spans="1:30" ht="16.5" customHeight="1" x14ac:dyDescent="0.45">
      <c r="A42" s="12" t="s">
        <v>41</v>
      </c>
      <c r="B42" s="7">
        <v>0</v>
      </c>
      <c r="C42" s="8">
        <f>IFERROR(B42/B444, "NA")</f>
        <v>0</v>
      </c>
      <c r="D42" s="9"/>
      <c r="E42" s="7">
        <v>17966.09</v>
      </c>
      <c r="F42" s="8">
        <f>IFERROR(E42/E444, "NA")</f>
        <v>0.18500003809956095</v>
      </c>
      <c r="G42" s="9"/>
      <c r="H42" s="10">
        <f>IFERROR(B42-E42, "NA")</f>
        <v>-17966.09</v>
      </c>
      <c r="I42" s="8">
        <f>IFERROR(H42/H444, "NA")</f>
        <v>2.9191842053525194</v>
      </c>
      <c r="J42" s="9"/>
      <c r="K42" s="7">
        <v>0</v>
      </c>
      <c r="L42" s="8">
        <f>IFERROR(K42/K444, "NA")</f>
        <v>0</v>
      </c>
      <c r="M42" s="9"/>
      <c r="N42" s="10">
        <f>IFERROR(B42-K42, "NA")</f>
        <v>0</v>
      </c>
      <c r="O42" s="8">
        <f>IFERROR(N42/N444, "NA")</f>
        <v>0</v>
      </c>
      <c r="P42" s="9"/>
      <c r="Q42" s="7">
        <v>0</v>
      </c>
      <c r="R42" s="8">
        <f>IFERROR(Q42/Q444, "NA")</f>
        <v>0</v>
      </c>
      <c r="S42" s="9"/>
      <c r="T42" s="7">
        <v>17966.09</v>
      </c>
      <c r="U42" s="8">
        <f>IFERROR(T42/T444, "NA")</f>
        <v>0.18500003809956095</v>
      </c>
      <c r="V42" s="9"/>
      <c r="W42" s="10">
        <f>IFERROR(Q42-T42, "NA")</f>
        <v>-17966.09</v>
      </c>
      <c r="X42" s="8">
        <f>IFERROR(W42/W444, "NA")</f>
        <v>2.9191842053525194</v>
      </c>
      <c r="Y42" s="9"/>
      <c r="Z42" s="7">
        <v>0</v>
      </c>
      <c r="AA42" s="8">
        <f>IFERROR(Z42/Z444, "NA")</f>
        <v>0</v>
      </c>
      <c r="AB42" s="9"/>
      <c r="AC42" s="10">
        <f>IFERROR(Q42-Z42, "NA")</f>
        <v>0</v>
      </c>
      <c r="AD42" s="8">
        <f>IFERROR(AC42/AC444, "NA")</f>
        <v>0</v>
      </c>
    </row>
    <row r="43" spans="1:30" ht="16.5" customHeight="1" x14ac:dyDescent="0.45">
      <c r="A43" s="12" t="s">
        <v>42</v>
      </c>
      <c r="B43" s="7">
        <v>2742.95</v>
      </c>
      <c r="C43" s="8">
        <f>IFERROR(B43/B444, "NA")</f>
        <v>3.0155731963756611E-2</v>
      </c>
      <c r="D43" s="9"/>
      <c r="E43" s="7">
        <v>0</v>
      </c>
      <c r="F43" s="8">
        <f>IFERROR(E43/E444, "NA")</f>
        <v>0</v>
      </c>
      <c r="G43" s="9"/>
      <c r="H43" s="10">
        <f>IFERROR(B43-E43, "NA")</f>
        <v>2742.95</v>
      </c>
      <c r="I43" s="8">
        <f>IFERROR(H43/H444, "NA")</f>
        <v>-0.44568274544275871</v>
      </c>
      <c r="J43" s="9"/>
      <c r="K43" s="7">
        <v>2626.25</v>
      </c>
      <c r="L43" s="8">
        <f>IFERROR(K43/K444, "NA")</f>
        <v>2.7502695552150451E-2</v>
      </c>
      <c r="M43" s="9"/>
      <c r="N43" s="10">
        <f>IFERROR(B43-K43, "NA")</f>
        <v>116.69999999999982</v>
      </c>
      <c r="O43" s="8">
        <f>IFERROR(N43/N444, "NA")</f>
        <v>-2.5755051145956318E-2</v>
      </c>
      <c r="P43" s="9"/>
      <c r="Q43" s="7">
        <v>2742.95</v>
      </c>
      <c r="R43" s="8">
        <f>IFERROR(Q43/Q444, "NA")</f>
        <v>3.0155731963756611E-2</v>
      </c>
      <c r="S43" s="9"/>
      <c r="T43" s="7">
        <v>0</v>
      </c>
      <c r="U43" s="8">
        <f>IFERROR(T43/T444, "NA")</f>
        <v>0</v>
      </c>
      <c r="V43" s="9"/>
      <c r="W43" s="10">
        <f>IFERROR(Q43-T43, "NA")</f>
        <v>2742.95</v>
      </c>
      <c r="X43" s="8">
        <f>IFERROR(W43/W444, "NA")</f>
        <v>-0.44568274544275871</v>
      </c>
      <c r="Y43" s="9"/>
      <c r="Z43" s="7">
        <v>2626.25</v>
      </c>
      <c r="AA43" s="8">
        <f>IFERROR(Z43/Z444, "NA")</f>
        <v>2.7502695552150451E-2</v>
      </c>
      <c r="AB43" s="9"/>
      <c r="AC43" s="10">
        <f>IFERROR(Q43-Z43, "NA")</f>
        <v>116.69999999999982</v>
      </c>
      <c r="AD43" s="8">
        <f>IFERROR(AC43/AC444, "NA")</f>
        <v>-2.5755051145956318E-2</v>
      </c>
    </row>
    <row r="44" spans="1:30" ht="16.5" hidden="1" customHeight="1" x14ac:dyDescent="0.45">
      <c r="A44" s="12" t="s">
        <v>43</v>
      </c>
      <c r="B44" s="7">
        <v>0</v>
      </c>
      <c r="C44" s="8">
        <f>IFERROR(B44/B444, "NA")</f>
        <v>0</v>
      </c>
      <c r="D44" s="9"/>
      <c r="E44" s="7">
        <v>0</v>
      </c>
      <c r="F44" s="8">
        <f>IFERROR(E44/E444, "NA")</f>
        <v>0</v>
      </c>
      <c r="G44" s="9"/>
      <c r="H44" s="10">
        <f>IFERROR(B44-E44, "NA")</f>
        <v>0</v>
      </c>
      <c r="I44" s="8">
        <f>IFERROR(H44/H444, "NA")</f>
        <v>0</v>
      </c>
      <c r="J44" s="9"/>
      <c r="K44" s="7">
        <v>0</v>
      </c>
      <c r="L44" s="8">
        <f>IFERROR(K44/K444, "NA")</f>
        <v>0</v>
      </c>
      <c r="M44" s="9"/>
      <c r="N44" s="10">
        <f>IFERROR(B44-K44, "NA")</f>
        <v>0</v>
      </c>
      <c r="O44" s="8">
        <f>IFERROR(N44/N444, "NA")</f>
        <v>0</v>
      </c>
      <c r="P44" s="9"/>
      <c r="Q44" s="7">
        <v>0</v>
      </c>
      <c r="R44" s="8">
        <f>IFERROR(Q44/Q444, "NA")</f>
        <v>0</v>
      </c>
      <c r="S44" s="9"/>
      <c r="T44" s="7">
        <v>0</v>
      </c>
      <c r="U44" s="8">
        <f>IFERROR(T44/T444, "NA")</f>
        <v>0</v>
      </c>
      <c r="V44" s="9"/>
      <c r="W44" s="10">
        <f>IFERROR(Q44-T44, "NA")</f>
        <v>0</v>
      </c>
      <c r="X44" s="8">
        <f>IFERROR(W44/W444, "NA")</f>
        <v>0</v>
      </c>
      <c r="Y44" s="9"/>
      <c r="Z44" s="7">
        <v>0</v>
      </c>
      <c r="AA44" s="8">
        <f>IFERROR(Z44/Z444, "NA")</f>
        <v>0</v>
      </c>
      <c r="AB44" s="9"/>
      <c r="AC44" s="10">
        <f>IFERROR(Q44-Z44, "NA")</f>
        <v>0</v>
      </c>
      <c r="AD44" s="8">
        <f>IFERROR(AC44/AC444, "NA")</f>
        <v>0</v>
      </c>
    </row>
    <row r="45" spans="1:30" ht="16.5" customHeight="1" x14ac:dyDescent="0.45">
      <c r="A45" s="16" t="s">
        <v>44</v>
      </c>
      <c r="B45" s="2"/>
      <c r="C45" s="3"/>
      <c r="D45" s="4"/>
      <c r="E45" s="2"/>
      <c r="F45" s="3"/>
      <c r="G45" s="4"/>
      <c r="H45" s="2"/>
      <c r="I45" s="3"/>
      <c r="J45" s="4"/>
      <c r="K45" s="2"/>
      <c r="L45" s="3"/>
      <c r="M45" s="4"/>
      <c r="N45" s="2"/>
      <c r="O45" s="3"/>
      <c r="P45" s="4"/>
      <c r="Q45" s="2"/>
      <c r="R45" s="3"/>
      <c r="S45" s="4"/>
      <c r="T45" s="2"/>
      <c r="U45" s="3"/>
      <c r="V45" s="4"/>
      <c r="W45" s="2"/>
      <c r="X45" s="3"/>
      <c r="Y45" s="4"/>
      <c r="Z45" s="2"/>
      <c r="AA45" s="3"/>
      <c r="AB45" s="4"/>
      <c r="AC45" s="2"/>
      <c r="AD45" s="3"/>
    </row>
    <row r="46" spans="1:30" ht="16.5" hidden="1" customHeight="1" x14ac:dyDescent="0.45">
      <c r="A46" s="17" t="s">
        <v>44</v>
      </c>
      <c r="B46" s="7">
        <v>0</v>
      </c>
      <c r="C46" s="8">
        <f>IFERROR(B46/B444, "NA")</f>
        <v>0</v>
      </c>
      <c r="D46" s="9"/>
      <c r="E46" s="7">
        <v>0</v>
      </c>
      <c r="F46" s="8">
        <f>IFERROR(E46/E444, "NA")</f>
        <v>0</v>
      </c>
      <c r="G46" s="9"/>
      <c r="H46" s="10">
        <f t="shared" ref="H46:H62" si="12">IFERROR(B46-E46, "NA")</f>
        <v>0</v>
      </c>
      <c r="I46" s="8">
        <f>IFERROR(H46/H444, "NA")</f>
        <v>0</v>
      </c>
      <c r="J46" s="9"/>
      <c r="K46" s="7">
        <v>0</v>
      </c>
      <c r="L46" s="8">
        <f>IFERROR(K46/K444, "NA")</f>
        <v>0</v>
      </c>
      <c r="M46" s="9"/>
      <c r="N46" s="10">
        <f t="shared" ref="N46:N62" si="13">IFERROR(B46-K46, "NA")</f>
        <v>0</v>
      </c>
      <c r="O46" s="8">
        <f>IFERROR(N46/N444, "NA")</f>
        <v>0</v>
      </c>
      <c r="P46" s="9"/>
      <c r="Q46" s="7">
        <v>0</v>
      </c>
      <c r="R46" s="8">
        <f>IFERROR(Q46/Q444, "NA")</f>
        <v>0</v>
      </c>
      <c r="S46" s="9"/>
      <c r="T46" s="7">
        <v>0</v>
      </c>
      <c r="U46" s="8">
        <f>IFERROR(T46/T444, "NA")</f>
        <v>0</v>
      </c>
      <c r="V46" s="9"/>
      <c r="W46" s="10">
        <f t="shared" ref="W46:W62" si="14">IFERROR(Q46-T46, "NA")</f>
        <v>0</v>
      </c>
      <c r="X46" s="8">
        <f>IFERROR(W46/W444, "NA")</f>
        <v>0</v>
      </c>
      <c r="Y46" s="9"/>
      <c r="Z46" s="7">
        <v>0</v>
      </c>
      <c r="AA46" s="8">
        <f>IFERROR(Z46/Z444, "NA")</f>
        <v>0</v>
      </c>
      <c r="AB46" s="9"/>
      <c r="AC46" s="10">
        <f t="shared" ref="AC46:AC62" si="15">IFERROR(Q46-Z46, "NA")</f>
        <v>0</v>
      </c>
      <c r="AD46" s="8">
        <f>IFERROR(AC46/AC444, "NA")</f>
        <v>0</v>
      </c>
    </row>
    <row r="47" spans="1:30" ht="16.5" hidden="1" customHeight="1" x14ac:dyDescent="0.45">
      <c r="A47" s="17" t="s">
        <v>45</v>
      </c>
      <c r="B47" s="7">
        <v>0</v>
      </c>
      <c r="C47" s="8">
        <f>IFERROR(B47/B444, "NA")</f>
        <v>0</v>
      </c>
      <c r="D47" s="9"/>
      <c r="E47" s="7">
        <v>0</v>
      </c>
      <c r="F47" s="8">
        <f>IFERROR(E47/E444, "NA")</f>
        <v>0</v>
      </c>
      <c r="G47" s="9"/>
      <c r="H47" s="10">
        <f t="shared" si="12"/>
        <v>0</v>
      </c>
      <c r="I47" s="8">
        <f>IFERROR(H47/H444, "NA")</f>
        <v>0</v>
      </c>
      <c r="J47" s="9"/>
      <c r="K47" s="7">
        <v>0</v>
      </c>
      <c r="L47" s="8">
        <f>IFERROR(K47/K444, "NA")</f>
        <v>0</v>
      </c>
      <c r="M47" s="9"/>
      <c r="N47" s="10">
        <f t="shared" si="13"/>
        <v>0</v>
      </c>
      <c r="O47" s="8">
        <f>IFERROR(N47/N444, "NA")</f>
        <v>0</v>
      </c>
      <c r="P47" s="9"/>
      <c r="Q47" s="7">
        <v>0</v>
      </c>
      <c r="R47" s="8">
        <f>IFERROR(Q47/Q444, "NA")</f>
        <v>0</v>
      </c>
      <c r="S47" s="9"/>
      <c r="T47" s="7">
        <v>0</v>
      </c>
      <c r="U47" s="8">
        <f>IFERROR(T47/T444, "NA")</f>
        <v>0</v>
      </c>
      <c r="V47" s="9"/>
      <c r="W47" s="10">
        <f t="shared" si="14"/>
        <v>0</v>
      </c>
      <c r="X47" s="8">
        <f>IFERROR(W47/W444, "NA")</f>
        <v>0</v>
      </c>
      <c r="Y47" s="9"/>
      <c r="Z47" s="7">
        <v>0</v>
      </c>
      <c r="AA47" s="8">
        <f>IFERROR(Z47/Z444, "NA")</f>
        <v>0</v>
      </c>
      <c r="AB47" s="9"/>
      <c r="AC47" s="10">
        <f t="shared" si="15"/>
        <v>0</v>
      </c>
      <c r="AD47" s="8">
        <f>IFERROR(AC47/AC444, "NA")</f>
        <v>0</v>
      </c>
    </row>
    <row r="48" spans="1:30" ht="16.5" customHeight="1" x14ac:dyDescent="0.45">
      <c r="A48" s="17" t="s">
        <v>46</v>
      </c>
      <c r="B48" s="7">
        <v>9690.91</v>
      </c>
      <c r="C48" s="8">
        <f>IFERROR(B48/B444, "NA")</f>
        <v>0.10654094476563138</v>
      </c>
      <c r="D48" s="9"/>
      <c r="E48" s="7">
        <v>0</v>
      </c>
      <c r="F48" s="8">
        <f>IFERROR(E48/E444, "NA")</f>
        <v>0</v>
      </c>
      <c r="G48" s="9"/>
      <c r="H48" s="10">
        <f t="shared" si="12"/>
        <v>9690.91</v>
      </c>
      <c r="I48" s="8">
        <f>IFERROR(H48/H444, "NA")</f>
        <v>-1.5746081316242311</v>
      </c>
      <c r="J48" s="9"/>
      <c r="K48" s="7">
        <v>17293.09</v>
      </c>
      <c r="L48" s="8">
        <f>IFERROR(K48/K444, "NA")</f>
        <v>0.1810972258642313</v>
      </c>
      <c r="M48" s="9"/>
      <c r="N48" s="10">
        <f t="shared" si="13"/>
        <v>-7602.18</v>
      </c>
      <c r="O48" s="8">
        <f>IFERROR(N48/N444, "NA")</f>
        <v>1.6777595091753772</v>
      </c>
      <c r="P48" s="9"/>
      <c r="Q48" s="7">
        <v>9690.91</v>
      </c>
      <c r="R48" s="8">
        <f>IFERROR(Q48/Q444, "NA")</f>
        <v>0.10654094476563138</v>
      </c>
      <c r="S48" s="9"/>
      <c r="T48" s="7">
        <v>0</v>
      </c>
      <c r="U48" s="8">
        <f>IFERROR(T48/T444, "NA")</f>
        <v>0</v>
      </c>
      <c r="V48" s="9"/>
      <c r="W48" s="10">
        <f t="shared" si="14"/>
        <v>9690.91</v>
      </c>
      <c r="X48" s="8">
        <f>IFERROR(W48/W444, "NA")</f>
        <v>-1.5746081316242311</v>
      </c>
      <c r="Y48" s="9"/>
      <c r="Z48" s="7">
        <v>17293.09</v>
      </c>
      <c r="AA48" s="8">
        <f>IFERROR(Z48/Z444, "NA")</f>
        <v>0.1810972258642313</v>
      </c>
      <c r="AB48" s="9"/>
      <c r="AC48" s="10">
        <f t="shared" si="15"/>
        <v>-7602.18</v>
      </c>
      <c r="AD48" s="8">
        <f>IFERROR(AC48/AC444, "NA")</f>
        <v>1.6777595091753772</v>
      </c>
    </row>
    <row r="49" spans="1:30" ht="16.5" hidden="1" customHeight="1" x14ac:dyDescent="0.45">
      <c r="A49" s="17" t="s">
        <v>47</v>
      </c>
      <c r="B49" s="7">
        <v>0</v>
      </c>
      <c r="C49" s="8">
        <f>IFERROR(B49/B444, "NA")</f>
        <v>0</v>
      </c>
      <c r="D49" s="9"/>
      <c r="E49" s="7">
        <v>0</v>
      </c>
      <c r="F49" s="8">
        <f>IFERROR(E49/E444, "NA")</f>
        <v>0</v>
      </c>
      <c r="G49" s="9"/>
      <c r="H49" s="10">
        <f t="shared" si="12"/>
        <v>0</v>
      </c>
      <c r="I49" s="8">
        <f>IFERROR(H49/H444, "NA")</f>
        <v>0</v>
      </c>
      <c r="J49" s="9"/>
      <c r="K49" s="7">
        <v>0</v>
      </c>
      <c r="L49" s="8">
        <f>IFERROR(K49/K444, "NA")</f>
        <v>0</v>
      </c>
      <c r="M49" s="9"/>
      <c r="N49" s="10">
        <f t="shared" si="13"/>
        <v>0</v>
      </c>
      <c r="O49" s="8">
        <f>IFERROR(N49/N444, "NA")</f>
        <v>0</v>
      </c>
      <c r="P49" s="9"/>
      <c r="Q49" s="7">
        <v>0</v>
      </c>
      <c r="R49" s="8">
        <f>IFERROR(Q49/Q444, "NA")</f>
        <v>0</v>
      </c>
      <c r="S49" s="9"/>
      <c r="T49" s="7">
        <v>0</v>
      </c>
      <c r="U49" s="8">
        <f>IFERROR(T49/T444, "NA")</f>
        <v>0</v>
      </c>
      <c r="V49" s="9"/>
      <c r="W49" s="10">
        <f t="shared" si="14"/>
        <v>0</v>
      </c>
      <c r="X49" s="8">
        <f>IFERROR(W49/W444, "NA")</f>
        <v>0</v>
      </c>
      <c r="Y49" s="9"/>
      <c r="Z49" s="7">
        <v>0</v>
      </c>
      <c r="AA49" s="8">
        <f>IFERROR(Z49/Z444, "NA")</f>
        <v>0</v>
      </c>
      <c r="AB49" s="9"/>
      <c r="AC49" s="10">
        <f t="shared" si="15"/>
        <v>0</v>
      </c>
      <c r="AD49" s="8">
        <f>IFERROR(AC49/AC444, "NA")</f>
        <v>0</v>
      </c>
    </row>
    <row r="50" spans="1:30" ht="16.5" hidden="1" customHeight="1" x14ac:dyDescent="0.45">
      <c r="A50" s="17" t="s">
        <v>48</v>
      </c>
      <c r="B50" s="7">
        <v>0</v>
      </c>
      <c r="C50" s="8">
        <f>IFERROR(B50/B444, "NA")</f>
        <v>0</v>
      </c>
      <c r="D50" s="9"/>
      <c r="E50" s="7">
        <v>0</v>
      </c>
      <c r="F50" s="8">
        <f>IFERROR(E50/E444, "NA")</f>
        <v>0</v>
      </c>
      <c r="G50" s="9"/>
      <c r="H50" s="10">
        <f t="shared" si="12"/>
        <v>0</v>
      </c>
      <c r="I50" s="8">
        <f>IFERROR(H50/H444, "NA")</f>
        <v>0</v>
      </c>
      <c r="J50" s="9"/>
      <c r="K50" s="7">
        <v>0</v>
      </c>
      <c r="L50" s="8">
        <f>IFERROR(K50/K444, "NA")</f>
        <v>0</v>
      </c>
      <c r="M50" s="9"/>
      <c r="N50" s="10">
        <f t="shared" si="13"/>
        <v>0</v>
      </c>
      <c r="O50" s="8">
        <f>IFERROR(N50/N444, "NA")</f>
        <v>0</v>
      </c>
      <c r="P50" s="9"/>
      <c r="Q50" s="7">
        <v>0</v>
      </c>
      <c r="R50" s="8">
        <f>IFERROR(Q50/Q444, "NA")</f>
        <v>0</v>
      </c>
      <c r="S50" s="9"/>
      <c r="T50" s="7">
        <v>0</v>
      </c>
      <c r="U50" s="8">
        <f>IFERROR(T50/T444, "NA")</f>
        <v>0</v>
      </c>
      <c r="V50" s="9"/>
      <c r="W50" s="10">
        <f t="shared" si="14"/>
        <v>0</v>
      </c>
      <c r="X50" s="8">
        <f>IFERROR(W50/W444, "NA")</f>
        <v>0</v>
      </c>
      <c r="Y50" s="9"/>
      <c r="Z50" s="7">
        <v>0</v>
      </c>
      <c r="AA50" s="8">
        <f>IFERROR(Z50/Z444, "NA")</f>
        <v>0</v>
      </c>
      <c r="AB50" s="9"/>
      <c r="AC50" s="10">
        <f t="shared" si="15"/>
        <v>0</v>
      </c>
      <c r="AD50" s="8">
        <f>IFERROR(AC50/AC444, "NA")</f>
        <v>0</v>
      </c>
    </row>
    <row r="51" spans="1:30" ht="16.5" hidden="1" customHeight="1" x14ac:dyDescent="0.45">
      <c r="A51" s="17" t="s">
        <v>49</v>
      </c>
      <c r="B51" s="7">
        <v>0</v>
      </c>
      <c r="C51" s="8">
        <f>IFERROR(B51/B444, "NA")</f>
        <v>0</v>
      </c>
      <c r="D51" s="9"/>
      <c r="E51" s="7">
        <v>0</v>
      </c>
      <c r="F51" s="8">
        <f>IFERROR(E51/E444, "NA")</f>
        <v>0</v>
      </c>
      <c r="G51" s="9"/>
      <c r="H51" s="10">
        <f t="shared" si="12"/>
        <v>0</v>
      </c>
      <c r="I51" s="8">
        <f>IFERROR(H51/H444, "NA")</f>
        <v>0</v>
      </c>
      <c r="J51" s="9"/>
      <c r="K51" s="7">
        <v>0</v>
      </c>
      <c r="L51" s="8">
        <f>IFERROR(K51/K444, "NA")</f>
        <v>0</v>
      </c>
      <c r="M51" s="9"/>
      <c r="N51" s="10">
        <f t="shared" si="13"/>
        <v>0</v>
      </c>
      <c r="O51" s="8">
        <f>IFERROR(N51/N444, "NA")</f>
        <v>0</v>
      </c>
      <c r="P51" s="9"/>
      <c r="Q51" s="7">
        <v>0</v>
      </c>
      <c r="R51" s="8">
        <f>IFERROR(Q51/Q444, "NA")</f>
        <v>0</v>
      </c>
      <c r="S51" s="9"/>
      <c r="T51" s="7">
        <v>0</v>
      </c>
      <c r="U51" s="8">
        <f>IFERROR(T51/T444, "NA")</f>
        <v>0</v>
      </c>
      <c r="V51" s="9"/>
      <c r="W51" s="10">
        <f t="shared" si="14"/>
        <v>0</v>
      </c>
      <c r="X51" s="8">
        <f>IFERROR(W51/W444, "NA")</f>
        <v>0</v>
      </c>
      <c r="Y51" s="9"/>
      <c r="Z51" s="7">
        <v>0</v>
      </c>
      <c r="AA51" s="8">
        <f>IFERROR(Z51/Z444, "NA")</f>
        <v>0</v>
      </c>
      <c r="AB51" s="9"/>
      <c r="AC51" s="10">
        <f t="shared" si="15"/>
        <v>0</v>
      </c>
      <c r="AD51" s="8">
        <f>IFERROR(AC51/AC444, "NA")</f>
        <v>0</v>
      </c>
    </row>
    <row r="52" spans="1:30" ht="16.5" hidden="1" customHeight="1" x14ac:dyDescent="0.45">
      <c r="A52" s="17" t="s">
        <v>50</v>
      </c>
      <c r="B52" s="7">
        <v>0</v>
      </c>
      <c r="C52" s="8">
        <f>IFERROR(B52/B444, "NA")</f>
        <v>0</v>
      </c>
      <c r="D52" s="9"/>
      <c r="E52" s="7">
        <v>0</v>
      </c>
      <c r="F52" s="8">
        <f>IFERROR(E52/E444, "NA")</f>
        <v>0</v>
      </c>
      <c r="G52" s="9"/>
      <c r="H52" s="10">
        <f t="shared" si="12"/>
        <v>0</v>
      </c>
      <c r="I52" s="8">
        <f>IFERROR(H52/H444, "NA")</f>
        <v>0</v>
      </c>
      <c r="J52" s="9"/>
      <c r="K52" s="7">
        <v>0</v>
      </c>
      <c r="L52" s="8">
        <f>IFERROR(K52/K444, "NA")</f>
        <v>0</v>
      </c>
      <c r="M52" s="9"/>
      <c r="N52" s="10">
        <f t="shared" si="13"/>
        <v>0</v>
      </c>
      <c r="O52" s="8">
        <f>IFERROR(N52/N444, "NA")</f>
        <v>0</v>
      </c>
      <c r="P52" s="9"/>
      <c r="Q52" s="7">
        <v>0</v>
      </c>
      <c r="R52" s="8">
        <f>IFERROR(Q52/Q444, "NA")</f>
        <v>0</v>
      </c>
      <c r="S52" s="9"/>
      <c r="T52" s="7">
        <v>0</v>
      </c>
      <c r="U52" s="8">
        <f>IFERROR(T52/T444, "NA")</f>
        <v>0</v>
      </c>
      <c r="V52" s="9"/>
      <c r="W52" s="10">
        <f t="shared" si="14"/>
        <v>0</v>
      </c>
      <c r="X52" s="8">
        <f>IFERROR(W52/W444, "NA")</f>
        <v>0</v>
      </c>
      <c r="Y52" s="9"/>
      <c r="Z52" s="7">
        <v>0</v>
      </c>
      <c r="AA52" s="8">
        <f>IFERROR(Z52/Z444, "NA")</f>
        <v>0</v>
      </c>
      <c r="AB52" s="9"/>
      <c r="AC52" s="10">
        <f t="shared" si="15"/>
        <v>0</v>
      </c>
      <c r="AD52" s="8">
        <f>IFERROR(AC52/AC444, "NA")</f>
        <v>0</v>
      </c>
    </row>
    <row r="53" spans="1:30" ht="16.5" hidden="1" customHeight="1" x14ac:dyDescent="0.45">
      <c r="A53" s="17" t="s">
        <v>51</v>
      </c>
      <c r="B53" s="7">
        <v>0</v>
      </c>
      <c r="C53" s="8">
        <f>IFERROR(B53/B444, "NA")</f>
        <v>0</v>
      </c>
      <c r="D53" s="9"/>
      <c r="E53" s="7">
        <v>0</v>
      </c>
      <c r="F53" s="8">
        <f>IFERROR(E53/E444, "NA")</f>
        <v>0</v>
      </c>
      <c r="G53" s="9"/>
      <c r="H53" s="10">
        <f t="shared" si="12"/>
        <v>0</v>
      </c>
      <c r="I53" s="8">
        <f>IFERROR(H53/H444, "NA")</f>
        <v>0</v>
      </c>
      <c r="J53" s="9"/>
      <c r="K53" s="7">
        <v>0</v>
      </c>
      <c r="L53" s="8">
        <f>IFERROR(K53/K444, "NA")</f>
        <v>0</v>
      </c>
      <c r="M53" s="9"/>
      <c r="N53" s="10">
        <f t="shared" si="13"/>
        <v>0</v>
      </c>
      <c r="O53" s="8">
        <f>IFERROR(N53/N444, "NA")</f>
        <v>0</v>
      </c>
      <c r="P53" s="9"/>
      <c r="Q53" s="7">
        <v>0</v>
      </c>
      <c r="R53" s="8">
        <f>IFERROR(Q53/Q444, "NA")</f>
        <v>0</v>
      </c>
      <c r="S53" s="9"/>
      <c r="T53" s="7">
        <v>0</v>
      </c>
      <c r="U53" s="8">
        <f>IFERROR(T53/T444, "NA")</f>
        <v>0</v>
      </c>
      <c r="V53" s="9"/>
      <c r="W53" s="10">
        <f t="shared" si="14"/>
        <v>0</v>
      </c>
      <c r="X53" s="8">
        <f>IFERROR(W53/W444, "NA")</f>
        <v>0</v>
      </c>
      <c r="Y53" s="9"/>
      <c r="Z53" s="7">
        <v>0</v>
      </c>
      <c r="AA53" s="8">
        <f>IFERROR(Z53/Z444, "NA")</f>
        <v>0</v>
      </c>
      <c r="AB53" s="9"/>
      <c r="AC53" s="10">
        <f t="shared" si="15"/>
        <v>0</v>
      </c>
      <c r="AD53" s="8">
        <f>IFERROR(AC53/AC444, "NA")</f>
        <v>0</v>
      </c>
    </row>
    <row r="54" spans="1:30" ht="16.5" hidden="1" customHeight="1" x14ac:dyDescent="0.45">
      <c r="A54" s="17" t="s">
        <v>52</v>
      </c>
      <c r="B54" s="7">
        <v>0</v>
      </c>
      <c r="C54" s="8">
        <f>IFERROR(B54/B444, "NA")</f>
        <v>0</v>
      </c>
      <c r="D54" s="9"/>
      <c r="E54" s="7">
        <v>0</v>
      </c>
      <c r="F54" s="8">
        <f>IFERROR(E54/E444, "NA")</f>
        <v>0</v>
      </c>
      <c r="G54" s="9"/>
      <c r="H54" s="10">
        <f t="shared" si="12"/>
        <v>0</v>
      </c>
      <c r="I54" s="8">
        <f>IFERROR(H54/H444, "NA")</f>
        <v>0</v>
      </c>
      <c r="J54" s="9"/>
      <c r="K54" s="7">
        <v>0</v>
      </c>
      <c r="L54" s="8">
        <f>IFERROR(K54/K444, "NA")</f>
        <v>0</v>
      </c>
      <c r="M54" s="9"/>
      <c r="N54" s="10">
        <f t="shared" si="13"/>
        <v>0</v>
      </c>
      <c r="O54" s="8">
        <f>IFERROR(N54/N444, "NA")</f>
        <v>0</v>
      </c>
      <c r="P54" s="9"/>
      <c r="Q54" s="7">
        <v>0</v>
      </c>
      <c r="R54" s="8">
        <f>IFERROR(Q54/Q444, "NA")</f>
        <v>0</v>
      </c>
      <c r="S54" s="9"/>
      <c r="T54" s="7">
        <v>0</v>
      </c>
      <c r="U54" s="8">
        <f>IFERROR(T54/T444, "NA")</f>
        <v>0</v>
      </c>
      <c r="V54" s="9"/>
      <c r="W54" s="10">
        <f t="shared" si="14"/>
        <v>0</v>
      </c>
      <c r="X54" s="8">
        <f>IFERROR(W54/W444, "NA")</f>
        <v>0</v>
      </c>
      <c r="Y54" s="9"/>
      <c r="Z54" s="7">
        <v>0</v>
      </c>
      <c r="AA54" s="8">
        <f>IFERROR(Z54/Z444, "NA")</f>
        <v>0</v>
      </c>
      <c r="AB54" s="9"/>
      <c r="AC54" s="10">
        <f t="shared" si="15"/>
        <v>0</v>
      </c>
      <c r="AD54" s="8">
        <f>IFERROR(AC54/AC444, "NA")</f>
        <v>0</v>
      </c>
    </row>
    <row r="55" spans="1:30" ht="16.5" hidden="1" customHeight="1" x14ac:dyDescent="0.45">
      <c r="A55" s="17" t="s">
        <v>53</v>
      </c>
      <c r="B55" s="7">
        <v>0</v>
      </c>
      <c r="C55" s="8">
        <f>IFERROR(B55/B444, "NA")</f>
        <v>0</v>
      </c>
      <c r="D55" s="9"/>
      <c r="E55" s="7">
        <v>0</v>
      </c>
      <c r="F55" s="8">
        <f>IFERROR(E55/E444, "NA")</f>
        <v>0</v>
      </c>
      <c r="G55" s="9"/>
      <c r="H55" s="10">
        <f t="shared" si="12"/>
        <v>0</v>
      </c>
      <c r="I55" s="8">
        <f>IFERROR(H55/H444, "NA")</f>
        <v>0</v>
      </c>
      <c r="J55" s="9"/>
      <c r="K55" s="7">
        <v>0</v>
      </c>
      <c r="L55" s="8">
        <f>IFERROR(K55/K444, "NA")</f>
        <v>0</v>
      </c>
      <c r="M55" s="9"/>
      <c r="N55" s="10">
        <f t="shared" si="13"/>
        <v>0</v>
      </c>
      <c r="O55" s="8">
        <f>IFERROR(N55/N444, "NA")</f>
        <v>0</v>
      </c>
      <c r="P55" s="9"/>
      <c r="Q55" s="7">
        <v>0</v>
      </c>
      <c r="R55" s="8">
        <f>IFERROR(Q55/Q444, "NA")</f>
        <v>0</v>
      </c>
      <c r="S55" s="9"/>
      <c r="T55" s="7">
        <v>0</v>
      </c>
      <c r="U55" s="8">
        <f>IFERROR(T55/T444, "NA")</f>
        <v>0</v>
      </c>
      <c r="V55" s="9"/>
      <c r="W55" s="10">
        <f t="shared" si="14"/>
        <v>0</v>
      </c>
      <c r="X55" s="8">
        <f>IFERROR(W55/W444, "NA")</f>
        <v>0</v>
      </c>
      <c r="Y55" s="9"/>
      <c r="Z55" s="7">
        <v>0</v>
      </c>
      <c r="AA55" s="8">
        <f>IFERROR(Z55/Z444, "NA")</f>
        <v>0</v>
      </c>
      <c r="AB55" s="9"/>
      <c r="AC55" s="10">
        <f t="shared" si="15"/>
        <v>0</v>
      </c>
      <c r="AD55" s="8">
        <f>IFERROR(AC55/AC444, "NA")</f>
        <v>0</v>
      </c>
    </row>
    <row r="56" spans="1:30" ht="16.5" hidden="1" customHeight="1" x14ac:dyDescent="0.45">
      <c r="A56" s="17" t="s">
        <v>54</v>
      </c>
      <c r="B56" s="7">
        <v>0</v>
      </c>
      <c r="C56" s="8">
        <f>IFERROR(B56/B444, "NA")</f>
        <v>0</v>
      </c>
      <c r="D56" s="9"/>
      <c r="E56" s="7">
        <v>0</v>
      </c>
      <c r="F56" s="8">
        <f>IFERROR(E56/E444, "NA")</f>
        <v>0</v>
      </c>
      <c r="G56" s="9"/>
      <c r="H56" s="10">
        <f t="shared" si="12"/>
        <v>0</v>
      </c>
      <c r="I56" s="8">
        <f>IFERROR(H56/H444, "NA")</f>
        <v>0</v>
      </c>
      <c r="J56" s="9"/>
      <c r="K56" s="7">
        <v>0</v>
      </c>
      <c r="L56" s="8">
        <f>IFERROR(K56/K444, "NA")</f>
        <v>0</v>
      </c>
      <c r="M56" s="9"/>
      <c r="N56" s="10">
        <f t="shared" si="13"/>
        <v>0</v>
      </c>
      <c r="O56" s="8">
        <f>IFERROR(N56/N444, "NA")</f>
        <v>0</v>
      </c>
      <c r="P56" s="9"/>
      <c r="Q56" s="7">
        <v>0</v>
      </c>
      <c r="R56" s="8">
        <f>IFERROR(Q56/Q444, "NA")</f>
        <v>0</v>
      </c>
      <c r="S56" s="9"/>
      <c r="T56" s="7">
        <v>0</v>
      </c>
      <c r="U56" s="8">
        <f>IFERROR(T56/T444, "NA")</f>
        <v>0</v>
      </c>
      <c r="V56" s="9"/>
      <c r="W56" s="10">
        <f t="shared" si="14"/>
        <v>0</v>
      </c>
      <c r="X56" s="8">
        <f>IFERROR(W56/W444, "NA")</f>
        <v>0</v>
      </c>
      <c r="Y56" s="9"/>
      <c r="Z56" s="7">
        <v>0</v>
      </c>
      <c r="AA56" s="8">
        <f>IFERROR(Z56/Z444, "NA")</f>
        <v>0</v>
      </c>
      <c r="AB56" s="9"/>
      <c r="AC56" s="10">
        <f t="shared" si="15"/>
        <v>0</v>
      </c>
      <c r="AD56" s="8">
        <f>IFERROR(AC56/AC444, "NA")</f>
        <v>0</v>
      </c>
    </row>
    <row r="57" spans="1:30" ht="16.5" hidden="1" customHeight="1" x14ac:dyDescent="0.45">
      <c r="A57" s="17" t="s">
        <v>55</v>
      </c>
      <c r="B57" s="7">
        <v>0</v>
      </c>
      <c r="C57" s="8">
        <f>IFERROR(B57/B444, "NA")</f>
        <v>0</v>
      </c>
      <c r="D57" s="9"/>
      <c r="E57" s="7">
        <v>0</v>
      </c>
      <c r="F57" s="8">
        <f>IFERROR(E57/E444, "NA")</f>
        <v>0</v>
      </c>
      <c r="G57" s="9"/>
      <c r="H57" s="10">
        <f t="shared" si="12"/>
        <v>0</v>
      </c>
      <c r="I57" s="8">
        <f>IFERROR(H57/H444, "NA")</f>
        <v>0</v>
      </c>
      <c r="J57" s="9"/>
      <c r="K57" s="7">
        <v>0</v>
      </c>
      <c r="L57" s="8">
        <f>IFERROR(K57/K444, "NA")</f>
        <v>0</v>
      </c>
      <c r="M57" s="9"/>
      <c r="N57" s="10">
        <f t="shared" si="13"/>
        <v>0</v>
      </c>
      <c r="O57" s="8">
        <f>IFERROR(N57/N444, "NA")</f>
        <v>0</v>
      </c>
      <c r="P57" s="9"/>
      <c r="Q57" s="7">
        <v>0</v>
      </c>
      <c r="R57" s="8">
        <f>IFERROR(Q57/Q444, "NA")</f>
        <v>0</v>
      </c>
      <c r="S57" s="9"/>
      <c r="T57" s="7">
        <v>0</v>
      </c>
      <c r="U57" s="8">
        <f>IFERROR(T57/T444, "NA")</f>
        <v>0</v>
      </c>
      <c r="V57" s="9"/>
      <c r="W57" s="10">
        <f t="shared" si="14"/>
        <v>0</v>
      </c>
      <c r="X57" s="8">
        <f>IFERROR(W57/W444, "NA")</f>
        <v>0</v>
      </c>
      <c r="Y57" s="9"/>
      <c r="Z57" s="7">
        <v>0</v>
      </c>
      <c r="AA57" s="8">
        <f>IFERROR(Z57/Z444, "NA")</f>
        <v>0</v>
      </c>
      <c r="AB57" s="9"/>
      <c r="AC57" s="10">
        <f t="shared" si="15"/>
        <v>0</v>
      </c>
      <c r="AD57" s="8">
        <f>IFERROR(AC57/AC444, "NA")</f>
        <v>0</v>
      </c>
    </row>
    <row r="58" spans="1:30" ht="16.5" hidden="1" customHeight="1" x14ac:dyDescent="0.45">
      <c r="A58" s="17" t="s">
        <v>56</v>
      </c>
      <c r="B58" s="7">
        <v>0</v>
      </c>
      <c r="C58" s="8">
        <f>IFERROR(B58/B444, "NA")</f>
        <v>0</v>
      </c>
      <c r="D58" s="9"/>
      <c r="E58" s="7">
        <v>0</v>
      </c>
      <c r="F58" s="8">
        <f>IFERROR(E58/E444, "NA")</f>
        <v>0</v>
      </c>
      <c r="G58" s="9"/>
      <c r="H58" s="10">
        <f t="shared" si="12"/>
        <v>0</v>
      </c>
      <c r="I58" s="8">
        <f>IFERROR(H58/H444, "NA")</f>
        <v>0</v>
      </c>
      <c r="J58" s="9"/>
      <c r="K58" s="7">
        <v>0</v>
      </c>
      <c r="L58" s="8">
        <f>IFERROR(K58/K444, "NA")</f>
        <v>0</v>
      </c>
      <c r="M58" s="9"/>
      <c r="N58" s="10">
        <f t="shared" si="13"/>
        <v>0</v>
      </c>
      <c r="O58" s="8">
        <f>IFERROR(N58/N444, "NA")</f>
        <v>0</v>
      </c>
      <c r="P58" s="9"/>
      <c r="Q58" s="7">
        <v>0</v>
      </c>
      <c r="R58" s="8">
        <f>IFERROR(Q58/Q444, "NA")</f>
        <v>0</v>
      </c>
      <c r="S58" s="9"/>
      <c r="T58" s="7">
        <v>0</v>
      </c>
      <c r="U58" s="8">
        <f>IFERROR(T58/T444, "NA")</f>
        <v>0</v>
      </c>
      <c r="V58" s="9"/>
      <c r="W58" s="10">
        <f t="shared" si="14"/>
        <v>0</v>
      </c>
      <c r="X58" s="8">
        <f>IFERROR(W58/W444, "NA")</f>
        <v>0</v>
      </c>
      <c r="Y58" s="9"/>
      <c r="Z58" s="7">
        <v>0</v>
      </c>
      <c r="AA58" s="8">
        <f>IFERROR(Z58/Z444, "NA")</f>
        <v>0</v>
      </c>
      <c r="AB58" s="9"/>
      <c r="AC58" s="10">
        <f t="shared" si="15"/>
        <v>0</v>
      </c>
      <c r="AD58" s="8">
        <f>IFERROR(AC58/AC444, "NA")</f>
        <v>0</v>
      </c>
    </row>
    <row r="59" spans="1:30" ht="16.5" hidden="1" customHeight="1" x14ac:dyDescent="0.45">
      <c r="A59" s="17" t="s">
        <v>57</v>
      </c>
      <c r="B59" s="7">
        <v>0</v>
      </c>
      <c r="C59" s="8">
        <f>IFERROR(B59/B444, "NA")</f>
        <v>0</v>
      </c>
      <c r="D59" s="9"/>
      <c r="E59" s="7">
        <v>0</v>
      </c>
      <c r="F59" s="8">
        <f>IFERROR(E59/E444, "NA")</f>
        <v>0</v>
      </c>
      <c r="G59" s="9"/>
      <c r="H59" s="10">
        <f t="shared" si="12"/>
        <v>0</v>
      </c>
      <c r="I59" s="8">
        <f>IFERROR(H59/H444, "NA")</f>
        <v>0</v>
      </c>
      <c r="J59" s="9"/>
      <c r="K59" s="7">
        <v>0</v>
      </c>
      <c r="L59" s="8">
        <f>IFERROR(K59/K444, "NA")</f>
        <v>0</v>
      </c>
      <c r="M59" s="9"/>
      <c r="N59" s="10">
        <f t="shared" si="13"/>
        <v>0</v>
      </c>
      <c r="O59" s="8">
        <f>IFERROR(N59/N444, "NA")</f>
        <v>0</v>
      </c>
      <c r="P59" s="9"/>
      <c r="Q59" s="7">
        <v>0</v>
      </c>
      <c r="R59" s="8">
        <f>IFERROR(Q59/Q444, "NA")</f>
        <v>0</v>
      </c>
      <c r="S59" s="9"/>
      <c r="T59" s="7">
        <v>0</v>
      </c>
      <c r="U59" s="8">
        <f>IFERROR(T59/T444, "NA")</f>
        <v>0</v>
      </c>
      <c r="V59" s="9"/>
      <c r="W59" s="10">
        <f t="shared" si="14"/>
        <v>0</v>
      </c>
      <c r="X59" s="8">
        <f>IFERROR(W59/W444, "NA")</f>
        <v>0</v>
      </c>
      <c r="Y59" s="9"/>
      <c r="Z59" s="7">
        <v>0</v>
      </c>
      <c r="AA59" s="8">
        <f>IFERROR(Z59/Z444, "NA")</f>
        <v>0</v>
      </c>
      <c r="AB59" s="9"/>
      <c r="AC59" s="10">
        <f t="shared" si="15"/>
        <v>0</v>
      </c>
      <c r="AD59" s="8">
        <f>IFERROR(AC59/AC444, "NA")</f>
        <v>0</v>
      </c>
    </row>
    <row r="60" spans="1:30" ht="16.5" hidden="1" customHeight="1" x14ac:dyDescent="0.45">
      <c r="A60" s="17" t="s">
        <v>58</v>
      </c>
      <c r="B60" s="7">
        <v>0</v>
      </c>
      <c r="C60" s="8">
        <f>IFERROR(B60/B444, "NA")</f>
        <v>0</v>
      </c>
      <c r="D60" s="9"/>
      <c r="E60" s="7">
        <v>0</v>
      </c>
      <c r="F60" s="8">
        <f>IFERROR(E60/E444, "NA")</f>
        <v>0</v>
      </c>
      <c r="G60" s="9"/>
      <c r="H60" s="10">
        <f t="shared" si="12"/>
        <v>0</v>
      </c>
      <c r="I60" s="8">
        <f>IFERROR(H60/H444, "NA")</f>
        <v>0</v>
      </c>
      <c r="J60" s="9"/>
      <c r="K60" s="7">
        <v>0</v>
      </c>
      <c r="L60" s="8">
        <f>IFERROR(K60/K444, "NA")</f>
        <v>0</v>
      </c>
      <c r="M60" s="9"/>
      <c r="N60" s="10">
        <f t="shared" si="13"/>
        <v>0</v>
      </c>
      <c r="O60" s="8">
        <f>IFERROR(N60/N444, "NA")</f>
        <v>0</v>
      </c>
      <c r="P60" s="9"/>
      <c r="Q60" s="7">
        <v>0</v>
      </c>
      <c r="R60" s="8">
        <f>IFERROR(Q60/Q444, "NA")</f>
        <v>0</v>
      </c>
      <c r="S60" s="9"/>
      <c r="T60" s="7">
        <v>0</v>
      </c>
      <c r="U60" s="8">
        <f>IFERROR(T60/T444, "NA")</f>
        <v>0</v>
      </c>
      <c r="V60" s="9"/>
      <c r="W60" s="10">
        <f t="shared" si="14"/>
        <v>0</v>
      </c>
      <c r="X60" s="8">
        <f>IFERROR(W60/W444, "NA")</f>
        <v>0</v>
      </c>
      <c r="Y60" s="9"/>
      <c r="Z60" s="7">
        <v>0</v>
      </c>
      <c r="AA60" s="8">
        <f>IFERROR(Z60/Z444, "NA")</f>
        <v>0</v>
      </c>
      <c r="AB60" s="9"/>
      <c r="AC60" s="10">
        <f t="shared" si="15"/>
        <v>0</v>
      </c>
      <c r="AD60" s="8">
        <f>IFERROR(AC60/AC444, "NA")</f>
        <v>0</v>
      </c>
    </row>
    <row r="61" spans="1:30" ht="16.5" customHeight="1" x14ac:dyDescent="0.45">
      <c r="A61" s="18" t="s">
        <v>59</v>
      </c>
      <c r="B61" s="14">
        <f>IFERROR(B46+B47+B48+B49+B50+B51+B52+B53+B54+B55+B56+B57+B58+B59+B60, "NA")</f>
        <v>9690.91</v>
      </c>
      <c r="C61" s="15">
        <f>IFERROR(B61/B444, "NA")</f>
        <v>0.10654094476563138</v>
      </c>
      <c r="D61" s="2"/>
      <c r="E61" s="14">
        <f>IFERROR(E46+E47+E48+E49+E50+E51+E52+E53+E54+E55+E56+E57+E58+E59+E60, "NA")</f>
        <v>0</v>
      </c>
      <c r="F61" s="15">
        <f>IFERROR(E61/E444, "NA")</f>
        <v>0</v>
      </c>
      <c r="G61" s="2"/>
      <c r="H61" s="14">
        <f t="shared" si="12"/>
        <v>9690.91</v>
      </c>
      <c r="I61" s="15">
        <f>IFERROR(H61/H444, "NA")</f>
        <v>-1.5746081316242311</v>
      </c>
      <c r="J61" s="2"/>
      <c r="K61" s="14">
        <f>IFERROR(K46+K47+K48+K49+K50+K51+K52+K53+K54+K55+K56+K57+K58+K59+K60, "NA")</f>
        <v>17293.09</v>
      </c>
      <c r="L61" s="15">
        <f>IFERROR(K61/K444, "NA")</f>
        <v>0.1810972258642313</v>
      </c>
      <c r="M61" s="2"/>
      <c r="N61" s="14">
        <f t="shared" si="13"/>
        <v>-7602.18</v>
      </c>
      <c r="O61" s="15">
        <f>IFERROR(N61/N444, "NA")</f>
        <v>1.6777595091753772</v>
      </c>
      <c r="P61" s="2"/>
      <c r="Q61" s="14">
        <f>IFERROR(Q46+Q47+Q48+Q49+Q50+Q51+Q52+Q53+Q54+Q55+Q56+Q57+Q58+Q59+Q60, "NA")</f>
        <v>9690.91</v>
      </c>
      <c r="R61" s="15">
        <f>IFERROR(Q61/Q444, "NA")</f>
        <v>0.10654094476563138</v>
      </c>
      <c r="S61" s="2"/>
      <c r="T61" s="14">
        <f>IFERROR(T46+T47+T48+T49+T50+T51+T52+T53+T54+T55+T56+T57+T58+T59+T60, "NA")</f>
        <v>0</v>
      </c>
      <c r="U61" s="15">
        <f>IFERROR(T61/T444, "NA")</f>
        <v>0</v>
      </c>
      <c r="V61" s="2"/>
      <c r="W61" s="14">
        <f t="shared" si="14"/>
        <v>9690.91</v>
      </c>
      <c r="X61" s="15">
        <f>IFERROR(W61/W444, "NA")</f>
        <v>-1.5746081316242311</v>
      </c>
      <c r="Y61" s="2"/>
      <c r="Z61" s="14">
        <f>IFERROR(Z46+Z47+Z48+Z49+Z50+Z51+Z52+Z53+Z54+Z55+Z56+Z57+Z58+Z59+Z60, "NA")</f>
        <v>17293.09</v>
      </c>
      <c r="AA61" s="15">
        <f>IFERROR(Z61/Z444, "NA")</f>
        <v>0.1810972258642313</v>
      </c>
      <c r="AB61" s="2"/>
      <c r="AC61" s="14">
        <f t="shared" si="15"/>
        <v>-7602.18</v>
      </c>
      <c r="AD61" s="15">
        <f>IFERROR(AC61/AC444, "NA")</f>
        <v>1.6777595091753772</v>
      </c>
    </row>
    <row r="62" spans="1:30" ht="16.5" customHeight="1" x14ac:dyDescent="0.45">
      <c r="A62" s="13" t="s">
        <v>60</v>
      </c>
      <c r="B62" s="14">
        <f>IFERROR(B42+B43+B44+B46+B47+B48+B49+B50+B51+B52+B53+B54+B55+B56+B57+B58+B59+B60, "NA")</f>
        <v>12433.86</v>
      </c>
      <c r="C62" s="15">
        <f>IFERROR(B62/B444, "NA")</f>
        <v>0.13669667672938798</v>
      </c>
      <c r="D62" s="2"/>
      <c r="E62" s="14">
        <f>IFERROR(E42+E43+E44+E46+E47+E48+E49+E50+E51+E52+E53+E54+E55+E56+E57+E58+E59+E60, "NA")</f>
        <v>17966.09</v>
      </c>
      <c r="F62" s="15">
        <f>IFERROR(E62/E444, "NA")</f>
        <v>0.18500003809956095</v>
      </c>
      <c r="G62" s="2"/>
      <c r="H62" s="14">
        <f t="shared" si="12"/>
        <v>-5532.23</v>
      </c>
      <c r="I62" s="15">
        <f>IFERROR(H62/H444, "NA")</f>
        <v>0.89889332828552937</v>
      </c>
      <c r="J62" s="2"/>
      <c r="K62" s="14">
        <f>IFERROR(K42+K43+K44+K46+K47+K48+K49+K50+K51+K52+K53+K54+K55+K56+K57+K58+K59+K60, "NA")</f>
        <v>19919.34</v>
      </c>
      <c r="L62" s="15">
        <f>IFERROR(K62/K444, "NA")</f>
        <v>0.20859992141638176</v>
      </c>
      <c r="M62" s="2"/>
      <c r="N62" s="14">
        <f t="shared" si="13"/>
        <v>-7485.48</v>
      </c>
      <c r="O62" s="15">
        <f>IFERROR(N62/N444, "NA")</f>
        <v>1.6520044580294206</v>
      </c>
      <c r="P62" s="2"/>
      <c r="Q62" s="14">
        <f>IFERROR(Q42+Q43+Q44+Q46+Q47+Q48+Q49+Q50+Q51+Q52+Q53+Q54+Q55+Q56+Q57+Q58+Q59+Q60, "NA")</f>
        <v>12433.86</v>
      </c>
      <c r="R62" s="15">
        <f>IFERROR(Q62/Q444, "NA")</f>
        <v>0.13669667672938798</v>
      </c>
      <c r="S62" s="2"/>
      <c r="T62" s="14">
        <f>IFERROR(T42+T43+T44+T46+T47+T48+T49+T50+T51+T52+T53+T54+T55+T56+T57+T58+T59+T60, "NA")</f>
        <v>17966.09</v>
      </c>
      <c r="U62" s="15">
        <f>IFERROR(T62/T444, "NA")</f>
        <v>0.18500003809956095</v>
      </c>
      <c r="V62" s="2"/>
      <c r="W62" s="14">
        <f t="shared" si="14"/>
        <v>-5532.23</v>
      </c>
      <c r="X62" s="15">
        <f>IFERROR(W62/W444, "NA")</f>
        <v>0.89889332828552937</v>
      </c>
      <c r="Y62" s="2"/>
      <c r="Z62" s="14">
        <f>IFERROR(Z42+Z43+Z44+Z46+Z47+Z48+Z49+Z50+Z51+Z52+Z53+Z54+Z55+Z56+Z57+Z58+Z59+Z60, "NA")</f>
        <v>19919.34</v>
      </c>
      <c r="AA62" s="15">
        <f>IFERROR(Z62/Z444, "NA")</f>
        <v>0.20859992141638176</v>
      </c>
      <c r="AB62" s="2"/>
      <c r="AC62" s="14">
        <f t="shared" si="15"/>
        <v>-7485.48</v>
      </c>
      <c r="AD62" s="15">
        <f>IFERROR(AC62/AC444, "NA")</f>
        <v>1.6520044580294206</v>
      </c>
    </row>
    <row r="63" spans="1:30" ht="16.5" customHeight="1" x14ac:dyDescent="0.45">
      <c r="A63" s="11" t="s">
        <v>61</v>
      </c>
      <c r="B63" s="2"/>
      <c r="C63" s="3"/>
      <c r="D63" s="4"/>
      <c r="E63" s="2"/>
      <c r="F63" s="3"/>
      <c r="G63" s="4"/>
      <c r="H63" s="2"/>
      <c r="I63" s="3"/>
      <c r="J63" s="4"/>
      <c r="K63" s="2"/>
      <c r="L63" s="3"/>
      <c r="M63" s="4"/>
      <c r="N63" s="2"/>
      <c r="O63" s="3"/>
      <c r="P63" s="4"/>
      <c r="Q63" s="2"/>
      <c r="R63" s="3"/>
      <c r="S63" s="4"/>
      <c r="T63" s="2"/>
      <c r="U63" s="3"/>
      <c r="V63" s="4"/>
      <c r="W63" s="2"/>
      <c r="X63" s="3"/>
      <c r="Y63" s="4"/>
      <c r="Z63" s="2"/>
      <c r="AA63" s="3"/>
      <c r="AB63" s="4"/>
      <c r="AC63" s="2"/>
      <c r="AD63" s="3"/>
    </row>
    <row r="64" spans="1:30" ht="16.5" customHeight="1" x14ac:dyDescent="0.45">
      <c r="A64" s="12" t="s">
        <v>61</v>
      </c>
      <c r="B64" s="7">
        <v>0</v>
      </c>
      <c r="C64" s="8">
        <f>IFERROR(B64/B444, "NA")</f>
        <v>0</v>
      </c>
      <c r="D64" s="9"/>
      <c r="E64" s="7">
        <v>7769.12</v>
      </c>
      <c r="F64" s="8">
        <f>IFERROR(E64/E444, "NA")</f>
        <v>8.0000016475485825E-2</v>
      </c>
      <c r="G64" s="9"/>
      <c r="H64" s="10">
        <f t="shared" ref="H64:H73" si="16">IFERROR(B64-E64, "NA")</f>
        <v>-7769.12</v>
      </c>
      <c r="I64" s="8">
        <f>IFERROR(H64/H444, "NA")</f>
        <v>1.2623499266389273</v>
      </c>
      <c r="J64" s="9"/>
      <c r="K64" s="7">
        <v>0</v>
      </c>
      <c r="L64" s="8">
        <f>IFERROR(K64/K444, "NA")</f>
        <v>0</v>
      </c>
      <c r="M64" s="9"/>
      <c r="N64" s="10">
        <f t="shared" ref="N64:N73" si="17">IFERROR(B64-K64, "NA")</f>
        <v>0</v>
      </c>
      <c r="O64" s="8">
        <f>IFERROR(N64/N444, "NA")</f>
        <v>0</v>
      </c>
      <c r="P64" s="9"/>
      <c r="Q64" s="7">
        <v>0</v>
      </c>
      <c r="R64" s="8">
        <f>IFERROR(Q64/Q444, "NA")</f>
        <v>0</v>
      </c>
      <c r="S64" s="9"/>
      <c r="T64" s="7">
        <v>7769.12</v>
      </c>
      <c r="U64" s="8">
        <f>IFERROR(T64/T444, "NA")</f>
        <v>8.0000016475485825E-2</v>
      </c>
      <c r="V64" s="9"/>
      <c r="W64" s="10">
        <f t="shared" ref="W64:W73" si="18">IFERROR(Q64-T64, "NA")</f>
        <v>-7769.12</v>
      </c>
      <c r="X64" s="8">
        <f>IFERROR(W64/W444, "NA")</f>
        <v>1.2623499266389273</v>
      </c>
      <c r="Y64" s="9"/>
      <c r="Z64" s="7">
        <v>0</v>
      </c>
      <c r="AA64" s="8">
        <f>IFERROR(Z64/Z444, "NA")</f>
        <v>0</v>
      </c>
      <c r="AB64" s="9"/>
      <c r="AC64" s="10">
        <f t="shared" ref="AC64:AC73" si="19">IFERROR(Q64-Z64, "NA")</f>
        <v>0</v>
      </c>
      <c r="AD64" s="8">
        <f>IFERROR(AC64/AC444, "NA")</f>
        <v>0</v>
      </c>
    </row>
    <row r="65" spans="1:30" ht="16.5" customHeight="1" x14ac:dyDescent="0.45">
      <c r="A65" s="12" t="s">
        <v>62</v>
      </c>
      <c r="B65" s="7">
        <v>4441.74</v>
      </c>
      <c r="C65" s="8">
        <f>IFERROR(B65/B444, "NA")</f>
        <v>4.8832067989827116E-2</v>
      </c>
      <c r="D65" s="9"/>
      <c r="E65" s="7">
        <v>0</v>
      </c>
      <c r="F65" s="8">
        <f>IFERROR(E65/E444, "NA")</f>
        <v>0</v>
      </c>
      <c r="G65" s="9"/>
      <c r="H65" s="10">
        <f t="shared" si="16"/>
        <v>4441.74</v>
      </c>
      <c r="I65" s="8">
        <f>IFERROR(H65/H444, "NA")</f>
        <v>-0.72170724137987163</v>
      </c>
      <c r="J65" s="9"/>
      <c r="K65" s="7">
        <v>0</v>
      </c>
      <c r="L65" s="8">
        <f>IFERROR(K65/K444, "NA")</f>
        <v>0</v>
      </c>
      <c r="M65" s="9"/>
      <c r="N65" s="10">
        <f t="shared" si="17"/>
        <v>4441.74</v>
      </c>
      <c r="O65" s="8">
        <f>IFERROR(N65/N444, "NA")</f>
        <v>-0.98026770245964168</v>
      </c>
      <c r="P65" s="9"/>
      <c r="Q65" s="7">
        <v>4441.74</v>
      </c>
      <c r="R65" s="8">
        <f>IFERROR(Q65/Q444, "NA")</f>
        <v>4.8832067989827116E-2</v>
      </c>
      <c r="S65" s="9"/>
      <c r="T65" s="7">
        <v>0</v>
      </c>
      <c r="U65" s="8">
        <f>IFERROR(T65/T444, "NA")</f>
        <v>0</v>
      </c>
      <c r="V65" s="9"/>
      <c r="W65" s="10">
        <f t="shared" si="18"/>
        <v>4441.74</v>
      </c>
      <c r="X65" s="8">
        <f>IFERROR(W65/W444, "NA")</f>
        <v>-0.72170724137987163</v>
      </c>
      <c r="Y65" s="9"/>
      <c r="Z65" s="7">
        <v>0</v>
      </c>
      <c r="AA65" s="8">
        <f>IFERROR(Z65/Z444, "NA")</f>
        <v>0</v>
      </c>
      <c r="AB65" s="9"/>
      <c r="AC65" s="10">
        <f t="shared" si="19"/>
        <v>4441.74</v>
      </c>
      <c r="AD65" s="8">
        <f>IFERROR(AC65/AC444, "NA")</f>
        <v>-0.98026770245964168</v>
      </c>
    </row>
    <row r="66" spans="1:30" ht="16.5" customHeight="1" x14ac:dyDescent="0.45">
      <c r="A66" s="12" t="s">
        <v>63</v>
      </c>
      <c r="B66" s="7">
        <v>3730.11</v>
      </c>
      <c r="C66" s="8">
        <f>IFERROR(B66/B444, "NA")</f>
        <v>4.1008475311372125E-2</v>
      </c>
      <c r="D66" s="9"/>
      <c r="E66" s="7">
        <v>0</v>
      </c>
      <c r="F66" s="8">
        <f>IFERROR(E66/E444, "NA")</f>
        <v>0</v>
      </c>
      <c r="G66" s="9"/>
      <c r="H66" s="10">
        <f t="shared" si="16"/>
        <v>3730.11</v>
      </c>
      <c r="I66" s="8">
        <f>IFERROR(H66/H444, "NA")</f>
        <v>-0.60607946393608658</v>
      </c>
      <c r="J66" s="9"/>
      <c r="K66" s="7">
        <v>5885.22</v>
      </c>
      <c r="L66" s="8">
        <f>IFERROR(K66/K444, "NA")</f>
        <v>6.1631380834812712E-2</v>
      </c>
      <c r="M66" s="9"/>
      <c r="N66" s="10">
        <f t="shared" si="17"/>
        <v>-2155.11</v>
      </c>
      <c r="O66" s="8">
        <f>IFERROR(N66/N444, "NA")</f>
        <v>0.47562097922161106</v>
      </c>
      <c r="P66" s="9"/>
      <c r="Q66" s="7">
        <v>3730.11</v>
      </c>
      <c r="R66" s="8">
        <f>IFERROR(Q66/Q444, "NA")</f>
        <v>4.1008475311372125E-2</v>
      </c>
      <c r="S66" s="9"/>
      <c r="T66" s="7">
        <v>0</v>
      </c>
      <c r="U66" s="8">
        <f>IFERROR(T66/T444, "NA")</f>
        <v>0</v>
      </c>
      <c r="V66" s="9"/>
      <c r="W66" s="10">
        <f t="shared" si="18"/>
        <v>3730.11</v>
      </c>
      <c r="X66" s="8">
        <f>IFERROR(W66/W444, "NA")</f>
        <v>-0.60607946393608658</v>
      </c>
      <c r="Y66" s="9"/>
      <c r="Z66" s="7">
        <v>5885.22</v>
      </c>
      <c r="AA66" s="8">
        <f>IFERROR(Z66/Z444, "NA")</f>
        <v>6.1631380834812712E-2</v>
      </c>
      <c r="AB66" s="9"/>
      <c r="AC66" s="10">
        <f t="shared" si="19"/>
        <v>-2155.11</v>
      </c>
      <c r="AD66" s="8">
        <f>IFERROR(AC66/AC444, "NA")</f>
        <v>0.47562097922161106</v>
      </c>
    </row>
    <row r="67" spans="1:30" ht="16.5" hidden="1" customHeight="1" x14ac:dyDescent="0.45">
      <c r="A67" s="12" t="s">
        <v>64</v>
      </c>
      <c r="B67" s="7">
        <v>0</v>
      </c>
      <c r="C67" s="8">
        <f>IFERROR(B67/B444, "NA")</f>
        <v>0</v>
      </c>
      <c r="D67" s="9"/>
      <c r="E67" s="7">
        <v>0</v>
      </c>
      <c r="F67" s="8">
        <f>IFERROR(E67/E444, "NA")</f>
        <v>0</v>
      </c>
      <c r="G67" s="9"/>
      <c r="H67" s="10">
        <f t="shared" si="16"/>
        <v>0</v>
      </c>
      <c r="I67" s="8">
        <f>IFERROR(H67/H444, "NA")</f>
        <v>0</v>
      </c>
      <c r="J67" s="9"/>
      <c r="K67" s="7">
        <v>0</v>
      </c>
      <c r="L67" s="8">
        <f>IFERROR(K67/K444, "NA")</f>
        <v>0</v>
      </c>
      <c r="M67" s="9"/>
      <c r="N67" s="10">
        <f t="shared" si="17"/>
        <v>0</v>
      </c>
      <c r="O67" s="8">
        <f>IFERROR(N67/N444, "NA")</f>
        <v>0</v>
      </c>
      <c r="P67" s="9"/>
      <c r="Q67" s="7">
        <v>0</v>
      </c>
      <c r="R67" s="8">
        <f>IFERROR(Q67/Q444, "NA")</f>
        <v>0</v>
      </c>
      <c r="S67" s="9"/>
      <c r="T67" s="7">
        <v>0</v>
      </c>
      <c r="U67" s="8">
        <f>IFERROR(T67/T444, "NA")</f>
        <v>0</v>
      </c>
      <c r="V67" s="9"/>
      <c r="W67" s="10">
        <f t="shared" si="18"/>
        <v>0</v>
      </c>
      <c r="X67" s="8">
        <f>IFERROR(W67/W444, "NA")</f>
        <v>0</v>
      </c>
      <c r="Y67" s="9"/>
      <c r="Z67" s="7">
        <v>0</v>
      </c>
      <c r="AA67" s="8">
        <f>IFERROR(Z67/Z444, "NA")</f>
        <v>0</v>
      </c>
      <c r="AB67" s="9"/>
      <c r="AC67" s="10">
        <f t="shared" si="19"/>
        <v>0</v>
      </c>
      <c r="AD67" s="8">
        <f>IFERROR(AC67/AC444, "NA")</f>
        <v>0</v>
      </c>
    </row>
    <row r="68" spans="1:30" ht="16.5" customHeight="1" x14ac:dyDescent="0.45">
      <c r="A68" s="12" t="s">
        <v>65</v>
      </c>
      <c r="B68" s="7">
        <v>717.66</v>
      </c>
      <c r="C68" s="8">
        <f>IFERROR(B68/B444, "NA")</f>
        <v>7.8898859261414059E-3</v>
      </c>
      <c r="D68" s="9"/>
      <c r="E68" s="7">
        <v>0</v>
      </c>
      <c r="F68" s="8">
        <f>IFERROR(E68/E444, "NA")</f>
        <v>0</v>
      </c>
      <c r="G68" s="9"/>
      <c r="H68" s="10">
        <f t="shared" si="16"/>
        <v>717.66</v>
      </c>
      <c r="I68" s="8">
        <f>IFERROR(H68/H444, "NA")</f>
        <v>-0.11660754993508821</v>
      </c>
      <c r="J68" s="9"/>
      <c r="K68" s="7">
        <v>0</v>
      </c>
      <c r="L68" s="8">
        <f>IFERROR(K68/K444, "NA")</f>
        <v>0</v>
      </c>
      <c r="M68" s="9"/>
      <c r="N68" s="10">
        <f t="shared" si="17"/>
        <v>717.66</v>
      </c>
      <c r="O68" s="8">
        <f>IFERROR(N68/N444, "NA")</f>
        <v>-0.15838363329397634</v>
      </c>
      <c r="P68" s="9"/>
      <c r="Q68" s="7">
        <v>717.66</v>
      </c>
      <c r="R68" s="8">
        <f>IFERROR(Q68/Q444, "NA")</f>
        <v>7.8898859261414059E-3</v>
      </c>
      <c r="S68" s="9"/>
      <c r="T68" s="7">
        <v>0</v>
      </c>
      <c r="U68" s="8">
        <f>IFERROR(T68/T444, "NA")</f>
        <v>0</v>
      </c>
      <c r="V68" s="9"/>
      <c r="W68" s="10">
        <f t="shared" si="18"/>
        <v>717.66</v>
      </c>
      <c r="X68" s="8">
        <f>IFERROR(W68/W444, "NA")</f>
        <v>-0.11660754993508821</v>
      </c>
      <c r="Y68" s="9"/>
      <c r="Z68" s="7">
        <v>0</v>
      </c>
      <c r="AA68" s="8">
        <f>IFERROR(Z68/Z444, "NA")</f>
        <v>0</v>
      </c>
      <c r="AB68" s="9"/>
      <c r="AC68" s="10">
        <f t="shared" si="19"/>
        <v>717.66</v>
      </c>
      <c r="AD68" s="8">
        <f>IFERROR(AC68/AC444, "NA")</f>
        <v>-0.15838363329397634</v>
      </c>
    </row>
    <row r="69" spans="1:30" ht="16.5" customHeight="1" x14ac:dyDescent="0.45">
      <c r="A69" s="12" t="s">
        <v>66</v>
      </c>
      <c r="B69" s="7">
        <v>-17.850000000000001</v>
      </c>
      <c r="C69" s="8">
        <f>IFERROR(B69/B444, "NA")</f>
        <v>-1.9624120583789552E-4</v>
      </c>
      <c r="D69" s="9"/>
      <c r="E69" s="7">
        <v>0</v>
      </c>
      <c r="F69" s="8">
        <f>IFERROR(E69/E444, "NA")</f>
        <v>0</v>
      </c>
      <c r="G69" s="9"/>
      <c r="H69" s="10">
        <f t="shared" si="16"/>
        <v>-17.850000000000001</v>
      </c>
      <c r="I69" s="8">
        <f>IFERROR(H69/H444, "NA")</f>
        <v>2.9003215538574321E-3</v>
      </c>
      <c r="J69" s="9"/>
      <c r="K69" s="7">
        <v>0</v>
      </c>
      <c r="L69" s="8">
        <f>IFERROR(K69/K444, "NA")</f>
        <v>0</v>
      </c>
      <c r="M69" s="9"/>
      <c r="N69" s="10">
        <f t="shared" si="17"/>
        <v>-17.850000000000001</v>
      </c>
      <c r="O69" s="8">
        <f>IFERROR(N69/N444, "NA")</f>
        <v>3.9393972832503944E-3</v>
      </c>
      <c r="P69" s="9"/>
      <c r="Q69" s="7">
        <v>-17.850000000000001</v>
      </c>
      <c r="R69" s="8">
        <f>IFERROR(Q69/Q444, "NA")</f>
        <v>-1.9624120583789552E-4</v>
      </c>
      <c r="S69" s="9"/>
      <c r="T69" s="7">
        <v>0</v>
      </c>
      <c r="U69" s="8">
        <f>IFERROR(T69/T444, "NA")</f>
        <v>0</v>
      </c>
      <c r="V69" s="9"/>
      <c r="W69" s="10">
        <f t="shared" si="18"/>
        <v>-17.850000000000001</v>
      </c>
      <c r="X69" s="8">
        <f>IFERROR(W69/W444, "NA")</f>
        <v>2.9003215538574321E-3</v>
      </c>
      <c r="Y69" s="9"/>
      <c r="Z69" s="7">
        <v>0</v>
      </c>
      <c r="AA69" s="8">
        <f>IFERROR(Z69/Z444, "NA")</f>
        <v>0</v>
      </c>
      <c r="AB69" s="9"/>
      <c r="AC69" s="10">
        <f t="shared" si="19"/>
        <v>-17.850000000000001</v>
      </c>
      <c r="AD69" s="8">
        <f>IFERROR(AC69/AC444, "NA")</f>
        <v>3.9393972832503944E-3</v>
      </c>
    </row>
    <row r="70" spans="1:30" ht="16.5" hidden="1" customHeight="1" x14ac:dyDescent="0.45">
      <c r="A70" s="12" t="s">
        <v>67</v>
      </c>
      <c r="B70" s="7">
        <v>0</v>
      </c>
      <c r="C70" s="8">
        <f>IFERROR(B70/B444, "NA")</f>
        <v>0</v>
      </c>
      <c r="D70" s="9"/>
      <c r="E70" s="7">
        <v>0</v>
      </c>
      <c r="F70" s="8">
        <f>IFERROR(E70/E444, "NA")</f>
        <v>0</v>
      </c>
      <c r="G70" s="9"/>
      <c r="H70" s="10">
        <f t="shared" si="16"/>
        <v>0</v>
      </c>
      <c r="I70" s="8">
        <f>IFERROR(H70/H444, "NA")</f>
        <v>0</v>
      </c>
      <c r="J70" s="9"/>
      <c r="K70" s="7">
        <v>0</v>
      </c>
      <c r="L70" s="8">
        <f>IFERROR(K70/K444, "NA")</f>
        <v>0</v>
      </c>
      <c r="M70" s="9"/>
      <c r="N70" s="10">
        <f t="shared" si="17"/>
        <v>0</v>
      </c>
      <c r="O70" s="8">
        <f>IFERROR(N70/N444, "NA")</f>
        <v>0</v>
      </c>
      <c r="P70" s="9"/>
      <c r="Q70" s="7">
        <v>0</v>
      </c>
      <c r="R70" s="8">
        <f>IFERROR(Q70/Q444, "NA")</f>
        <v>0</v>
      </c>
      <c r="S70" s="9"/>
      <c r="T70" s="7">
        <v>0</v>
      </c>
      <c r="U70" s="8">
        <f>IFERROR(T70/T444, "NA")</f>
        <v>0</v>
      </c>
      <c r="V70" s="9"/>
      <c r="W70" s="10">
        <f t="shared" si="18"/>
        <v>0</v>
      </c>
      <c r="X70" s="8">
        <f>IFERROR(W70/W444, "NA")</f>
        <v>0</v>
      </c>
      <c r="Y70" s="9"/>
      <c r="Z70" s="7">
        <v>0</v>
      </c>
      <c r="AA70" s="8">
        <f>IFERROR(Z70/Z444, "NA")</f>
        <v>0</v>
      </c>
      <c r="AB70" s="9"/>
      <c r="AC70" s="10">
        <f t="shared" si="19"/>
        <v>0</v>
      </c>
      <c r="AD70" s="8">
        <f>IFERROR(AC70/AC444, "NA")</f>
        <v>0</v>
      </c>
    </row>
    <row r="71" spans="1:30" ht="16.5" hidden="1" customHeight="1" x14ac:dyDescent="0.45">
      <c r="A71" s="12" t="s">
        <v>68</v>
      </c>
      <c r="B71" s="7">
        <v>0</v>
      </c>
      <c r="C71" s="8">
        <f>IFERROR(B71/B444, "NA")</f>
        <v>0</v>
      </c>
      <c r="D71" s="9"/>
      <c r="E71" s="7">
        <v>0</v>
      </c>
      <c r="F71" s="8">
        <f>IFERROR(E71/E444, "NA")</f>
        <v>0</v>
      </c>
      <c r="G71" s="9"/>
      <c r="H71" s="10">
        <f t="shared" si="16"/>
        <v>0</v>
      </c>
      <c r="I71" s="8">
        <f>IFERROR(H71/H444, "NA")</f>
        <v>0</v>
      </c>
      <c r="J71" s="9"/>
      <c r="K71" s="7">
        <v>0</v>
      </c>
      <c r="L71" s="8">
        <f>IFERROR(K71/K444, "NA")</f>
        <v>0</v>
      </c>
      <c r="M71" s="9"/>
      <c r="N71" s="10">
        <f t="shared" si="17"/>
        <v>0</v>
      </c>
      <c r="O71" s="8">
        <f>IFERROR(N71/N444, "NA")</f>
        <v>0</v>
      </c>
      <c r="P71" s="9"/>
      <c r="Q71" s="7">
        <v>0</v>
      </c>
      <c r="R71" s="8">
        <f>IFERROR(Q71/Q444, "NA")</f>
        <v>0</v>
      </c>
      <c r="S71" s="9"/>
      <c r="T71" s="7">
        <v>0</v>
      </c>
      <c r="U71" s="8">
        <f>IFERROR(T71/T444, "NA")</f>
        <v>0</v>
      </c>
      <c r="V71" s="9"/>
      <c r="W71" s="10">
        <f t="shared" si="18"/>
        <v>0</v>
      </c>
      <c r="X71" s="8">
        <f>IFERROR(W71/W444, "NA")</f>
        <v>0</v>
      </c>
      <c r="Y71" s="9"/>
      <c r="Z71" s="7">
        <v>0</v>
      </c>
      <c r="AA71" s="8">
        <f>IFERROR(Z71/Z444, "NA")</f>
        <v>0</v>
      </c>
      <c r="AB71" s="9"/>
      <c r="AC71" s="10">
        <f t="shared" si="19"/>
        <v>0</v>
      </c>
      <c r="AD71" s="8">
        <f>IFERROR(AC71/AC444, "NA")</f>
        <v>0</v>
      </c>
    </row>
    <row r="72" spans="1:30" ht="16.5" hidden="1" customHeight="1" x14ac:dyDescent="0.45">
      <c r="A72" s="12" t="s">
        <v>69</v>
      </c>
      <c r="B72" s="7">
        <v>0</v>
      </c>
      <c r="C72" s="8">
        <f>IFERROR(B72/B444, "NA")</f>
        <v>0</v>
      </c>
      <c r="D72" s="9"/>
      <c r="E72" s="7">
        <v>0</v>
      </c>
      <c r="F72" s="8">
        <f>IFERROR(E72/E444, "NA")</f>
        <v>0</v>
      </c>
      <c r="G72" s="9"/>
      <c r="H72" s="10">
        <f t="shared" si="16"/>
        <v>0</v>
      </c>
      <c r="I72" s="8">
        <f>IFERROR(H72/H444, "NA")</f>
        <v>0</v>
      </c>
      <c r="J72" s="9"/>
      <c r="K72" s="7">
        <v>0</v>
      </c>
      <c r="L72" s="8">
        <f>IFERROR(K72/K444, "NA")</f>
        <v>0</v>
      </c>
      <c r="M72" s="9"/>
      <c r="N72" s="10">
        <f t="shared" si="17"/>
        <v>0</v>
      </c>
      <c r="O72" s="8">
        <f>IFERROR(N72/N444, "NA")</f>
        <v>0</v>
      </c>
      <c r="P72" s="9"/>
      <c r="Q72" s="7">
        <v>0</v>
      </c>
      <c r="R72" s="8">
        <f>IFERROR(Q72/Q444, "NA")</f>
        <v>0</v>
      </c>
      <c r="S72" s="9"/>
      <c r="T72" s="7">
        <v>0</v>
      </c>
      <c r="U72" s="8">
        <f>IFERROR(T72/T444, "NA")</f>
        <v>0</v>
      </c>
      <c r="V72" s="9"/>
      <c r="W72" s="10">
        <f t="shared" si="18"/>
        <v>0</v>
      </c>
      <c r="X72" s="8">
        <f>IFERROR(W72/W444, "NA")</f>
        <v>0</v>
      </c>
      <c r="Y72" s="9"/>
      <c r="Z72" s="7">
        <v>0</v>
      </c>
      <c r="AA72" s="8">
        <f>IFERROR(Z72/Z444, "NA")</f>
        <v>0</v>
      </c>
      <c r="AB72" s="9"/>
      <c r="AC72" s="10">
        <f t="shared" si="19"/>
        <v>0</v>
      </c>
      <c r="AD72" s="8">
        <f>IFERROR(AC72/AC444, "NA")</f>
        <v>0</v>
      </c>
    </row>
    <row r="73" spans="1:30" ht="16.5" customHeight="1" x14ac:dyDescent="0.45">
      <c r="A73" s="13" t="s">
        <v>70</v>
      </c>
      <c r="B73" s="14">
        <f>IFERROR(B64+B65+B66+B67+B68+B69+B70+B71+B72, "NA")</f>
        <v>8871.66</v>
      </c>
      <c r="C73" s="15">
        <f>IFERROR(B73/B444, "NA")</f>
        <v>9.7534188021502752E-2</v>
      </c>
      <c r="D73" s="2"/>
      <c r="E73" s="14">
        <f>IFERROR(E64+E65+E66+E67+E68+E69+E70+E71+E72, "NA")</f>
        <v>7769.12</v>
      </c>
      <c r="F73" s="15">
        <f>IFERROR(E73/E444, "NA")</f>
        <v>8.0000016475485825E-2</v>
      </c>
      <c r="G73" s="2"/>
      <c r="H73" s="14">
        <f t="shared" si="16"/>
        <v>1102.54</v>
      </c>
      <c r="I73" s="15">
        <f>IFERROR(H73/H444, "NA")</f>
        <v>-0.17914400705826181</v>
      </c>
      <c r="J73" s="2"/>
      <c r="K73" s="14">
        <f>IFERROR(K64+K65+K66+K67+K68+K69+K70+K71+K72, "NA")</f>
        <v>5885.22</v>
      </c>
      <c r="L73" s="15">
        <f>IFERROR(K73/K444, "NA")</f>
        <v>6.1631380834812712E-2</v>
      </c>
      <c r="M73" s="2"/>
      <c r="N73" s="14">
        <f t="shared" si="17"/>
        <v>2986.4399999999996</v>
      </c>
      <c r="O73" s="15">
        <f>IFERROR(N73/N444, "NA")</f>
        <v>-0.6590909592487566</v>
      </c>
      <c r="P73" s="2"/>
      <c r="Q73" s="14">
        <f>IFERROR(Q64+Q65+Q66+Q67+Q68+Q69+Q70+Q71+Q72, "NA")</f>
        <v>8871.66</v>
      </c>
      <c r="R73" s="15">
        <f>IFERROR(Q73/Q444, "NA")</f>
        <v>9.7534188021502752E-2</v>
      </c>
      <c r="S73" s="2"/>
      <c r="T73" s="14">
        <f>IFERROR(T64+T65+T66+T67+T68+T69+T70+T71+T72, "NA")</f>
        <v>7769.12</v>
      </c>
      <c r="U73" s="15">
        <f>IFERROR(T73/T444, "NA")</f>
        <v>8.0000016475485825E-2</v>
      </c>
      <c r="V73" s="2"/>
      <c r="W73" s="14">
        <f t="shared" si="18"/>
        <v>1102.54</v>
      </c>
      <c r="X73" s="15">
        <f>IFERROR(W73/W444, "NA")</f>
        <v>-0.17914400705826181</v>
      </c>
      <c r="Y73" s="2"/>
      <c r="Z73" s="14">
        <f>IFERROR(Z64+Z65+Z66+Z67+Z68+Z69+Z70+Z71+Z72, "NA")</f>
        <v>5885.22</v>
      </c>
      <c r="AA73" s="15">
        <f>IFERROR(Z73/Z444, "NA")</f>
        <v>6.1631380834812712E-2</v>
      </c>
      <c r="AB73" s="2"/>
      <c r="AC73" s="14">
        <f t="shared" si="19"/>
        <v>2986.4399999999996</v>
      </c>
      <c r="AD73" s="15">
        <f>IFERROR(AC73/AC444, "NA")</f>
        <v>-0.6590909592487566</v>
      </c>
    </row>
    <row r="74" spans="1:30" ht="16.5" customHeight="1" x14ac:dyDescent="0.45">
      <c r="A74" s="11" t="s">
        <v>71</v>
      </c>
      <c r="B74" s="2"/>
      <c r="C74" s="3"/>
      <c r="D74" s="4"/>
      <c r="E74" s="2"/>
      <c r="F74" s="3"/>
      <c r="G74" s="4"/>
      <c r="H74" s="2"/>
      <c r="I74" s="3"/>
      <c r="J74" s="4"/>
      <c r="K74" s="2"/>
      <c r="L74" s="3"/>
      <c r="M74" s="4"/>
      <c r="N74" s="2"/>
      <c r="O74" s="3"/>
      <c r="P74" s="4"/>
      <c r="Q74" s="2"/>
      <c r="R74" s="3"/>
      <c r="S74" s="4"/>
      <c r="T74" s="2"/>
      <c r="U74" s="3"/>
      <c r="V74" s="4"/>
      <c r="W74" s="2"/>
      <c r="X74" s="3"/>
      <c r="Y74" s="4"/>
      <c r="Z74" s="2"/>
      <c r="AA74" s="3"/>
      <c r="AB74" s="4"/>
      <c r="AC74" s="2"/>
      <c r="AD74" s="3"/>
    </row>
    <row r="75" spans="1:30" ht="16.5" customHeight="1" x14ac:dyDescent="0.45">
      <c r="A75" s="12" t="s">
        <v>71</v>
      </c>
      <c r="B75" s="7">
        <v>0</v>
      </c>
      <c r="C75" s="8">
        <f>IFERROR(B75/B444, "NA")</f>
        <v>0</v>
      </c>
      <c r="D75" s="9"/>
      <c r="E75" s="7">
        <v>1456.71</v>
      </c>
      <c r="F75" s="8">
        <f>IFERROR(E75/E444, "NA")</f>
        <v>1.5000003089153592E-2</v>
      </c>
      <c r="G75" s="9"/>
      <c r="H75" s="10">
        <f t="shared" ref="H75:H92" si="20">IFERROR(B75-E75, "NA")</f>
        <v>-1456.71</v>
      </c>
      <c r="I75" s="8">
        <f>IFERROR(H75/H444, "NA")</f>
        <v>0.23669061124479887</v>
      </c>
      <c r="J75" s="9"/>
      <c r="K75" s="7">
        <v>0</v>
      </c>
      <c r="L75" s="8">
        <f>IFERROR(K75/K444, "NA")</f>
        <v>0</v>
      </c>
      <c r="M75" s="9"/>
      <c r="N75" s="10">
        <f t="shared" ref="N75:N92" si="21">IFERROR(B75-K75, "NA")</f>
        <v>0</v>
      </c>
      <c r="O75" s="8">
        <f>IFERROR(N75/N444, "NA")</f>
        <v>0</v>
      </c>
      <c r="P75" s="9"/>
      <c r="Q75" s="7">
        <v>0</v>
      </c>
      <c r="R75" s="8">
        <f>IFERROR(Q75/Q444, "NA")</f>
        <v>0</v>
      </c>
      <c r="S75" s="9"/>
      <c r="T75" s="7">
        <v>1456.71</v>
      </c>
      <c r="U75" s="8">
        <f>IFERROR(T75/T444, "NA")</f>
        <v>1.5000003089153592E-2</v>
      </c>
      <c r="V75" s="9"/>
      <c r="W75" s="10">
        <f t="shared" ref="W75:W92" si="22">IFERROR(Q75-T75, "NA")</f>
        <v>-1456.71</v>
      </c>
      <c r="X75" s="8">
        <f>IFERROR(W75/W444, "NA")</f>
        <v>0.23669061124479887</v>
      </c>
      <c r="Y75" s="9"/>
      <c r="Z75" s="7">
        <v>0</v>
      </c>
      <c r="AA75" s="8">
        <f>IFERROR(Z75/Z444, "NA")</f>
        <v>0</v>
      </c>
      <c r="AB75" s="9"/>
      <c r="AC75" s="10">
        <f t="shared" ref="AC75:AC92" si="23">IFERROR(Q75-Z75, "NA")</f>
        <v>0</v>
      </c>
      <c r="AD75" s="8">
        <f>IFERROR(AC75/AC444, "NA")</f>
        <v>0</v>
      </c>
    </row>
    <row r="76" spans="1:30" ht="16.5" hidden="1" customHeight="1" x14ac:dyDescent="0.45">
      <c r="A76" s="12" t="s">
        <v>72</v>
      </c>
      <c r="B76" s="7">
        <v>0</v>
      </c>
      <c r="C76" s="8">
        <f>IFERROR(B76/B444, "NA")</f>
        <v>0</v>
      </c>
      <c r="D76" s="9"/>
      <c r="E76" s="7">
        <v>0</v>
      </c>
      <c r="F76" s="8">
        <f>IFERROR(E76/E444, "NA")</f>
        <v>0</v>
      </c>
      <c r="G76" s="9"/>
      <c r="H76" s="10">
        <f t="shared" si="20"/>
        <v>0</v>
      </c>
      <c r="I76" s="8">
        <f>IFERROR(H76/H444, "NA")</f>
        <v>0</v>
      </c>
      <c r="J76" s="9"/>
      <c r="K76" s="7">
        <v>0</v>
      </c>
      <c r="L76" s="8">
        <f>IFERROR(K76/K444, "NA")</f>
        <v>0</v>
      </c>
      <c r="M76" s="9"/>
      <c r="N76" s="10">
        <f t="shared" si="21"/>
        <v>0</v>
      </c>
      <c r="O76" s="8">
        <f>IFERROR(N76/N444, "NA")</f>
        <v>0</v>
      </c>
      <c r="P76" s="9"/>
      <c r="Q76" s="7">
        <v>0</v>
      </c>
      <c r="R76" s="8">
        <f>IFERROR(Q76/Q444, "NA")</f>
        <v>0</v>
      </c>
      <c r="S76" s="9"/>
      <c r="T76" s="7">
        <v>0</v>
      </c>
      <c r="U76" s="8">
        <f>IFERROR(T76/T444, "NA")</f>
        <v>0</v>
      </c>
      <c r="V76" s="9"/>
      <c r="W76" s="10">
        <f t="shared" si="22"/>
        <v>0</v>
      </c>
      <c r="X76" s="8">
        <f>IFERROR(W76/W444, "NA")</f>
        <v>0</v>
      </c>
      <c r="Y76" s="9"/>
      <c r="Z76" s="7">
        <v>0</v>
      </c>
      <c r="AA76" s="8">
        <f>IFERROR(Z76/Z444, "NA")</f>
        <v>0</v>
      </c>
      <c r="AB76" s="9"/>
      <c r="AC76" s="10">
        <f t="shared" si="23"/>
        <v>0</v>
      </c>
      <c r="AD76" s="8">
        <f>IFERROR(AC76/AC444, "NA")</f>
        <v>0</v>
      </c>
    </row>
    <row r="77" spans="1:30" ht="16.5" customHeight="1" x14ac:dyDescent="0.45">
      <c r="A77" s="12" t="s">
        <v>73</v>
      </c>
      <c r="B77" s="7">
        <v>218.82</v>
      </c>
      <c r="C77" s="8">
        <f>IFERROR(B77/B444, "NA")</f>
        <v>2.4056863115657309E-3</v>
      </c>
      <c r="D77" s="9"/>
      <c r="E77" s="7">
        <v>0</v>
      </c>
      <c r="F77" s="8">
        <f>IFERROR(E77/E444, "NA")</f>
        <v>0</v>
      </c>
      <c r="G77" s="9"/>
      <c r="H77" s="10">
        <f t="shared" si="20"/>
        <v>218.82</v>
      </c>
      <c r="I77" s="8">
        <f>IFERROR(H77/H444, "NA")</f>
        <v>-3.5554530107287576E-2</v>
      </c>
      <c r="J77" s="9"/>
      <c r="K77" s="7">
        <v>141.74</v>
      </c>
      <c r="L77" s="8">
        <f>IFERROR(K77/K444, "NA")</f>
        <v>1.4843339619464275E-3</v>
      </c>
      <c r="M77" s="9"/>
      <c r="N77" s="10">
        <f t="shared" si="21"/>
        <v>77.079999999999984</v>
      </c>
      <c r="O77" s="8">
        <f>IFERROR(N77/N444, "NA")</f>
        <v>-1.7011134038820184E-2</v>
      </c>
      <c r="P77" s="9"/>
      <c r="Q77" s="7">
        <v>218.82</v>
      </c>
      <c r="R77" s="8">
        <f>IFERROR(Q77/Q444, "NA")</f>
        <v>2.4056863115657309E-3</v>
      </c>
      <c r="S77" s="9"/>
      <c r="T77" s="7">
        <v>0</v>
      </c>
      <c r="U77" s="8">
        <f>IFERROR(T77/T444, "NA")</f>
        <v>0</v>
      </c>
      <c r="V77" s="9"/>
      <c r="W77" s="10">
        <f t="shared" si="22"/>
        <v>218.82</v>
      </c>
      <c r="X77" s="8">
        <f>IFERROR(W77/W444, "NA")</f>
        <v>-3.5554530107287576E-2</v>
      </c>
      <c r="Y77" s="9"/>
      <c r="Z77" s="7">
        <v>141.74</v>
      </c>
      <c r="AA77" s="8">
        <f>IFERROR(Z77/Z444, "NA")</f>
        <v>1.4843339619464275E-3</v>
      </c>
      <c r="AB77" s="9"/>
      <c r="AC77" s="10">
        <f t="shared" si="23"/>
        <v>77.079999999999984</v>
      </c>
      <c r="AD77" s="8">
        <f>IFERROR(AC77/AC444, "NA")</f>
        <v>-1.7011134038820184E-2</v>
      </c>
    </row>
    <row r="78" spans="1:30" ht="16.5" hidden="1" customHeight="1" x14ac:dyDescent="0.45">
      <c r="A78" s="12" t="s">
        <v>74</v>
      </c>
      <c r="B78" s="7">
        <v>0</v>
      </c>
      <c r="C78" s="8">
        <f>IFERROR(B78/B444, "NA")</f>
        <v>0</v>
      </c>
      <c r="D78" s="9"/>
      <c r="E78" s="7">
        <v>0</v>
      </c>
      <c r="F78" s="8">
        <f>IFERROR(E78/E444, "NA")</f>
        <v>0</v>
      </c>
      <c r="G78" s="9"/>
      <c r="H78" s="10">
        <f t="shared" si="20"/>
        <v>0</v>
      </c>
      <c r="I78" s="8">
        <f>IFERROR(H78/H444, "NA")</f>
        <v>0</v>
      </c>
      <c r="J78" s="9"/>
      <c r="K78" s="7">
        <v>0</v>
      </c>
      <c r="L78" s="8">
        <f>IFERROR(K78/K444, "NA")</f>
        <v>0</v>
      </c>
      <c r="M78" s="9"/>
      <c r="N78" s="10">
        <f t="shared" si="21"/>
        <v>0</v>
      </c>
      <c r="O78" s="8">
        <f>IFERROR(N78/N444, "NA")</f>
        <v>0</v>
      </c>
      <c r="P78" s="9"/>
      <c r="Q78" s="7">
        <v>0</v>
      </c>
      <c r="R78" s="8">
        <f>IFERROR(Q78/Q444, "NA")</f>
        <v>0</v>
      </c>
      <c r="S78" s="9"/>
      <c r="T78" s="7">
        <v>0</v>
      </c>
      <c r="U78" s="8">
        <f>IFERROR(T78/T444, "NA")</f>
        <v>0</v>
      </c>
      <c r="V78" s="9"/>
      <c r="W78" s="10">
        <f t="shared" si="22"/>
        <v>0</v>
      </c>
      <c r="X78" s="8">
        <f>IFERROR(W78/W444, "NA")</f>
        <v>0</v>
      </c>
      <c r="Y78" s="9"/>
      <c r="Z78" s="7">
        <v>0</v>
      </c>
      <c r="AA78" s="8">
        <f>IFERROR(Z78/Z444, "NA")</f>
        <v>0</v>
      </c>
      <c r="AB78" s="9"/>
      <c r="AC78" s="10">
        <f t="shared" si="23"/>
        <v>0</v>
      </c>
      <c r="AD78" s="8">
        <f>IFERROR(AC78/AC444, "NA")</f>
        <v>0</v>
      </c>
    </row>
    <row r="79" spans="1:30" ht="16.5" hidden="1" customHeight="1" x14ac:dyDescent="0.45">
      <c r="A79" s="12" t="s">
        <v>75</v>
      </c>
      <c r="B79" s="7">
        <v>0</v>
      </c>
      <c r="C79" s="8">
        <f>IFERROR(B79/B444, "NA")</f>
        <v>0</v>
      </c>
      <c r="D79" s="9"/>
      <c r="E79" s="7">
        <v>0</v>
      </c>
      <c r="F79" s="8">
        <f>IFERROR(E79/E444, "NA")</f>
        <v>0</v>
      </c>
      <c r="G79" s="9"/>
      <c r="H79" s="10">
        <f t="shared" si="20"/>
        <v>0</v>
      </c>
      <c r="I79" s="8">
        <f>IFERROR(H79/H444, "NA")</f>
        <v>0</v>
      </c>
      <c r="J79" s="9"/>
      <c r="K79" s="7">
        <v>0</v>
      </c>
      <c r="L79" s="8">
        <f>IFERROR(K79/K444, "NA")</f>
        <v>0</v>
      </c>
      <c r="M79" s="9"/>
      <c r="N79" s="10">
        <f t="shared" si="21"/>
        <v>0</v>
      </c>
      <c r="O79" s="8">
        <f>IFERROR(N79/N444, "NA")</f>
        <v>0</v>
      </c>
      <c r="P79" s="9"/>
      <c r="Q79" s="7">
        <v>0</v>
      </c>
      <c r="R79" s="8">
        <f>IFERROR(Q79/Q444, "NA")</f>
        <v>0</v>
      </c>
      <c r="S79" s="9"/>
      <c r="T79" s="7">
        <v>0</v>
      </c>
      <c r="U79" s="8">
        <f>IFERROR(T79/T444, "NA")</f>
        <v>0</v>
      </c>
      <c r="V79" s="9"/>
      <c r="W79" s="10">
        <f t="shared" si="22"/>
        <v>0</v>
      </c>
      <c r="X79" s="8">
        <f>IFERROR(W79/W444, "NA")</f>
        <v>0</v>
      </c>
      <c r="Y79" s="9"/>
      <c r="Z79" s="7">
        <v>0</v>
      </c>
      <c r="AA79" s="8">
        <f>IFERROR(Z79/Z444, "NA")</f>
        <v>0</v>
      </c>
      <c r="AB79" s="9"/>
      <c r="AC79" s="10">
        <f t="shared" si="23"/>
        <v>0</v>
      </c>
      <c r="AD79" s="8">
        <f>IFERROR(AC79/AC444, "NA")</f>
        <v>0</v>
      </c>
    </row>
    <row r="80" spans="1:30" ht="16.5" customHeight="1" x14ac:dyDescent="0.45">
      <c r="A80" s="12" t="s">
        <v>76</v>
      </c>
      <c r="B80" s="7">
        <v>926.75</v>
      </c>
      <c r="C80" s="8">
        <f>IFERROR(B80/B444, "NA")</f>
        <v>1.0188601541191578E-2</v>
      </c>
      <c r="D80" s="9"/>
      <c r="E80" s="7">
        <v>0</v>
      </c>
      <c r="F80" s="8">
        <f>IFERROR(E80/E444, "NA")</f>
        <v>0</v>
      </c>
      <c r="G80" s="9"/>
      <c r="H80" s="10">
        <f t="shared" si="20"/>
        <v>926.75</v>
      </c>
      <c r="I80" s="8">
        <f>IFERROR(H80/H444, "NA")</f>
        <v>-0.15058112045027311</v>
      </c>
      <c r="J80" s="9"/>
      <c r="K80" s="7">
        <v>1584.77</v>
      </c>
      <c r="L80" s="8">
        <f>IFERROR(K80/K444, "NA")</f>
        <v>1.659607685109242E-2</v>
      </c>
      <c r="M80" s="9"/>
      <c r="N80" s="10">
        <f t="shared" si="21"/>
        <v>-658.02</v>
      </c>
      <c r="O80" s="8">
        <f>IFERROR(N80/N444, "NA")</f>
        <v>0.14522141178288092</v>
      </c>
      <c r="P80" s="9"/>
      <c r="Q80" s="7">
        <v>926.75</v>
      </c>
      <c r="R80" s="8">
        <f>IFERROR(Q80/Q444, "NA")</f>
        <v>1.0188601541191578E-2</v>
      </c>
      <c r="S80" s="9"/>
      <c r="T80" s="7">
        <v>0</v>
      </c>
      <c r="U80" s="8">
        <f>IFERROR(T80/T444, "NA")</f>
        <v>0</v>
      </c>
      <c r="V80" s="9"/>
      <c r="W80" s="10">
        <f t="shared" si="22"/>
        <v>926.75</v>
      </c>
      <c r="X80" s="8">
        <f>IFERROR(W80/W444, "NA")</f>
        <v>-0.15058112045027311</v>
      </c>
      <c r="Y80" s="9"/>
      <c r="Z80" s="7">
        <v>1584.77</v>
      </c>
      <c r="AA80" s="8">
        <f>IFERROR(Z80/Z444, "NA")</f>
        <v>1.659607685109242E-2</v>
      </c>
      <c r="AB80" s="9"/>
      <c r="AC80" s="10">
        <f t="shared" si="23"/>
        <v>-658.02</v>
      </c>
      <c r="AD80" s="8">
        <f>IFERROR(AC80/AC444, "NA")</f>
        <v>0.14522141178288092</v>
      </c>
    </row>
    <row r="81" spans="1:30" ht="16.5" hidden="1" customHeight="1" x14ac:dyDescent="0.45">
      <c r="A81" s="12" t="s">
        <v>77</v>
      </c>
      <c r="B81" s="7">
        <v>0</v>
      </c>
      <c r="C81" s="8">
        <f>IFERROR(B81/B444, "NA")</f>
        <v>0</v>
      </c>
      <c r="D81" s="9"/>
      <c r="E81" s="7">
        <v>0</v>
      </c>
      <c r="F81" s="8">
        <f>IFERROR(E81/E444, "NA")</f>
        <v>0</v>
      </c>
      <c r="G81" s="9"/>
      <c r="H81" s="10">
        <f t="shared" si="20"/>
        <v>0</v>
      </c>
      <c r="I81" s="8">
        <f>IFERROR(H81/H444, "NA")</f>
        <v>0</v>
      </c>
      <c r="J81" s="9"/>
      <c r="K81" s="7">
        <v>0</v>
      </c>
      <c r="L81" s="8">
        <f>IFERROR(K81/K444, "NA")</f>
        <v>0</v>
      </c>
      <c r="M81" s="9"/>
      <c r="N81" s="10">
        <f t="shared" si="21"/>
        <v>0</v>
      </c>
      <c r="O81" s="8">
        <f>IFERROR(N81/N444, "NA")</f>
        <v>0</v>
      </c>
      <c r="P81" s="9"/>
      <c r="Q81" s="7">
        <v>0</v>
      </c>
      <c r="R81" s="8">
        <f>IFERROR(Q81/Q444, "NA")</f>
        <v>0</v>
      </c>
      <c r="S81" s="9"/>
      <c r="T81" s="7">
        <v>0</v>
      </c>
      <c r="U81" s="8">
        <f>IFERROR(T81/T444, "NA")</f>
        <v>0</v>
      </c>
      <c r="V81" s="9"/>
      <c r="W81" s="10">
        <f t="shared" si="22"/>
        <v>0</v>
      </c>
      <c r="X81" s="8">
        <f>IFERROR(W81/W444, "NA")</f>
        <v>0</v>
      </c>
      <c r="Y81" s="9"/>
      <c r="Z81" s="7">
        <v>0</v>
      </c>
      <c r="AA81" s="8">
        <f>IFERROR(Z81/Z444, "NA")</f>
        <v>0</v>
      </c>
      <c r="AB81" s="9"/>
      <c r="AC81" s="10">
        <f t="shared" si="23"/>
        <v>0</v>
      </c>
      <c r="AD81" s="8">
        <f>IFERROR(AC81/AC444, "NA")</f>
        <v>0</v>
      </c>
    </row>
    <row r="82" spans="1:30" ht="16.5" hidden="1" customHeight="1" x14ac:dyDescent="0.45">
      <c r="A82" s="12" t="s">
        <v>78</v>
      </c>
      <c r="B82" s="7">
        <v>0</v>
      </c>
      <c r="C82" s="8">
        <f>IFERROR(B82/B444, "NA")</f>
        <v>0</v>
      </c>
      <c r="D82" s="9"/>
      <c r="E82" s="7">
        <v>0</v>
      </c>
      <c r="F82" s="8">
        <f>IFERROR(E82/E444, "NA")</f>
        <v>0</v>
      </c>
      <c r="G82" s="9"/>
      <c r="H82" s="10">
        <f t="shared" si="20"/>
        <v>0</v>
      </c>
      <c r="I82" s="8">
        <f>IFERROR(H82/H444, "NA")</f>
        <v>0</v>
      </c>
      <c r="J82" s="9"/>
      <c r="K82" s="7">
        <v>0</v>
      </c>
      <c r="L82" s="8">
        <f>IFERROR(K82/K444, "NA")</f>
        <v>0</v>
      </c>
      <c r="M82" s="9"/>
      <c r="N82" s="10">
        <f t="shared" si="21"/>
        <v>0</v>
      </c>
      <c r="O82" s="8">
        <f>IFERROR(N82/N444, "NA")</f>
        <v>0</v>
      </c>
      <c r="P82" s="9"/>
      <c r="Q82" s="7">
        <v>0</v>
      </c>
      <c r="R82" s="8">
        <f>IFERROR(Q82/Q444, "NA")</f>
        <v>0</v>
      </c>
      <c r="S82" s="9"/>
      <c r="T82" s="7">
        <v>0</v>
      </c>
      <c r="U82" s="8">
        <f>IFERROR(T82/T444, "NA")</f>
        <v>0</v>
      </c>
      <c r="V82" s="9"/>
      <c r="W82" s="10">
        <f t="shared" si="22"/>
        <v>0</v>
      </c>
      <c r="X82" s="8">
        <f>IFERROR(W82/W444, "NA")</f>
        <v>0</v>
      </c>
      <c r="Y82" s="9"/>
      <c r="Z82" s="7">
        <v>0</v>
      </c>
      <c r="AA82" s="8">
        <f>IFERROR(Z82/Z444, "NA")</f>
        <v>0</v>
      </c>
      <c r="AB82" s="9"/>
      <c r="AC82" s="10">
        <f t="shared" si="23"/>
        <v>0</v>
      </c>
      <c r="AD82" s="8">
        <f>IFERROR(AC82/AC444, "NA")</f>
        <v>0</v>
      </c>
    </row>
    <row r="83" spans="1:30" ht="16.5" hidden="1" customHeight="1" x14ac:dyDescent="0.45">
      <c r="A83" s="12" t="s">
        <v>79</v>
      </c>
      <c r="B83" s="7">
        <v>0</v>
      </c>
      <c r="C83" s="8">
        <f>IFERROR(B83/B444, "NA")</f>
        <v>0</v>
      </c>
      <c r="D83" s="9"/>
      <c r="E83" s="7">
        <v>0</v>
      </c>
      <c r="F83" s="8">
        <f>IFERROR(E83/E444, "NA")</f>
        <v>0</v>
      </c>
      <c r="G83" s="9"/>
      <c r="H83" s="10">
        <f t="shared" si="20"/>
        <v>0</v>
      </c>
      <c r="I83" s="8">
        <f>IFERROR(H83/H444, "NA")</f>
        <v>0</v>
      </c>
      <c r="J83" s="9"/>
      <c r="K83" s="7">
        <v>0</v>
      </c>
      <c r="L83" s="8">
        <f>IFERROR(K83/K444, "NA")</f>
        <v>0</v>
      </c>
      <c r="M83" s="9"/>
      <c r="N83" s="10">
        <f t="shared" si="21"/>
        <v>0</v>
      </c>
      <c r="O83" s="8">
        <f>IFERROR(N83/N444, "NA")</f>
        <v>0</v>
      </c>
      <c r="P83" s="9"/>
      <c r="Q83" s="7">
        <v>0</v>
      </c>
      <c r="R83" s="8">
        <f>IFERROR(Q83/Q444, "NA")</f>
        <v>0</v>
      </c>
      <c r="S83" s="9"/>
      <c r="T83" s="7">
        <v>0</v>
      </c>
      <c r="U83" s="8">
        <f>IFERROR(T83/T444, "NA")</f>
        <v>0</v>
      </c>
      <c r="V83" s="9"/>
      <c r="W83" s="10">
        <f t="shared" si="22"/>
        <v>0</v>
      </c>
      <c r="X83" s="8">
        <f>IFERROR(W83/W444, "NA")</f>
        <v>0</v>
      </c>
      <c r="Y83" s="9"/>
      <c r="Z83" s="7">
        <v>0</v>
      </c>
      <c r="AA83" s="8">
        <f>IFERROR(Z83/Z444, "NA")</f>
        <v>0</v>
      </c>
      <c r="AB83" s="9"/>
      <c r="AC83" s="10">
        <f t="shared" si="23"/>
        <v>0</v>
      </c>
      <c r="AD83" s="8">
        <f>IFERROR(AC83/AC444, "NA")</f>
        <v>0</v>
      </c>
    </row>
    <row r="84" spans="1:30" ht="16.5" hidden="1" customHeight="1" x14ac:dyDescent="0.45">
      <c r="A84" s="12" t="s">
        <v>80</v>
      </c>
      <c r="B84" s="7">
        <v>0</v>
      </c>
      <c r="C84" s="8">
        <f>IFERROR(B84/B444, "NA")</f>
        <v>0</v>
      </c>
      <c r="D84" s="9"/>
      <c r="E84" s="7">
        <v>0</v>
      </c>
      <c r="F84" s="8">
        <f>IFERROR(E84/E444, "NA")</f>
        <v>0</v>
      </c>
      <c r="G84" s="9"/>
      <c r="H84" s="10">
        <f t="shared" si="20"/>
        <v>0</v>
      </c>
      <c r="I84" s="8">
        <f>IFERROR(H84/H444, "NA")</f>
        <v>0</v>
      </c>
      <c r="J84" s="9"/>
      <c r="K84" s="7">
        <v>0</v>
      </c>
      <c r="L84" s="8">
        <f>IFERROR(K84/K444, "NA")</f>
        <v>0</v>
      </c>
      <c r="M84" s="9"/>
      <c r="N84" s="10">
        <f t="shared" si="21"/>
        <v>0</v>
      </c>
      <c r="O84" s="8">
        <f>IFERROR(N84/N444, "NA")</f>
        <v>0</v>
      </c>
      <c r="P84" s="9"/>
      <c r="Q84" s="7">
        <v>0</v>
      </c>
      <c r="R84" s="8">
        <f>IFERROR(Q84/Q444, "NA")</f>
        <v>0</v>
      </c>
      <c r="S84" s="9"/>
      <c r="T84" s="7">
        <v>0</v>
      </c>
      <c r="U84" s="8">
        <f>IFERROR(T84/T444, "NA")</f>
        <v>0</v>
      </c>
      <c r="V84" s="9"/>
      <c r="W84" s="10">
        <f t="shared" si="22"/>
        <v>0</v>
      </c>
      <c r="X84" s="8">
        <f>IFERROR(W84/W444, "NA")</f>
        <v>0</v>
      </c>
      <c r="Y84" s="9"/>
      <c r="Z84" s="7">
        <v>0</v>
      </c>
      <c r="AA84" s="8">
        <f>IFERROR(Z84/Z444, "NA")</f>
        <v>0</v>
      </c>
      <c r="AB84" s="9"/>
      <c r="AC84" s="10">
        <f t="shared" si="23"/>
        <v>0</v>
      </c>
      <c r="AD84" s="8">
        <f>IFERROR(AC84/AC444, "NA")</f>
        <v>0</v>
      </c>
    </row>
    <row r="85" spans="1:30" ht="16.5" hidden="1" customHeight="1" x14ac:dyDescent="0.45">
      <c r="A85" s="12" t="s">
        <v>81</v>
      </c>
      <c r="B85" s="7">
        <v>0</v>
      </c>
      <c r="C85" s="8">
        <f>IFERROR(B85/B444, "NA")</f>
        <v>0</v>
      </c>
      <c r="D85" s="9"/>
      <c r="E85" s="7">
        <v>0</v>
      </c>
      <c r="F85" s="8">
        <f>IFERROR(E85/E444, "NA")</f>
        <v>0</v>
      </c>
      <c r="G85" s="9"/>
      <c r="H85" s="10">
        <f t="shared" si="20"/>
        <v>0</v>
      </c>
      <c r="I85" s="8">
        <f>IFERROR(H85/H444, "NA")</f>
        <v>0</v>
      </c>
      <c r="J85" s="9"/>
      <c r="K85" s="7">
        <v>0</v>
      </c>
      <c r="L85" s="8">
        <f>IFERROR(K85/K444, "NA")</f>
        <v>0</v>
      </c>
      <c r="M85" s="9"/>
      <c r="N85" s="10">
        <f t="shared" si="21"/>
        <v>0</v>
      </c>
      <c r="O85" s="8">
        <f>IFERROR(N85/N444, "NA")</f>
        <v>0</v>
      </c>
      <c r="P85" s="9"/>
      <c r="Q85" s="7">
        <v>0</v>
      </c>
      <c r="R85" s="8">
        <f>IFERROR(Q85/Q444, "NA")</f>
        <v>0</v>
      </c>
      <c r="S85" s="9"/>
      <c r="T85" s="7">
        <v>0</v>
      </c>
      <c r="U85" s="8">
        <f>IFERROR(T85/T444, "NA")</f>
        <v>0</v>
      </c>
      <c r="V85" s="9"/>
      <c r="W85" s="10">
        <f t="shared" si="22"/>
        <v>0</v>
      </c>
      <c r="X85" s="8">
        <f>IFERROR(W85/W444, "NA")</f>
        <v>0</v>
      </c>
      <c r="Y85" s="9"/>
      <c r="Z85" s="7">
        <v>0</v>
      </c>
      <c r="AA85" s="8">
        <f>IFERROR(Z85/Z444, "NA")</f>
        <v>0</v>
      </c>
      <c r="AB85" s="9"/>
      <c r="AC85" s="10">
        <f t="shared" si="23"/>
        <v>0</v>
      </c>
      <c r="AD85" s="8">
        <f>IFERROR(AC85/AC444, "NA")</f>
        <v>0</v>
      </c>
    </row>
    <row r="86" spans="1:30" ht="16.5" hidden="1" customHeight="1" x14ac:dyDescent="0.45">
      <c r="A86" s="12" t="s">
        <v>82</v>
      </c>
      <c r="B86" s="7">
        <v>0</v>
      </c>
      <c r="C86" s="8">
        <f>IFERROR(B86/B444, "NA")</f>
        <v>0</v>
      </c>
      <c r="D86" s="9"/>
      <c r="E86" s="7">
        <v>0</v>
      </c>
      <c r="F86" s="8">
        <f>IFERROR(E86/E444, "NA")</f>
        <v>0</v>
      </c>
      <c r="G86" s="9"/>
      <c r="H86" s="10">
        <f t="shared" si="20"/>
        <v>0</v>
      </c>
      <c r="I86" s="8">
        <f>IFERROR(H86/H444, "NA")</f>
        <v>0</v>
      </c>
      <c r="J86" s="9"/>
      <c r="K86" s="7">
        <v>0</v>
      </c>
      <c r="L86" s="8">
        <f>IFERROR(K86/K444, "NA")</f>
        <v>0</v>
      </c>
      <c r="M86" s="9"/>
      <c r="N86" s="10">
        <f t="shared" si="21"/>
        <v>0</v>
      </c>
      <c r="O86" s="8">
        <f>IFERROR(N86/N444, "NA")</f>
        <v>0</v>
      </c>
      <c r="P86" s="9"/>
      <c r="Q86" s="7">
        <v>0</v>
      </c>
      <c r="R86" s="8">
        <f>IFERROR(Q86/Q444, "NA")</f>
        <v>0</v>
      </c>
      <c r="S86" s="9"/>
      <c r="T86" s="7">
        <v>0</v>
      </c>
      <c r="U86" s="8">
        <f>IFERROR(T86/T444, "NA")</f>
        <v>0</v>
      </c>
      <c r="V86" s="9"/>
      <c r="W86" s="10">
        <f t="shared" si="22"/>
        <v>0</v>
      </c>
      <c r="X86" s="8">
        <f>IFERROR(W86/W444, "NA")</f>
        <v>0</v>
      </c>
      <c r="Y86" s="9"/>
      <c r="Z86" s="7">
        <v>0</v>
      </c>
      <c r="AA86" s="8">
        <f>IFERROR(Z86/Z444, "NA")</f>
        <v>0</v>
      </c>
      <c r="AB86" s="9"/>
      <c r="AC86" s="10">
        <f t="shared" si="23"/>
        <v>0</v>
      </c>
      <c r="AD86" s="8">
        <f>IFERROR(AC86/AC444, "NA")</f>
        <v>0</v>
      </c>
    </row>
    <row r="87" spans="1:30" ht="16.5" hidden="1" customHeight="1" x14ac:dyDescent="0.45">
      <c r="A87" s="12" t="s">
        <v>83</v>
      </c>
      <c r="B87" s="7">
        <v>0</v>
      </c>
      <c r="C87" s="8">
        <f>IFERROR(B87/B444, "NA")</f>
        <v>0</v>
      </c>
      <c r="D87" s="9"/>
      <c r="E87" s="7">
        <v>0</v>
      </c>
      <c r="F87" s="8">
        <f>IFERROR(E87/E444, "NA")</f>
        <v>0</v>
      </c>
      <c r="G87" s="9"/>
      <c r="H87" s="10">
        <f t="shared" si="20"/>
        <v>0</v>
      </c>
      <c r="I87" s="8">
        <f>IFERROR(H87/H444, "NA")</f>
        <v>0</v>
      </c>
      <c r="J87" s="9"/>
      <c r="K87" s="7">
        <v>0</v>
      </c>
      <c r="L87" s="8">
        <f>IFERROR(K87/K444, "NA")</f>
        <v>0</v>
      </c>
      <c r="M87" s="9"/>
      <c r="N87" s="10">
        <f t="shared" si="21"/>
        <v>0</v>
      </c>
      <c r="O87" s="8">
        <f>IFERROR(N87/N444, "NA")</f>
        <v>0</v>
      </c>
      <c r="P87" s="9"/>
      <c r="Q87" s="7">
        <v>0</v>
      </c>
      <c r="R87" s="8">
        <f>IFERROR(Q87/Q444, "NA")</f>
        <v>0</v>
      </c>
      <c r="S87" s="9"/>
      <c r="T87" s="7">
        <v>0</v>
      </c>
      <c r="U87" s="8">
        <f>IFERROR(T87/T444, "NA")</f>
        <v>0</v>
      </c>
      <c r="V87" s="9"/>
      <c r="W87" s="10">
        <f t="shared" si="22"/>
        <v>0</v>
      </c>
      <c r="X87" s="8">
        <f>IFERROR(W87/W444, "NA")</f>
        <v>0</v>
      </c>
      <c r="Y87" s="9"/>
      <c r="Z87" s="7">
        <v>0</v>
      </c>
      <c r="AA87" s="8">
        <f>IFERROR(Z87/Z444, "NA")</f>
        <v>0</v>
      </c>
      <c r="AB87" s="9"/>
      <c r="AC87" s="10">
        <f t="shared" si="23"/>
        <v>0</v>
      </c>
      <c r="AD87" s="8">
        <f>IFERROR(AC87/AC444, "NA")</f>
        <v>0</v>
      </c>
    </row>
    <row r="88" spans="1:30" ht="16.5" customHeight="1" x14ac:dyDescent="0.45">
      <c r="A88" s="13" t="s">
        <v>84</v>
      </c>
      <c r="B88" s="14">
        <f>IFERROR(B75+B76+B77+B78+B79+B80+B81+B82+B83+B84+B85+B86+B87, "NA")</f>
        <v>1145.57</v>
      </c>
      <c r="C88" s="15">
        <f>IFERROR(B88/B444, "NA")</f>
        <v>1.2594287852757308E-2</v>
      </c>
      <c r="D88" s="2"/>
      <c r="E88" s="14">
        <f>IFERROR(E75+E76+E77+E78+E79+E80+E81+E82+E83+E84+E85+E86+E87, "NA")</f>
        <v>1456.71</v>
      </c>
      <c r="F88" s="15">
        <f>IFERROR(E88/E444, "NA")</f>
        <v>1.5000003089153592E-2</v>
      </c>
      <c r="G88" s="2"/>
      <c r="H88" s="14">
        <f t="shared" si="20"/>
        <v>-311.1400000000001</v>
      </c>
      <c r="I88" s="15">
        <f>IFERROR(H88/H444, "NA")</f>
        <v>5.0554960687238193E-2</v>
      </c>
      <c r="J88" s="2"/>
      <c r="K88" s="14">
        <f>IFERROR(K75+K76+K77+K78+K79+K80+K81+K82+K83+K84+K85+K86+K87, "NA")</f>
        <v>1726.51</v>
      </c>
      <c r="L88" s="15">
        <f>IFERROR(K88/K444, "NA")</f>
        <v>1.808041081303885E-2</v>
      </c>
      <c r="M88" s="2"/>
      <c r="N88" s="14">
        <f t="shared" si="21"/>
        <v>-580.94000000000005</v>
      </c>
      <c r="O88" s="15">
        <f>IFERROR(N88/N444, "NA")</f>
        <v>0.12821027774406074</v>
      </c>
      <c r="P88" s="2"/>
      <c r="Q88" s="14">
        <f>IFERROR(Q75+Q76+Q77+Q78+Q79+Q80+Q81+Q82+Q83+Q84+Q85+Q86+Q87, "NA")</f>
        <v>1145.57</v>
      </c>
      <c r="R88" s="15">
        <f>IFERROR(Q88/Q444, "NA")</f>
        <v>1.2594287852757308E-2</v>
      </c>
      <c r="S88" s="2"/>
      <c r="T88" s="14">
        <f>IFERROR(T75+T76+T77+T78+T79+T80+T81+T82+T83+T84+T85+T86+T87, "NA")</f>
        <v>1456.71</v>
      </c>
      <c r="U88" s="15">
        <f>IFERROR(T88/T444, "NA")</f>
        <v>1.5000003089153592E-2</v>
      </c>
      <c r="V88" s="2"/>
      <c r="W88" s="14">
        <f t="shared" si="22"/>
        <v>-311.1400000000001</v>
      </c>
      <c r="X88" s="15">
        <f>IFERROR(W88/W444, "NA")</f>
        <v>5.0554960687238193E-2</v>
      </c>
      <c r="Y88" s="2"/>
      <c r="Z88" s="14">
        <f>IFERROR(Z75+Z76+Z77+Z78+Z79+Z80+Z81+Z82+Z83+Z84+Z85+Z86+Z87, "NA")</f>
        <v>1726.51</v>
      </c>
      <c r="AA88" s="15">
        <f>IFERROR(Z88/Z444, "NA")</f>
        <v>1.808041081303885E-2</v>
      </c>
      <c r="AB88" s="2"/>
      <c r="AC88" s="14">
        <f t="shared" si="23"/>
        <v>-580.94000000000005</v>
      </c>
      <c r="AD88" s="15">
        <f>IFERROR(AC88/AC444, "NA")</f>
        <v>0.12821027774406074</v>
      </c>
    </row>
    <row r="89" spans="1:30" ht="16.5" hidden="1" customHeight="1" x14ac:dyDescent="0.45">
      <c r="A89" s="6" t="s">
        <v>85</v>
      </c>
      <c r="B89" s="7">
        <v>0</v>
      </c>
      <c r="C89" s="8">
        <f>IFERROR(B89/B444, "NA")</f>
        <v>0</v>
      </c>
      <c r="D89" s="9"/>
      <c r="E89" s="7">
        <v>0</v>
      </c>
      <c r="F89" s="8">
        <f>IFERROR(E89/E444, "NA")</f>
        <v>0</v>
      </c>
      <c r="G89" s="9"/>
      <c r="H89" s="10">
        <f t="shared" si="20"/>
        <v>0</v>
      </c>
      <c r="I89" s="8">
        <f>IFERROR(H89/H444, "NA")</f>
        <v>0</v>
      </c>
      <c r="J89" s="9"/>
      <c r="K89" s="7">
        <v>0</v>
      </c>
      <c r="L89" s="8">
        <f>IFERROR(K89/K444, "NA")</f>
        <v>0</v>
      </c>
      <c r="M89" s="9"/>
      <c r="N89" s="10">
        <f t="shared" si="21"/>
        <v>0</v>
      </c>
      <c r="O89" s="8">
        <f>IFERROR(N89/N444, "NA")</f>
        <v>0</v>
      </c>
      <c r="P89" s="9"/>
      <c r="Q89" s="7">
        <v>0</v>
      </c>
      <c r="R89" s="8">
        <f>IFERROR(Q89/Q444, "NA")</f>
        <v>0</v>
      </c>
      <c r="S89" s="9"/>
      <c r="T89" s="7">
        <v>0</v>
      </c>
      <c r="U89" s="8">
        <f>IFERROR(T89/T444, "NA")</f>
        <v>0</v>
      </c>
      <c r="V89" s="9"/>
      <c r="W89" s="10">
        <f t="shared" si="22"/>
        <v>0</v>
      </c>
      <c r="X89" s="8">
        <f>IFERROR(W89/W444, "NA")</f>
        <v>0</v>
      </c>
      <c r="Y89" s="9"/>
      <c r="Z89" s="7">
        <v>0</v>
      </c>
      <c r="AA89" s="8">
        <f>IFERROR(Z89/Z444, "NA")</f>
        <v>0</v>
      </c>
      <c r="AB89" s="9"/>
      <c r="AC89" s="10">
        <f t="shared" si="23"/>
        <v>0</v>
      </c>
      <c r="AD89" s="8">
        <f>IFERROR(AC89/AC444, "NA")</f>
        <v>0</v>
      </c>
    </row>
    <row r="90" spans="1:30" ht="16.5" customHeight="1" x14ac:dyDescent="0.45">
      <c r="A90" s="6" t="s">
        <v>86</v>
      </c>
      <c r="B90" s="7">
        <v>-179.32</v>
      </c>
      <c r="C90" s="8">
        <f>IFERROR(B90/B444, "NA")</f>
        <v>-1.9714270605519003E-3</v>
      </c>
      <c r="D90" s="9"/>
      <c r="E90" s="7">
        <v>0</v>
      </c>
      <c r="F90" s="8">
        <f>IFERROR(E90/E444, "NA")</f>
        <v>0</v>
      </c>
      <c r="G90" s="9"/>
      <c r="H90" s="10">
        <f t="shared" si="20"/>
        <v>-179.32</v>
      </c>
      <c r="I90" s="8">
        <f>IFERROR(H90/H444, "NA")</f>
        <v>2.9136451598751525E-2</v>
      </c>
      <c r="J90" s="9"/>
      <c r="K90" s="7">
        <v>0</v>
      </c>
      <c r="L90" s="8">
        <f>IFERROR(K90/K444, "NA")</f>
        <v>0</v>
      </c>
      <c r="M90" s="9"/>
      <c r="N90" s="10">
        <f t="shared" si="21"/>
        <v>-179.32</v>
      </c>
      <c r="O90" s="8">
        <f>IFERROR(N90/N444, "NA")</f>
        <v>3.9574942343555221E-2</v>
      </c>
      <c r="P90" s="9"/>
      <c r="Q90" s="7">
        <v>-179.32</v>
      </c>
      <c r="R90" s="8">
        <f>IFERROR(Q90/Q444, "NA")</f>
        <v>-1.9714270605519003E-3</v>
      </c>
      <c r="S90" s="9"/>
      <c r="T90" s="7">
        <v>0</v>
      </c>
      <c r="U90" s="8">
        <f>IFERROR(T90/T444, "NA")</f>
        <v>0</v>
      </c>
      <c r="V90" s="9"/>
      <c r="W90" s="10">
        <f t="shared" si="22"/>
        <v>-179.32</v>
      </c>
      <c r="X90" s="8">
        <f>IFERROR(W90/W444, "NA")</f>
        <v>2.9136451598751525E-2</v>
      </c>
      <c r="Y90" s="9"/>
      <c r="Z90" s="7">
        <v>0</v>
      </c>
      <c r="AA90" s="8">
        <f>IFERROR(Z90/Z444, "NA")</f>
        <v>0</v>
      </c>
      <c r="AB90" s="9"/>
      <c r="AC90" s="10">
        <f t="shared" si="23"/>
        <v>-179.32</v>
      </c>
      <c r="AD90" s="8">
        <f>IFERROR(AC90/AC444, "NA")</f>
        <v>3.9574942343555221E-2</v>
      </c>
    </row>
    <row r="91" spans="1:30" ht="16.5" hidden="1" customHeight="1" x14ac:dyDescent="0.45">
      <c r="A91" s="6" t="s">
        <v>87</v>
      </c>
      <c r="B91" s="7">
        <v>0</v>
      </c>
      <c r="C91" s="8">
        <f>IFERROR(B91/B444, "NA")</f>
        <v>0</v>
      </c>
      <c r="D91" s="9"/>
      <c r="E91" s="7">
        <v>0</v>
      </c>
      <c r="F91" s="8">
        <f>IFERROR(E91/E444, "NA")</f>
        <v>0</v>
      </c>
      <c r="G91" s="9"/>
      <c r="H91" s="10">
        <f t="shared" si="20"/>
        <v>0</v>
      </c>
      <c r="I91" s="8">
        <f>IFERROR(H91/H444, "NA")</f>
        <v>0</v>
      </c>
      <c r="J91" s="9"/>
      <c r="K91" s="7">
        <v>0</v>
      </c>
      <c r="L91" s="8">
        <f>IFERROR(K91/K444, "NA")</f>
        <v>0</v>
      </c>
      <c r="M91" s="9"/>
      <c r="N91" s="10">
        <f t="shared" si="21"/>
        <v>0</v>
      </c>
      <c r="O91" s="8">
        <f>IFERROR(N91/N444, "NA")</f>
        <v>0</v>
      </c>
      <c r="P91" s="9"/>
      <c r="Q91" s="7">
        <v>0</v>
      </c>
      <c r="R91" s="8">
        <f>IFERROR(Q91/Q444, "NA")</f>
        <v>0</v>
      </c>
      <c r="S91" s="9"/>
      <c r="T91" s="7">
        <v>0</v>
      </c>
      <c r="U91" s="8">
        <f>IFERROR(T91/T444, "NA")</f>
        <v>0</v>
      </c>
      <c r="V91" s="9"/>
      <c r="W91" s="10">
        <f t="shared" si="22"/>
        <v>0</v>
      </c>
      <c r="X91" s="8">
        <f>IFERROR(W91/W444, "NA")</f>
        <v>0</v>
      </c>
      <c r="Y91" s="9"/>
      <c r="Z91" s="7">
        <v>0</v>
      </c>
      <c r="AA91" s="8">
        <f>IFERROR(Z91/Z444, "NA")</f>
        <v>0</v>
      </c>
      <c r="AB91" s="9"/>
      <c r="AC91" s="10">
        <f t="shared" si="23"/>
        <v>0</v>
      </c>
      <c r="AD91" s="8">
        <f>IFERROR(AC91/AC444, "NA")</f>
        <v>0</v>
      </c>
    </row>
    <row r="92" spans="1:30" ht="16.5" hidden="1" customHeight="1" x14ac:dyDescent="0.45">
      <c r="A92" s="6" t="s">
        <v>88</v>
      </c>
      <c r="B92" s="7">
        <v>0</v>
      </c>
      <c r="C92" s="8">
        <f>IFERROR(B92/B444, "NA")</f>
        <v>0</v>
      </c>
      <c r="D92" s="9"/>
      <c r="E92" s="7">
        <v>0</v>
      </c>
      <c r="F92" s="8">
        <f>IFERROR(E92/E444, "NA")</f>
        <v>0</v>
      </c>
      <c r="G92" s="9"/>
      <c r="H92" s="10">
        <f t="shared" si="20"/>
        <v>0</v>
      </c>
      <c r="I92" s="8">
        <f>IFERROR(H92/H444, "NA")</f>
        <v>0</v>
      </c>
      <c r="J92" s="9"/>
      <c r="K92" s="7">
        <v>0</v>
      </c>
      <c r="L92" s="8">
        <f>IFERROR(K92/K444, "NA")</f>
        <v>0</v>
      </c>
      <c r="M92" s="9"/>
      <c r="N92" s="10">
        <f t="shared" si="21"/>
        <v>0</v>
      </c>
      <c r="O92" s="8">
        <f>IFERROR(N92/N444, "NA")</f>
        <v>0</v>
      </c>
      <c r="P92" s="9"/>
      <c r="Q92" s="7">
        <v>0</v>
      </c>
      <c r="R92" s="8">
        <f>IFERROR(Q92/Q444, "NA")</f>
        <v>0</v>
      </c>
      <c r="S92" s="9"/>
      <c r="T92" s="7">
        <v>0</v>
      </c>
      <c r="U92" s="8">
        <f>IFERROR(T92/T444, "NA")</f>
        <v>0</v>
      </c>
      <c r="V92" s="9"/>
      <c r="W92" s="10">
        <f t="shared" si="22"/>
        <v>0</v>
      </c>
      <c r="X92" s="8">
        <f>IFERROR(W92/W444, "NA")</f>
        <v>0</v>
      </c>
      <c r="Y92" s="9"/>
      <c r="Z92" s="7">
        <v>0</v>
      </c>
      <c r="AA92" s="8">
        <f>IFERROR(Z92/Z444, "NA")</f>
        <v>0</v>
      </c>
      <c r="AB92" s="9"/>
      <c r="AC92" s="10">
        <f t="shared" si="23"/>
        <v>0</v>
      </c>
      <c r="AD92" s="8">
        <f>IFERROR(AC92/AC444, "NA")</f>
        <v>0</v>
      </c>
    </row>
    <row r="93" spans="1:30" ht="16.5" customHeight="1" x14ac:dyDescent="0.45">
      <c r="A93" s="11" t="s">
        <v>89</v>
      </c>
      <c r="B93" s="2"/>
      <c r="C93" s="3"/>
      <c r="D93" s="4"/>
      <c r="E93" s="2"/>
      <c r="F93" s="3"/>
      <c r="G93" s="4"/>
      <c r="H93" s="2"/>
      <c r="I93" s="3"/>
      <c r="J93" s="4"/>
      <c r="K93" s="2"/>
      <c r="L93" s="3"/>
      <c r="M93" s="4"/>
      <c r="N93" s="2"/>
      <c r="O93" s="3"/>
      <c r="P93" s="4"/>
      <c r="Q93" s="2"/>
      <c r="R93" s="3"/>
      <c r="S93" s="4"/>
      <c r="T93" s="2"/>
      <c r="U93" s="3"/>
      <c r="V93" s="4"/>
      <c r="W93" s="2"/>
      <c r="X93" s="3"/>
      <c r="Y93" s="4"/>
      <c r="Z93" s="2"/>
      <c r="AA93" s="3"/>
      <c r="AB93" s="4"/>
      <c r="AC93" s="2"/>
      <c r="AD93" s="3"/>
    </row>
    <row r="94" spans="1:30" ht="16.5" customHeight="1" x14ac:dyDescent="0.45">
      <c r="A94" s="12" t="s">
        <v>89</v>
      </c>
      <c r="B94" s="7">
        <v>0</v>
      </c>
      <c r="C94" s="8">
        <f>IFERROR(B94/B444, "NA")</f>
        <v>0</v>
      </c>
      <c r="D94" s="9"/>
      <c r="E94" s="7">
        <v>-4564.3599999999997</v>
      </c>
      <c r="F94" s="8">
        <f>IFERROR(E94/E444, "NA")</f>
        <v>-4.7000030273705182E-2</v>
      </c>
      <c r="G94" s="9"/>
      <c r="H94" s="10">
        <f t="shared" ref="H94:H124" si="24">IFERROR(B94-E94, "NA")</f>
        <v>4564.3599999999997</v>
      </c>
      <c r="I94" s="8">
        <f>IFERROR(H94/H444, "NA")</f>
        <v>-0.74163090686637012</v>
      </c>
      <c r="J94" s="9"/>
      <c r="K94" s="7">
        <v>0</v>
      </c>
      <c r="L94" s="8">
        <f>IFERROR(K94/K444, "NA")</f>
        <v>0</v>
      </c>
      <c r="M94" s="9"/>
      <c r="N94" s="10">
        <f t="shared" ref="N94:N124" si="25">IFERROR(B94-K94, "NA")</f>
        <v>0</v>
      </c>
      <c r="O94" s="8">
        <f>IFERROR(N94/N444, "NA")</f>
        <v>0</v>
      </c>
      <c r="P94" s="9"/>
      <c r="Q94" s="7">
        <v>0</v>
      </c>
      <c r="R94" s="8">
        <f>IFERROR(Q94/Q444, "NA")</f>
        <v>0</v>
      </c>
      <c r="S94" s="9"/>
      <c r="T94" s="7">
        <v>-4564.3599999999997</v>
      </c>
      <c r="U94" s="8">
        <f>IFERROR(T94/T444, "NA")</f>
        <v>-4.7000030273705182E-2</v>
      </c>
      <c r="V94" s="9"/>
      <c r="W94" s="10">
        <f t="shared" ref="W94:W124" si="26">IFERROR(Q94-T94, "NA")</f>
        <v>4564.3599999999997</v>
      </c>
      <c r="X94" s="8">
        <f>IFERROR(W94/W444, "NA")</f>
        <v>-0.74163090686637012</v>
      </c>
      <c r="Y94" s="9"/>
      <c r="Z94" s="7">
        <v>0</v>
      </c>
      <c r="AA94" s="8">
        <f>IFERROR(Z94/Z444, "NA")</f>
        <v>0</v>
      </c>
      <c r="AB94" s="9"/>
      <c r="AC94" s="10">
        <f t="shared" ref="AC94:AC124" si="27">IFERROR(Q94-Z94, "NA")</f>
        <v>0</v>
      </c>
      <c r="AD94" s="8">
        <f>IFERROR(AC94/AC444, "NA")</f>
        <v>0</v>
      </c>
    </row>
    <row r="95" spans="1:30" ht="16.5" hidden="1" customHeight="1" x14ac:dyDescent="0.45">
      <c r="A95" s="12" t="s">
        <v>90</v>
      </c>
      <c r="B95" s="7">
        <v>0</v>
      </c>
      <c r="C95" s="8">
        <f>IFERROR(B95/B444, "NA")</f>
        <v>0</v>
      </c>
      <c r="D95" s="9"/>
      <c r="E95" s="7">
        <v>0</v>
      </c>
      <c r="F95" s="8">
        <f>IFERROR(E95/E444, "NA")</f>
        <v>0</v>
      </c>
      <c r="G95" s="9"/>
      <c r="H95" s="10">
        <f t="shared" si="24"/>
        <v>0</v>
      </c>
      <c r="I95" s="8">
        <f>IFERROR(H95/H444, "NA")</f>
        <v>0</v>
      </c>
      <c r="J95" s="9"/>
      <c r="K95" s="7">
        <v>0</v>
      </c>
      <c r="L95" s="8">
        <f>IFERROR(K95/K444, "NA")</f>
        <v>0</v>
      </c>
      <c r="M95" s="9"/>
      <c r="N95" s="10">
        <f t="shared" si="25"/>
        <v>0</v>
      </c>
      <c r="O95" s="8">
        <f>IFERROR(N95/N444, "NA")</f>
        <v>0</v>
      </c>
      <c r="P95" s="9"/>
      <c r="Q95" s="7">
        <v>0</v>
      </c>
      <c r="R95" s="8">
        <f>IFERROR(Q95/Q444, "NA")</f>
        <v>0</v>
      </c>
      <c r="S95" s="9"/>
      <c r="T95" s="7">
        <v>0</v>
      </c>
      <c r="U95" s="8">
        <f>IFERROR(T95/T444, "NA")</f>
        <v>0</v>
      </c>
      <c r="V95" s="9"/>
      <c r="W95" s="10">
        <f t="shared" si="26"/>
        <v>0</v>
      </c>
      <c r="X95" s="8">
        <f>IFERROR(W95/W444, "NA")</f>
        <v>0</v>
      </c>
      <c r="Y95" s="9"/>
      <c r="Z95" s="7">
        <v>0</v>
      </c>
      <c r="AA95" s="8">
        <f>IFERROR(Z95/Z444, "NA")</f>
        <v>0</v>
      </c>
      <c r="AB95" s="9"/>
      <c r="AC95" s="10">
        <f t="shared" si="27"/>
        <v>0</v>
      </c>
      <c r="AD95" s="8">
        <f>IFERROR(AC95/AC444, "NA")</f>
        <v>0</v>
      </c>
    </row>
    <row r="96" spans="1:30" ht="16.5" customHeight="1" x14ac:dyDescent="0.45">
      <c r="A96" s="12" t="s">
        <v>91</v>
      </c>
      <c r="B96" s="7">
        <v>-1336.36</v>
      </c>
      <c r="C96" s="8">
        <f>IFERROR(B96/B444, "NA")</f>
        <v>-1.4691815004679554E-2</v>
      </c>
      <c r="D96" s="9"/>
      <c r="E96" s="7">
        <v>0</v>
      </c>
      <c r="F96" s="8">
        <f>IFERROR(E96/E444, "NA")</f>
        <v>0</v>
      </c>
      <c r="G96" s="9"/>
      <c r="H96" s="10">
        <f t="shared" si="24"/>
        <v>-1336.36</v>
      </c>
      <c r="I96" s="8">
        <f>IFERROR(H96/H444, "NA")</f>
        <v>0.2171357821687909</v>
      </c>
      <c r="J96" s="9"/>
      <c r="K96" s="7">
        <v>-1493.15</v>
      </c>
      <c r="L96" s="8">
        <f>IFERROR(K96/K444, "NA")</f>
        <v>-1.5636611085651956E-2</v>
      </c>
      <c r="M96" s="9"/>
      <c r="N96" s="10">
        <f t="shared" si="25"/>
        <v>156.79000000000019</v>
      </c>
      <c r="O96" s="8">
        <f>IFERROR(N96/N444, "NA")</f>
        <v>-3.4602694680158544E-2</v>
      </c>
      <c r="P96" s="9"/>
      <c r="Q96" s="7">
        <v>-1336.36</v>
      </c>
      <c r="R96" s="8">
        <f>IFERROR(Q96/Q444, "NA")</f>
        <v>-1.4691815004679554E-2</v>
      </c>
      <c r="S96" s="9"/>
      <c r="T96" s="7">
        <v>0</v>
      </c>
      <c r="U96" s="8">
        <f>IFERROR(T96/T444, "NA")</f>
        <v>0</v>
      </c>
      <c r="V96" s="9"/>
      <c r="W96" s="10">
        <f t="shared" si="26"/>
        <v>-1336.36</v>
      </c>
      <c r="X96" s="8">
        <f>IFERROR(W96/W444, "NA")</f>
        <v>0.2171357821687909</v>
      </c>
      <c r="Y96" s="9"/>
      <c r="Z96" s="7">
        <v>-1493.15</v>
      </c>
      <c r="AA96" s="8">
        <f>IFERROR(Z96/Z444, "NA")</f>
        <v>-1.5636611085651956E-2</v>
      </c>
      <c r="AB96" s="9"/>
      <c r="AC96" s="10">
        <f t="shared" si="27"/>
        <v>156.79000000000019</v>
      </c>
      <c r="AD96" s="8">
        <f>IFERROR(AC96/AC444, "NA")</f>
        <v>-3.4602694680158544E-2</v>
      </c>
    </row>
    <row r="97" spans="1:30" ht="16.5" hidden="1" customHeight="1" x14ac:dyDescent="0.45">
      <c r="A97" s="12" t="s">
        <v>92</v>
      </c>
      <c r="B97" s="7">
        <v>0</v>
      </c>
      <c r="C97" s="8">
        <f>IFERROR(B97/B444, "NA")</f>
        <v>0</v>
      </c>
      <c r="D97" s="9"/>
      <c r="E97" s="7">
        <v>0</v>
      </c>
      <c r="F97" s="8">
        <f>IFERROR(E97/E444, "NA")</f>
        <v>0</v>
      </c>
      <c r="G97" s="9"/>
      <c r="H97" s="10">
        <f t="shared" si="24"/>
        <v>0</v>
      </c>
      <c r="I97" s="8">
        <f>IFERROR(H97/H444, "NA")</f>
        <v>0</v>
      </c>
      <c r="J97" s="9"/>
      <c r="K97" s="7">
        <v>0</v>
      </c>
      <c r="L97" s="8">
        <f>IFERROR(K97/K444, "NA")</f>
        <v>0</v>
      </c>
      <c r="M97" s="9"/>
      <c r="N97" s="10">
        <f t="shared" si="25"/>
        <v>0</v>
      </c>
      <c r="O97" s="8">
        <f>IFERROR(N97/N444, "NA")</f>
        <v>0</v>
      </c>
      <c r="P97" s="9"/>
      <c r="Q97" s="7">
        <v>0</v>
      </c>
      <c r="R97" s="8">
        <f>IFERROR(Q97/Q444, "NA")</f>
        <v>0</v>
      </c>
      <c r="S97" s="9"/>
      <c r="T97" s="7">
        <v>0</v>
      </c>
      <c r="U97" s="8">
        <f>IFERROR(T97/T444, "NA")</f>
        <v>0</v>
      </c>
      <c r="V97" s="9"/>
      <c r="W97" s="10">
        <f t="shared" si="26"/>
        <v>0</v>
      </c>
      <c r="X97" s="8">
        <f>IFERROR(W97/W444, "NA")</f>
        <v>0</v>
      </c>
      <c r="Y97" s="9"/>
      <c r="Z97" s="7">
        <v>0</v>
      </c>
      <c r="AA97" s="8">
        <f>IFERROR(Z97/Z444, "NA")</f>
        <v>0</v>
      </c>
      <c r="AB97" s="9"/>
      <c r="AC97" s="10">
        <f t="shared" si="27"/>
        <v>0</v>
      </c>
      <c r="AD97" s="8">
        <f>IFERROR(AC97/AC444, "NA")</f>
        <v>0</v>
      </c>
    </row>
    <row r="98" spans="1:30" ht="16.5" customHeight="1" x14ac:dyDescent="0.45">
      <c r="A98" s="12" t="s">
        <v>93</v>
      </c>
      <c r="B98" s="7">
        <v>-2797.77</v>
      </c>
      <c r="C98" s="8">
        <f>IFERROR(B98/B444, "NA")</f>
        <v>-3.0758417840733274E-2</v>
      </c>
      <c r="D98" s="9"/>
      <c r="E98" s="7">
        <v>0</v>
      </c>
      <c r="F98" s="8">
        <f>IFERROR(E98/E444, "NA")</f>
        <v>0</v>
      </c>
      <c r="G98" s="9"/>
      <c r="H98" s="10">
        <f t="shared" si="24"/>
        <v>-2797.77</v>
      </c>
      <c r="I98" s="8">
        <f>IFERROR(H98/H444, "NA")</f>
        <v>0.45459006351460546</v>
      </c>
      <c r="J98" s="9"/>
      <c r="K98" s="7">
        <v>-2036.77</v>
      </c>
      <c r="L98" s="8">
        <f>IFERROR(K98/K444, "NA")</f>
        <v>-2.132952507177667E-2</v>
      </c>
      <c r="M98" s="9"/>
      <c r="N98" s="10">
        <f t="shared" si="25"/>
        <v>-761</v>
      </c>
      <c r="O98" s="8">
        <f>IFERROR(N98/N444, "NA")</f>
        <v>0.16794853403661344</v>
      </c>
      <c r="P98" s="9"/>
      <c r="Q98" s="7">
        <v>-2797.77</v>
      </c>
      <c r="R98" s="8">
        <f>IFERROR(Q98/Q444, "NA")</f>
        <v>-3.0758417840733274E-2</v>
      </c>
      <c r="S98" s="9"/>
      <c r="T98" s="7">
        <v>0</v>
      </c>
      <c r="U98" s="8">
        <f>IFERROR(T98/T444, "NA")</f>
        <v>0</v>
      </c>
      <c r="V98" s="9"/>
      <c r="W98" s="10">
        <f t="shared" si="26"/>
        <v>-2797.77</v>
      </c>
      <c r="X98" s="8">
        <f>IFERROR(W98/W444, "NA")</f>
        <v>0.45459006351460546</v>
      </c>
      <c r="Y98" s="9"/>
      <c r="Z98" s="7">
        <v>-2036.77</v>
      </c>
      <c r="AA98" s="8">
        <f>IFERROR(Z98/Z444, "NA")</f>
        <v>-2.132952507177667E-2</v>
      </c>
      <c r="AB98" s="9"/>
      <c r="AC98" s="10">
        <f t="shared" si="27"/>
        <v>-761</v>
      </c>
      <c r="AD98" s="8">
        <f>IFERROR(AC98/AC444, "NA")</f>
        <v>0.16794853403661344</v>
      </c>
    </row>
    <row r="99" spans="1:30" ht="16.5" hidden="1" customHeight="1" x14ac:dyDescent="0.45">
      <c r="A99" s="12" t="s">
        <v>94</v>
      </c>
      <c r="B99" s="7">
        <v>0</v>
      </c>
      <c r="C99" s="8">
        <f>IFERROR(B99/B444, "NA")</f>
        <v>0</v>
      </c>
      <c r="D99" s="9"/>
      <c r="E99" s="7">
        <v>0</v>
      </c>
      <c r="F99" s="8">
        <f>IFERROR(E99/E444, "NA")</f>
        <v>0</v>
      </c>
      <c r="G99" s="9"/>
      <c r="H99" s="10">
        <f t="shared" si="24"/>
        <v>0</v>
      </c>
      <c r="I99" s="8">
        <f>IFERROR(H99/H444, "NA")</f>
        <v>0</v>
      </c>
      <c r="J99" s="9"/>
      <c r="K99" s="7">
        <v>0</v>
      </c>
      <c r="L99" s="8">
        <f>IFERROR(K99/K444, "NA")</f>
        <v>0</v>
      </c>
      <c r="M99" s="9"/>
      <c r="N99" s="10">
        <f t="shared" si="25"/>
        <v>0</v>
      </c>
      <c r="O99" s="8">
        <f>IFERROR(N99/N444, "NA")</f>
        <v>0</v>
      </c>
      <c r="P99" s="9"/>
      <c r="Q99" s="7">
        <v>0</v>
      </c>
      <c r="R99" s="8">
        <f>IFERROR(Q99/Q444, "NA")</f>
        <v>0</v>
      </c>
      <c r="S99" s="9"/>
      <c r="T99" s="7">
        <v>0</v>
      </c>
      <c r="U99" s="8">
        <f>IFERROR(T99/T444, "NA")</f>
        <v>0</v>
      </c>
      <c r="V99" s="9"/>
      <c r="W99" s="10">
        <f t="shared" si="26"/>
        <v>0</v>
      </c>
      <c r="X99" s="8">
        <f>IFERROR(W99/W444, "NA")</f>
        <v>0</v>
      </c>
      <c r="Y99" s="9"/>
      <c r="Z99" s="7">
        <v>0</v>
      </c>
      <c r="AA99" s="8">
        <f>IFERROR(Z99/Z444, "NA")</f>
        <v>0</v>
      </c>
      <c r="AB99" s="9"/>
      <c r="AC99" s="10">
        <f t="shared" si="27"/>
        <v>0</v>
      </c>
      <c r="AD99" s="8">
        <f>IFERROR(AC99/AC444, "NA")</f>
        <v>0</v>
      </c>
    </row>
    <row r="100" spans="1:30" ht="16.5" customHeight="1" x14ac:dyDescent="0.45">
      <c r="A100" s="12" t="s">
        <v>95</v>
      </c>
      <c r="B100" s="7">
        <v>-31.39</v>
      </c>
      <c r="C100" s="8">
        <f>IFERROR(B100/B444, "NA")</f>
        <v>-3.4509868074238321E-4</v>
      </c>
      <c r="D100" s="9"/>
      <c r="E100" s="7">
        <v>0</v>
      </c>
      <c r="F100" s="8">
        <f>IFERROR(E100/E444, "NA")</f>
        <v>0</v>
      </c>
      <c r="G100" s="9"/>
      <c r="H100" s="10">
        <f t="shared" si="24"/>
        <v>-31.39</v>
      </c>
      <c r="I100" s="8">
        <f>IFERROR(H100/H444, "NA")</f>
        <v>5.1003413767834616E-3</v>
      </c>
      <c r="J100" s="9"/>
      <c r="K100" s="7">
        <v>-361.33</v>
      </c>
      <c r="L100" s="8">
        <f>IFERROR(K100/K444, "NA")</f>
        <v>-3.7839310742916791E-3</v>
      </c>
      <c r="M100" s="9"/>
      <c r="N100" s="10">
        <f t="shared" si="25"/>
        <v>329.94</v>
      </c>
      <c r="O100" s="8">
        <f>IFERROR(N100/N444, "NA")</f>
        <v>-7.2815951800315692E-2</v>
      </c>
      <c r="P100" s="9"/>
      <c r="Q100" s="7">
        <v>-31.39</v>
      </c>
      <c r="R100" s="8">
        <f>IFERROR(Q100/Q444, "NA")</f>
        <v>-3.4509868074238321E-4</v>
      </c>
      <c r="S100" s="9"/>
      <c r="T100" s="7">
        <v>0</v>
      </c>
      <c r="U100" s="8">
        <f>IFERROR(T100/T444, "NA")</f>
        <v>0</v>
      </c>
      <c r="V100" s="9"/>
      <c r="W100" s="10">
        <f t="shared" si="26"/>
        <v>-31.39</v>
      </c>
      <c r="X100" s="8">
        <f>IFERROR(W100/W444, "NA")</f>
        <v>5.1003413767834616E-3</v>
      </c>
      <c r="Y100" s="9"/>
      <c r="Z100" s="7">
        <v>-361.33</v>
      </c>
      <c r="AA100" s="8">
        <f>IFERROR(Z100/Z444, "NA")</f>
        <v>-3.7839310742916791E-3</v>
      </c>
      <c r="AB100" s="9"/>
      <c r="AC100" s="10">
        <f t="shared" si="27"/>
        <v>329.94</v>
      </c>
      <c r="AD100" s="8">
        <f>IFERROR(AC100/AC444, "NA")</f>
        <v>-7.2815951800315692E-2</v>
      </c>
    </row>
    <row r="101" spans="1:30" ht="16.5" hidden="1" customHeight="1" x14ac:dyDescent="0.45">
      <c r="A101" s="12" t="s">
        <v>96</v>
      </c>
      <c r="B101" s="7">
        <v>0</v>
      </c>
      <c r="C101" s="8">
        <f>IFERROR(B101/B444, "NA")</f>
        <v>0</v>
      </c>
      <c r="D101" s="9"/>
      <c r="E101" s="7">
        <v>0</v>
      </c>
      <c r="F101" s="8">
        <f>IFERROR(E101/E444, "NA")</f>
        <v>0</v>
      </c>
      <c r="G101" s="9"/>
      <c r="H101" s="10">
        <f t="shared" si="24"/>
        <v>0</v>
      </c>
      <c r="I101" s="8">
        <f>IFERROR(H101/H444, "NA")</f>
        <v>0</v>
      </c>
      <c r="J101" s="9"/>
      <c r="K101" s="7">
        <v>0</v>
      </c>
      <c r="L101" s="8">
        <f>IFERROR(K101/K444, "NA")</f>
        <v>0</v>
      </c>
      <c r="M101" s="9"/>
      <c r="N101" s="10">
        <f t="shared" si="25"/>
        <v>0</v>
      </c>
      <c r="O101" s="8">
        <f>IFERROR(N101/N444, "NA")</f>
        <v>0</v>
      </c>
      <c r="P101" s="9"/>
      <c r="Q101" s="7">
        <v>0</v>
      </c>
      <c r="R101" s="8">
        <f>IFERROR(Q101/Q444, "NA")</f>
        <v>0</v>
      </c>
      <c r="S101" s="9"/>
      <c r="T101" s="7">
        <v>0</v>
      </c>
      <c r="U101" s="8">
        <f>IFERROR(T101/T444, "NA")</f>
        <v>0</v>
      </c>
      <c r="V101" s="9"/>
      <c r="W101" s="10">
        <f t="shared" si="26"/>
        <v>0</v>
      </c>
      <c r="X101" s="8">
        <f>IFERROR(W101/W444, "NA")</f>
        <v>0</v>
      </c>
      <c r="Y101" s="9"/>
      <c r="Z101" s="7">
        <v>0</v>
      </c>
      <c r="AA101" s="8">
        <f>IFERROR(Z101/Z444, "NA")</f>
        <v>0</v>
      </c>
      <c r="AB101" s="9"/>
      <c r="AC101" s="10">
        <f t="shared" si="27"/>
        <v>0</v>
      </c>
      <c r="AD101" s="8">
        <f>IFERROR(AC101/AC444, "NA")</f>
        <v>0</v>
      </c>
    </row>
    <row r="102" spans="1:30" ht="16.5" customHeight="1" x14ac:dyDescent="0.45">
      <c r="A102" s="12" t="s">
        <v>97</v>
      </c>
      <c r="B102" s="7">
        <v>-221.33</v>
      </c>
      <c r="C102" s="8">
        <f>IFERROR(B102/B444, "NA")</f>
        <v>-2.433281013339015E-3</v>
      </c>
      <c r="D102" s="9"/>
      <c r="E102" s="7">
        <v>0</v>
      </c>
      <c r="F102" s="8">
        <f>IFERROR(E102/E444, "NA")</f>
        <v>0</v>
      </c>
      <c r="G102" s="9"/>
      <c r="H102" s="10">
        <f t="shared" si="24"/>
        <v>-221.33</v>
      </c>
      <c r="I102" s="8">
        <f>IFERROR(H102/H444, "NA")</f>
        <v>3.5962362437829999E-2</v>
      </c>
      <c r="J102" s="9"/>
      <c r="K102" s="7">
        <v>-223.62</v>
      </c>
      <c r="L102" s="8">
        <f>IFERROR(K102/K444, "NA")</f>
        <v>-2.3418002015694944E-3</v>
      </c>
      <c r="M102" s="9"/>
      <c r="N102" s="10">
        <f t="shared" si="25"/>
        <v>2.289999999999992</v>
      </c>
      <c r="O102" s="8">
        <f>IFERROR(N102/N444, "NA")</f>
        <v>-5.0539046378954462E-4</v>
      </c>
      <c r="P102" s="9"/>
      <c r="Q102" s="7">
        <v>-221.33</v>
      </c>
      <c r="R102" s="8">
        <f>IFERROR(Q102/Q444, "NA")</f>
        <v>-2.433281013339015E-3</v>
      </c>
      <c r="S102" s="9"/>
      <c r="T102" s="7">
        <v>0</v>
      </c>
      <c r="U102" s="8">
        <f>IFERROR(T102/T444, "NA")</f>
        <v>0</v>
      </c>
      <c r="V102" s="9"/>
      <c r="W102" s="10">
        <f t="shared" si="26"/>
        <v>-221.33</v>
      </c>
      <c r="X102" s="8">
        <f>IFERROR(W102/W444, "NA")</f>
        <v>3.5962362437829999E-2</v>
      </c>
      <c r="Y102" s="9"/>
      <c r="Z102" s="7">
        <v>-223.62</v>
      </c>
      <c r="AA102" s="8">
        <f>IFERROR(Z102/Z444, "NA")</f>
        <v>-2.3418002015694944E-3</v>
      </c>
      <c r="AB102" s="9"/>
      <c r="AC102" s="10">
        <f t="shared" si="27"/>
        <v>2.289999999999992</v>
      </c>
      <c r="AD102" s="8">
        <f>IFERROR(AC102/AC444, "NA")</f>
        <v>-5.0539046378954462E-4</v>
      </c>
    </row>
    <row r="103" spans="1:30" ht="16.5" customHeight="1" x14ac:dyDescent="0.45">
      <c r="A103" s="12" t="s">
        <v>98</v>
      </c>
      <c r="B103" s="7">
        <v>-10</v>
      </c>
      <c r="C103" s="8">
        <f>IFERROR(B103/B444, "NA")</f>
        <v>-1.0993905088957732E-4</v>
      </c>
      <c r="D103" s="9"/>
      <c r="E103" s="7">
        <v>0</v>
      </c>
      <c r="F103" s="8">
        <f>IFERROR(E103/E444, "NA")</f>
        <v>0</v>
      </c>
      <c r="G103" s="9"/>
      <c r="H103" s="10">
        <f t="shared" si="24"/>
        <v>-10</v>
      </c>
      <c r="I103" s="8">
        <f>IFERROR(H103/H444, "NA")</f>
        <v>1.6248300021610264E-3</v>
      </c>
      <c r="J103" s="9"/>
      <c r="K103" s="7">
        <v>0</v>
      </c>
      <c r="L103" s="8">
        <f>IFERROR(K103/K444, "NA")</f>
        <v>0</v>
      </c>
      <c r="M103" s="9"/>
      <c r="N103" s="10">
        <f t="shared" si="25"/>
        <v>-10</v>
      </c>
      <c r="O103" s="8">
        <f>IFERROR(N103/N444, "NA")</f>
        <v>2.2069452567229099E-3</v>
      </c>
      <c r="P103" s="9"/>
      <c r="Q103" s="7">
        <v>-10</v>
      </c>
      <c r="R103" s="8">
        <f>IFERROR(Q103/Q444, "NA")</f>
        <v>-1.0993905088957732E-4</v>
      </c>
      <c r="S103" s="9"/>
      <c r="T103" s="7">
        <v>0</v>
      </c>
      <c r="U103" s="8">
        <f>IFERROR(T103/T444, "NA")</f>
        <v>0</v>
      </c>
      <c r="V103" s="9"/>
      <c r="W103" s="10">
        <f t="shared" si="26"/>
        <v>-10</v>
      </c>
      <c r="X103" s="8">
        <f>IFERROR(W103/W444, "NA")</f>
        <v>1.6248300021610264E-3</v>
      </c>
      <c r="Y103" s="9"/>
      <c r="Z103" s="7">
        <v>0</v>
      </c>
      <c r="AA103" s="8">
        <f>IFERROR(Z103/Z444, "NA")</f>
        <v>0</v>
      </c>
      <c r="AB103" s="9"/>
      <c r="AC103" s="10">
        <f t="shared" si="27"/>
        <v>-10</v>
      </c>
      <c r="AD103" s="8">
        <f>IFERROR(AC103/AC444, "NA")</f>
        <v>2.2069452567229099E-3</v>
      </c>
    </row>
    <row r="104" spans="1:30" ht="16.5" customHeight="1" x14ac:dyDescent="0.45">
      <c r="A104" s="12" t="s">
        <v>99</v>
      </c>
      <c r="B104" s="7">
        <v>-472.55</v>
      </c>
      <c r="C104" s="8">
        <f>IFERROR(B104/B444, "NA")</f>
        <v>-5.1951698497869764E-3</v>
      </c>
      <c r="D104" s="9"/>
      <c r="E104" s="7">
        <v>0</v>
      </c>
      <c r="F104" s="8">
        <f>IFERROR(E104/E444, "NA")</f>
        <v>0</v>
      </c>
      <c r="G104" s="9"/>
      <c r="H104" s="10">
        <f t="shared" si="24"/>
        <v>-472.55</v>
      </c>
      <c r="I104" s="8">
        <f>IFERROR(H104/H444, "NA")</f>
        <v>7.67813417521193E-2</v>
      </c>
      <c r="J104" s="9"/>
      <c r="K104" s="7">
        <v>-571.73</v>
      </c>
      <c r="L104" s="8">
        <f>IFERROR(K104/K444, "NA")</f>
        <v>-5.9872883876367364E-3</v>
      </c>
      <c r="M104" s="9"/>
      <c r="N104" s="10">
        <f t="shared" si="25"/>
        <v>99.18</v>
      </c>
      <c r="O104" s="8">
        <f>IFERROR(N104/N444, "NA")</f>
        <v>-2.188848305617782E-2</v>
      </c>
      <c r="P104" s="9"/>
      <c r="Q104" s="7">
        <v>-472.55</v>
      </c>
      <c r="R104" s="8">
        <f>IFERROR(Q104/Q444, "NA")</f>
        <v>-5.1951698497869764E-3</v>
      </c>
      <c r="S104" s="9"/>
      <c r="T104" s="7">
        <v>0</v>
      </c>
      <c r="U104" s="8">
        <f>IFERROR(T104/T444, "NA")</f>
        <v>0</v>
      </c>
      <c r="V104" s="9"/>
      <c r="W104" s="10">
        <f t="shared" si="26"/>
        <v>-472.55</v>
      </c>
      <c r="X104" s="8">
        <f>IFERROR(W104/W444, "NA")</f>
        <v>7.67813417521193E-2</v>
      </c>
      <c r="Y104" s="9"/>
      <c r="Z104" s="7">
        <v>-571.73</v>
      </c>
      <c r="AA104" s="8">
        <f>IFERROR(Z104/Z444, "NA")</f>
        <v>-5.9872883876367364E-3</v>
      </c>
      <c r="AB104" s="9"/>
      <c r="AC104" s="10">
        <f t="shared" si="27"/>
        <v>99.18</v>
      </c>
      <c r="AD104" s="8">
        <f>IFERROR(AC104/AC444, "NA")</f>
        <v>-2.188848305617782E-2</v>
      </c>
    </row>
    <row r="105" spans="1:30" ht="16.5" hidden="1" customHeight="1" x14ac:dyDescent="0.45">
      <c r="A105" s="12" t="s">
        <v>100</v>
      </c>
      <c r="B105" s="7">
        <v>0</v>
      </c>
      <c r="C105" s="8">
        <f>IFERROR(B105/B444, "NA")</f>
        <v>0</v>
      </c>
      <c r="D105" s="9"/>
      <c r="E105" s="7">
        <v>0</v>
      </c>
      <c r="F105" s="8">
        <f>IFERROR(E105/E444, "NA")</f>
        <v>0</v>
      </c>
      <c r="G105" s="9"/>
      <c r="H105" s="10">
        <f t="shared" si="24"/>
        <v>0</v>
      </c>
      <c r="I105" s="8">
        <f>IFERROR(H105/H444, "NA")</f>
        <v>0</v>
      </c>
      <c r="J105" s="9"/>
      <c r="K105" s="7">
        <v>0</v>
      </c>
      <c r="L105" s="8">
        <f>IFERROR(K105/K444, "NA")</f>
        <v>0</v>
      </c>
      <c r="M105" s="9"/>
      <c r="N105" s="10">
        <f t="shared" si="25"/>
        <v>0</v>
      </c>
      <c r="O105" s="8">
        <f>IFERROR(N105/N444, "NA")</f>
        <v>0</v>
      </c>
      <c r="P105" s="9"/>
      <c r="Q105" s="7">
        <v>0</v>
      </c>
      <c r="R105" s="8">
        <f>IFERROR(Q105/Q444, "NA")</f>
        <v>0</v>
      </c>
      <c r="S105" s="9"/>
      <c r="T105" s="7">
        <v>0</v>
      </c>
      <c r="U105" s="8">
        <f>IFERROR(T105/T444, "NA")</f>
        <v>0</v>
      </c>
      <c r="V105" s="9"/>
      <c r="W105" s="10">
        <f t="shared" si="26"/>
        <v>0</v>
      </c>
      <c r="X105" s="8">
        <f>IFERROR(W105/W444, "NA")</f>
        <v>0</v>
      </c>
      <c r="Y105" s="9"/>
      <c r="Z105" s="7">
        <v>0</v>
      </c>
      <c r="AA105" s="8">
        <f>IFERROR(Z105/Z444, "NA")</f>
        <v>0</v>
      </c>
      <c r="AB105" s="9"/>
      <c r="AC105" s="10">
        <f t="shared" si="27"/>
        <v>0</v>
      </c>
      <c r="AD105" s="8">
        <f>IFERROR(AC105/AC444, "NA")</f>
        <v>0</v>
      </c>
    </row>
    <row r="106" spans="1:30" ht="16.5" customHeight="1" x14ac:dyDescent="0.45">
      <c r="A106" s="12" t="s">
        <v>101</v>
      </c>
      <c r="B106" s="7">
        <v>-33.99</v>
      </c>
      <c r="C106" s="8">
        <f>IFERROR(B106/B444, "NA")</f>
        <v>-3.7368283397367334E-4</v>
      </c>
      <c r="D106" s="9"/>
      <c r="E106" s="7">
        <v>0</v>
      </c>
      <c r="F106" s="8">
        <f>IFERROR(E106/E444, "NA")</f>
        <v>0</v>
      </c>
      <c r="G106" s="9"/>
      <c r="H106" s="10">
        <f t="shared" si="24"/>
        <v>-33.99</v>
      </c>
      <c r="I106" s="8">
        <f>IFERROR(H106/H444, "NA")</f>
        <v>5.5227971773453288E-3</v>
      </c>
      <c r="J106" s="9"/>
      <c r="K106" s="7">
        <v>-5</v>
      </c>
      <c r="L106" s="8">
        <f>IFERROR(K106/K444, "NA")</f>
        <v>-5.2361152883675299E-5</v>
      </c>
      <c r="M106" s="9"/>
      <c r="N106" s="10">
        <f t="shared" si="25"/>
        <v>-28.990000000000002</v>
      </c>
      <c r="O106" s="8">
        <f>IFERROR(N106/N444, "NA")</f>
        <v>6.3979342992397164E-3</v>
      </c>
      <c r="P106" s="9"/>
      <c r="Q106" s="7">
        <v>-33.99</v>
      </c>
      <c r="R106" s="8">
        <f>IFERROR(Q106/Q444, "NA")</f>
        <v>-3.7368283397367334E-4</v>
      </c>
      <c r="S106" s="9"/>
      <c r="T106" s="7">
        <v>0</v>
      </c>
      <c r="U106" s="8">
        <f>IFERROR(T106/T444, "NA")</f>
        <v>0</v>
      </c>
      <c r="V106" s="9"/>
      <c r="W106" s="10">
        <f t="shared" si="26"/>
        <v>-33.99</v>
      </c>
      <c r="X106" s="8">
        <f>IFERROR(W106/W444, "NA")</f>
        <v>5.5227971773453288E-3</v>
      </c>
      <c r="Y106" s="9"/>
      <c r="Z106" s="7">
        <v>-5</v>
      </c>
      <c r="AA106" s="8">
        <f>IFERROR(Z106/Z444, "NA")</f>
        <v>-5.2361152883675299E-5</v>
      </c>
      <c r="AB106" s="9"/>
      <c r="AC106" s="10">
        <f t="shared" si="27"/>
        <v>-28.990000000000002</v>
      </c>
      <c r="AD106" s="8">
        <f>IFERROR(AC106/AC444, "NA")</f>
        <v>6.3979342992397164E-3</v>
      </c>
    </row>
    <row r="107" spans="1:30" ht="16.5" hidden="1" customHeight="1" x14ac:dyDescent="0.45">
      <c r="A107" s="12" t="s">
        <v>102</v>
      </c>
      <c r="B107" s="7">
        <v>0</v>
      </c>
      <c r="C107" s="8">
        <f>IFERROR(B107/B444, "NA")</f>
        <v>0</v>
      </c>
      <c r="D107" s="9"/>
      <c r="E107" s="7">
        <v>0</v>
      </c>
      <c r="F107" s="8">
        <f>IFERROR(E107/E444, "NA")</f>
        <v>0</v>
      </c>
      <c r="G107" s="9"/>
      <c r="H107" s="10">
        <f t="shared" si="24"/>
        <v>0</v>
      </c>
      <c r="I107" s="8">
        <f>IFERROR(H107/H444, "NA")</f>
        <v>0</v>
      </c>
      <c r="J107" s="9"/>
      <c r="K107" s="7">
        <v>0</v>
      </c>
      <c r="L107" s="8">
        <f>IFERROR(K107/K444, "NA")</f>
        <v>0</v>
      </c>
      <c r="M107" s="9"/>
      <c r="N107" s="10">
        <f t="shared" si="25"/>
        <v>0</v>
      </c>
      <c r="O107" s="8">
        <f>IFERROR(N107/N444, "NA")</f>
        <v>0</v>
      </c>
      <c r="P107" s="9"/>
      <c r="Q107" s="7">
        <v>0</v>
      </c>
      <c r="R107" s="8">
        <f>IFERROR(Q107/Q444, "NA")</f>
        <v>0</v>
      </c>
      <c r="S107" s="9"/>
      <c r="T107" s="7">
        <v>0</v>
      </c>
      <c r="U107" s="8">
        <f>IFERROR(T107/T444, "NA")</f>
        <v>0</v>
      </c>
      <c r="V107" s="9"/>
      <c r="W107" s="10">
        <f t="shared" si="26"/>
        <v>0</v>
      </c>
      <c r="X107" s="8">
        <f>IFERROR(W107/W444, "NA")</f>
        <v>0</v>
      </c>
      <c r="Y107" s="9"/>
      <c r="Z107" s="7">
        <v>0</v>
      </c>
      <c r="AA107" s="8">
        <f>IFERROR(Z107/Z444, "NA")</f>
        <v>0</v>
      </c>
      <c r="AB107" s="9"/>
      <c r="AC107" s="10">
        <f t="shared" si="27"/>
        <v>0</v>
      </c>
      <c r="AD107" s="8">
        <f>IFERROR(AC107/AC444, "NA")</f>
        <v>0</v>
      </c>
    </row>
    <row r="108" spans="1:30" ht="16.5" hidden="1" customHeight="1" x14ac:dyDescent="0.45">
      <c r="A108" s="12" t="s">
        <v>103</v>
      </c>
      <c r="B108" s="7">
        <v>0</v>
      </c>
      <c r="C108" s="8">
        <f>IFERROR(B108/B444, "NA")</f>
        <v>0</v>
      </c>
      <c r="D108" s="9"/>
      <c r="E108" s="7">
        <v>0</v>
      </c>
      <c r="F108" s="8">
        <f>IFERROR(E108/E444, "NA")</f>
        <v>0</v>
      </c>
      <c r="G108" s="9"/>
      <c r="H108" s="10">
        <f t="shared" si="24"/>
        <v>0</v>
      </c>
      <c r="I108" s="8">
        <f>IFERROR(H108/H444, "NA")</f>
        <v>0</v>
      </c>
      <c r="J108" s="9"/>
      <c r="K108" s="7">
        <v>0</v>
      </c>
      <c r="L108" s="8">
        <f>IFERROR(K108/K444, "NA")</f>
        <v>0</v>
      </c>
      <c r="M108" s="9"/>
      <c r="N108" s="10">
        <f t="shared" si="25"/>
        <v>0</v>
      </c>
      <c r="O108" s="8">
        <f>IFERROR(N108/N444, "NA")</f>
        <v>0</v>
      </c>
      <c r="P108" s="9"/>
      <c r="Q108" s="7">
        <v>0</v>
      </c>
      <c r="R108" s="8">
        <f>IFERROR(Q108/Q444, "NA")</f>
        <v>0</v>
      </c>
      <c r="S108" s="9"/>
      <c r="T108" s="7">
        <v>0</v>
      </c>
      <c r="U108" s="8">
        <f>IFERROR(T108/T444, "NA")</f>
        <v>0</v>
      </c>
      <c r="V108" s="9"/>
      <c r="W108" s="10">
        <f t="shared" si="26"/>
        <v>0</v>
      </c>
      <c r="X108" s="8">
        <f>IFERROR(W108/W444, "NA")</f>
        <v>0</v>
      </c>
      <c r="Y108" s="9"/>
      <c r="Z108" s="7">
        <v>0</v>
      </c>
      <c r="AA108" s="8">
        <f>IFERROR(Z108/Z444, "NA")</f>
        <v>0</v>
      </c>
      <c r="AB108" s="9"/>
      <c r="AC108" s="10">
        <f t="shared" si="27"/>
        <v>0</v>
      </c>
      <c r="AD108" s="8">
        <f>IFERROR(AC108/AC444, "NA")</f>
        <v>0</v>
      </c>
    </row>
    <row r="109" spans="1:30" ht="16.5" hidden="1" customHeight="1" x14ac:dyDescent="0.45">
      <c r="A109" s="12" t="s">
        <v>104</v>
      </c>
      <c r="B109" s="7">
        <v>0</v>
      </c>
      <c r="C109" s="8">
        <f>IFERROR(B109/B444, "NA")</f>
        <v>0</v>
      </c>
      <c r="D109" s="9"/>
      <c r="E109" s="7">
        <v>0</v>
      </c>
      <c r="F109" s="8">
        <f>IFERROR(E109/E444, "NA")</f>
        <v>0</v>
      </c>
      <c r="G109" s="9"/>
      <c r="H109" s="10">
        <f t="shared" si="24"/>
        <v>0</v>
      </c>
      <c r="I109" s="8">
        <f>IFERROR(H109/H444, "NA")</f>
        <v>0</v>
      </c>
      <c r="J109" s="9"/>
      <c r="K109" s="7">
        <v>0</v>
      </c>
      <c r="L109" s="8">
        <f>IFERROR(K109/K444, "NA")</f>
        <v>0</v>
      </c>
      <c r="M109" s="9"/>
      <c r="N109" s="10">
        <f t="shared" si="25"/>
        <v>0</v>
      </c>
      <c r="O109" s="8">
        <f>IFERROR(N109/N444, "NA")</f>
        <v>0</v>
      </c>
      <c r="P109" s="9"/>
      <c r="Q109" s="7">
        <v>0</v>
      </c>
      <c r="R109" s="8">
        <f>IFERROR(Q109/Q444, "NA")</f>
        <v>0</v>
      </c>
      <c r="S109" s="9"/>
      <c r="T109" s="7">
        <v>0</v>
      </c>
      <c r="U109" s="8">
        <f>IFERROR(T109/T444, "NA")</f>
        <v>0</v>
      </c>
      <c r="V109" s="9"/>
      <c r="W109" s="10">
        <f t="shared" si="26"/>
        <v>0</v>
      </c>
      <c r="X109" s="8">
        <f>IFERROR(W109/W444, "NA")</f>
        <v>0</v>
      </c>
      <c r="Y109" s="9"/>
      <c r="Z109" s="7">
        <v>0</v>
      </c>
      <c r="AA109" s="8">
        <f>IFERROR(Z109/Z444, "NA")</f>
        <v>0</v>
      </c>
      <c r="AB109" s="9"/>
      <c r="AC109" s="10">
        <f t="shared" si="27"/>
        <v>0</v>
      </c>
      <c r="AD109" s="8">
        <f>IFERROR(AC109/AC444, "NA")</f>
        <v>0</v>
      </c>
    </row>
    <row r="110" spans="1:30" ht="16.5" hidden="1" customHeight="1" x14ac:dyDescent="0.45">
      <c r="A110" s="12" t="s">
        <v>105</v>
      </c>
      <c r="B110" s="7">
        <v>0</v>
      </c>
      <c r="C110" s="8">
        <f>IFERROR(B110/B444, "NA")</f>
        <v>0</v>
      </c>
      <c r="D110" s="9"/>
      <c r="E110" s="7">
        <v>0</v>
      </c>
      <c r="F110" s="8">
        <f>IFERROR(E110/E444, "NA")</f>
        <v>0</v>
      </c>
      <c r="G110" s="9"/>
      <c r="H110" s="10">
        <f t="shared" si="24"/>
        <v>0</v>
      </c>
      <c r="I110" s="8">
        <f>IFERROR(H110/H444, "NA")</f>
        <v>0</v>
      </c>
      <c r="J110" s="9"/>
      <c r="K110" s="7">
        <v>0</v>
      </c>
      <c r="L110" s="8">
        <f>IFERROR(K110/K444, "NA")</f>
        <v>0</v>
      </c>
      <c r="M110" s="9"/>
      <c r="N110" s="10">
        <f t="shared" si="25"/>
        <v>0</v>
      </c>
      <c r="O110" s="8">
        <f>IFERROR(N110/N444, "NA")</f>
        <v>0</v>
      </c>
      <c r="P110" s="9"/>
      <c r="Q110" s="7">
        <v>0</v>
      </c>
      <c r="R110" s="8">
        <f>IFERROR(Q110/Q444, "NA")</f>
        <v>0</v>
      </c>
      <c r="S110" s="9"/>
      <c r="T110" s="7">
        <v>0</v>
      </c>
      <c r="U110" s="8">
        <f>IFERROR(T110/T444, "NA")</f>
        <v>0</v>
      </c>
      <c r="V110" s="9"/>
      <c r="W110" s="10">
        <f t="shared" si="26"/>
        <v>0</v>
      </c>
      <c r="X110" s="8">
        <f>IFERROR(W110/W444, "NA")</f>
        <v>0</v>
      </c>
      <c r="Y110" s="9"/>
      <c r="Z110" s="7">
        <v>0</v>
      </c>
      <c r="AA110" s="8">
        <f>IFERROR(Z110/Z444, "NA")</f>
        <v>0</v>
      </c>
      <c r="AB110" s="9"/>
      <c r="AC110" s="10">
        <f t="shared" si="27"/>
        <v>0</v>
      </c>
      <c r="AD110" s="8">
        <f>IFERROR(AC110/AC444, "NA")</f>
        <v>0</v>
      </c>
    </row>
    <row r="111" spans="1:30" ht="16.5" hidden="1" customHeight="1" x14ac:dyDescent="0.45">
      <c r="A111" s="12" t="s">
        <v>106</v>
      </c>
      <c r="B111" s="7">
        <v>0</v>
      </c>
      <c r="C111" s="8">
        <f>IFERROR(B111/B444, "NA")</f>
        <v>0</v>
      </c>
      <c r="D111" s="9"/>
      <c r="E111" s="7">
        <v>0</v>
      </c>
      <c r="F111" s="8">
        <f>IFERROR(E111/E444, "NA")</f>
        <v>0</v>
      </c>
      <c r="G111" s="9"/>
      <c r="H111" s="10">
        <f t="shared" si="24"/>
        <v>0</v>
      </c>
      <c r="I111" s="8">
        <f>IFERROR(H111/H444, "NA")</f>
        <v>0</v>
      </c>
      <c r="J111" s="9"/>
      <c r="K111" s="7">
        <v>0</v>
      </c>
      <c r="L111" s="8">
        <f>IFERROR(K111/K444, "NA")</f>
        <v>0</v>
      </c>
      <c r="M111" s="9"/>
      <c r="N111" s="10">
        <f t="shared" si="25"/>
        <v>0</v>
      </c>
      <c r="O111" s="8">
        <f>IFERROR(N111/N444, "NA")</f>
        <v>0</v>
      </c>
      <c r="P111" s="9"/>
      <c r="Q111" s="7">
        <v>0</v>
      </c>
      <c r="R111" s="8">
        <f>IFERROR(Q111/Q444, "NA")</f>
        <v>0</v>
      </c>
      <c r="S111" s="9"/>
      <c r="T111" s="7">
        <v>0</v>
      </c>
      <c r="U111" s="8">
        <f>IFERROR(T111/T444, "NA")</f>
        <v>0</v>
      </c>
      <c r="V111" s="9"/>
      <c r="W111" s="10">
        <f t="shared" si="26"/>
        <v>0</v>
      </c>
      <c r="X111" s="8">
        <f>IFERROR(W111/W444, "NA")</f>
        <v>0</v>
      </c>
      <c r="Y111" s="9"/>
      <c r="Z111" s="7">
        <v>0</v>
      </c>
      <c r="AA111" s="8">
        <f>IFERROR(Z111/Z444, "NA")</f>
        <v>0</v>
      </c>
      <c r="AB111" s="9"/>
      <c r="AC111" s="10">
        <f t="shared" si="27"/>
        <v>0</v>
      </c>
      <c r="AD111" s="8">
        <f>IFERROR(AC111/AC444, "NA")</f>
        <v>0</v>
      </c>
    </row>
    <row r="112" spans="1:30" ht="16.5" hidden="1" customHeight="1" x14ac:dyDescent="0.45">
      <c r="A112" s="12" t="s">
        <v>107</v>
      </c>
      <c r="B112" s="7">
        <v>0</v>
      </c>
      <c r="C112" s="8">
        <f>IFERROR(B112/B444, "NA")</f>
        <v>0</v>
      </c>
      <c r="D112" s="9"/>
      <c r="E112" s="7">
        <v>0</v>
      </c>
      <c r="F112" s="8">
        <f>IFERROR(E112/E444, "NA")</f>
        <v>0</v>
      </c>
      <c r="G112" s="9"/>
      <c r="H112" s="10">
        <f t="shared" si="24"/>
        <v>0</v>
      </c>
      <c r="I112" s="8">
        <f>IFERROR(H112/H444, "NA")</f>
        <v>0</v>
      </c>
      <c r="J112" s="9"/>
      <c r="K112" s="7">
        <v>0</v>
      </c>
      <c r="L112" s="8">
        <f>IFERROR(K112/K444, "NA")</f>
        <v>0</v>
      </c>
      <c r="M112" s="9"/>
      <c r="N112" s="10">
        <f t="shared" si="25"/>
        <v>0</v>
      </c>
      <c r="O112" s="8">
        <f>IFERROR(N112/N444, "NA")</f>
        <v>0</v>
      </c>
      <c r="P112" s="9"/>
      <c r="Q112" s="7">
        <v>0</v>
      </c>
      <c r="R112" s="8">
        <f>IFERROR(Q112/Q444, "NA")</f>
        <v>0</v>
      </c>
      <c r="S112" s="9"/>
      <c r="T112" s="7">
        <v>0</v>
      </c>
      <c r="U112" s="8">
        <f>IFERROR(T112/T444, "NA")</f>
        <v>0</v>
      </c>
      <c r="V112" s="9"/>
      <c r="W112" s="10">
        <f t="shared" si="26"/>
        <v>0</v>
      </c>
      <c r="X112" s="8">
        <f>IFERROR(W112/W444, "NA")</f>
        <v>0</v>
      </c>
      <c r="Y112" s="9"/>
      <c r="Z112" s="7">
        <v>0</v>
      </c>
      <c r="AA112" s="8">
        <f>IFERROR(Z112/Z444, "NA")</f>
        <v>0</v>
      </c>
      <c r="AB112" s="9"/>
      <c r="AC112" s="10">
        <f t="shared" si="27"/>
        <v>0</v>
      </c>
      <c r="AD112" s="8">
        <f>IFERROR(AC112/AC444, "NA")</f>
        <v>0</v>
      </c>
    </row>
    <row r="113" spans="1:30" ht="16.5" hidden="1" customHeight="1" x14ac:dyDescent="0.45">
      <c r="A113" s="12" t="s">
        <v>108</v>
      </c>
      <c r="B113" s="7">
        <v>0</v>
      </c>
      <c r="C113" s="8">
        <f>IFERROR(B113/B444, "NA")</f>
        <v>0</v>
      </c>
      <c r="D113" s="9"/>
      <c r="E113" s="7">
        <v>0</v>
      </c>
      <c r="F113" s="8">
        <f>IFERROR(E113/E444, "NA")</f>
        <v>0</v>
      </c>
      <c r="G113" s="9"/>
      <c r="H113" s="10">
        <f t="shared" si="24"/>
        <v>0</v>
      </c>
      <c r="I113" s="8">
        <f>IFERROR(H113/H444, "NA")</f>
        <v>0</v>
      </c>
      <c r="J113" s="9"/>
      <c r="K113" s="7">
        <v>0</v>
      </c>
      <c r="L113" s="8">
        <f>IFERROR(K113/K444, "NA")</f>
        <v>0</v>
      </c>
      <c r="M113" s="9"/>
      <c r="N113" s="10">
        <f t="shared" si="25"/>
        <v>0</v>
      </c>
      <c r="O113" s="8">
        <f>IFERROR(N113/N444, "NA")</f>
        <v>0</v>
      </c>
      <c r="P113" s="9"/>
      <c r="Q113" s="7">
        <v>0</v>
      </c>
      <c r="R113" s="8">
        <f>IFERROR(Q113/Q444, "NA")</f>
        <v>0</v>
      </c>
      <c r="S113" s="9"/>
      <c r="T113" s="7">
        <v>0</v>
      </c>
      <c r="U113" s="8">
        <f>IFERROR(T113/T444, "NA")</f>
        <v>0</v>
      </c>
      <c r="V113" s="9"/>
      <c r="W113" s="10">
        <f t="shared" si="26"/>
        <v>0</v>
      </c>
      <c r="X113" s="8">
        <f>IFERROR(W113/W444, "NA")</f>
        <v>0</v>
      </c>
      <c r="Y113" s="9"/>
      <c r="Z113" s="7">
        <v>0</v>
      </c>
      <c r="AA113" s="8">
        <f>IFERROR(Z113/Z444, "NA")</f>
        <v>0</v>
      </c>
      <c r="AB113" s="9"/>
      <c r="AC113" s="10">
        <f t="shared" si="27"/>
        <v>0</v>
      </c>
      <c r="AD113" s="8">
        <f>IFERROR(AC113/AC444, "NA")</f>
        <v>0</v>
      </c>
    </row>
    <row r="114" spans="1:30" ht="16.5" hidden="1" customHeight="1" x14ac:dyDescent="0.45">
      <c r="A114" s="12" t="s">
        <v>109</v>
      </c>
      <c r="B114" s="7">
        <v>0</v>
      </c>
      <c r="C114" s="8">
        <f>IFERROR(B114/B444, "NA")</f>
        <v>0</v>
      </c>
      <c r="D114" s="9"/>
      <c r="E114" s="7">
        <v>0</v>
      </c>
      <c r="F114" s="8">
        <f>IFERROR(E114/E444, "NA")</f>
        <v>0</v>
      </c>
      <c r="G114" s="9"/>
      <c r="H114" s="10">
        <f t="shared" si="24"/>
        <v>0</v>
      </c>
      <c r="I114" s="8">
        <f>IFERROR(H114/H444, "NA")</f>
        <v>0</v>
      </c>
      <c r="J114" s="9"/>
      <c r="K114" s="7">
        <v>0</v>
      </c>
      <c r="L114" s="8">
        <f>IFERROR(K114/K444, "NA")</f>
        <v>0</v>
      </c>
      <c r="M114" s="9"/>
      <c r="N114" s="10">
        <f t="shared" si="25"/>
        <v>0</v>
      </c>
      <c r="O114" s="8">
        <f>IFERROR(N114/N444, "NA")</f>
        <v>0</v>
      </c>
      <c r="P114" s="9"/>
      <c r="Q114" s="7">
        <v>0</v>
      </c>
      <c r="R114" s="8">
        <f>IFERROR(Q114/Q444, "NA")</f>
        <v>0</v>
      </c>
      <c r="S114" s="9"/>
      <c r="T114" s="7">
        <v>0</v>
      </c>
      <c r="U114" s="8">
        <f>IFERROR(T114/T444, "NA")</f>
        <v>0</v>
      </c>
      <c r="V114" s="9"/>
      <c r="W114" s="10">
        <f t="shared" si="26"/>
        <v>0</v>
      </c>
      <c r="X114" s="8">
        <f>IFERROR(W114/W444, "NA")</f>
        <v>0</v>
      </c>
      <c r="Y114" s="9"/>
      <c r="Z114" s="7">
        <v>0</v>
      </c>
      <c r="AA114" s="8">
        <f>IFERROR(Z114/Z444, "NA")</f>
        <v>0</v>
      </c>
      <c r="AB114" s="9"/>
      <c r="AC114" s="10">
        <f t="shared" si="27"/>
        <v>0</v>
      </c>
      <c r="AD114" s="8">
        <f>IFERROR(AC114/AC444, "NA")</f>
        <v>0</v>
      </c>
    </row>
    <row r="115" spans="1:30" ht="16.5" hidden="1" customHeight="1" x14ac:dyDescent="0.45">
      <c r="A115" s="12" t="s">
        <v>110</v>
      </c>
      <c r="B115" s="7">
        <v>0</v>
      </c>
      <c r="C115" s="8">
        <f>IFERROR(B115/B444, "NA")</f>
        <v>0</v>
      </c>
      <c r="D115" s="9"/>
      <c r="E115" s="7">
        <v>0</v>
      </c>
      <c r="F115" s="8">
        <f>IFERROR(E115/E444, "NA")</f>
        <v>0</v>
      </c>
      <c r="G115" s="9"/>
      <c r="H115" s="10">
        <f t="shared" si="24"/>
        <v>0</v>
      </c>
      <c r="I115" s="8">
        <f>IFERROR(H115/H444, "NA")</f>
        <v>0</v>
      </c>
      <c r="J115" s="9"/>
      <c r="K115" s="7">
        <v>0</v>
      </c>
      <c r="L115" s="8">
        <f>IFERROR(K115/K444, "NA")</f>
        <v>0</v>
      </c>
      <c r="M115" s="9"/>
      <c r="N115" s="10">
        <f t="shared" si="25"/>
        <v>0</v>
      </c>
      <c r="O115" s="8">
        <f>IFERROR(N115/N444, "NA")</f>
        <v>0</v>
      </c>
      <c r="P115" s="9"/>
      <c r="Q115" s="7">
        <v>0</v>
      </c>
      <c r="R115" s="8">
        <f>IFERROR(Q115/Q444, "NA")</f>
        <v>0</v>
      </c>
      <c r="S115" s="9"/>
      <c r="T115" s="7">
        <v>0</v>
      </c>
      <c r="U115" s="8">
        <f>IFERROR(T115/T444, "NA")</f>
        <v>0</v>
      </c>
      <c r="V115" s="9"/>
      <c r="W115" s="10">
        <f t="shared" si="26"/>
        <v>0</v>
      </c>
      <c r="X115" s="8">
        <f>IFERROR(W115/W444, "NA")</f>
        <v>0</v>
      </c>
      <c r="Y115" s="9"/>
      <c r="Z115" s="7">
        <v>0</v>
      </c>
      <c r="AA115" s="8">
        <f>IFERROR(Z115/Z444, "NA")</f>
        <v>0</v>
      </c>
      <c r="AB115" s="9"/>
      <c r="AC115" s="10">
        <f t="shared" si="27"/>
        <v>0</v>
      </c>
      <c r="AD115" s="8">
        <f>IFERROR(AC115/AC444, "NA")</f>
        <v>0</v>
      </c>
    </row>
    <row r="116" spans="1:30" ht="16.5" hidden="1" customHeight="1" x14ac:dyDescent="0.45">
      <c r="A116" s="12" t="s">
        <v>111</v>
      </c>
      <c r="B116" s="7">
        <v>0</v>
      </c>
      <c r="C116" s="8">
        <f>IFERROR(B116/B444, "NA")</f>
        <v>0</v>
      </c>
      <c r="D116" s="9"/>
      <c r="E116" s="7">
        <v>0</v>
      </c>
      <c r="F116" s="8">
        <f>IFERROR(E116/E444, "NA")</f>
        <v>0</v>
      </c>
      <c r="G116" s="9"/>
      <c r="H116" s="10">
        <f t="shared" si="24"/>
        <v>0</v>
      </c>
      <c r="I116" s="8">
        <f>IFERROR(H116/H444, "NA")</f>
        <v>0</v>
      </c>
      <c r="J116" s="9"/>
      <c r="K116" s="7">
        <v>0</v>
      </c>
      <c r="L116" s="8">
        <f>IFERROR(K116/K444, "NA")</f>
        <v>0</v>
      </c>
      <c r="M116" s="9"/>
      <c r="N116" s="10">
        <f t="shared" si="25"/>
        <v>0</v>
      </c>
      <c r="O116" s="8">
        <f>IFERROR(N116/N444, "NA")</f>
        <v>0</v>
      </c>
      <c r="P116" s="9"/>
      <c r="Q116" s="7">
        <v>0</v>
      </c>
      <c r="R116" s="8">
        <f>IFERROR(Q116/Q444, "NA")</f>
        <v>0</v>
      </c>
      <c r="S116" s="9"/>
      <c r="T116" s="7">
        <v>0</v>
      </c>
      <c r="U116" s="8">
        <f>IFERROR(T116/T444, "NA")</f>
        <v>0</v>
      </c>
      <c r="V116" s="9"/>
      <c r="W116" s="10">
        <f t="shared" si="26"/>
        <v>0</v>
      </c>
      <c r="X116" s="8">
        <f>IFERROR(W116/W444, "NA")</f>
        <v>0</v>
      </c>
      <c r="Y116" s="9"/>
      <c r="Z116" s="7">
        <v>0</v>
      </c>
      <c r="AA116" s="8">
        <f>IFERROR(Z116/Z444, "NA")</f>
        <v>0</v>
      </c>
      <c r="AB116" s="9"/>
      <c r="AC116" s="10">
        <f t="shared" si="27"/>
        <v>0</v>
      </c>
      <c r="AD116" s="8">
        <f>IFERROR(AC116/AC444, "NA")</f>
        <v>0</v>
      </c>
    </row>
    <row r="117" spans="1:30" ht="16.5" hidden="1" customHeight="1" x14ac:dyDescent="0.45">
      <c r="A117" s="12" t="s">
        <v>112</v>
      </c>
      <c r="B117" s="7">
        <v>0</v>
      </c>
      <c r="C117" s="8">
        <f>IFERROR(B117/B444, "NA")</f>
        <v>0</v>
      </c>
      <c r="D117" s="9"/>
      <c r="E117" s="7">
        <v>0</v>
      </c>
      <c r="F117" s="8">
        <f>IFERROR(E117/E444, "NA")</f>
        <v>0</v>
      </c>
      <c r="G117" s="9"/>
      <c r="H117" s="10">
        <f t="shared" si="24"/>
        <v>0</v>
      </c>
      <c r="I117" s="8">
        <f>IFERROR(H117/H444, "NA")</f>
        <v>0</v>
      </c>
      <c r="J117" s="9"/>
      <c r="K117" s="7">
        <v>0</v>
      </c>
      <c r="L117" s="8">
        <f>IFERROR(K117/K444, "NA")</f>
        <v>0</v>
      </c>
      <c r="M117" s="9"/>
      <c r="N117" s="10">
        <f t="shared" si="25"/>
        <v>0</v>
      </c>
      <c r="O117" s="8">
        <f>IFERROR(N117/N444, "NA")</f>
        <v>0</v>
      </c>
      <c r="P117" s="9"/>
      <c r="Q117" s="7">
        <v>0</v>
      </c>
      <c r="R117" s="8">
        <f>IFERROR(Q117/Q444, "NA")</f>
        <v>0</v>
      </c>
      <c r="S117" s="9"/>
      <c r="T117" s="7">
        <v>0</v>
      </c>
      <c r="U117" s="8">
        <f>IFERROR(T117/T444, "NA")</f>
        <v>0</v>
      </c>
      <c r="V117" s="9"/>
      <c r="W117" s="10">
        <f t="shared" si="26"/>
        <v>0</v>
      </c>
      <c r="X117" s="8">
        <f>IFERROR(W117/W444, "NA")</f>
        <v>0</v>
      </c>
      <c r="Y117" s="9"/>
      <c r="Z117" s="7">
        <v>0</v>
      </c>
      <c r="AA117" s="8">
        <f>IFERROR(Z117/Z444, "NA")</f>
        <v>0</v>
      </c>
      <c r="AB117" s="9"/>
      <c r="AC117" s="10">
        <f t="shared" si="27"/>
        <v>0</v>
      </c>
      <c r="AD117" s="8">
        <f>IFERROR(AC117/AC444, "NA")</f>
        <v>0</v>
      </c>
    </row>
    <row r="118" spans="1:30" ht="16.5" customHeight="1" x14ac:dyDescent="0.45">
      <c r="A118" s="13" t="s">
        <v>113</v>
      </c>
      <c r="B118" s="14">
        <f>IFERROR(B94+B95+B96+B97+B98+B99+B100+B101+B102+B103+B104+B105+B106+B107+B108+B109+B110+B111+B112+B113+B114+B115+B116+B117, "NA")</f>
        <v>-4903.3900000000003</v>
      </c>
      <c r="C118" s="15">
        <f>IFERROR(B118/B444, "NA")</f>
        <v>-5.3907404274144456E-2</v>
      </c>
      <c r="D118" s="2"/>
      <c r="E118" s="14">
        <f>IFERROR(E94+E95+E96+E97+E98+E99+E100+E101+E102+E103+E104+E105+E106+E107+E108+E109+E110+E111+E112+E113+E114+E115+E116+E117, "NA")</f>
        <v>-4564.3599999999997</v>
      </c>
      <c r="F118" s="15">
        <f>IFERROR(E118/E444, "NA")</f>
        <v>-4.7000030273705182E-2</v>
      </c>
      <c r="G118" s="2"/>
      <c r="H118" s="14">
        <f t="shared" si="24"/>
        <v>-339.03000000000065</v>
      </c>
      <c r="I118" s="15">
        <f>IFERROR(H118/H444, "NA")</f>
        <v>5.5086611563265386E-2</v>
      </c>
      <c r="J118" s="2"/>
      <c r="K118" s="14">
        <f>IFERROR(K94+K95+K96+K97+K98+K99+K100+K101+K102+K103+K104+K105+K106+K107+K108+K109+K110+K111+K112+K113+K114+K115+K116+K117, "NA")</f>
        <v>-4691.6000000000004</v>
      </c>
      <c r="L118" s="15">
        <f>IFERROR(K118/K444, "NA")</f>
        <v>-4.9131516973810213E-2</v>
      </c>
      <c r="M118" s="2"/>
      <c r="N118" s="14">
        <f t="shared" si="25"/>
        <v>-211.78999999999996</v>
      </c>
      <c r="O118" s="15">
        <f>IFERROR(N118/N444, "NA")</f>
        <v>4.67408935921345E-2</v>
      </c>
      <c r="P118" s="2"/>
      <c r="Q118" s="14">
        <f>IFERROR(Q94+Q95+Q96+Q97+Q98+Q99+Q100+Q101+Q102+Q103+Q104+Q105+Q106+Q107+Q108+Q109+Q110+Q111+Q112+Q113+Q114+Q115+Q116+Q117, "NA")</f>
        <v>-4903.3900000000003</v>
      </c>
      <c r="R118" s="15">
        <f>IFERROR(Q118/Q444, "NA")</f>
        <v>-5.3907404274144456E-2</v>
      </c>
      <c r="S118" s="2"/>
      <c r="T118" s="14">
        <f>IFERROR(T94+T95+T96+T97+T98+T99+T100+T101+T102+T103+T104+T105+T106+T107+T108+T109+T110+T111+T112+T113+T114+T115+T116+T117, "NA")</f>
        <v>-4564.3599999999997</v>
      </c>
      <c r="U118" s="15">
        <f>IFERROR(T118/T444, "NA")</f>
        <v>-4.7000030273705182E-2</v>
      </c>
      <c r="V118" s="2"/>
      <c r="W118" s="14">
        <f t="shared" si="26"/>
        <v>-339.03000000000065</v>
      </c>
      <c r="X118" s="15">
        <f>IFERROR(W118/W444, "NA")</f>
        <v>5.5086611563265386E-2</v>
      </c>
      <c r="Y118" s="2"/>
      <c r="Z118" s="14">
        <f>IFERROR(Z94+Z95+Z96+Z97+Z98+Z99+Z100+Z101+Z102+Z103+Z104+Z105+Z106+Z107+Z108+Z109+Z110+Z111+Z112+Z113+Z114+Z115+Z116+Z117, "NA")</f>
        <v>-4691.6000000000004</v>
      </c>
      <c r="AA118" s="15">
        <f>IFERROR(Z118/Z444, "NA")</f>
        <v>-4.9131516973810213E-2</v>
      </c>
      <c r="AB118" s="2"/>
      <c r="AC118" s="14">
        <f t="shared" si="27"/>
        <v>-211.78999999999996</v>
      </c>
      <c r="AD118" s="15">
        <f>IFERROR(AC118/AC444, "NA")</f>
        <v>4.67408935921345E-2</v>
      </c>
    </row>
    <row r="119" spans="1:30" ht="16.5" hidden="1" customHeight="1" x14ac:dyDescent="0.45">
      <c r="A119" s="6" t="s">
        <v>114</v>
      </c>
      <c r="B119" s="7">
        <v>0</v>
      </c>
      <c r="C119" s="8">
        <f>IFERROR(B119/B444, "NA")</f>
        <v>0</v>
      </c>
      <c r="D119" s="9"/>
      <c r="E119" s="7">
        <v>0</v>
      </c>
      <c r="F119" s="8">
        <f>IFERROR(E119/E444, "NA")</f>
        <v>0</v>
      </c>
      <c r="G119" s="9"/>
      <c r="H119" s="10">
        <f t="shared" si="24"/>
        <v>0</v>
      </c>
      <c r="I119" s="8">
        <f>IFERROR(H119/H444, "NA")</f>
        <v>0</v>
      </c>
      <c r="J119" s="9"/>
      <c r="K119" s="7">
        <v>0</v>
      </c>
      <c r="L119" s="8">
        <f>IFERROR(K119/K444, "NA")</f>
        <v>0</v>
      </c>
      <c r="M119" s="9"/>
      <c r="N119" s="10">
        <f t="shared" si="25"/>
        <v>0</v>
      </c>
      <c r="O119" s="8">
        <f>IFERROR(N119/N444, "NA")</f>
        <v>0</v>
      </c>
      <c r="P119" s="9"/>
      <c r="Q119" s="7">
        <v>0</v>
      </c>
      <c r="R119" s="8">
        <f>IFERROR(Q119/Q444, "NA")</f>
        <v>0</v>
      </c>
      <c r="S119" s="9"/>
      <c r="T119" s="7">
        <v>0</v>
      </c>
      <c r="U119" s="8">
        <f>IFERROR(T119/T444, "NA")</f>
        <v>0</v>
      </c>
      <c r="V119" s="9"/>
      <c r="W119" s="10">
        <f t="shared" si="26"/>
        <v>0</v>
      </c>
      <c r="X119" s="8">
        <f>IFERROR(W119/W444, "NA")</f>
        <v>0</v>
      </c>
      <c r="Y119" s="9"/>
      <c r="Z119" s="7">
        <v>0</v>
      </c>
      <c r="AA119" s="8">
        <f>IFERROR(Z119/Z444, "NA")</f>
        <v>0</v>
      </c>
      <c r="AB119" s="9"/>
      <c r="AC119" s="10">
        <f t="shared" si="27"/>
        <v>0</v>
      </c>
      <c r="AD119" s="8">
        <f>IFERROR(AC119/AC444, "NA")</f>
        <v>0</v>
      </c>
    </row>
    <row r="120" spans="1:30" ht="16.5" hidden="1" customHeight="1" x14ac:dyDescent="0.45">
      <c r="A120" s="6" t="s">
        <v>115</v>
      </c>
      <c r="B120" s="7">
        <v>0</v>
      </c>
      <c r="C120" s="8">
        <f>IFERROR(B120/B444, "NA")</f>
        <v>0</v>
      </c>
      <c r="D120" s="9"/>
      <c r="E120" s="7">
        <v>0</v>
      </c>
      <c r="F120" s="8">
        <f>IFERROR(E120/E444, "NA")</f>
        <v>0</v>
      </c>
      <c r="G120" s="9"/>
      <c r="H120" s="10">
        <f t="shared" si="24"/>
        <v>0</v>
      </c>
      <c r="I120" s="8">
        <f>IFERROR(H120/H444, "NA")</f>
        <v>0</v>
      </c>
      <c r="J120" s="9"/>
      <c r="K120" s="7">
        <v>0</v>
      </c>
      <c r="L120" s="8">
        <f>IFERROR(K120/K444, "NA")</f>
        <v>0</v>
      </c>
      <c r="M120" s="9"/>
      <c r="N120" s="10">
        <f t="shared" si="25"/>
        <v>0</v>
      </c>
      <c r="O120" s="8">
        <f>IFERROR(N120/N444, "NA")</f>
        <v>0</v>
      </c>
      <c r="P120" s="9"/>
      <c r="Q120" s="7">
        <v>0</v>
      </c>
      <c r="R120" s="8">
        <f>IFERROR(Q120/Q444, "NA")</f>
        <v>0</v>
      </c>
      <c r="S120" s="9"/>
      <c r="T120" s="7">
        <v>0</v>
      </c>
      <c r="U120" s="8">
        <f>IFERROR(T120/T444, "NA")</f>
        <v>0</v>
      </c>
      <c r="V120" s="9"/>
      <c r="W120" s="10">
        <f t="shared" si="26"/>
        <v>0</v>
      </c>
      <c r="X120" s="8">
        <f>IFERROR(W120/W444, "NA")</f>
        <v>0</v>
      </c>
      <c r="Y120" s="9"/>
      <c r="Z120" s="7">
        <v>0</v>
      </c>
      <c r="AA120" s="8">
        <f>IFERROR(Z120/Z444, "NA")</f>
        <v>0</v>
      </c>
      <c r="AB120" s="9"/>
      <c r="AC120" s="10">
        <f t="shared" si="27"/>
        <v>0</v>
      </c>
      <c r="AD120" s="8">
        <f>IFERROR(AC120/AC444, "NA")</f>
        <v>0</v>
      </c>
    </row>
    <row r="121" spans="1:30" ht="16.5" hidden="1" customHeight="1" x14ac:dyDescent="0.45">
      <c r="A121" s="6" t="s">
        <v>116</v>
      </c>
      <c r="B121" s="7">
        <v>0</v>
      </c>
      <c r="C121" s="8">
        <f>IFERROR(B121/B444, "NA")</f>
        <v>0</v>
      </c>
      <c r="D121" s="9"/>
      <c r="E121" s="7">
        <v>0</v>
      </c>
      <c r="F121" s="8">
        <f>IFERROR(E121/E444, "NA")</f>
        <v>0</v>
      </c>
      <c r="G121" s="9"/>
      <c r="H121" s="10">
        <f t="shared" si="24"/>
        <v>0</v>
      </c>
      <c r="I121" s="8">
        <f>IFERROR(H121/H444, "NA")</f>
        <v>0</v>
      </c>
      <c r="J121" s="9"/>
      <c r="K121" s="7">
        <v>0</v>
      </c>
      <c r="L121" s="8">
        <f>IFERROR(K121/K444, "NA")</f>
        <v>0</v>
      </c>
      <c r="M121" s="9"/>
      <c r="N121" s="10">
        <f t="shared" si="25"/>
        <v>0</v>
      </c>
      <c r="O121" s="8">
        <f>IFERROR(N121/N444, "NA")</f>
        <v>0</v>
      </c>
      <c r="P121" s="9"/>
      <c r="Q121" s="7">
        <v>0</v>
      </c>
      <c r="R121" s="8">
        <f>IFERROR(Q121/Q444, "NA")</f>
        <v>0</v>
      </c>
      <c r="S121" s="9"/>
      <c r="T121" s="7">
        <v>0</v>
      </c>
      <c r="U121" s="8">
        <f>IFERROR(T121/T444, "NA")</f>
        <v>0</v>
      </c>
      <c r="V121" s="9"/>
      <c r="W121" s="10">
        <f t="shared" si="26"/>
        <v>0</v>
      </c>
      <c r="X121" s="8">
        <f>IFERROR(W121/W444, "NA")</f>
        <v>0</v>
      </c>
      <c r="Y121" s="9"/>
      <c r="Z121" s="7">
        <v>0</v>
      </c>
      <c r="AA121" s="8">
        <f>IFERROR(Z121/Z444, "NA")</f>
        <v>0</v>
      </c>
      <c r="AB121" s="9"/>
      <c r="AC121" s="10">
        <f t="shared" si="27"/>
        <v>0</v>
      </c>
      <c r="AD121" s="8">
        <f>IFERROR(AC121/AC444, "NA")</f>
        <v>0</v>
      </c>
    </row>
    <row r="122" spans="1:30" ht="16.5" customHeight="1" x14ac:dyDescent="0.45">
      <c r="A122" s="19" t="s">
        <v>117</v>
      </c>
      <c r="B122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  <v>90959.489999999991</v>
      </c>
      <c r="C122" s="15">
        <f>IFERROR(B122/B444, "NA")</f>
        <v>0.99999999999999989</v>
      </c>
      <c r="D122" s="2"/>
      <c r="E122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  <v>97113.98000000001</v>
      </c>
      <c r="F122" s="15">
        <f>IFERROR(E122/E444, "NA")</f>
        <v>1.0000000000000002</v>
      </c>
      <c r="G122" s="2"/>
      <c r="H122" s="14">
        <f t="shared" si="24"/>
        <v>-6154.4900000000198</v>
      </c>
      <c r="I122" s="15">
        <f>IFERROR(H122/H444, "NA")</f>
        <v>1.0000000000000047</v>
      </c>
      <c r="J122" s="2"/>
      <c r="K122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  <v>95490.640000000014</v>
      </c>
      <c r="L122" s="15">
        <f>IFERROR(K122/K444, "NA")</f>
        <v>1.0000000000000002</v>
      </c>
      <c r="M122" s="2"/>
      <c r="N122" s="14">
        <f t="shared" si="25"/>
        <v>-4531.1500000000233</v>
      </c>
      <c r="O122" s="15">
        <f>IFERROR(N122/N444, "NA")</f>
        <v>1.0000000000000064</v>
      </c>
      <c r="P122" s="2"/>
      <c r="Q122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  <v>90959.489999999991</v>
      </c>
      <c r="R122" s="15">
        <f>IFERROR(Q122/Q444, "NA")</f>
        <v>0.99999999999999989</v>
      </c>
      <c r="S122" s="2"/>
      <c r="T122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  <v>97113.98000000001</v>
      </c>
      <c r="U122" s="15">
        <f>IFERROR(T122/T444, "NA")</f>
        <v>1.0000000000000002</v>
      </c>
      <c r="V122" s="2"/>
      <c r="W122" s="14">
        <f t="shared" si="26"/>
        <v>-6154.4900000000198</v>
      </c>
      <c r="X122" s="15">
        <f>IFERROR(W122/W444, "NA")</f>
        <v>1.0000000000000047</v>
      </c>
      <c r="Y122" s="2"/>
      <c r="Z122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  <v>95490.640000000014</v>
      </c>
      <c r="AA122" s="15">
        <f>IFERROR(Z122/Z444, "NA")</f>
        <v>1.0000000000000002</v>
      </c>
      <c r="AB122" s="2"/>
      <c r="AC122" s="14">
        <f t="shared" si="27"/>
        <v>-4531.1500000000233</v>
      </c>
      <c r="AD122" s="15">
        <f>IFERROR(AC122/AC444, "NA")</f>
        <v>1.0000000000000064</v>
      </c>
    </row>
    <row r="123" spans="1:30" ht="16.5" hidden="1" customHeight="1" x14ac:dyDescent="0.45">
      <c r="A123" s="20" t="s">
        <v>118</v>
      </c>
      <c r="B123" s="7">
        <v>0</v>
      </c>
      <c r="C123" s="8">
        <f>IFERROR(B123/B444, "NA")</f>
        <v>0</v>
      </c>
      <c r="D123" s="9"/>
      <c r="E123" s="7">
        <v>0</v>
      </c>
      <c r="F123" s="8">
        <f>IFERROR(E123/E444, "NA")</f>
        <v>0</v>
      </c>
      <c r="G123" s="9"/>
      <c r="H123" s="10">
        <f t="shared" si="24"/>
        <v>0</v>
      </c>
      <c r="I123" s="8">
        <f>IFERROR(H123/H444, "NA")</f>
        <v>0</v>
      </c>
      <c r="J123" s="9"/>
      <c r="K123" s="7">
        <v>0</v>
      </c>
      <c r="L123" s="8">
        <f>IFERROR(K123/K444, "NA")</f>
        <v>0</v>
      </c>
      <c r="M123" s="9"/>
      <c r="N123" s="10">
        <f t="shared" si="25"/>
        <v>0</v>
      </c>
      <c r="O123" s="8">
        <f>IFERROR(N123/N444, "NA")</f>
        <v>0</v>
      </c>
      <c r="P123" s="9"/>
      <c r="Q123" s="7">
        <v>0</v>
      </c>
      <c r="R123" s="8">
        <f>IFERROR(Q123/Q444, "NA")</f>
        <v>0</v>
      </c>
      <c r="S123" s="9"/>
      <c r="T123" s="7">
        <v>0</v>
      </c>
      <c r="U123" s="8">
        <f>IFERROR(T123/T444, "NA")</f>
        <v>0</v>
      </c>
      <c r="V123" s="9"/>
      <c r="W123" s="10">
        <f t="shared" si="26"/>
        <v>0</v>
      </c>
      <c r="X123" s="8">
        <f>IFERROR(W123/W444, "NA")</f>
        <v>0</v>
      </c>
      <c r="Y123" s="9"/>
      <c r="Z123" s="7">
        <v>0</v>
      </c>
      <c r="AA123" s="8">
        <f>IFERROR(Z123/Z444, "NA")</f>
        <v>0</v>
      </c>
      <c r="AB123" s="9"/>
      <c r="AC123" s="10">
        <f t="shared" si="27"/>
        <v>0</v>
      </c>
      <c r="AD123" s="8">
        <f>IFERROR(AC123/AC444, "NA")</f>
        <v>0</v>
      </c>
    </row>
    <row r="124" spans="1:30" ht="16.5" customHeight="1" x14ac:dyDescent="0.45">
      <c r="A124" s="21" t="s">
        <v>117</v>
      </c>
      <c r="B124" s="14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  <v>90959.489999999991</v>
      </c>
      <c r="C124" s="15">
        <f>IFERROR(B124/B444, "NA")</f>
        <v>0.99999999999999989</v>
      </c>
      <c r="D124" s="2"/>
      <c r="E124" s="14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  <v>97113.98000000001</v>
      </c>
      <c r="F124" s="15">
        <f>IFERROR(E124/E444, "NA")</f>
        <v>1.0000000000000002</v>
      </c>
      <c r="G124" s="2"/>
      <c r="H124" s="14">
        <f t="shared" si="24"/>
        <v>-6154.4900000000198</v>
      </c>
      <c r="I124" s="15">
        <f>IFERROR(H124/H444, "NA")</f>
        <v>1.0000000000000047</v>
      </c>
      <c r="J124" s="2"/>
      <c r="K124" s="14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  <v>95490.640000000014</v>
      </c>
      <c r="L124" s="15">
        <f>IFERROR(K124/K444, "NA")</f>
        <v>1.0000000000000002</v>
      </c>
      <c r="M124" s="2"/>
      <c r="N124" s="14">
        <f t="shared" si="25"/>
        <v>-4531.1500000000233</v>
      </c>
      <c r="O124" s="15">
        <f>IFERROR(N124/N444, "NA")</f>
        <v>1.0000000000000064</v>
      </c>
      <c r="P124" s="2"/>
      <c r="Q124" s="14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  <v>90959.489999999991</v>
      </c>
      <c r="R124" s="15">
        <f>IFERROR(Q124/Q444, "NA")</f>
        <v>0.99999999999999989</v>
      </c>
      <c r="S124" s="2"/>
      <c r="T124" s="14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  <v>97113.98000000001</v>
      </c>
      <c r="U124" s="15">
        <f>IFERROR(T124/T444, "NA")</f>
        <v>1.0000000000000002</v>
      </c>
      <c r="V124" s="2"/>
      <c r="W124" s="14">
        <f t="shared" si="26"/>
        <v>-6154.4900000000198</v>
      </c>
      <c r="X124" s="15">
        <f>IFERROR(W124/W444, "NA")</f>
        <v>1.0000000000000047</v>
      </c>
      <c r="Y124" s="2"/>
      <c r="Z124" s="14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  <v>95490.640000000014</v>
      </c>
      <c r="AA124" s="15">
        <f>IFERROR(Z124/Z444, "NA")</f>
        <v>1.0000000000000002</v>
      </c>
      <c r="AB124" s="2"/>
      <c r="AC124" s="14">
        <f t="shared" si="27"/>
        <v>-4531.1500000000233</v>
      </c>
      <c r="AD124" s="15">
        <f>IFERROR(AC124/AC444, "NA")</f>
        <v>1.0000000000000064</v>
      </c>
    </row>
    <row r="125" spans="1:30" ht="16.5" customHeight="1" x14ac:dyDescent="0.45">
      <c r="A125" s="1" t="s">
        <v>119</v>
      </c>
      <c r="B125" s="2"/>
      <c r="C125" s="3"/>
      <c r="D125" s="4"/>
      <c r="E125" s="2"/>
      <c r="F125" s="3"/>
      <c r="G125" s="4"/>
      <c r="H125" s="2"/>
      <c r="I125" s="3"/>
      <c r="J125" s="4"/>
      <c r="K125" s="2"/>
      <c r="L125" s="3"/>
      <c r="M125" s="4"/>
      <c r="N125" s="2"/>
      <c r="O125" s="3"/>
      <c r="P125" s="4"/>
      <c r="Q125" s="2"/>
      <c r="R125" s="3"/>
      <c r="S125" s="4"/>
      <c r="T125" s="2"/>
      <c r="U125" s="3"/>
      <c r="V125" s="4"/>
      <c r="W125" s="2"/>
      <c r="X125" s="3"/>
      <c r="Y125" s="4"/>
      <c r="Z125" s="2"/>
      <c r="AA125" s="3"/>
      <c r="AB125" s="4"/>
      <c r="AC125" s="2"/>
      <c r="AD125" s="3"/>
    </row>
    <row r="126" spans="1:30" ht="16.5" customHeight="1" x14ac:dyDescent="0.45">
      <c r="A126" s="5" t="s">
        <v>120</v>
      </c>
      <c r="B126" s="2"/>
      <c r="C126" s="3"/>
      <c r="D126" s="4"/>
      <c r="E126" s="2"/>
      <c r="F126" s="3"/>
      <c r="G126" s="4"/>
      <c r="H126" s="2"/>
      <c r="I126" s="3"/>
      <c r="J126" s="4"/>
      <c r="K126" s="2"/>
      <c r="L126" s="3"/>
      <c r="M126" s="4"/>
      <c r="N126" s="2"/>
      <c r="O126" s="3"/>
      <c r="P126" s="4"/>
      <c r="Q126" s="2"/>
      <c r="R126" s="3"/>
      <c r="S126" s="4"/>
      <c r="T126" s="2"/>
      <c r="U126" s="3"/>
      <c r="V126" s="4"/>
      <c r="W126" s="2"/>
      <c r="X126" s="3"/>
      <c r="Y126" s="4"/>
      <c r="Z126" s="2"/>
      <c r="AA126" s="3"/>
      <c r="AB126" s="4"/>
      <c r="AC126" s="2"/>
      <c r="AD126" s="3"/>
    </row>
    <row r="127" spans="1:30" ht="16.5" hidden="1" customHeight="1" x14ac:dyDescent="0.45">
      <c r="A127" s="6" t="s">
        <v>120</v>
      </c>
      <c r="B127" s="7">
        <v>0</v>
      </c>
      <c r="C127" s="8">
        <f>IFERROR(B127/B444, "NA")</f>
        <v>0</v>
      </c>
      <c r="D127" s="9"/>
      <c r="E127" s="7">
        <v>0</v>
      </c>
      <c r="F127" s="8">
        <f>IFERROR(E127/E444, "NA")</f>
        <v>0</v>
      </c>
      <c r="G127" s="9"/>
      <c r="H127" s="10">
        <f>IFERROR(-(B127-E127), "NA")</f>
        <v>0</v>
      </c>
      <c r="I127" s="8">
        <f>IFERROR(H127/H444, "NA")</f>
        <v>0</v>
      </c>
      <c r="J127" s="9"/>
      <c r="K127" s="7">
        <v>0</v>
      </c>
      <c r="L127" s="8">
        <f>IFERROR(K127/K444, "NA")</f>
        <v>0</v>
      </c>
      <c r="M127" s="9"/>
      <c r="N127" s="10">
        <f>IFERROR(-(B127-K127), "NA")</f>
        <v>0</v>
      </c>
      <c r="O127" s="8">
        <f>IFERROR(N127/N444, "NA")</f>
        <v>0</v>
      </c>
      <c r="P127" s="9"/>
      <c r="Q127" s="7">
        <v>0</v>
      </c>
      <c r="R127" s="8">
        <f>IFERROR(Q127/Q444, "NA")</f>
        <v>0</v>
      </c>
      <c r="S127" s="9"/>
      <c r="T127" s="7">
        <v>0</v>
      </c>
      <c r="U127" s="8">
        <f>IFERROR(T127/T444, "NA")</f>
        <v>0</v>
      </c>
      <c r="V127" s="9"/>
      <c r="W127" s="10">
        <f>IFERROR(-(Q127-T127), "NA")</f>
        <v>0</v>
      </c>
      <c r="X127" s="8">
        <f>IFERROR(W127/W444, "NA")</f>
        <v>0</v>
      </c>
      <c r="Y127" s="9"/>
      <c r="Z127" s="7">
        <v>0</v>
      </c>
      <c r="AA127" s="8">
        <f>IFERROR(Z127/Z444, "NA")</f>
        <v>0</v>
      </c>
      <c r="AB127" s="9"/>
      <c r="AC127" s="10">
        <f>IFERROR(-(Q127-Z127), "NA")</f>
        <v>0</v>
      </c>
      <c r="AD127" s="8">
        <f>IFERROR(AC127/AC444, "NA")</f>
        <v>0</v>
      </c>
    </row>
    <row r="128" spans="1:30" ht="16.5" customHeight="1" x14ac:dyDescent="0.45">
      <c r="A128" s="11" t="s">
        <v>121</v>
      </c>
      <c r="B128" s="2"/>
      <c r="C128" s="3"/>
      <c r="D128" s="4"/>
      <c r="E128" s="2"/>
      <c r="F128" s="3"/>
      <c r="G128" s="4"/>
      <c r="H128" s="2"/>
      <c r="I128" s="3"/>
      <c r="J128" s="4"/>
      <c r="K128" s="2"/>
      <c r="L128" s="3"/>
      <c r="M128" s="4"/>
      <c r="N128" s="2"/>
      <c r="O128" s="3"/>
      <c r="P128" s="4"/>
      <c r="Q128" s="2"/>
      <c r="R128" s="3"/>
      <c r="S128" s="4"/>
      <c r="T128" s="2"/>
      <c r="U128" s="3"/>
      <c r="V128" s="4"/>
      <c r="W128" s="2"/>
      <c r="X128" s="3"/>
      <c r="Y128" s="4"/>
      <c r="Z128" s="2"/>
      <c r="AA128" s="3"/>
      <c r="AB128" s="4"/>
      <c r="AC128" s="2"/>
      <c r="AD128" s="3"/>
    </row>
    <row r="129" spans="1:30" ht="16.5" customHeight="1" x14ac:dyDescent="0.45">
      <c r="A129" s="12" t="s">
        <v>121</v>
      </c>
      <c r="B129" s="7">
        <v>0</v>
      </c>
      <c r="C129" s="8">
        <f>IFERROR(B129/B444, "NA")</f>
        <v>0</v>
      </c>
      <c r="D129" s="9"/>
      <c r="E129" s="7">
        <v>22336.22</v>
      </c>
      <c r="F129" s="8">
        <f>IFERROR(E129/E444, "NA")</f>
        <v>0.23000004736702173</v>
      </c>
      <c r="G129" s="9"/>
      <c r="H129" s="10">
        <f t="shared" ref="H129:H141" si="28">IFERROR(-(B129-E129), "NA")</f>
        <v>22336.22</v>
      </c>
      <c r="I129" s="8">
        <f>IFERROR(H129/H444, "NA")</f>
        <v>-3.6292560390869162</v>
      </c>
      <c r="J129" s="9"/>
      <c r="K129" s="7">
        <v>0</v>
      </c>
      <c r="L129" s="8">
        <f>IFERROR(K129/K444, "NA")</f>
        <v>0</v>
      </c>
      <c r="M129" s="9"/>
      <c r="N129" s="10">
        <f t="shared" ref="N129:N141" si="29">IFERROR(-(B129-K129), "NA")</f>
        <v>0</v>
      </c>
      <c r="O129" s="8">
        <f>IFERROR(N129/N444, "NA")</f>
        <v>0</v>
      </c>
      <c r="P129" s="9"/>
      <c r="Q129" s="7">
        <v>0</v>
      </c>
      <c r="R129" s="8">
        <f>IFERROR(Q129/Q444, "NA")</f>
        <v>0</v>
      </c>
      <c r="S129" s="9"/>
      <c r="T129" s="7">
        <v>22336.22</v>
      </c>
      <c r="U129" s="8">
        <f>IFERROR(T129/T444, "NA")</f>
        <v>0.23000004736702173</v>
      </c>
      <c r="V129" s="9"/>
      <c r="W129" s="10">
        <f t="shared" ref="W129:W141" si="30">IFERROR(-(Q129-T129), "NA")</f>
        <v>22336.22</v>
      </c>
      <c r="X129" s="8">
        <f>IFERROR(W129/W444, "NA")</f>
        <v>-3.6292560390869162</v>
      </c>
      <c r="Y129" s="9"/>
      <c r="Z129" s="7">
        <v>0</v>
      </c>
      <c r="AA129" s="8">
        <f>IFERROR(Z129/Z444, "NA")</f>
        <v>0</v>
      </c>
      <c r="AB129" s="9"/>
      <c r="AC129" s="10">
        <f t="shared" ref="AC129:AC141" si="31">IFERROR(-(Q129-Z129), "NA")</f>
        <v>0</v>
      </c>
      <c r="AD129" s="8">
        <f>IFERROR(AC129/AC444, "NA")</f>
        <v>0</v>
      </c>
    </row>
    <row r="130" spans="1:30" ht="16.5" customHeight="1" x14ac:dyDescent="0.45">
      <c r="A130" s="12" t="s">
        <v>122</v>
      </c>
      <c r="B130" s="7">
        <v>5105.5</v>
      </c>
      <c r="C130" s="8">
        <f>IFERROR(B130/B444, "NA")</f>
        <v>5.6129382431673702E-2</v>
      </c>
      <c r="D130" s="9"/>
      <c r="E130" s="7">
        <v>0</v>
      </c>
      <c r="F130" s="8">
        <f>IFERROR(E130/E444, "NA")</f>
        <v>0</v>
      </c>
      <c r="G130" s="9"/>
      <c r="H130" s="10">
        <f t="shared" si="28"/>
        <v>-5105.5</v>
      </c>
      <c r="I130" s="8">
        <f>IFERROR(H130/H444, "NA")</f>
        <v>0.82955695760331205</v>
      </c>
      <c r="J130" s="9"/>
      <c r="K130" s="7">
        <v>5755.29</v>
      </c>
      <c r="L130" s="8">
        <f>IFERROR(K130/K444, "NA")</f>
        <v>6.0270723915977521E-2</v>
      </c>
      <c r="M130" s="9"/>
      <c r="N130" s="10">
        <f t="shared" si="29"/>
        <v>649.79</v>
      </c>
      <c r="O130" s="8">
        <f>IFERROR(N130/N444, "NA")</f>
        <v>-0.14340509583659794</v>
      </c>
      <c r="P130" s="9"/>
      <c r="Q130" s="7">
        <v>5105.5</v>
      </c>
      <c r="R130" s="8">
        <f>IFERROR(Q130/Q444, "NA")</f>
        <v>5.6129382431673702E-2</v>
      </c>
      <c r="S130" s="9"/>
      <c r="T130" s="7">
        <v>0</v>
      </c>
      <c r="U130" s="8">
        <f>IFERROR(T130/T444, "NA")</f>
        <v>0</v>
      </c>
      <c r="V130" s="9"/>
      <c r="W130" s="10">
        <f t="shared" si="30"/>
        <v>-5105.5</v>
      </c>
      <c r="X130" s="8">
        <f>IFERROR(W130/W444, "NA")</f>
        <v>0.82955695760331205</v>
      </c>
      <c r="Y130" s="9"/>
      <c r="Z130" s="7">
        <v>5755.29</v>
      </c>
      <c r="AA130" s="8">
        <f>IFERROR(Z130/Z444, "NA")</f>
        <v>6.0270723915977521E-2</v>
      </c>
      <c r="AB130" s="9"/>
      <c r="AC130" s="10">
        <f t="shared" si="31"/>
        <v>649.79</v>
      </c>
      <c r="AD130" s="8">
        <f>IFERROR(AC130/AC444, "NA")</f>
        <v>-0.14340509583659794</v>
      </c>
    </row>
    <row r="131" spans="1:30" ht="16.5" customHeight="1" x14ac:dyDescent="0.45">
      <c r="A131" s="12" t="s">
        <v>123</v>
      </c>
      <c r="B131" s="7">
        <v>2859.89</v>
      </c>
      <c r="C131" s="8">
        <f>IFERROR(B131/B444, "NA")</f>
        <v>3.1441359224859328E-2</v>
      </c>
      <c r="D131" s="9"/>
      <c r="E131" s="7">
        <v>0</v>
      </c>
      <c r="F131" s="8">
        <f>IFERROR(E131/E444, "NA")</f>
        <v>0</v>
      </c>
      <c r="G131" s="9"/>
      <c r="H131" s="10">
        <f t="shared" si="28"/>
        <v>-2859.89</v>
      </c>
      <c r="I131" s="8">
        <f>IFERROR(H131/H444, "NA")</f>
        <v>0.46468350748802972</v>
      </c>
      <c r="J131" s="9"/>
      <c r="K131" s="7">
        <v>2963.09</v>
      </c>
      <c r="L131" s="8">
        <f>IFERROR(K131/K444, "NA")</f>
        <v>3.1030161699617892E-2</v>
      </c>
      <c r="M131" s="9"/>
      <c r="N131" s="10">
        <f t="shared" si="29"/>
        <v>103.20000000000027</v>
      </c>
      <c r="O131" s="8">
        <f>IFERROR(N131/N444, "NA")</f>
        <v>-2.2775675049380488E-2</v>
      </c>
      <c r="P131" s="9"/>
      <c r="Q131" s="7">
        <v>2859.89</v>
      </c>
      <c r="R131" s="8">
        <f>IFERROR(Q131/Q444, "NA")</f>
        <v>3.1441359224859328E-2</v>
      </c>
      <c r="S131" s="9"/>
      <c r="T131" s="7">
        <v>0</v>
      </c>
      <c r="U131" s="8">
        <f>IFERROR(T131/T444, "NA")</f>
        <v>0</v>
      </c>
      <c r="V131" s="9"/>
      <c r="W131" s="10">
        <f t="shared" si="30"/>
        <v>-2859.89</v>
      </c>
      <c r="X131" s="8">
        <f>IFERROR(W131/W444, "NA")</f>
        <v>0.46468350748802972</v>
      </c>
      <c r="Y131" s="9"/>
      <c r="Z131" s="7">
        <v>2963.09</v>
      </c>
      <c r="AA131" s="8">
        <f>IFERROR(Z131/Z444, "NA")</f>
        <v>3.1030161699617892E-2</v>
      </c>
      <c r="AB131" s="9"/>
      <c r="AC131" s="10">
        <f t="shared" si="31"/>
        <v>103.20000000000027</v>
      </c>
      <c r="AD131" s="8">
        <f>IFERROR(AC131/AC444, "NA")</f>
        <v>-2.2775675049380488E-2</v>
      </c>
    </row>
    <row r="132" spans="1:30" ht="16.5" customHeight="1" x14ac:dyDescent="0.45">
      <c r="A132" s="12" t="s">
        <v>124</v>
      </c>
      <c r="B132" s="7">
        <v>2832.67</v>
      </c>
      <c r="C132" s="8">
        <f>IFERROR(B132/B444, "NA")</f>
        <v>3.1142105128337899E-2</v>
      </c>
      <c r="D132" s="9"/>
      <c r="E132" s="7">
        <v>0</v>
      </c>
      <c r="F132" s="8">
        <f>IFERROR(E132/E444, "NA")</f>
        <v>0</v>
      </c>
      <c r="G132" s="9"/>
      <c r="H132" s="10">
        <f t="shared" si="28"/>
        <v>-2832.67</v>
      </c>
      <c r="I132" s="8">
        <f>IFERROR(H132/H444, "NA")</f>
        <v>0.46026072022214748</v>
      </c>
      <c r="J132" s="9"/>
      <c r="K132" s="7">
        <v>3674.66</v>
      </c>
      <c r="L132" s="8">
        <f>IFERROR(K132/K444, "NA")</f>
        <v>3.8481886811105252E-2</v>
      </c>
      <c r="M132" s="9"/>
      <c r="N132" s="10">
        <f t="shared" si="29"/>
        <v>841.98999999999978</v>
      </c>
      <c r="O132" s="8">
        <f>IFERROR(N132/N444, "NA")</f>
        <v>-0.18582258367081222</v>
      </c>
      <c r="P132" s="9"/>
      <c r="Q132" s="7">
        <v>2832.67</v>
      </c>
      <c r="R132" s="8">
        <f>IFERROR(Q132/Q444, "NA")</f>
        <v>3.1142105128337899E-2</v>
      </c>
      <c r="S132" s="9"/>
      <c r="T132" s="7">
        <v>0</v>
      </c>
      <c r="U132" s="8">
        <f>IFERROR(T132/T444, "NA")</f>
        <v>0</v>
      </c>
      <c r="V132" s="9"/>
      <c r="W132" s="10">
        <f t="shared" si="30"/>
        <v>-2832.67</v>
      </c>
      <c r="X132" s="8">
        <f>IFERROR(W132/W444, "NA")</f>
        <v>0.46026072022214748</v>
      </c>
      <c r="Y132" s="9"/>
      <c r="Z132" s="7">
        <v>3674.66</v>
      </c>
      <c r="AA132" s="8">
        <f>IFERROR(Z132/Z444, "NA")</f>
        <v>3.8481886811105252E-2</v>
      </c>
      <c r="AB132" s="9"/>
      <c r="AC132" s="10">
        <f t="shared" si="31"/>
        <v>841.98999999999978</v>
      </c>
      <c r="AD132" s="8">
        <f>IFERROR(AC132/AC444, "NA")</f>
        <v>-0.18582258367081222</v>
      </c>
    </row>
    <row r="133" spans="1:30" ht="16.5" customHeight="1" x14ac:dyDescent="0.45">
      <c r="A133" s="12" t="s">
        <v>125</v>
      </c>
      <c r="B133" s="7">
        <v>2268.62</v>
      </c>
      <c r="C133" s="8">
        <f>IFERROR(B133/B444, "NA")</f>
        <v>2.4940992962911288E-2</v>
      </c>
      <c r="D133" s="9"/>
      <c r="E133" s="7">
        <v>0</v>
      </c>
      <c r="F133" s="8">
        <f>IFERROR(E133/E444, "NA")</f>
        <v>0</v>
      </c>
      <c r="G133" s="9"/>
      <c r="H133" s="10">
        <f t="shared" si="28"/>
        <v>-2268.62</v>
      </c>
      <c r="I133" s="8">
        <f>IFERROR(H133/H444, "NA")</f>
        <v>0.36861218395025475</v>
      </c>
      <c r="J133" s="9"/>
      <c r="K133" s="7">
        <v>2372</v>
      </c>
      <c r="L133" s="8">
        <f>IFERROR(K133/K444, "NA")</f>
        <v>2.4840130928015562E-2</v>
      </c>
      <c r="M133" s="9"/>
      <c r="N133" s="10">
        <f t="shared" si="29"/>
        <v>103.38000000000011</v>
      </c>
      <c r="O133" s="8">
        <f>IFERROR(N133/N444, "NA")</f>
        <v>-2.2815400064001467E-2</v>
      </c>
      <c r="P133" s="9"/>
      <c r="Q133" s="7">
        <v>2268.62</v>
      </c>
      <c r="R133" s="8">
        <f>IFERROR(Q133/Q444, "NA")</f>
        <v>2.4940992962911288E-2</v>
      </c>
      <c r="S133" s="9"/>
      <c r="T133" s="7">
        <v>0</v>
      </c>
      <c r="U133" s="8">
        <f>IFERROR(T133/T444, "NA")</f>
        <v>0</v>
      </c>
      <c r="V133" s="9"/>
      <c r="W133" s="10">
        <f t="shared" si="30"/>
        <v>-2268.62</v>
      </c>
      <c r="X133" s="8">
        <f>IFERROR(W133/W444, "NA")</f>
        <v>0.36861218395025475</v>
      </c>
      <c r="Y133" s="9"/>
      <c r="Z133" s="7">
        <v>2372</v>
      </c>
      <c r="AA133" s="8">
        <f>IFERROR(Z133/Z444, "NA")</f>
        <v>2.4840130928015562E-2</v>
      </c>
      <c r="AB133" s="9"/>
      <c r="AC133" s="10">
        <f t="shared" si="31"/>
        <v>103.38000000000011</v>
      </c>
      <c r="AD133" s="8">
        <f>IFERROR(AC133/AC444, "NA")</f>
        <v>-2.2815400064001467E-2</v>
      </c>
    </row>
    <row r="134" spans="1:30" ht="16.5" customHeight="1" x14ac:dyDescent="0.45">
      <c r="A134" s="12" t="s">
        <v>126</v>
      </c>
      <c r="B134" s="7">
        <v>1255.78</v>
      </c>
      <c r="C134" s="8">
        <f>IFERROR(B134/B444, "NA")</f>
        <v>1.380592613261134E-2</v>
      </c>
      <c r="D134" s="9"/>
      <c r="E134" s="7">
        <v>0</v>
      </c>
      <c r="F134" s="8">
        <f>IFERROR(E134/E444, "NA")</f>
        <v>0</v>
      </c>
      <c r="G134" s="9"/>
      <c r="H134" s="10">
        <f t="shared" si="28"/>
        <v>-1255.78</v>
      </c>
      <c r="I134" s="8">
        <f>IFERROR(H134/H444, "NA")</f>
        <v>0.20404290201137737</v>
      </c>
      <c r="J134" s="9"/>
      <c r="K134" s="7">
        <v>926.46</v>
      </c>
      <c r="L134" s="8">
        <f>IFERROR(K134/K444, "NA")</f>
        <v>9.7021027401219644E-3</v>
      </c>
      <c r="M134" s="9"/>
      <c r="N134" s="10">
        <f t="shared" si="29"/>
        <v>-329.31999999999994</v>
      </c>
      <c r="O134" s="8">
        <f>IFERROR(N134/N444, "NA")</f>
        <v>7.2679121194398857E-2</v>
      </c>
      <c r="P134" s="9"/>
      <c r="Q134" s="7">
        <v>1255.78</v>
      </c>
      <c r="R134" s="8">
        <f>IFERROR(Q134/Q444, "NA")</f>
        <v>1.380592613261134E-2</v>
      </c>
      <c r="S134" s="9"/>
      <c r="T134" s="7">
        <v>0</v>
      </c>
      <c r="U134" s="8">
        <f>IFERROR(T134/T444, "NA")</f>
        <v>0</v>
      </c>
      <c r="V134" s="9"/>
      <c r="W134" s="10">
        <f t="shared" si="30"/>
        <v>-1255.78</v>
      </c>
      <c r="X134" s="8">
        <f>IFERROR(W134/W444, "NA")</f>
        <v>0.20404290201137737</v>
      </c>
      <c r="Y134" s="9"/>
      <c r="Z134" s="7">
        <v>926.46</v>
      </c>
      <c r="AA134" s="8">
        <f>IFERROR(Z134/Z444, "NA")</f>
        <v>9.7021027401219644E-3</v>
      </c>
      <c r="AB134" s="9"/>
      <c r="AC134" s="10">
        <f t="shared" si="31"/>
        <v>-329.31999999999994</v>
      </c>
      <c r="AD134" s="8">
        <f>IFERROR(AC134/AC444, "NA")</f>
        <v>7.2679121194398857E-2</v>
      </c>
    </row>
    <row r="135" spans="1:30" ht="16.5" customHeight="1" x14ac:dyDescent="0.45">
      <c r="A135" s="12" t="s">
        <v>127</v>
      </c>
      <c r="B135" s="7">
        <v>712.88</v>
      </c>
      <c r="C135" s="8">
        <f>IFERROR(B135/B444, "NA")</f>
        <v>7.8373350598161876E-3</v>
      </c>
      <c r="D135" s="9"/>
      <c r="E135" s="7">
        <v>0</v>
      </c>
      <c r="F135" s="8">
        <f>IFERROR(E135/E444, "NA")</f>
        <v>0</v>
      </c>
      <c r="G135" s="9"/>
      <c r="H135" s="10">
        <f t="shared" si="28"/>
        <v>-712.88</v>
      </c>
      <c r="I135" s="8">
        <f>IFERROR(H135/H444, "NA")</f>
        <v>0.11583088119405524</v>
      </c>
      <c r="J135" s="9"/>
      <c r="K135" s="7">
        <v>797.1</v>
      </c>
      <c r="L135" s="8">
        <f>IFERROR(K135/K444, "NA")</f>
        <v>8.3474149927155166E-3</v>
      </c>
      <c r="M135" s="9"/>
      <c r="N135" s="10">
        <f t="shared" si="29"/>
        <v>84.220000000000027</v>
      </c>
      <c r="O135" s="8">
        <f>IFERROR(N135/N444, "NA")</f>
        <v>-1.8586892952120352E-2</v>
      </c>
      <c r="P135" s="9"/>
      <c r="Q135" s="7">
        <v>712.88</v>
      </c>
      <c r="R135" s="8">
        <f>IFERROR(Q135/Q444, "NA")</f>
        <v>7.8373350598161876E-3</v>
      </c>
      <c r="S135" s="9"/>
      <c r="T135" s="7">
        <v>0</v>
      </c>
      <c r="U135" s="8">
        <f>IFERROR(T135/T444, "NA")</f>
        <v>0</v>
      </c>
      <c r="V135" s="9"/>
      <c r="W135" s="10">
        <f t="shared" si="30"/>
        <v>-712.88</v>
      </c>
      <c r="X135" s="8">
        <f>IFERROR(W135/W444, "NA")</f>
        <v>0.11583088119405524</v>
      </c>
      <c r="Y135" s="9"/>
      <c r="Z135" s="7">
        <v>797.1</v>
      </c>
      <c r="AA135" s="8">
        <f>IFERROR(Z135/Z444, "NA")</f>
        <v>8.3474149927155166E-3</v>
      </c>
      <c r="AB135" s="9"/>
      <c r="AC135" s="10">
        <f t="shared" si="31"/>
        <v>84.220000000000027</v>
      </c>
      <c r="AD135" s="8">
        <f>IFERROR(AC135/AC444, "NA")</f>
        <v>-1.8586892952120352E-2</v>
      </c>
    </row>
    <row r="136" spans="1:30" ht="16.5" customHeight="1" x14ac:dyDescent="0.45">
      <c r="A136" s="12" t="s">
        <v>128</v>
      </c>
      <c r="B136" s="7">
        <v>0</v>
      </c>
      <c r="C136" s="8">
        <f>IFERROR(B136/B444, "NA")</f>
        <v>0</v>
      </c>
      <c r="D136" s="9"/>
      <c r="E136" s="7">
        <v>0</v>
      </c>
      <c r="F136" s="8">
        <f>IFERROR(E136/E444, "NA")</f>
        <v>0</v>
      </c>
      <c r="G136" s="9"/>
      <c r="H136" s="10">
        <f t="shared" si="28"/>
        <v>0</v>
      </c>
      <c r="I136" s="8">
        <f>IFERROR(H136/H444, "NA")</f>
        <v>0</v>
      </c>
      <c r="J136" s="9"/>
      <c r="K136" s="7">
        <v>739.08</v>
      </c>
      <c r="L136" s="8">
        <f>IFERROR(K136/K444, "NA")</f>
        <v>7.7398161746533491E-3</v>
      </c>
      <c r="M136" s="9"/>
      <c r="N136" s="10">
        <f t="shared" si="29"/>
        <v>739.08</v>
      </c>
      <c r="O136" s="8">
        <f>IFERROR(N136/N444, "NA")</f>
        <v>-0.16311091003387682</v>
      </c>
      <c r="P136" s="9"/>
      <c r="Q136" s="7">
        <v>0</v>
      </c>
      <c r="R136" s="8">
        <f>IFERROR(Q136/Q444, "NA")</f>
        <v>0</v>
      </c>
      <c r="S136" s="9"/>
      <c r="T136" s="7">
        <v>0</v>
      </c>
      <c r="U136" s="8">
        <f>IFERROR(T136/T444, "NA")</f>
        <v>0</v>
      </c>
      <c r="V136" s="9"/>
      <c r="W136" s="10">
        <f t="shared" si="30"/>
        <v>0</v>
      </c>
      <c r="X136" s="8">
        <f>IFERROR(W136/W444, "NA")</f>
        <v>0</v>
      </c>
      <c r="Y136" s="9"/>
      <c r="Z136" s="7">
        <v>739.08</v>
      </c>
      <c r="AA136" s="8">
        <f>IFERROR(Z136/Z444, "NA")</f>
        <v>7.7398161746533491E-3</v>
      </c>
      <c r="AB136" s="9"/>
      <c r="AC136" s="10">
        <f t="shared" si="31"/>
        <v>739.08</v>
      </c>
      <c r="AD136" s="8">
        <f>IFERROR(AC136/AC444, "NA")</f>
        <v>-0.16311091003387682</v>
      </c>
    </row>
    <row r="137" spans="1:30" ht="16.5" customHeight="1" x14ac:dyDescent="0.45">
      <c r="A137" s="12" t="s">
        <v>129</v>
      </c>
      <c r="B137" s="7">
        <v>579.29</v>
      </c>
      <c r="C137" s="8">
        <f>IFERROR(B137/B444, "NA")</f>
        <v>6.3686592789823238E-3</v>
      </c>
      <c r="D137" s="9"/>
      <c r="E137" s="7">
        <v>0</v>
      </c>
      <c r="F137" s="8">
        <f>IFERROR(E137/E444, "NA")</f>
        <v>0</v>
      </c>
      <c r="G137" s="9"/>
      <c r="H137" s="10">
        <f t="shared" si="28"/>
        <v>-579.29</v>
      </c>
      <c r="I137" s="8">
        <f>IFERROR(H137/H444, "NA")</f>
        <v>9.4124777195186096E-2</v>
      </c>
      <c r="J137" s="9"/>
      <c r="K137" s="7">
        <v>533.97</v>
      </c>
      <c r="L137" s="8">
        <f>IFERROR(K137/K444, "NA")</f>
        <v>5.5918569610592201E-3</v>
      </c>
      <c r="M137" s="9"/>
      <c r="N137" s="10">
        <f t="shared" si="29"/>
        <v>-45.319999999999936</v>
      </c>
      <c r="O137" s="8">
        <f>IFERROR(N137/N444, "NA")</f>
        <v>1.0001875903468214E-2</v>
      </c>
      <c r="P137" s="9"/>
      <c r="Q137" s="7">
        <v>579.29</v>
      </c>
      <c r="R137" s="8">
        <f>IFERROR(Q137/Q444, "NA")</f>
        <v>6.3686592789823238E-3</v>
      </c>
      <c r="S137" s="9"/>
      <c r="T137" s="7">
        <v>0</v>
      </c>
      <c r="U137" s="8">
        <f>IFERROR(T137/T444, "NA")</f>
        <v>0</v>
      </c>
      <c r="V137" s="9"/>
      <c r="W137" s="10">
        <f t="shared" si="30"/>
        <v>-579.29</v>
      </c>
      <c r="X137" s="8">
        <f>IFERROR(W137/W444, "NA")</f>
        <v>9.4124777195186096E-2</v>
      </c>
      <c r="Y137" s="9"/>
      <c r="Z137" s="7">
        <v>533.97</v>
      </c>
      <c r="AA137" s="8">
        <f>IFERROR(Z137/Z444, "NA")</f>
        <v>5.5918569610592201E-3</v>
      </c>
      <c r="AB137" s="9"/>
      <c r="AC137" s="10">
        <f t="shared" si="31"/>
        <v>-45.319999999999936</v>
      </c>
      <c r="AD137" s="8">
        <f>IFERROR(AC137/AC444, "NA")</f>
        <v>1.0001875903468214E-2</v>
      </c>
    </row>
    <row r="138" spans="1:30" ht="16.5" customHeight="1" x14ac:dyDescent="0.45">
      <c r="A138" s="12" t="s">
        <v>130</v>
      </c>
      <c r="B138" s="7">
        <v>7287.76</v>
      </c>
      <c r="C138" s="8">
        <f>IFERROR(B138/B444, "NA")</f>
        <v>8.0120941751102598E-2</v>
      </c>
      <c r="D138" s="9"/>
      <c r="E138" s="7">
        <v>0</v>
      </c>
      <c r="F138" s="8">
        <f>IFERROR(E138/E444, "NA")</f>
        <v>0</v>
      </c>
      <c r="G138" s="9"/>
      <c r="H138" s="10">
        <f t="shared" si="28"/>
        <v>-7287.76</v>
      </c>
      <c r="I138" s="8">
        <f>IFERROR(H138/H444, "NA")</f>
        <v>1.1841371096549043</v>
      </c>
      <c r="J138" s="9"/>
      <c r="K138" s="7">
        <v>5136.96</v>
      </c>
      <c r="L138" s="8">
        <f>IFERROR(K138/K444, "NA")</f>
        <v>5.3795429583464935E-2</v>
      </c>
      <c r="M138" s="9"/>
      <c r="N138" s="10">
        <f t="shared" si="29"/>
        <v>-2150.8000000000002</v>
      </c>
      <c r="O138" s="8">
        <f>IFERROR(N138/N444, "NA")</f>
        <v>0.47466978581596347</v>
      </c>
      <c r="P138" s="9"/>
      <c r="Q138" s="7">
        <v>7287.76</v>
      </c>
      <c r="R138" s="8">
        <f>IFERROR(Q138/Q444, "NA")</f>
        <v>8.0120941751102598E-2</v>
      </c>
      <c r="S138" s="9"/>
      <c r="T138" s="7">
        <v>0</v>
      </c>
      <c r="U138" s="8">
        <f>IFERROR(T138/T444, "NA")</f>
        <v>0</v>
      </c>
      <c r="V138" s="9"/>
      <c r="W138" s="10">
        <f t="shared" si="30"/>
        <v>-7287.76</v>
      </c>
      <c r="X138" s="8">
        <f>IFERROR(W138/W444, "NA")</f>
        <v>1.1841371096549043</v>
      </c>
      <c r="Y138" s="9"/>
      <c r="Z138" s="7">
        <v>5136.96</v>
      </c>
      <c r="AA138" s="8">
        <f>IFERROR(Z138/Z444, "NA")</f>
        <v>5.3795429583464935E-2</v>
      </c>
      <c r="AB138" s="9"/>
      <c r="AC138" s="10">
        <f t="shared" si="31"/>
        <v>-2150.8000000000002</v>
      </c>
      <c r="AD138" s="8">
        <f>IFERROR(AC138/AC444, "NA")</f>
        <v>0.47466978581596347</v>
      </c>
    </row>
    <row r="139" spans="1:30" ht="16.5" hidden="1" customHeight="1" x14ac:dyDescent="0.45">
      <c r="A139" s="12" t="s">
        <v>131</v>
      </c>
      <c r="B139" s="7">
        <v>0</v>
      </c>
      <c r="C139" s="8">
        <f>IFERROR(B139/B444, "NA")</f>
        <v>0</v>
      </c>
      <c r="D139" s="9"/>
      <c r="E139" s="7">
        <v>0</v>
      </c>
      <c r="F139" s="8">
        <f>IFERROR(E139/E444, "NA")</f>
        <v>0</v>
      </c>
      <c r="G139" s="9"/>
      <c r="H139" s="10">
        <f t="shared" si="28"/>
        <v>0</v>
      </c>
      <c r="I139" s="8">
        <f>IFERROR(H139/H444, "NA")</f>
        <v>0</v>
      </c>
      <c r="J139" s="9"/>
      <c r="K139" s="7">
        <v>0</v>
      </c>
      <c r="L139" s="8">
        <f>IFERROR(K139/K444, "NA")</f>
        <v>0</v>
      </c>
      <c r="M139" s="9"/>
      <c r="N139" s="10">
        <f t="shared" si="29"/>
        <v>0</v>
      </c>
      <c r="O139" s="8">
        <f>IFERROR(N139/N444, "NA")</f>
        <v>0</v>
      </c>
      <c r="P139" s="9"/>
      <c r="Q139" s="7">
        <v>0</v>
      </c>
      <c r="R139" s="8">
        <f>IFERROR(Q139/Q444, "NA")</f>
        <v>0</v>
      </c>
      <c r="S139" s="9"/>
      <c r="T139" s="7">
        <v>0</v>
      </c>
      <c r="U139" s="8">
        <f>IFERROR(T139/T444, "NA")</f>
        <v>0</v>
      </c>
      <c r="V139" s="9"/>
      <c r="W139" s="10">
        <f t="shared" si="30"/>
        <v>0</v>
      </c>
      <c r="X139" s="8">
        <f>IFERROR(W139/W444, "NA")</f>
        <v>0</v>
      </c>
      <c r="Y139" s="9"/>
      <c r="Z139" s="7">
        <v>0</v>
      </c>
      <c r="AA139" s="8">
        <f>IFERROR(Z139/Z444, "NA")</f>
        <v>0</v>
      </c>
      <c r="AB139" s="9"/>
      <c r="AC139" s="10">
        <f t="shared" si="31"/>
        <v>0</v>
      </c>
      <c r="AD139" s="8">
        <f>IFERROR(AC139/AC444, "NA")</f>
        <v>0</v>
      </c>
    </row>
    <row r="140" spans="1:30" ht="16.5" hidden="1" customHeight="1" x14ac:dyDescent="0.45">
      <c r="A140" s="12" t="s">
        <v>132</v>
      </c>
      <c r="B140" s="7">
        <v>0</v>
      </c>
      <c r="C140" s="8">
        <f>IFERROR(B140/B444, "NA")</f>
        <v>0</v>
      </c>
      <c r="D140" s="9"/>
      <c r="E140" s="7">
        <v>0</v>
      </c>
      <c r="F140" s="8">
        <f>IFERROR(E140/E444, "NA")</f>
        <v>0</v>
      </c>
      <c r="G140" s="9"/>
      <c r="H140" s="10">
        <f t="shared" si="28"/>
        <v>0</v>
      </c>
      <c r="I140" s="8">
        <f>IFERROR(H140/H444, "NA")</f>
        <v>0</v>
      </c>
      <c r="J140" s="9"/>
      <c r="K140" s="7">
        <v>0</v>
      </c>
      <c r="L140" s="8">
        <f>IFERROR(K140/K444, "NA")</f>
        <v>0</v>
      </c>
      <c r="M140" s="9"/>
      <c r="N140" s="10">
        <f t="shared" si="29"/>
        <v>0</v>
      </c>
      <c r="O140" s="8">
        <f>IFERROR(N140/N444, "NA")</f>
        <v>0</v>
      </c>
      <c r="P140" s="9"/>
      <c r="Q140" s="7">
        <v>0</v>
      </c>
      <c r="R140" s="8">
        <f>IFERROR(Q140/Q444, "NA")</f>
        <v>0</v>
      </c>
      <c r="S140" s="9"/>
      <c r="T140" s="7">
        <v>0</v>
      </c>
      <c r="U140" s="8">
        <f>IFERROR(T140/T444, "NA")</f>
        <v>0</v>
      </c>
      <c r="V140" s="9"/>
      <c r="W140" s="10">
        <f t="shared" si="30"/>
        <v>0</v>
      </c>
      <c r="X140" s="8">
        <f>IFERROR(W140/W444, "NA")</f>
        <v>0</v>
      </c>
      <c r="Y140" s="9"/>
      <c r="Z140" s="7">
        <v>0</v>
      </c>
      <c r="AA140" s="8">
        <f>IFERROR(Z140/Z444, "NA")</f>
        <v>0</v>
      </c>
      <c r="AB140" s="9"/>
      <c r="AC140" s="10">
        <f t="shared" si="31"/>
        <v>0</v>
      </c>
      <c r="AD140" s="8">
        <f>IFERROR(AC140/AC444, "NA")</f>
        <v>0</v>
      </c>
    </row>
    <row r="141" spans="1:30" ht="16.5" customHeight="1" x14ac:dyDescent="0.45">
      <c r="A141" s="13" t="s">
        <v>133</v>
      </c>
      <c r="B141" s="14">
        <f>IFERROR(B129+B130+B131+B132+B133+B134+B135+B136+B137+B138+B139+B140, "NA")</f>
        <v>22902.39</v>
      </c>
      <c r="C141" s="15">
        <f>IFERROR(B141/B444, "NA")</f>
        <v>0.25178670197029468</v>
      </c>
      <c r="D141" s="2"/>
      <c r="E141" s="14">
        <f>IFERROR(E129+E130+E131+E132+E133+E134+E135+E136+E137+E138+E139+E140, "NA")</f>
        <v>22336.22</v>
      </c>
      <c r="F141" s="15">
        <f>IFERROR(E141/E444, "NA")</f>
        <v>0.23000004736702173</v>
      </c>
      <c r="G141" s="2"/>
      <c r="H141" s="14">
        <f t="shared" si="28"/>
        <v>-566.16999999999825</v>
      </c>
      <c r="I141" s="15">
        <f>IFERROR(H141/H444, "NA")</f>
        <v>9.1993000232350547E-2</v>
      </c>
      <c r="J141" s="2"/>
      <c r="K141" s="14">
        <f>IFERROR(K129+K130+K131+K132+K133+K134+K135+K136+K137+K138+K139+K140, "NA")</f>
        <v>22898.61</v>
      </c>
      <c r="L141" s="15">
        <f>IFERROR(K141/K444, "NA")</f>
        <v>0.23979952380673122</v>
      </c>
      <c r="M141" s="2"/>
      <c r="N141" s="14">
        <f t="shared" si="29"/>
        <v>-3.7799999999988358</v>
      </c>
      <c r="O141" s="15">
        <f>IFERROR(N141/N444, "NA")</f>
        <v>8.3422530704100304E-4</v>
      </c>
      <c r="P141" s="2"/>
      <c r="Q141" s="14">
        <f>IFERROR(Q129+Q130+Q131+Q132+Q133+Q134+Q135+Q136+Q137+Q138+Q139+Q140, "NA")</f>
        <v>22902.39</v>
      </c>
      <c r="R141" s="15">
        <f>IFERROR(Q141/Q444, "NA")</f>
        <v>0.25178670197029468</v>
      </c>
      <c r="S141" s="2"/>
      <c r="T141" s="14">
        <f>IFERROR(T129+T130+T131+T132+T133+T134+T135+T136+T137+T138+T139+T140, "NA")</f>
        <v>22336.22</v>
      </c>
      <c r="U141" s="15">
        <f>IFERROR(T141/T444, "NA")</f>
        <v>0.23000004736702173</v>
      </c>
      <c r="V141" s="2"/>
      <c r="W141" s="14">
        <f t="shared" si="30"/>
        <v>-566.16999999999825</v>
      </c>
      <c r="X141" s="15">
        <f>IFERROR(W141/W444, "NA")</f>
        <v>9.1993000232350547E-2</v>
      </c>
      <c r="Y141" s="2"/>
      <c r="Z141" s="14">
        <f>IFERROR(Z129+Z130+Z131+Z132+Z133+Z134+Z135+Z136+Z137+Z138+Z139+Z140, "NA")</f>
        <v>22898.61</v>
      </c>
      <c r="AA141" s="15">
        <f>IFERROR(Z141/Z444, "NA")</f>
        <v>0.23979952380673122</v>
      </c>
      <c r="AB141" s="2"/>
      <c r="AC141" s="14">
        <f t="shared" si="31"/>
        <v>-3.7799999999988358</v>
      </c>
      <c r="AD141" s="15">
        <f>IFERROR(AC141/AC444, "NA")</f>
        <v>8.3422530704100304E-4</v>
      </c>
    </row>
    <row r="142" spans="1:30" ht="16.5" customHeight="1" x14ac:dyDescent="0.45">
      <c r="A142" s="11" t="s">
        <v>134</v>
      </c>
      <c r="B142" s="2"/>
      <c r="C142" s="3"/>
      <c r="D142" s="4"/>
      <c r="E142" s="2"/>
      <c r="F142" s="3"/>
      <c r="G142" s="4"/>
      <c r="H142" s="2"/>
      <c r="I142" s="3"/>
      <c r="J142" s="4"/>
      <c r="K142" s="2"/>
      <c r="L142" s="3"/>
      <c r="M142" s="4"/>
      <c r="N142" s="2"/>
      <c r="O142" s="3"/>
      <c r="P142" s="4"/>
      <c r="Q142" s="2"/>
      <c r="R142" s="3"/>
      <c r="S142" s="4"/>
      <c r="T142" s="2"/>
      <c r="U142" s="3"/>
      <c r="V142" s="4"/>
      <c r="W142" s="2"/>
      <c r="X142" s="3"/>
      <c r="Y142" s="4"/>
      <c r="Z142" s="2"/>
      <c r="AA142" s="3"/>
      <c r="AB142" s="4"/>
      <c r="AC142" s="2"/>
      <c r="AD142" s="3"/>
    </row>
    <row r="143" spans="1:30" ht="16.5" customHeight="1" x14ac:dyDescent="0.45">
      <c r="A143" s="12" t="s">
        <v>134</v>
      </c>
      <c r="B143" s="7">
        <v>0</v>
      </c>
      <c r="C143" s="8">
        <f>IFERROR(B143/B444, "NA")</f>
        <v>0</v>
      </c>
      <c r="D143" s="9"/>
      <c r="E143" s="7">
        <v>1068.25</v>
      </c>
      <c r="F143" s="8">
        <f>IFERROR(E143/E444, "NA")</f>
        <v>1.099996107666476E-2</v>
      </c>
      <c r="G143" s="9"/>
      <c r="H143" s="10">
        <f t="shared" ref="H143:H149" si="32">IFERROR(-(B143-E143), "NA")</f>
        <v>1068.25</v>
      </c>
      <c r="I143" s="8">
        <f>IFERROR(H143/H444, "NA")</f>
        <v>-0.17357246498085163</v>
      </c>
      <c r="J143" s="9"/>
      <c r="K143" s="7">
        <v>0</v>
      </c>
      <c r="L143" s="8">
        <f>IFERROR(K143/K444, "NA")</f>
        <v>0</v>
      </c>
      <c r="M143" s="9"/>
      <c r="N143" s="10">
        <f t="shared" ref="N143:N149" si="33">IFERROR(-(B143-K143), "NA")</f>
        <v>0</v>
      </c>
      <c r="O143" s="8">
        <f>IFERROR(N143/N444, "NA")</f>
        <v>0</v>
      </c>
      <c r="P143" s="9"/>
      <c r="Q143" s="7">
        <v>0</v>
      </c>
      <c r="R143" s="8">
        <f>IFERROR(Q143/Q444, "NA")</f>
        <v>0</v>
      </c>
      <c r="S143" s="9"/>
      <c r="T143" s="7">
        <v>1068.25</v>
      </c>
      <c r="U143" s="8">
        <f>IFERROR(T143/T444, "NA")</f>
        <v>1.099996107666476E-2</v>
      </c>
      <c r="V143" s="9"/>
      <c r="W143" s="10">
        <f t="shared" ref="W143:W149" si="34">IFERROR(-(Q143-T143), "NA")</f>
        <v>1068.25</v>
      </c>
      <c r="X143" s="8">
        <f>IFERROR(W143/W444, "NA")</f>
        <v>-0.17357246498085163</v>
      </c>
      <c r="Y143" s="9"/>
      <c r="Z143" s="7">
        <v>0</v>
      </c>
      <c r="AA143" s="8">
        <f>IFERROR(Z143/Z444, "NA")</f>
        <v>0</v>
      </c>
      <c r="AB143" s="9"/>
      <c r="AC143" s="10">
        <f t="shared" ref="AC143:AC149" si="35">IFERROR(-(Q143-Z143), "NA")</f>
        <v>0</v>
      </c>
      <c r="AD143" s="8">
        <f>IFERROR(AC143/AC444, "NA")</f>
        <v>0</v>
      </c>
    </row>
    <row r="144" spans="1:30" ht="16.5" customHeight="1" x14ac:dyDescent="0.45">
      <c r="A144" s="12" t="s">
        <v>135</v>
      </c>
      <c r="B144" s="7">
        <v>1134.3599999999999</v>
      </c>
      <c r="C144" s="8">
        <f>IFERROR(B144/B444, "NA")</f>
        <v>1.2471046176710092E-2</v>
      </c>
      <c r="D144" s="9"/>
      <c r="E144" s="7">
        <v>0</v>
      </c>
      <c r="F144" s="8">
        <f>IFERROR(E144/E444, "NA")</f>
        <v>0</v>
      </c>
      <c r="G144" s="9"/>
      <c r="H144" s="10">
        <f t="shared" si="32"/>
        <v>-1134.3599999999999</v>
      </c>
      <c r="I144" s="8">
        <f>IFERROR(H144/H444, "NA")</f>
        <v>0.18431421612513818</v>
      </c>
      <c r="J144" s="9"/>
      <c r="K144" s="7">
        <v>984.86</v>
      </c>
      <c r="L144" s="8">
        <f>IFERROR(K144/K444, "NA")</f>
        <v>1.0313681005803292E-2</v>
      </c>
      <c r="M144" s="9"/>
      <c r="N144" s="10">
        <f t="shared" si="33"/>
        <v>-149.49999999999989</v>
      </c>
      <c r="O144" s="8">
        <f>IFERROR(N144/N444, "NA")</f>
        <v>3.2993831588007477E-2</v>
      </c>
      <c r="P144" s="9"/>
      <c r="Q144" s="7">
        <v>1134.3599999999999</v>
      </c>
      <c r="R144" s="8">
        <f>IFERROR(Q144/Q444, "NA")</f>
        <v>1.2471046176710092E-2</v>
      </c>
      <c r="S144" s="9"/>
      <c r="T144" s="7">
        <v>0</v>
      </c>
      <c r="U144" s="8">
        <f>IFERROR(T144/T444, "NA")</f>
        <v>0</v>
      </c>
      <c r="V144" s="9"/>
      <c r="W144" s="10">
        <f t="shared" si="34"/>
        <v>-1134.3599999999999</v>
      </c>
      <c r="X144" s="8">
        <f>IFERROR(W144/W444, "NA")</f>
        <v>0.18431421612513818</v>
      </c>
      <c r="Y144" s="9"/>
      <c r="Z144" s="7">
        <v>984.86</v>
      </c>
      <c r="AA144" s="8">
        <f>IFERROR(Z144/Z444, "NA")</f>
        <v>1.0313681005803292E-2</v>
      </c>
      <c r="AB144" s="9"/>
      <c r="AC144" s="10">
        <f t="shared" si="35"/>
        <v>-149.49999999999989</v>
      </c>
      <c r="AD144" s="8">
        <f>IFERROR(AC144/AC444, "NA")</f>
        <v>3.2993831588007477E-2</v>
      </c>
    </row>
    <row r="145" spans="1:30" ht="16.5" customHeight="1" x14ac:dyDescent="0.45">
      <c r="A145" s="12" t="s">
        <v>136</v>
      </c>
      <c r="B145" s="7">
        <v>36.11</v>
      </c>
      <c r="C145" s="8">
        <f>IFERROR(B145/B444, "NA")</f>
        <v>3.9698991276226371E-4</v>
      </c>
      <c r="D145" s="9"/>
      <c r="E145" s="7">
        <v>0</v>
      </c>
      <c r="F145" s="8">
        <f>IFERROR(E145/E444, "NA")</f>
        <v>0</v>
      </c>
      <c r="G145" s="9"/>
      <c r="H145" s="10">
        <f t="shared" si="32"/>
        <v>-36.11</v>
      </c>
      <c r="I145" s="8">
        <f>IFERROR(H145/H444, "NA")</f>
        <v>5.867261137803466E-3</v>
      </c>
      <c r="J145" s="9"/>
      <c r="K145" s="7">
        <v>21.56</v>
      </c>
      <c r="L145" s="8">
        <f>IFERROR(K145/K444, "NA")</f>
        <v>2.2578129123440789E-4</v>
      </c>
      <c r="M145" s="9"/>
      <c r="N145" s="10">
        <f t="shared" si="33"/>
        <v>-14.55</v>
      </c>
      <c r="O145" s="8">
        <f>IFERROR(N145/N444, "NA")</f>
        <v>3.2111053485318342E-3</v>
      </c>
      <c r="P145" s="9"/>
      <c r="Q145" s="7">
        <v>36.11</v>
      </c>
      <c r="R145" s="8">
        <f>IFERROR(Q145/Q444, "NA")</f>
        <v>3.9698991276226371E-4</v>
      </c>
      <c r="S145" s="9"/>
      <c r="T145" s="7">
        <v>0</v>
      </c>
      <c r="U145" s="8">
        <f>IFERROR(T145/T444, "NA")</f>
        <v>0</v>
      </c>
      <c r="V145" s="9"/>
      <c r="W145" s="10">
        <f t="shared" si="34"/>
        <v>-36.11</v>
      </c>
      <c r="X145" s="8">
        <f>IFERROR(W145/W444, "NA")</f>
        <v>5.867261137803466E-3</v>
      </c>
      <c r="Y145" s="9"/>
      <c r="Z145" s="7">
        <v>21.56</v>
      </c>
      <c r="AA145" s="8">
        <f>IFERROR(Z145/Z444, "NA")</f>
        <v>2.2578129123440789E-4</v>
      </c>
      <c r="AB145" s="9"/>
      <c r="AC145" s="10">
        <f t="shared" si="35"/>
        <v>-14.55</v>
      </c>
      <c r="AD145" s="8">
        <f>IFERROR(AC145/AC444, "NA")</f>
        <v>3.2111053485318342E-3</v>
      </c>
    </row>
    <row r="146" spans="1:30" ht="16.5" customHeight="1" x14ac:dyDescent="0.45">
      <c r="A146" s="12" t="s">
        <v>137</v>
      </c>
      <c r="B146" s="7">
        <v>0</v>
      </c>
      <c r="C146" s="8">
        <f>IFERROR(B146/B444, "NA")</f>
        <v>0</v>
      </c>
      <c r="D146" s="9"/>
      <c r="E146" s="7">
        <v>0</v>
      </c>
      <c r="F146" s="8">
        <f>IFERROR(E146/E444, "NA")</f>
        <v>0</v>
      </c>
      <c r="G146" s="9"/>
      <c r="H146" s="10">
        <f t="shared" si="32"/>
        <v>0</v>
      </c>
      <c r="I146" s="8">
        <f>IFERROR(H146/H444, "NA")</f>
        <v>0</v>
      </c>
      <c r="J146" s="9"/>
      <c r="K146" s="7">
        <v>57.99</v>
      </c>
      <c r="L146" s="8">
        <f>IFERROR(K146/K444, "NA")</f>
        <v>6.0728465114486614E-4</v>
      </c>
      <c r="M146" s="9"/>
      <c r="N146" s="10">
        <f t="shared" si="33"/>
        <v>57.99</v>
      </c>
      <c r="O146" s="8">
        <f>IFERROR(N146/N444, "NA")</f>
        <v>-1.2798075543736154E-2</v>
      </c>
      <c r="P146" s="9"/>
      <c r="Q146" s="7">
        <v>0</v>
      </c>
      <c r="R146" s="8">
        <f>IFERROR(Q146/Q444, "NA")</f>
        <v>0</v>
      </c>
      <c r="S146" s="9"/>
      <c r="T146" s="7">
        <v>0</v>
      </c>
      <c r="U146" s="8">
        <f>IFERROR(T146/T444, "NA")</f>
        <v>0</v>
      </c>
      <c r="V146" s="9"/>
      <c r="W146" s="10">
        <f t="shared" si="34"/>
        <v>0</v>
      </c>
      <c r="X146" s="8">
        <f>IFERROR(W146/W444, "NA")</f>
        <v>0</v>
      </c>
      <c r="Y146" s="9"/>
      <c r="Z146" s="7">
        <v>57.99</v>
      </c>
      <c r="AA146" s="8">
        <f>IFERROR(Z146/Z444, "NA")</f>
        <v>6.0728465114486614E-4</v>
      </c>
      <c r="AB146" s="9"/>
      <c r="AC146" s="10">
        <f t="shared" si="35"/>
        <v>57.99</v>
      </c>
      <c r="AD146" s="8">
        <f>IFERROR(AC146/AC444, "NA")</f>
        <v>-1.2798075543736154E-2</v>
      </c>
    </row>
    <row r="147" spans="1:30" ht="16.5" customHeight="1" x14ac:dyDescent="0.45">
      <c r="A147" s="12" t="s">
        <v>138</v>
      </c>
      <c r="B147" s="7">
        <v>11.59</v>
      </c>
      <c r="C147" s="8">
        <f>IFERROR(B147/B444, "NA")</f>
        <v>1.2741935998102013E-4</v>
      </c>
      <c r="D147" s="9"/>
      <c r="E147" s="7">
        <v>0</v>
      </c>
      <c r="F147" s="8">
        <f>IFERROR(E147/E444, "NA")</f>
        <v>0</v>
      </c>
      <c r="G147" s="9"/>
      <c r="H147" s="10">
        <f t="shared" si="32"/>
        <v>-11.59</v>
      </c>
      <c r="I147" s="8">
        <f>IFERROR(H147/H444, "NA")</f>
        <v>1.8831779725046295E-3</v>
      </c>
      <c r="J147" s="9"/>
      <c r="K147" s="7">
        <v>14.54</v>
      </c>
      <c r="L147" s="8">
        <f>IFERROR(K147/K444, "NA")</f>
        <v>1.5226623258572777E-4</v>
      </c>
      <c r="M147" s="9"/>
      <c r="N147" s="10">
        <f t="shared" si="33"/>
        <v>2.9499999999999993</v>
      </c>
      <c r="O147" s="8">
        <f>IFERROR(N147/N444, "NA")</f>
        <v>-6.5104885073325825E-4</v>
      </c>
      <c r="P147" s="9"/>
      <c r="Q147" s="7">
        <v>11.59</v>
      </c>
      <c r="R147" s="8">
        <f>IFERROR(Q147/Q444, "NA")</f>
        <v>1.2741935998102013E-4</v>
      </c>
      <c r="S147" s="9"/>
      <c r="T147" s="7">
        <v>0</v>
      </c>
      <c r="U147" s="8">
        <f>IFERROR(T147/T444, "NA")</f>
        <v>0</v>
      </c>
      <c r="V147" s="9"/>
      <c r="W147" s="10">
        <f t="shared" si="34"/>
        <v>-11.59</v>
      </c>
      <c r="X147" s="8">
        <f>IFERROR(W147/W444, "NA")</f>
        <v>1.8831779725046295E-3</v>
      </c>
      <c r="Y147" s="9"/>
      <c r="Z147" s="7">
        <v>14.54</v>
      </c>
      <c r="AA147" s="8">
        <f>IFERROR(Z147/Z444, "NA")</f>
        <v>1.5226623258572777E-4</v>
      </c>
      <c r="AB147" s="9"/>
      <c r="AC147" s="10">
        <f t="shared" si="35"/>
        <v>2.9499999999999993</v>
      </c>
      <c r="AD147" s="8">
        <f>IFERROR(AC147/AC444, "NA")</f>
        <v>-6.5104885073325825E-4</v>
      </c>
    </row>
    <row r="148" spans="1:30" ht="16.5" customHeight="1" x14ac:dyDescent="0.45">
      <c r="A148" s="13" t="s">
        <v>139</v>
      </c>
      <c r="B148" s="14">
        <f>IFERROR(B143+B144+B145+B146+B147, "NA")</f>
        <v>1182.0599999999997</v>
      </c>
      <c r="C148" s="15">
        <f>IFERROR(B148/B444, "NA")</f>
        <v>1.2995455449453373E-2</v>
      </c>
      <c r="D148" s="2"/>
      <c r="E148" s="14">
        <f>IFERROR(E143+E144+E145+E146+E147, "NA")</f>
        <v>1068.25</v>
      </c>
      <c r="F148" s="15">
        <f>IFERROR(E148/E444, "NA")</f>
        <v>1.099996107666476E-2</v>
      </c>
      <c r="G148" s="2"/>
      <c r="H148" s="14">
        <f t="shared" si="32"/>
        <v>-113.80999999999972</v>
      </c>
      <c r="I148" s="15">
        <f>IFERROR(H148/H444, "NA")</f>
        <v>1.8492190254594594E-2</v>
      </c>
      <c r="J148" s="2"/>
      <c r="K148" s="14">
        <f>IFERROR(K143+K144+K145+K146+K147, "NA")</f>
        <v>1078.9499999999998</v>
      </c>
      <c r="L148" s="15">
        <f>IFERROR(K148/K444, "NA")</f>
        <v>1.1299013180768291E-2</v>
      </c>
      <c r="M148" s="2"/>
      <c r="N148" s="14">
        <f t="shared" si="33"/>
        <v>-103.1099999999999</v>
      </c>
      <c r="O148" s="15">
        <f>IFERROR(N148/N444, "NA")</f>
        <v>2.27558125420699E-2</v>
      </c>
      <c r="P148" s="2"/>
      <c r="Q148" s="14">
        <f>IFERROR(Q143+Q144+Q145+Q146+Q147, "NA")</f>
        <v>1182.0599999999997</v>
      </c>
      <c r="R148" s="15">
        <f>IFERROR(Q148/Q444, "NA")</f>
        <v>1.2995455449453373E-2</v>
      </c>
      <c r="S148" s="2"/>
      <c r="T148" s="14">
        <f>IFERROR(T143+T144+T145+T146+T147, "NA")</f>
        <v>1068.25</v>
      </c>
      <c r="U148" s="15">
        <f>IFERROR(T148/T444, "NA")</f>
        <v>1.099996107666476E-2</v>
      </c>
      <c r="V148" s="2"/>
      <c r="W148" s="14">
        <f t="shared" si="34"/>
        <v>-113.80999999999972</v>
      </c>
      <c r="X148" s="15">
        <f>IFERROR(W148/W444, "NA")</f>
        <v>1.8492190254594594E-2</v>
      </c>
      <c r="Y148" s="2"/>
      <c r="Z148" s="14">
        <f>IFERROR(Z143+Z144+Z145+Z146+Z147, "NA")</f>
        <v>1078.9499999999998</v>
      </c>
      <c r="AA148" s="15">
        <f>IFERROR(Z148/Z444, "NA")</f>
        <v>1.1299013180768291E-2</v>
      </c>
      <c r="AB148" s="2"/>
      <c r="AC148" s="14">
        <f t="shared" si="35"/>
        <v>-103.1099999999999</v>
      </c>
      <c r="AD148" s="15">
        <f>IFERROR(AC148/AC444, "NA")</f>
        <v>2.27558125420699E-2</v>
      </c>
    </row>
    <row r="149" spans="1:30" ht="16.5" customHeight="1" x14ac:dyDescent="0.45">
      <c r="A149" s="19" t="s">
        <v>140</v>
      </c>
      <c r="B149" s="14">
        <f>IFERROR(B127+B129+B130+B131+B132+B133+B134+B135+B136+B137+B138+B139+B140+B143+B144+B145+B146+B147, "NA")</f>
        <v>24084.45</v>
      </c>
      <c r="C149" s="15">
        <f>IFERROR(B149/B444, "NA")</f>
        <v>0.26478215741974803</v>
      </c>
      <c r="D149" s="2"/>
      <c r="E149" s="14">
        <f>IFERROR(E127+E129+E130+E131+E132+E133+E134+E135+E136+E137+E138+E139+E140+E143+E144+E145+E146+E147, "NA")</f>
        <v>23404.47</v>
      </c>
      <c r="F149" s="15">
        <f>IFERROR(E149/E444, "NA")</f>
        <v>0.24100000844368649</v>
      </c>
      <c r="G149" s="2"/>
      <c r="H149" s="14">
        <f t="shared" si="32"/>
        <v>-679.97999999999956</v>
      </c>
      <c r="I149" s="15">
        <f>IFERROR(H149/H444, "NA")</f>
        <v>0.1104851904869454</v>
      </c>
      <c r="J149" s="2"/>
      <c r="K149" s="14">
        <f>IFERROR(K127+K129+K130+K131+K132+K133+K134+K135+K136+K137+K138+K139+K140+K143+K144+K145+K146+K147, "NA")</f>
        <v>23977.560000000005</v>
      </c>
      <c r="L149" s="15">
        <f>IFERROR(K149/K444, "NA")</f>
        <v>0.25109853698749957</v>
      </c>
      <c r="M149" s="2"/>
      <c r="N149" s="14">
        <f t="shared" si="33"/>
        <v>-106.88999999999578</v>
      </c>
      <c r="O149" s="15">
        <f>IFERROR(N149/N444, "NA")</f>
        <v>2.3590037849110252E-2</v>
      </c>
      <c r="P149" s="2"/>
      <c r="Q149" s="14">
        <f>IFERROR(Q127+Q129+Q130+Q131+Q132+Q133+Q134+Q135+Q136+Q137+Q138+Q139+Q140+Q143+Q144+Q145+Q146+Q147, "NA")</f>
        <v>24084.45</v>
      </c>
      <c r="R149" s="15">
        <f>IFERROR(Q149/Q444, "NA")</f>
        <v>0.26478215741974803</v>
      </c>
      <c r="S149" s="2"/>
      <c r="T149" s="14">
        <f>IFERROR(T127+T129+T130+T131+T132+T133+T134+T135+T136+T137+T138+T139+T140+T143+T144+T145+T146+T147, "NA")</f>
        <v>23404.47</v>
      </c>
      <c r="U149" s="15">
        <f>IFERROR(T149/T444, "NA")</f>
        <v>0.24100000844368649</v>
      </c>
      <c r="V149" s="2"/>
      <c r="W149" s="14">
        <f t="shared" si="34"/>
        <v>-679.97999999999956</v>
      </c>
      <c r="X149" s="15">
        <f>IFERROR(W149/W444, "NA")</f>
        <v>0.1104851904869454</v>
      </c>
      <c r="Y149" s="2"/>
      <c r="Z149" s="14">
        <f>IFERROR(Z127+Z129+Z130+Z131+Z132+Z133+Z134+Z135+Z136+Z137+Z138+Z139+Z140+Z143+Z144+Z145+Z146+Z147, "NA")</f>
        <v>23977.560000000005</v>
      </c>
      <c r="AA149" s="15">
        <f>IFERROR(Z149/Z444, "NA")</f>
        <v>0.25109853698749957</v>
      </c>
      <c r="AB149" s="2"/>
      <c r="AC149" s="14">
        <f t="shared" si="35"/>
        <v>-106.88999999999578</v>
      </c>
      <c r="AD149" s="15">
        <f>IFERROR(AC149/AC444, "NA")</f>
        <v>2.3590037849110252E-2</v>
      </c>
    </row>
    <row r="150" spans="1:30" ht="16.5" customHeight="1" x14ac:dyDescent="0.45">
      <c r="A150" s="5" t="s">
        <v>141</v>
      </c>
      <c r="B150" s="2"/>
      <c r="C150" s="3"/>
      <c r="D150" s="4"/>
      <c r="E150" s="2"/>
      <c r="F150" s="3"/>
      <c r="G150" s="4"/>
      <c r="H150" s="2"/>
      <c r="I150" s="3"/>
      <c r="J150" s="4"/>
      <c r="K150" s="2"/>
      <c r="L150" s="3"/>
      <c r="M150" s="4"/>
      <c r="N150" s="2"/>
      <c r="O150" s="3"/>
      <c r="P150" s="4"/>
      <c r="Q150" s="2"/>
      <c r="R150" s="3"/>
      <c r="S150" s="4"/>
      <c r="T150" s="2"/>
      <c r="U150" s="3"/>
      <c r="V150" s="4"/>
      <c r="W150" s="2"/>
      <c r="X150" s="3"/>
      <c r="Y150" s="4"/>
      <c r="Z150" s="2"/>
      <c r="AA150" s="3"/>
      <c r="AB150" s="4"/>
      <c r="AC150" s="2"/>
      <c r="AD150" s="3"/>
    </row>
    <row r="151" spans="1:30" ht="16.5" hidden="1" customHeight="1" x14ac:dyDescent="0.45">
      <c r="A151" s="6" t="s">
        <v>141</v>
      </c>
      <c r="B151" s="7">
        <v>0</v>
      </c>
      <c r="C151" s="8">
        <f>IFERROR(B151/B444, "NA")</f>
        <v>0</v>
      </c>
      <c r="D151" s="9"/>
      <c r="E151" s="7">
        <v>0</v>
      </c>
      <c r="F151" s="8">
        <f>IFERROR(E151/E444, "NA")</f>
        <v>0</v>
      </c>
      <c r="G151" s="9"/>
      <c r="H151" s="10">
        <f>IFERROR(-(B151-E151), "NA")</f>
        <v>0</v>
      </c>
      <c r="I151" s="8">
        <f>IFERROR(H151/H444, "NA")</f>
        <v>0</v>
      </c>
      <c r="J151" s="9"/>
      <c r="K151" s="7">
        <v>0</v>
      </c>
      <c r="L151" s="8">
        <f>IFERROR(K151/K444, "NA")</f>
        <v>0</v>
      </c>
      <c r="M151" s="9"/>
      <c r="N151" s="10">
        <f>IFERROR(-(B151-K151), "NA")</f>
        <v>0</v>
      </c>
      <c r="O151" s="8">
        <f>IFERROR(N151/N444, "NA")</f>
        <v>0</v>
      </c>
      <c r="P151" s="9"/>
      <c r="Q151" s="7">
        <v>0</v>
      </c>
      <c r="R151" s="8">
        <f>IFERROR(Q151/Q444, "NA")</f>
        <v>0</v>
      </c>
      <c r="S151" s="9"/>
      <c r="T151" s="7">
        <v>0</v>
      </c>
      <c r="U151" s="8">
        <f>IFERROR(T151/T444, "NA")</f>
        <v>0</v>
      </c>
      <c r="V151" s="9"/>
      <c r="W151" s="10">
        <f>IFERROR(-(Q151-T151), "NA")</f>
        <v>0</v>
      </c>
      <c r="X151" s="8">
        <f>IFERROR(W151/W444, "NA")</f>
        <v>0</v>
      </c>
      <c r="Y151" s="9"/>
      <c r="Z151" s="7">
        <v>0</v>
      </c>
      <c r="AA151" s="8">
        <f>IFERROR(Z151/Z444, "NA")</f>
        <v>0</v>
      </c>
      <c r="AB151" s="9"/>
      <c r="AC151" s="10">
        <f>IFERROR(-(Q151-Z151), "NA")</f>
        <v>0</v>
      </c>
      <c r="AD151" s="8">
        <f>IFERROR(AC151/AC444, "NA")</f>
        <v>0</v>
      </c>
    </row>
    <row r="152" spans="1:30" ht="16.5" customHeight="1" x14ac:dyDescent="0.45">
      <c r="A152" s="11" t="s">
        <v>142</v>
      </c>
      <c r="B152" s="2"/>
      <c r="C152" s="3"/>
      <c r="D152" s="4"/>
      <c r="E152" s="2"/>
      <c r="F152" s="3"/>
      <c r="G152" s="4"/>
      <c r="H152" s="2"/>
      <c r="I152" s="3"/>
      <c r="J152" s="4"/>
      <c r="K152" s="2"/>
      <c r="L152" s="3"/>
      <c r="M152" s="4"/>
      <c r="N152" s="2"/>
      <c r="O152" s="3"/>
      <c r="P152" s="4"/>
      <c r="Q152" s="2"/>
      <c r="R152" s="3"/>
      <c r="S152" s="4"/>
      <c r="T152" s="2"/>
      <c r="U152" s="3"/>
      <c r="V152" s="4"/>
      <c r="W152" s="2"/>
      <c r="X152" s="3"/>
      <c r="Y152" s="4"/>
      <c r="Z152" s="2"/>
      <c r="AA152" s="3"/>
      <c r="AB152" s="4"/>
      <c r="AC152" s="2"/>
      <c r="AD152" s="3"/>
    </row>
    <row r="153" spans="1:30" ht="16.5" customHeight="1" x14ac:dyDescent="0.45">
      <c r="A153" s="12" t="s">
        <v>142</v>
      </c>
      <c r="B153" s="7">
        <v>0</v>
      </c>
      <c r="C153" s="8">
        <f>IFERROR(B153/B444, "NA")</f>
        <v>0</v>
      </c>
      <c r="D153" s="9"/>
      <c r="E153" s="7">
        <v>3981.67</v>
      </c>
      <c r="F153" s="8">
        <f>IFERROR(E153/E444, "NA")</f>
        <v>4.0999967254971945E-2</v>
      </c>
      <c r="G153" s="9"/>
      <c r="H153" s="10">
        <f t="shared" ref="H153:H158" si="36">IFERROR(-(B153-E153), "NA")</f>
        <v>3981.67</v>
      </c>
      <c r="I153" s="8">
        <f>IFERROR(H153/H444, "NA")</f>
        <v>-0.64695368747044935</v>
      </c>
      <c r="J153" s="9"/>
      <c r="K153" s="7">
        <v>0</v>
      </c>
      <c r="L153" s="8">
        <f>IFERROR(K153/K444, "NA")</f>
        <v>0</v>
      </c>
      <c r="M153" s="9"/>
      <c r="N153" s="10">
        <f t="shared" ref="N153:N158" si="37">IFERROR(-(B153-K153), "NA")</f>
        <v>0</v>
      </c>
      <c r="O153" s="8">
        <f>IFERROR(N153/N444, "NA")</f>
        <v>0</v>
      </c>
      <c r="P153" s="9"/>
      <c r="Q153" s="7">
        <v>0</v>
      </c>
      <c r="R153" s="8">
        <f>IFERROR(Q153/Q444, "NA")</f>
        <v>0</v>
      </c>
      <c r="S153" s="9"/>
      <c r="T153" s="7">
        <v>3981.67</v>
      </c>
      <c r="U153" s="8">
        <f>IFERROR(T153/T444, "NA")</f>
        <v>4.0999967254971945E-2</v>
      </c>
      <c r="V153" s="9"/>
      <c r="W153" s="10">
        <f t="shared" ref="W153:W158" si="38">IFERROR(-(Q153-T153), "NA")</f>
        <v>3981.67</v>
      </c>
      <c r="X153" s="8">
        <f>IFERROR(W153/W444, "NA")</f>
        <v>-0.64695368747044935</v>
      </c>
      <c r="Y153" s="9"/>
      <c r="Z153" s="7">
        <v>0</v>
      </c>
      <c r="AA153" s="8">
        <f>IFERROR(Z153/Z444, "NA")</f>
        <v>0</v>
      </c>
      <c r="AB153" s="9"/>
      <c r="AC153" s="10">
        <f t="shared" ref="AC153:AC158" si="39">IFERROR(-(Q153-Z153), "NA")</f>
        <v>0</v>
      </c>
      <c r="AD153" s="8">
        <f>IFERROR(AC153/AC444, "NA")</f>
        <v>0</v>
      </c>
    </row>
    <row r="154" spans="1:30" ht="16.5" customHeight="1" x14ac:dyDescent="0.45">
      <c r="A154" s="12" t="s">
        <v>143</v>
      </c>
      <c r="B154" s="7">
        <v>3180.88</v>
      </c>
      <c r="C154" s="8">
        <f>IFERROR(B154/B444, "NA")</f>
        <v>3.4970292819363875E-2</v>
      </c>
      <c r="D154" s="9"/>
      <c r="E154" s="7">
        <v>0</v>
      </c>
      <c r="F154" s="8">
        <f>IFERROR(E154/E444, "NA")</f>
        <v>0</v>
      </c>
      <c r="G154" s="9"/>
      <c r="H154" s="10">
        <f t="shared" si="36"/>
        <v>-3180.88</v>
      </c>
      <c r="I154" s="8">
        <f>IFERROR(H154/H444, "NA")</f>
        <v>0.51683892572739654</v>
      </c>
      <c r="J154" s="9"/>
      <c r="K154" s="7">
        <v>2669.27</v>
      </c>
      <c r="L154" s="8">
        <f>IFERROR(K154/K444, "NA")</f>
        <v>2.7953210911561593E-2</v>
      </c>
      <c r="M154" s="9"/>
      <c r="N154" s="10">
        <f t="shared" si="37"/>
        <v>-511.61000000000013</v>
      </c>
      <c r="O154" s="8">
        <f>IFERROR(N154/N444, "NA")</f>
        <v>0.11290952627920081</v>
      </c>
      <c r="P154" s="9"/>
      <c r="Q154" s="7">
        <v>3180.88</v>
      </c>
      <c r="R154" s="8">
        <f>IFERROR(Q154/Q444, "NA")</f>
        <v>3.4970292819363875E-2</v>
      </c>
      <c r="S154" s="9"/>
      <c r="T154" s="7">
        <v>0</v>
      </c>
      <c r="U154" s="8">
        <f>IFERROR(T154/T444, "NA")</f>
        <v>0</v>
      </c>
      <c r="V154" s="9"/>
      <c r="W154" s="10">
        <f t="shared" si="38"/>
        <v>-3180.88</v>
      </c>
      <c r="X154" s="8">
        <f>IFERROR(W154/W444, "NA")</f>
        <v>0.51683892572739654</v>
      </c>
      <c r="Y154" s="9"/>
      <c r="Z154" s="7">
        <v>2669.27</v>
      </c>
      <c r="AA154" s="8">
        <f>IFERROR(Z154/Z444, "NA")</f>
        <v>2.7953210911561593E-2</v>
      </c>
      <c r="AB154" s="9"/>
      <c r="AC154" s="10">
        <f t="shared" si="39"/>
        <v>-511.61000000000013</v>
      </c>
      <c r="AD154" s="8">
        <f>IFERROR(AC154/AC444, "NA")</f>
        <v>0.11290952627920081</v>
      </c>
    </row>
    <row r="155" spans="1:30" ht="16.5" customHeight="1" x14ac:dyDescent="0.45">
      <c r="A155" s="12" t="s">
        <v>144</v>
      </c>
      <c r="B155" s="7">
        <v>724.27</v>
      </c>
      <c r="C155" s="8">
        <f>IFERROR(B155/B444, "NA")</f>
        <v>7.9625556387794161E-3</v>
      </c>
      <c r="D155" s="9"/>
      <c r="E155" s="7">
        <v>0</v>
      </c>
      <c r="F155" s="8">
        <f>IFERROR(E155/E444, "NA")</f>
        <v>0</v>
      </c>
      <c r="G155" s="9"/>
      <c r="H155" s="10">
        <f t="shared" si="36"/>
        <v>-724.27</v>
      </c>
      <c r="I155" s="8">
        <f>IFERROR(H155/H444, "NA")</f>
        <v>0.11768156256651666</v>
      </c>
      <c r="J155" s="9"/>
      <c r="K155" s="7">
        <v>880.71</v>
      </c>
      <c r="L155" s="8">
        <f>IFERROR(K155/K444, "NA")</f>
        <v>9.2229981912363354E-3</v>
      </c>
      <c r="M155" s="9"/>
      <c r="N155" s="10">
        <f t="shared" si="37"/>
        <v>156.44000000000005</v>
      </c>
      <c r="O155" s="8">
        <f>IFERROR(N155/N444, "NA")</f>
        <v>-3.4525451596173214E-2</v>
      </c>
      <c r="P155" s="9"/>
      <c r="Q155" s="7">
        <v>724.27</v>
      </c>
      <c r="R155" s="8">
        <f>IFERROR(Q155/Q444, "NA")</f>
        <v>7.9625556387794161E-3</v>
      </c>
      <c r="S155" s="9"/>
      <c r="T155" s="7">
        <v>0</v>
      </c>
      <c r="U155" s="8">
        <f>IFERROR(T155/T444, "NA")</f>
        <v>0</v>
      </c>
      <c r="V155" s="9"/>
      <c r="W155" s="10">
        <f t="shared" si="38"/>
        <v>-724.27</v>
      </c>
      <c r="X155" s="8">
        <f>IFERROR(W155/W444, "NA")</f>
        <v>0.11768156256651666</v>
      </c>
      <c r="Y155" s="9"/>
      <c r="Z155" s="7">
        <v>880.71</v>
      </c>
      <c r="AA155" s="8">
        <f>IFERROR(Z155/Z444, "NA")</f>
        <v>9.2229981912363354E-3</v>
      </c>
      <c r="AB155" s="9"/>
      <c r="AC155" s="10">
        <f t="shared" si="39"/>
        <v>156.44000000000005</v>
      </c>
      <c r="AD155" s="8">
        <f>IFERROR(AC155/AC444, "NA")</f>
        <v>-3.4525451596173214E-2</v>
      </c>
    </row>
    <row r="156" spans="1:30" ht="16.5" hidden="1" customHeight="1" x14ac:dyDescent="0.45">
      <c r="A156" s="12" t="s">
        <v>145</v>
      </c>
      <c r="B156" s="7">
        <v>0</v>
      </c>
      <c r="C156" s="8">
        <f>IFERROR(B156/B444, "NA")</f>
        <v>0</v>
      </c>
      <c r="D156" s="9"/>
      <c r="E156" s="7">
        <v>0</v>
      </c>
      <c r="F156" s="8">
        <f>IFERROR(E156/E444, "NA")</f>
        <v>0</v>
      </c>
      <c r="G156" s="9"/>
      <c r="H156" s="10">
        <f t="shared" si="36"/>
        <v>0</v>
      </c>
      <c r="I156" s="8">
        <f>IFERROR(H156/H444, "NA")</f>
        <v>0</v>
      </c>
      <c r="J156" s="9"/>
      <c r="K156" s="7">
        <v>0</v>
      </c>
      <c r="L156" s="8">
        <f>IFERROR(K156/K444, "NA")</f>
        <v>0</v>
      </c>
      <c r="M156" s="9"/>
      <c r="N156" s="10">
        <f t="shared" si="37"/>
        <v>0</v>
      </c>
      <c r="O156" s="8">
        <f>IFERROR(N156/N444, "NA")</f>
        <v>0</v>
      </c>
      <c r="P156" s="9"/>
      <c r="Q156" s="7">
        <v>0</v>
      </c>
      <c r="R156" s="8">
        <f>IFERROR(Q156/Q444, "NA")</f>
        <v>0</v>
      </c>
      <c r="S156" s="9"/>
      <c r="T156" s="7">
        <v>0</v>
      </c>
      <c r="U156" s="8">
        <f>IFERROR(T156/T444, "NA")</f>
        <v>0</v>
      </c>
      <c r="V156" s="9"/>
      <c r="W156" s="10">
        <f t="shared" si="38"/>
        <v>0</v>
      </c>
      <c r="X156" s="8">
        <f>IFERROR(W156/W444, "NA")</f>
        <v>0</v>
      </c>
      <c r="Y156" s="9"/>
      <c r="Z156" s="7">
        <v>0</v>
      </c>
      <c r="AA156" s="8">
        <f>IFERROR(Z156/Z444, "NA")</f>
        <v>0</v>
      </c>
      <c r="AB156" s="9"/>
      <c r="AC156" s="10">
        <f t="shared" si="39"/>
        <v>0</v>
      </c>
      <c r="AD156" s="8">
        <f>IFERROR(AC156/AC444, "NA")</f>
        <v>0</v>
      </c>
    </row>
    <row r="157" spans="1:30" ht="16.5" hidden="1" customHeight="1" x14ac:dyDescent="0.45">
      <c r="A157" s="12" t="s">
        <v>146</v>
      </c>
      <c r="B157" s="7">
        <v>0</v>
      </c>
      <c r="C157" s="8">
        <f>IFERROR(B157/B444, "NA")</f>
        <v>0</v>
      </c>
      <c r="D157" s="9"/>
      <c r="E157" s="7">
        <v>0</v>
      </c>
      <c r="F157" s="8">
        <f>IFERROR(E157/E444, "NA")</f>
        <v>0</v>
      </c>
      <c r="G157" s="9"/>
      <c r="H157" s="10">
        <f t="shared" si="36"/>
        <v>0</v>
      </c>
      <c r="I157" s="8">
        <f>IFERROR(H157/H444, "NA")</f>
        <v>0</v>
      </c>
      <c r="J157" s="9"/>
      <c r="K157" s="7">
        <v>0</v>
      </c>
      <c r="L157" s="8">
        <f>IFERROR(K157/K444, "NA")</f>
        <v>0</v>
      </c>
      <c r="M157" s="9"/>
      <c r="N157" s="10">
        <f t="shared" si="37"/>
        <v>0</v>
      </c>
      <c r="O157" s="8">
        <f>IFERROR(N157/N444, "NA")</f>
        <v>0</v>
      </c>
      <c r="P157" s="9"/>
      <c r="Q157" s="7">
        <v>0</v>
      </c>
      <c r="R157" s="8">
        <f>IFERROR(Q157/Q444, "NA")</f>
        <v>0</v>
      </c>
      <c r="S157" s="9"/>
      <c r="T157" s="7">
        <v>0</v>
      </c>
      <c r="U157" s="8">
        <f>IFERROR(T157/T444, "NA")</f>
        <v>0</v>
      </c>
      <c r="V157" s="9"/>
      <c r="W157" s="10">
        <f t="shared" si="38"/>
        <v>0</v>
      </c>
      <c r="X157" s="8">
        <f>IFERROR(W157/W444, "NA")</f>
        <v>0</v>
      </c>
      <c r="Y157" s="9"/>
      <c r="Z157" s="7">
        <v>0</v>
      </c>
      <c r="AA157" s="8">
        <f>IFERROR(Z157/Z444, "NA")</f>
        <v>0</v>
      </c>
      <c r="AB157" s="9"/>
      <c r="AC157" s="10">
        <f t="shared" si="39"/>
        <v>0</v>
      </c>
      <c r="AD157" s="8">
        <f>IFERROR(AC157/AC444, "NA")</f>
        <v>0</v>
      </c>
    </row>
    <row r="158" spans="1:30" ht="16.5" customHeight="1" x14ac:dyDescent="0.45">
      <c r="A158" s="13" t="s">
        <v>147</v>
      </c>
      <c r="B158" s="14">
        <f>IFERROR(B153+B154+B155+B156+B157, "NA")</f>
        <v>3905.15</v>
      </c>
      <c r="C158" s="15">
        <f>IFERROR(B158/B444, "NA")</f>
        <v>4.293284845814329E-2</v>
      </c>
      <c r="D158" s="2"/>
      <c r="E158" s="14">
        <f>IFERROR(E153+E154+E155+E156+E157, "NA")</f>
        <v>3981.67</v>
      </c>
      <c r="F158" s="15">
        <f>IFERROR(E158/E444, "NA")</f>
        <v>4.0999967254971945E-2</v>
      </c>
      <c r="G158" s="2"/>
      <c r="H158" s="14">
        <f t="shared" si="36"/>
        <v>76.519999999999982</v>
      </c>
      <c r="I158" s="15">
        <f>IFERROR(H158/H444, "NA")</f>
        <v>-1.243319917653617E-2</v>
      </c>
      <c r="J158" s="2"/>
      <c r="K158" s="14">
        <f>IFERROR(K153+K154+K155+K156+K157, "NA")</f>
        <v>3549.98</v>
      </c>
      <c r="L158" s="15">
        <f>IFERROR(K158/K444, "NA")</f>
        <v>3.7176209102797932E-2</v>
      </c>
      <c r="M158" s="2"/>
      <c r="N158" s="14">
        <f t="shared" si="37"/>
        <v>-355.17000000000007</v>
      </c>
      <c r="O158" s="15">
        <f>IFERROR(N158/N444, "NA")</f>
        <v>7.8384074683027605E-2</v>
      </c>
      <c r="P158" s="2"/>
      <c r="Q158" s="14">
        <f>IFERROR(Q153+Q154+Q155+Q156+Q157, "NA")</f>
        <v>3905.15</v>
      </c>
      <c r="R158" s="15">
        <f>IFERROR(Q158/Q444, "NA")</f>
        <v>4.293284845814329E-2</v>
      </c>
      <c r="S158" s="2"/>
      <c r="T158" s="14">
        <f>IFERROR(T153+T154+T155+T156+T157, "NA")</f>
        <v>3981.67</v>
      </c>
      <c r="U158" s="15">
        <f>IFERROR(T158/T444, "NA")</f>
        <v>4.0999967254971945E-2</v>
      </c>
      <c r="V158" s="2"/>
      <c r="W158" s="14">
        <f t="shared" si="38"/>
        <v>76.519999999999982</v>
      </c>
      <c r="X158" s="15">
        <f>IFERROR(W158/W444, "NA")</f>
        <v>-1.243319917653617E-2</v>
      </c>
      <c r="Y158" s="2"/>
      <c r="Z158" s="14">
        <f>IFERROR(Z153+Z154+Z155+Z156+Z157, "NA")</f>
        <v>3549.98</v>
      </c>
      <c r="AA158" s="15">
        <f>IFERROR(Z158/Z444, "NA")</f>
        <v>3.7176209102797932E-2</v>
      </c>
      <c r="AB158" s="2"/>
      <c r="AC158" s="14">
        <f t="shared" si="39"/>
        <v>-355.17000000000007</v>
      </c>
      <c r="AD158" s="15">
        <f>IFERROR(AC158/AC444, "NA")</f>
        <v>7.8384074683027605E-2</v>
      </c>
    </row>
    <row r="159" spans="1:30" ht="16.5" customHeight="1" x14ac:dyDescent="0.45">
      <c r="A159" s="11" t="s">
        <v>148</v>
      </c>
      <c r="B159" s="2"/>
      <c r="C159" s="3"/>
      <c r="D159" s="4"/>
      <c r="E159" s="2"/>
      <c r="F159" s="3"/>
      <c r="G159" s="4"/>
      <c r="H159" s="2"/>
      <c r="I159" s="3"/>
      <c r="J159" s="4"/>
      <c r="K159" s="2"/>
      <c r="L159" s="3"/>
      <c r="M159" s="4"/>
      <c r="N159" s="2"/>
      <c r="O159" s="3"/>
      <c r="P159" s="4"/>
      <c r="Q159" s="2"/>
      <c r="R159" s="3"/>
      <c r="S159" s="4"/>
      <c r="T159" s="2"/>
      <c r="U159" s="3"/>
      <c r="V159" s="4"/>
      <c r="W159" s="2"/>
      <c r="X159" s="3"/>
      <c r="Y159" s="4"/>
      <c r="Z159" s="2"/>
      <c r="AA159" s="3"/>
      <c r="AB159" s="4"/>
      <c r="AC159" s="2"/>
      <c r="AD159" s="3"/>
    </row>
    <row r="160" spans="1:30" ht="16.5" hidden="1" customHeight="1" x14ac:dyDescent="0.45">
      <c r="A160" s="12" t="s">
        <v>148</v>
      </c>
      <c r="B160" s="7">
        <v>0</v>
      </c>
      <c r="C160" s="8">
        <f>IFERROR(B160/B444, "NA")</f>
        <v>0</v>
      </c>
      <c r="D160" s="9"/>
      <c r="E160" s="7">
        <v>0</v>
      </c>
      <c r="F160" s="8">
        <f>IFERROR(E160/E444, "NA")</f>
        <v>0</v>
      </c>
      <c r="G160" s="9"/>
      <c r="H160" s="10">
        <f t="shared" ref="H160:H171" si="40">IFERROR(-(B160-E160), "NA")</f>
        <v>0</v>
      </c>
      <c r="I160" s="8">
        <f>IFERROR(H160/H444, "NA")</f>
        <v>0</v>
      </c>
      <c r="J160" s="9"/>
      <c r="K160" s="7">
        <v>0</v>
      </c>
      <c r="L160" s="8">
        <f>IFERROR(K160/K444, "NA")</f>
        <v>0</v>
      </c>
      <c r="M160" s="9"/>
      <c r="N160" s="10">
        <f t="shared" ref="N160:N171" si="41">IFERROR(-(B160-K160), "NA")</f>
        <v>0</v>
      </c>
      <c r="O160" s="8">
        <f>IFERROR(N160/N444, "NA")</f>
        <v>0</v>
      </c>
      <c r="P160" s="9"/>
      <c r="Q160" s="7">
        <v>0</v>
      </c>
      <c r="R160" s="8">
        <f>IFERROR(Q160/Q444, "NA")</f>
        <v>0</v>
      </c>
      <c r="S160" s="9"/>
      <c r="T160" s="7">
        <v>0</v>
      </c>
      <c r="U160" s="8">
        <f>IFERROR(T160/T444, "NA")</f>
        <v>0</v>
      </c>
      <c r="V160" s="9"/>
      <c r="W160" s="10">
        <f t="shared" ref="W160:W171" si="42">IFERROR(-(Q160-T160), "NA")</f>
        <v>0</v>
      </c>
      <c r="X160" s="8">
        <f>IFERROR(W160/W444, "NA")</f>
        <v>0</v>
      </c>
      <c r="Y160" s="9"/>
      <c r="Z160" s="7">
        <v>0</v>
      </c>
      <c r="AA160" s="8">
        <f>IFERROR(Z160/Z444, "NA")</f>
        <v>0</v>
      </c>
      <c r="AB160" s="9"/>
      <c r="AC160" s="10">
        <f t="shared" ref="AC160:AC171" si="43">IFERROR(-(Q160-Z160), "NA")</f>
        <v>0</v>
      </c>
      <c r="AD160" s="8">
        <f>IFERROR(AC160/AC444, "NA")</f>
        <v>0</v>
      </c>
    </row>
    <row r="161" spans="1:30" ht="16.5" customHeight="1" x14ac:dyDescent="0.45">
      <c r="A161" s="12" t="s">
        <v>149</v>
      </c>
      <c r="B161" s="7">
        <v>132.49</v>
      </c>
      <c r="C161" s="8">
        <f>IFERROR(B161/B444, "NA")</f>
        <v>1.4565824852360101E-3</v>
      </c>
      <c r="D161" s="9"/>
      <c r="E161" s="7">
        <v>0</v>
      </c>
      <c r="F161" s="8">
        <f>IFERROR(E161/E444, "NA")</f>
        <v>0</v>
      </c>
      <c r="G161" s="9"/>
      <c r="H161" s="10">
        <f t="shared" si="40"/>
        <v>-132.49</v>
      </c>
      <c r="I161" s="8">
        <f>IFERROR(H161/H444, "NA")</f>
        <v>2.152737269863144E-2</v>
      </c>
      <c r="J161" s="9"/>
      <c r="K161" s="7">
        <v>181.93</v>
      </c>
      <c r="L161" s="8">
        <f>IFERROR(K161/K444, "NA")</f>
        <v>1.9052129088254096E-3</v>
      </c>
      <c r="M161" s="9"/>
      <c r="N161" s="10">
        <f t="shared" si="41"/>
        <v>49.44</v>
      </c>
      <c r="O161" s="8">
        <f>IFERROR(N161/N444, "NA")</f>
        <v>-1.0911137349238065E-2</v>
      </c>
      <c r="P161" s="9"/>
      <c r="Q161" s="7">
        <v>132.49</v>
      </c>
      <c r="R161" s="8">
        <f>IFERROR(Q161/Q444, "NA")</f>
        <v>1.4565824852360101E-3</v>
      </c>
      <c r="S161" s="9"/>
      <c r="T161" s="7">
        <v>0</v>
      </c>
      <c r="U161" s="8">
        <f>IFERROR(T161/T444, "NA")</f>
        <v>0</v>
      </c>
      <c r="V161" s="9"/>
      <c r="W161" s="10">
        <f t="shared" si="42"/>
        <v>-132.49</v>
      </c>
      <c r="X161" s="8">
        <f>IFERROR(W161/W444, "NA")</f>
        <v>2.152737269863144E-2</v>
      </c>
      <c r="Y161" s="9"/>
      <c r="Z161" s="7">
        <v>181.93</v>
      </c>
      <c r="AA161" s="8">
        <f>IFERROR(Z161/Z444, "NA")</f>
        <v>1.9052129088254096E-3</v>
      </c>
      <c r="AB161" s="9"/>
      <c r="AC161" s="10">
        <f t="shared" si="43"/>
        <v>49.44</v>
      </c>
      <c r="AD161" s="8">
        <f>IFERROR(AC161/AC444, "NA")</f>
        <v>-1.0911137349238065E-2</v>
      </c>
    </row>
    <row r="162" spans="1:30" ht="16.5" customHeight="1" x14ac:dyDescent="0.45">
      <c r="A162" s="12" t="s">
        <v>150</v>
      </c>
      <c r="B162" s="7">
        <v>3.5</v>
      </c>
      <c r="C162" s="8">
        <f>IFERROR(B162/B444, "NA")</f>
        <v>3.8478667811352062E-5</v>
      </c>
      <c r="D162" s="9"/>
      <c r="E162" s="7">
        <v>0</v>
      </c>
      <c r="F162" s="8">
        <f>IFERROR(E162/E444, "NA")</f>
        <v>0</v>
      </c>
      <c r="G162" s="9"/>
      <c r="H162" s="10">
        <f t="shared" si="40"/>
        <v>-3.5</v>
      </c>
      <c r="I162" s="8">
        <f>IFERROR(H162/H444, "NA")</f>
        <v>5.6869050075635918E-4</v>
      </c>
      <c r="J162" s="9"/>
      <c r="K162" s="7">
        <v>0</v>
      </c>
      <c r="L162" s="8">
        <f>IFERROR(K162/K444, "NA")</f>
        <v>0</v>
      </c>
      <c r="M162" s="9"/>
      <c r="N162" s="10">
        <f t="shared" si="41"/>
        <v>-3.5</v>
      </c>
      <c r="O162" s="8">
        <f>IFERROR(N162/N444, "NA")</f>
        <v>7.7243083985301846E-4</v>
      </c>
      <c r="P162" s="9"/>
      <c r="Q162" s="7">
        <v>3.5</v>
      </c>
      <c r="R162" s="8">
        <f>IFERROR(Q162/Q444, "NA")</f>
        <v>3.8478667811352062E-5</v>
      </c>
      <c r="S162" s="9"/>
      <c r="T162" s="7">
        <v>0</v>
      </c>
      <c r="U162" s="8">
        <f>IFERROR(T162/T444, "NA")</f>
        <v>0</v>
      </c>
      <c r="V162" s="9"/>
      <c r="W162" s="10">
        <f t="shared" si="42"/>
        <v>-3.5</v>
      </c>
      <c r="X162" s="8">
        <f>IFERROR(W162/W444, "NA")</f>
        <v>5.6869050075635918E-4</v>
      </c>
      <c r="Y162" s="9"/>
      <c r="Z162" s="7">
        <v>0</v>
      </c>
      <c r="AA162" s="8">
        <f>IFERROR(Z162/Z444, "NA")</f>
        <v>0</v>
      </c>
      <c r="AB162" s="9"/>
      <c r="AC162" s="10">
        <f t="shared" si="43"/>
        <v>-3.5</v>
      </c>
      <c r="AD162" s="8">
        <f>IFERROR(AC162/AC444, "NA")</f>
        <v>7.7243083985301846E-4</v>
      </c>
    </row>
    <row r="163" spans="1:30" ht="16.5" hidden="1" customHeight="1" x14ac:dyDescent="0.45">
      <c r="A163" s="12" t="s">
        <v>151</v>
      </c>
      <c r="B163" s="7">
        <v>0</v>
      </c>
      <c r="C163" s="8">
        <f>IFERROR(B163/B444, "NA")</f>
        <v>0</v>
      </c>
      <c r="D163" s="9"/>
      <c r="E163" s="7">
        <v>0</v>
      </c>
      <c r="F163" s="8">
        <f>IFERROR(E163/E444, "NA")</f>
        <v>0</v>
      </c>
      <c r="G163" s="9"/>
      <c r="H163" s="10">
        <f t="shared" si="40"/>
        <v>0</v>
      </c>
      <c r="I163" s="8">
        <f>IFERROR(H163/H444, "NA")</f>
        <v>0</v>
      </c>
      <c r="J163" s="9"/>
      <c r="K163" s="7">
        <v>0</v>
      </c>
      <c r="L163" s="8">
        <f>IFERROR(K163/K444, "NA")</f>
        <v>0</v>
      </c>
      <c r="M163" s="9"/>
      <c r="N163" s="10">
        <f t="shared" si="41"/>
        <v>0</v>
      </c>
      <c r="O163" s="8">
        <f>IFERROR(N163/N444, "NA")</f>
        <v>0</v>
      </c>
      <c r="P163" s="9"/>
      <c r="Q163" s="7">
        <v>0</v>
      </c>
      <c r="R163" s="8">
        <f>IFERROR(Q163/Q444, "NA")</f>
        <v>0</v>
      </c>
      <c r="S163" s="9"/>
      <c r="T163" s="7">
        <v>0</v>
      </c>
      <c r="U163" s="8">
        <f>IFERROR(T163/T444, "NA")</f>
        <v>0</v>
      </c>
      <c r="V163" s="9"/>
      <c r="W163" s="10">
        <f t="shared" si="42"/>
        <v>0</v>
      </c>
      <c r="X163" s="8">
        <f>IFERROR(W163/W444, "NA")</f>
        <v>0</v>
      </c>
      <c r="Y163" s="9"/>
      <c r="Z163" s="7">
        <v>0</v>
      </c>
      <c r="AA163" s="8">
        <f>IFERROR(Z163/Z444, "NA")</f>
        <v>0</v>
      </c>
      <c r="AB163" s="9"/>
      <c r="AC163" s="10">
        <f t="shared" si="43"/>
        <v>0</v>
      </c>
      <c r="AD163" s="8">
        <f>IFERROR(AC163/AC444, "NA")</f>
        <v>0</v>
      </c>
    </row>
    <row r="164" spans="1:30" ht="16.5" hidden="1" customHeight="1" x14ac:dyDescent="0.45">
      <c r="A164" s="12" t="s">
        <v>152</v>
      </c>
      <c r="B164" s="7">
        <v>0</v>
      </c>
      <c r="C164" s="8">
        <f>IFERROR(B164/B444, "NA")</f>
        <v>0</v>
      </c>
      <c r="D164" s="9"/>
      <c r="E164" s="7">
        <v>0</v>
      </c>
      <c r="F164" s="8">
        <f>IFERROR(E164/E444, "NA")</f>
        <v>0</v>
      </c>
      <c r="G164" s="9"/>
      <c r="H164" s="10">
        <f t="shared" si="40"/>
        <v>0</v>
      </c>
      <c r="I164" s="8">
        <f>IFERROR(H164/H444, "NA")</f>
        <v>0</v>
      </c>
      <c r="J164" s="9"/>
      <c r="K164" s="7">
        <v>0</v>
      </c>
      <c r="L164" s="8">
        <f>IFERROR(K164/K444, "NA")</f>
        <v>0</v>
      </c>
      <c r="M164" s="9"/>
      <c r="N164" s="10">
        <f t="shared" si="41"/>
        <v>0</v>
      </c>
      <c r="O164" s="8">
        <f>IFERROR(N164/N444, "NA")</f>
        <v>0</v>
      </c>
      <c r="P164" s="9"/>
      <c r="Q164" s="7">
        <v>0</v>
      </c>
      <c r="R164" s="8">
        <f>IFERROR(Q164/Q444, "NA")</f>
        <v>0</v>
      </c>
      <c r="S164" s="9"/>
      <c r="T164" s="7">
        <v>0</v>
      </c>
      <c r="U164" s="8">
        <f>IFERROR(T164/T444, "NA")</f>
        <v>0</v>
      </c>
      <c r="V164" s="9"/>
      <c r="W164" s="10">
        <f t="shared" si="42"/>
        <v>0</v>
      </c>
      <c r="X164" s="8">
        <f>IFERROR(W164/W444, "NA")</f>
        <v>0</v>
      </c>
      <c r="Y164" s="9"/>
      <c r="Z164" s="7">
        <v>0</v>
      </c>
      <c r="AA164" s="8">
        <f>IFERROR(Z164/Z444, "NA")</f>
        <v>0</v>
      </c>
      <c r="AB164" s="9"/>
      <c r="AC164" s="10">
        <f t="shared" si="43"/>
        <v>0</v>
      </c>
      <c r="AD164" s="8">
        <f>IFERROR(AC164/AC444, "NA")</f>
        <v>0</v>
      </c>
    </row>
    <row r="165" spans="1:30" ht="16.5" hidden="1" customHeight="1" x14ac:dyDescent="0.45">
      <c r="A165" s="12" t="s">
        <v>153</v>
      </c>
      <c r="B165" s="7">
        <v>0</v>
      </c>
      <c r="C165" s="8">
        <f>IFERROR(B165/B444, "NA")</f>
        <v>0</v>
      </c>
      <c r="D165" s="9"/>
      <c r="E165" s="7">
        <v>0</v>
      </c>
      <c r="F165" s="8">
        <f>IFERROR(E165/E444, "NA")</f>
        <v>0</v>
      </c>
      <c r="G165" s="9"/>
      <c r="H165" s="10">
        <f t="shared" si="40"/>
        <v>0</v>
      </c>
      <c r="I165" s="8">
        <f>IFERROR(H165/H444, "NA")</f>
        <v>0</v>
      </c>
      <c r="J165" s="9"/>
      <c r="K165" s="7">
        <v>0</v>
      </c>
      <c r="L165" s="8">
        <f>IFERROR(K165/K444, "NA")</f>
        <v>0</v>
      </c>
      <c r="M165" s="9"/>
      <c r="N165" s="10">
        <f t="shared" si="41"/>
        <v>0</v>
      </c>
      <c r="O165" s="8">
        <f>IFERROR(N165/N444, "NA")</f>
        <v>0</v>
      </c>
      <c r="P165" s="9"/>
      <c r="Q165" s="7">
        <v>0</v>
      </c>
      <c r="R165" s="8">
        <f>IFERROR(Q165/Q444, "NA")</f>
        <v>0</v>
      </c>
      <c r="S165" s="9"/>
      <c r="T165" s="7">
        <v>0</v>
      </c>
      <c r="U165" s="8">
        <f>IFERROR(T165/T444, "NA")</f>
        <v>0</v>
      </c>
      <c r="V165" s="9"/>
      <c r="W165" s="10">
        <f t="shared" si="42"/>
        <v>0</v>
      </c>
      <c r="X165" s="8">
        <f>IFERROR(W165/W444, "NA")</f>
        <v>0</v>
      </c>
      <c r="Y165" s="9"/>
      <c r="Z165" s="7">
        <v>0</v>
      </c>
      <c r="AA165" s="8">
        <f>IFERROR(Z165/Z444, "NA")</f>
        <v>0</v>
      </c>
      <c r="AB165" s="9"/>
      <c r="AC165" s="10">
        <f t="shared" si="43"/>
        <v>0</v>
      </c>
      <c r="AD165" s="8">
        <f>IFERROR(AC165/AC444, "NA")</f>
        <v>0</v>
      </c>
    </row>
    <row r="166" spans="1:30" ht="16.5" customHeight="1" x14ac:dyDescent="0.45">
      <c r="A166" s="13" t="s">
        <v>154</v>
      </c>
      <c r="B166" s="14">
        <f>IFERROR(B160+B161+B162+B163+B164+B165, "NA")</f>
        <v>135.99</v>
      </c>
      <c r="C166" s="15">
        <f>IFERROR(B166/B444, "NA")</f>
        <v>1.4950611530473621E-3</v>
      </c>
      <c r="D166" s="2"/>
      <c r="E166" s="14">
        <f>IFERROR(E160+E161+E162+E163+E164+E165, "NA")</f>
        <v>0</v>
      </c>
      <c r="F166" s="15">
        <f>IFERROR(E166/E444, "NA")</f>
        <v>0</v>
      </c>
      <c r="G166" s="2"/>
      <c r="H166" s="14">
        <f t="shared" si="40"/>
        <v>-135.99</v>
      </c>
      <c r="I166" s="15">
        <f>IFERROR(H166/H444, "NA")</f>
        <v>2.2096063199387801E-2</v>
      </c>
      <c r="J166" s="2"/>
      <c r="K166" s="14">
        <f>IFERROR(K160+K161+K162+K163+K164+K165, "NA")</f>
        <v>181.93</v>
      </c>
      <c r="L166" s="15">
        <f>IFERROR(K166/K444, "NA")</f>
        <v>1.9052129088254096E-3</v>
      </c>
      <c r="M166" s="2"/>
      <c r="N166" s="14">
        <f t="shared" si="41"/>
        <v>45.94</v>
      </c>
      <c r="O166" s="15">
        <f>IFERROR(N166/N444, "NA")</f>
        <v>-1.0138706509385047E-2</v>
      </c>
      <c r="P166" s="2"/>
      <c r="Q166" s="14">
        <f>IFERROR(Q160+Q161+Q162+Q163+Q164+Q165, "NA")</f>
        <v>135.99</v>
      </c>
      <c r="R166" s="15">
        <f>IFERROR(Q166/Q444, "NA")</f>
        <v>1.4950611530473621E-3</v>
      </c>
      <c r="S166" s="2"/>
      <c r="T166" s="14">
        <f>IFERROR(T160+T161+T162+T163+T164+T165, "NA")</f>
        <v>0</v>
      </c>
      <c r="U166" s="15">
        <f>IFERROR(T166/T444, "NA")</f>
        <v>0</v>
      </c>
      <c r="V166" s="2"/>
      <c r="W166" s="14">
        <f t="shared" si="42"/>
        <v>-135.99</v>
      </c>
      <c r="X166" s="15">
        <f>IFERROR(W166/W444, "NA")</f>
        <v>2.2096063199387801E-2</v>
      </c>
      <c r="Y166" s="2"/>
      <c r="Z166" s="14">
        <f>IFERROR(Z160+Z161+Z162+Z163+Z164+Z165, "NA")</f>
        <v>181.93</v>
      </c>
      <c r="AA166" s="15">
        <f>IFERROR(Z166/Z444, "NA")</f>
        <v>1.9052129088254096E-3</v>
      </c>
      <c r="AB166" s="2"/>
      <c r="AC166" s="14">
        <f t="shared" si="43"/>
        <v>45.94</v>
      </c>
      <c r="AD166" s="15">
        <f>IFERROR(AC166/AC444, "NA")</f>
        <v>-1.0138706509385047E-2</v>
      </c>
    </row>
    <row r="167" spans="1:30" ht="16.5" customHeight="1" x14ac:dyDescent="0.45">
      <c r="A167" s="6" t="s">
        <v>155</v>
      </c>
      <c r="B167" s="7">
        <v>126.38</v>
      </c>
      <c r="C167" s="8">
        <f>IFERROR(B167/B444, "NA")</f>
        <v>1.3894097251424781E-3</v>
      </c>
      <c r="D167" s="9"/>
      <c r="E167" s="7">
        <v>0</v>
      </c>
      <c r="F167" s="8">
        <f>IFERROR(E167/E444, "NA")</f>
        <v>0</v>
      </c>
      <c r="G167" s="9"/>
      <c r="H167" s="10">
        <f t="shared" si="40"/>
        <v>-126.38</v>
      </c>
      <c r="I167" s="8">
        <f>IFERROR(H167/H444, "NA")</f>
        <v>2.0534601567311052E-2</v>
      </c>
      <c r="J167" s="9"/>
      <c r="K167" s="7">
        <v>102.46</v>
      </c>
      <c r="L167" s="8">
        <f>IFERROR(K167/K444, "NA")</f>
        <v>1.0729847448922743E-3</v>
      </c>
      <c r="M167" s="9"/>
      <c r="N167" s="10">
        <f t="shared" si="41"/>
        <v>-23.92</v>
      </c>
      <c r="O167" s="8">
        <f>IFERROR(N167/N444, "NA")</f>
        <v>5.2790130540812004E-3</v>
      </c>
      <c r="P167" s="9"/>
      <c r="Q167" s="7">
        <v>126.38</v>
      </c>
      <c r="R167" s="8">
        <f>IFERROR(Q167/Q444, "NA")</f>
        <v>1.3894097251424781E-3</v>
      </c>
      <c r="S167" s="9"/>
      <c r="T167" s="7">
        <v>0</v>
      </c>
      <c r="U167" s="8">
        <f>IFERROR(T167/T444, "NA")</f>
        <v>0</v>
      </c>
      <c r="V167" s="9"/>
      <c r="W167" s="10">
        <f t="shared" si="42"/>
        <v>-126.38</v>
      </c>
      <c r="X167" s="8">
        <f>IFERROR(W167/W444, "NA")</f>
        <v>2.0534601567311052E-2</v>
      </c>
      <c r="Y167" s="9"/>
      <c r="Z167" s="7">
        <v>102.46</v>
      </c>
      <c r="AA167" s="8">
        <f>IFERROR(Z167/Z444, "NA")</f>
        <v>1.0729847448922743E-3</v>
      </c>
      <c r="AB167" s="9"/>
      <c r="AC167" s="10">
        <f t="shared" si="43"/>
        <v>-23.92</v>
      </c>
      <c r="AD167" s="8">
        <f>IFERROR(AC167/AC444, "NA")</f>
        <v>5.2790130540812004E-3</v>
      </c>
    </row>
    <row r="168" spans="1:30" ht="16.5" customHeight="1" x14ac:dyDescent="0.45">
      <c r="A168" s="6" t="s">
        <v>156</v>
      </c>
      <c r="B168" s="7">
        <v>27.31</v>
      </c>
      <c r="C168" s="8">
        <f>IFERROR(B168/B444, "NA")</f>
        <v>3.0024354797943565E-4</v>
      </c>
      <c r="D168" s="9"/>
      <c r="E168" s="7">
        <v>0</v>
      </c>
      <c r="F168" s="8">
        <f>IFERROR(E168/E444, "NA")</f>
        <v>0</v>
      </c>
      <c r="G168" s="9"/>
      <c r="H168" s="10">
        <f t="shared" si="40"/>
        <v>-27.31</v>
      </c>
      <c r="I168" s="8">
        <f>IFERROR(H168/H444, "NA")</f>
        <v>4.4374107359017624E-3</v>
      </c>
      <c r="J168" s="9"/>
      <c r="K168" s="7">
        <v>45.8</v>
      </c>
      <c r="L168" s="8">
        <f>IFERROR(K168/K444, "NA")</f>
        <v>4.7962816041446574E-4</v>
      </c>
      <c r="M168" s="9"/>
      <c r="N168" s="10">
        <f t="shared" si="41"/>
        <v>18.489999999999998</v>
      </c>
      <c r="O168" s="8">
        <f>IFERROR(N168/N444, "NA")</f>
        <v>-4.0806417796806597E-3</v>
      </c>
      <c r="P168" s="9"/>
      <c r="Q168" s="7">
        <v>27.31</v>
      </c>
      <c r="R168" s="8">
        <f>IFERROR(Q168/Q444, "NA")</f>
        <v>3.0024354797943565E-4</v>
      </c>
      <c r="S168" s="9"/>
      <c r="T168" s="7">
        <v>0</v>
      </c>
      <c r="U168" s="8">
        <f>IFERROR(T168/T444, "NA")</f>
        <v>0</v>
      </c>
      <c r="V168" s="9"/>
      <c r="W168" s="10">
        <f t="shared" si="42"/>
        <v>-27.31</v>
      </c>
      <c r="X168" s="8">
        <f>IFERROR(W168/W444, "NA")</f>
        <v>4.4374107359017624E-3</v>
      </c>
      <c r="Y168" s="9"/>
      <c r="Z168" s="7">
        <v>45.8</v>
      </c>
      <c r="AA168" s="8">
        <f>IFERROR(Z168/Z444, "NA")</f>
        <v>4.7962816041446574E-4</v>
      </c>
      <c r="AB168" s="9"/>
      <c r="AC168" s="10">
        <f t="shared" si="43"/>
        <v>18.489999999999998</v>
      </c>
      <c r="AD168" s="8">
        <f>IFERROR(AC168/AC444, "NA")</f>
        <v>-4.0806417796806597E-3</v>
      </c>
    </row>
    <row r="169" spans="1:30" ht="16.5" customHeight="1" x14ac:dyDescent="0.45">
      <c r="A169" s="6" t="s">
        <v>157</v>
      </c>
      <c r="B169" s="7">
        <v>-1219.98</v>
      </c>
      <c r="C169" s="8">
        <f>IFERROR(B169/B444, "NA")</f>
        <v>-1.3412344330426654E-2</v>
      </c>
      <c r="D169" s="9"/>
      <c r="E169" s="7">
        <v>0</v>
      </c>
      <c r="F169" s="8">
        <f>IFERROR(E169/E444, "NA")</f>
        <v>0</v>
      </c>
      <c r="G169" s="9"/>
      <c r="H169" s="10">
        <f t="shared" si="40"/>
        <v>1219.98</v>
      </c>
      <c r="I169" s="8">
        <f>IFERROR(H169/H444, "NA")</f>
        <v>-0.1982260106036409</v>
      </c>
      <c r="J169" s="9"/>
      <c r="K169" s="7">
        <v>-3914.42</v>
      </c>
      <c r="L169" s="8">
        <f>IFERROR(K169/K444, "NA")</f>
        <v>-4.0992708814183258E-2</v>
      </c>
      <c r="M169" s="9"/>
      <c r="N169" s="10">
        <f t="shared" si="41"/>
        <v>-2694.44</v>
      </c>
      <c r="O169" s="8">
        <f>IFERROR(N169/N444, "NA")</f>
        <v>0.59464815775244773</v>
      </c>
      <c r="P169" s="9"/>
      <c r="Q169" s="7">
        <v>-1219.98</v>
      </c>
      <c r="R169" s="8">
        <f>IFERROR(Q169/Q444, "NA")</f>
        <v>-1.3412344330426654E-2</v>
      </c>
      <c r="S169" s="9"/>
      <c r="T169" s="7">
        <v>0</v>
      </c>
      <c r="U169" s="8">
        <f>IFERROR(T169/T444, "NA")</f>
        <v>0</v>
      </c>
      <c r="V169" s="9"/>
      <c r="W169" s="10">
        <f t="shared" si="42"/>
        <v>1219.98</v>
      </c>
      <c r="X169" s="8">
        <f>IFERROR(W169/W444, "NA")</f>
        <v>-0.1982260106036409</v>
      </c>
      <c r="Y169" s="9"/>
      <c r="Z169" s="7">
        <v>-3914.42</v>
      </c>
      <c r="AA169" s="8">
        <f>IFERROR(Z169/Z444, "NA")</f>
        <v>-4.0992708814183258E-2</v>
      </c>
      <c r="AB169" s="9"/>
      <c r="AC169" s="10">
        <f t="shared" si="43"/>
        <v>-2694.44</v>
      </c>
      <c r="AD169" s="8">
        <f>IFERROR(AC169/AC444, "NA")</f>
        <v>0.59464815775244773</v>
      </c>
    </row>
    <row r="170" spans="1:30" ht="16.5" customHeight="1" x14ac:dyDescent="0.45">
      <c r="A170" s="19" t="s">
        <v>158</v>
      </c>
      <c r="B170" s="14">
        <f>IFERROR(B151+B153+B154+B155+B156+B157+B160+B161+B162+B163+B164+B165+B167+B168+B169, "NA")</f>
        <v>2974.8500000000008</v>
      </c>
      <c r="C170" s="15">
        <f>IFERROR(B170/B444, "NA")</f>
        <v>3.2705218553885917E-2</v>
      </c>
      <c r="D170" s="2"/>
      <c r="E170" s="14">
        <f>IFERROR(E151+E153+E154+E155+E156+E157+E160+E161+E162+E163+E164+E165+E167+E168+E169, "NA")</f>
        <v>3981.67</v>
      </c>
      <c r="F170" s="15">
        <f>IFERROR(E170/E444, "NA")</f>
        <v>4.0999967254971945E-2</v>
      </c>
      <c r="G170" s="2"/>
      <c r="H170" s="14">
        <f t="shared" si="40"/>
        <v>1006.8199999999993</v>
      </c>
      <c r="I170" s="15">
        <f>IFERROR(H170/H444, "NA")</f>
        <v>-0.16359113427757632</v>
      </c>
      <c r="J170" s="2"/>
      <c r="K170" s="14">
        <f>IFERROR(K151+K153+K154+K155+K156+K157+K160+K161+K162+K163+K164+K165+K167+K168+K169, "NA")</f>
        <v>-34.25</v>
      </c>
      <c r="L170" s="15">
        <f>IFERROR(K170/K444, "NA")</f>
        <v>-3.5867389725317584E-4</v>
      </c>
      <c r="M170" s="2"/>
      <c r="N170" s="14">
        <f t="shared" si="41"/>
        <v>-3009.1000000000008</v>
      </c>
      <c r="O170" s="15">
        <f>IFERROR(N170/N444, "NA")</f>
        <v>0.664091897200491</v>
      </c>
      <c r="P170" s="2"/>
      <c r="Q170" s="14">
        <f>IFERROR(Q151+Q153+Q154+Q155+Q156+Q157+Q160+Q161+Q162+Q163+Q164+Q165+Q167+Q168+Q169, "NA")</f>
        <v>2974.8500000000008</v>
      </c>
      <c r="R170" s="15">
        <f>IFERROR(Q170/Q444, "NA")</f>
        <v>3.2705218553885917E-2</v>
      </c>
      <c r="S170" s="2"/>
      <c r="T170" s="14">
        <f>IFERROR(T151+T153+T154+T155+T156+T157+T160+T161+T162+T163+T164+T165+T167+T168+T169, "NA")</f>
        <v>3981.67</v>
      </c>
      <c r="U170" s="15">
        <f>IFERROR(T170/T444, "NA")</f>
        <v>4.0999967254971945E-2</v>
      </c>
      <c r="V170" s="2"/>
      <c r="W170" s="14">
        <f t="shared" si="42"/>
        <v>1006.8199999999993</v>
      </c>
      <c r="X170" s="15">
        <f>IFERROR(W170/W444, "NA")</f>
        <v>-0.16359113427757632</v>
      </c>
      <c r="Y170" s="2"/>
      <c r="Z170" s="14">
        <f>IFERROR(Z151+Z153+Z154+Z155+Z156+Z157+Z160+Z161+Z162+Z163+Z164+Z165+Z167+Z168+Z169, "NA")</f>
        <v>-34.25</v>
      </c>
      <c r="AA170" s="15">
        <f>IFERROR(Z170/Z444, "NA")</f>
        <v>-3.5867389725317584E-4</v>
      </c>
      <c r="AB170" s="2"/>
      <c r="AC170" s="14">
        <f t="shared" si="43"/>
        <v>-3009.1000000000008</v>
      </c>
      <c r="AD170" s="15">
        <f>IFERROR(AC170/AC444, "NA")</f>
        <v>0.664091897200491</v>
      </c>
    </row>
    <row r="171" spans="1:30" ht="16.5" customHeight="1" x14ac:dyDescent="0.45">
      <c r="A171" s="21" t="s">
        <v>159</v>
      </c>
      <c r="B171" s="14">
        <f>IFERROR(B127+B129+B130+B131+B132+B133+B134+B135+B136+B137+B138+B139+B140+B143+B144+B145+B146+B147+B151+B153+B154+B155+B156+B157+B160+B161+B162+B163+B164+B165+B167+B168+B169, "NA")</f>
        <v>27059.300000000007</v>
      </c>
      <c r="C171" s="15">
        <f>IFERROR(B171/B444, "NA")</f>
        <v>0.29748737597363401</v>
      </c>
      <c r="D171" s="2"/>
      <c r="E171" s="14">
        <f>IFERROR(E127+E129+E130+E131+E132+E133+E134+E135+E136+E137+E138+E139+E140+E143+E144+E145+E146+E147+E151+E153+E154+E155+E156+E157+E160+E161+E162+E163+E164+E165+E167+E168+E169, "NA")</f>
        <v>27386.14</v>
      </c>
      <c r="F171" s="15">
        <f>IFERROR(E171/E444, "NA")</f>
        <v>0.28199997569865842</v>
      </c>
      <c r="G171" s="2"/>
      <c r="H171" s="14">
        <f t="shared" si="40"/>
        <v>326.83999999999287</v>
      </c>
      <c r="I171" s="15">
        <f>IFERROR(H171/H444, "NA")</f>
        <v>-5.3105943790629828E-2</v>
      </c>
      <c r="J171" s="2"/>
      <c r="K171" s="14">
        <f>IFERROR(K127+K129+K130+K131+K132+K133+K134+K135+K136+K137+K138+K139+K140+K143+K144+K145+K146+K147+K151+K153+K154+K155+K156+K157+K160+K161+K162+K163+K164+K165+K167+K168+K169, "NA")</f>
        <v>23943.310000000005</v>
      </c>
      <c r="L171" s="15">
        <f>IFERROR(K171/K444, "NA")</f>
        <v>0.25073986309024637</v>
      </c>
      <c r="M171" s="2"/>
      <c r="N171" s="14">
        <f t="shared" si="41"/>
        <v>-3115.9900000000016</v>
      </c>
      <c r="O171" s="15">
        <f>IFERROR(N171/N444, "NA")</f>
        <v>0.68768193504960229</v>
      </c>
      <c r="P171" s="2"/>
      <c r="Q171" s="14">
        <f>IFERROR(Q127+Q129+Q130+Q131+Q132+Q133+Q134+Q135+Q136+Q137+Q138+Q139+Q140+Q143+Q144+Q145+Q146+Q147+Q151+Q153+Q154+Q155+Q156+Q157+Q160+Q161+Q162+Q163+Q164+Q165+Q167+Q168+Q169, "NA")</f>
        <v>27059.300000000007</v>
      </c>
      <c r="R171" s="15">
        <f>IFERROR(Q171/Q444, "NA")</f>
        <v>0.29748737597363401</v>
      </c>
      <c r="S171" s="2"/>
      <c r="T171" s="14">
        <f>IFERROR(T127+T129+T130+T131+T132+T133+T134+T135+T136+T137+T138+T139+T140+T143+T144+T145+T146+T147+T151+T153+T154+T155+T156+T157+T160+T161+T162+T163+T164+T165+T167+T168+T169, "NA")</f>
        <v>27386.14</v>
      </c>
      <c r="U171" s="15">
        <f>IFERROR(T171/T444, "NA")</f>
        <v>0.28199997569865842</v>
      </c>
      <c r="V171" s="2"/>
      <c r="W171" s="14">
        <f t="shared" si="42"/>
        <v>326.83999999999287</v>
      </c>
      <c r="X171" s="15">
        <f>IFERROR(W171/W444, "NA")</f>
        <v>-5.3105943790629828E-2</v>
      </c>
      <c r="Y171" s="2"/>
      <c r="Z171" s="14">
        <f>IFERROR(Z127+Z129+Z130+Z131+Z132+Z133+Z134+Z135+Z136+Z137+Z138+Z139+Z140+Z143+Z144+Z145+Z146+Z147+Z151+Z153+Z154+Z155+Z156+Z157+Z160+Z161+Z162+Z163+Z164+Z165+Z167+Z168+Z169, "NA")</f>
        <v>23943.310000000005</v>
      </c>
      <c r="AA171" s="15">
        <f>IFERROR(Z171/Z444, "NA")</f>
        <v>0.25073986309024637</v>
      </c>
      <c r="AB171" s="2"/>
      <c r="AC171" s="14">
        <f t="shared" si="43"/>
        <v>-3115.9900000000016</v>
      </c>
      <c r="AD171" s="15">
        <f>IFERROR(AC171/AC444, "NA")</f>
        <v>0.68768193504960229</v>
      </c>
    </row>
    <row r="172" spans="1:30" ht="16.5" customHeight="1" x14ac:dyDescent="0.45">
      <c r="A172" s="22" t="s">
        <v>160</v>
      </c>
      <c r="B172" s="23">
        <f>IFERROR(B124-B171, "NA")</f>
        <v>63900.189999999988</v>
      </c>
      <c r="C172" s="24">
        <f>IFERROR(B172/B444, "NA")</f>
        <v>0.70251262402636583</v>
      </c>
      <c r="D172" s="25"/>
      <c r="E172" s="23">
        <f>IFERROR(E124-E171, "NA")</f>
        <v>69727.840000000011</v>
      </c>
      <c r="F172" s="24">
        <f>IFERROR(E172/E444, "NA")</f>
        <v>0.71800002430134169</v>
      </c>
      <c r="G172" s="25"/>
      <c r="H172" s="23">
        <f>IFERROR(B172-E172, "NA")</f>
        <v>-5827.6500000000233</v>
      </c>
      <c r="I172" s="24">
        <f>IFERROR(H172/H444, "NA")</f>
        <v>0.94689405620937428</v>
      </c>
      <c r="J172" s="25"/>
      <c r="K172" s="23">
        <f>IFERROR(K124-K171, "NA")</f>
        <v>71547.330000000016</v>
      </c>
      <c r="L172" s="24">
        <f>IFERROR(K172/K444, "NA")</f>
        <v>0.74926013690975379</v>
      </c>
      <c r="M172" s="25"/>
      <c r="N172" s="23">
        <f>IFERROR(B172-K172, "NA")</f>
        <v>-7647.1400000000285</v>
      </c>
      <c r="O172" s="24">
        <f>IFERROR(N172/N444, "NA")</f>
        <v>1.6876819350496095</v>
      </c>
      <c r="P172" s="25"/>
      <c r="Q172" s="23">
        <f>IFERROR(Q124-Q171, "NA")</f>
        <v>63900.189999999988</v>
      </c>
      <c r="R172" s="24">
        <f>IFERROR(Q172/Q444, "NA")</f>
        <v>0.70251262402636583</v>
      </c>
      <c r="S172" s="25"/>
      <c r="T172" s="23">
        <f>IFERROR(T124-T171, "NA")</f>
        <v>69727.840000000011</v>
      </c>
      <c r="U172" s="24">
        <f>IFERROR(T172/T444, "NA")</f>
        <v>0.71800002430134169</v>
      </c>
      <c r="V172" s="25"/>
      <c r="W172" s="23">
        <f>IFERROR(Q172-T172, "NA")</f>
        <v>-5827.6500000000233</v>
      </c>
      <c r="X172" s="24">
        <f>IFERROR(W172/W444, "NA")</f>
        <v>0.94689405620937428</v>
      </c>
      <c r="Y172" s="25"/>
      <c r="Z172" s="23">
        <f>IFERROR(Z124-Z171, "NA")</f>
        <v>71547.330000000016</v>
      </c>
      <c r="AA172" s="24">
        <f>IFERROR(Z172/Z444, "NA")</f>
        <v>0.74926013690975379</v>
      </c>
      <c r="AB172" s="25"/>
      <c r="AC172" s="23">
        <f>IFERROR(Q172-Z172, "NA")</f>
        <v>-7647.1400000000285</v>
      </c>
      <c r="AD172" s="24">
        <f>IFERROR(AC172/AC444, "NA")</f>
        <v>1.6876819350496095</v>
      </c>
    </row>
    <row r="173" spans="1:30" ht="16.5" customHeight="1" x14ac:dyDescent="0.45">
      <c r="A173" s="1" t="s">
        <v>161</v>
      </c>
      <c r="B173" s="2"/>
      <c r="C173" s="3"/>
      <c r="D173" s="4"/>
      <c r="E173" s="2"/>
      <c r="F173" s="3"/>
      <c r="G173" s="4"/>
      <c r="H173" s="2"/>
      <c r="I173" s="3"/>
      <c r="J173" s="4"/>
      <c r="K173" s="2"/>
      <c r="L173" s="3"/>
      <c r="M173" s="4"/>
      <c r="N173" s="2"/>
      <c r="O173" s="3"/>
      <c r="P173" s="4"/>
      <c r="Q173" s="2"/>
      <c r="R173" s="3"/>
      <c r="S173" s="4"/>
      <c r="T173" s="2"/>
      <c r="U173" s="3"/>
      <c r="V173" s="4"/>
      <c r="W173" s="2"/>
      <c r="X173" s="3"/>
      <c r="Y173" s="4"/>
      <c r="Z173" s="2"/>
      <c r="AA173" s="3"/>
      <c r="AB173" s="4"/>
      <c r="AC173" s="2"/>
      <c r="AD173" s="3"/>
    </row>
    <row r="174" spans="1:30" ht="16.5" customHeight="1" x14ac:dyDescent="0.45">
      <c r="A174" s="5" t="s">
        <v>161</v>
      </c>
      <c r="B174" s="2"/>
      <c r="C174" s="3"/>
      <c r="D174" s="4"/>
      <c r="E174" s="2"/>
      <c r="F174" s="3"/>
      <c r="G174" s="4"/>
      <c r="H174" s="2"/>
      <c r="I174" s="3"/>
      <c r="J174" s="4"/>
      <c r="K174" s="2"/>
      <c r="L174" s="3"/>
      <c r="M174" s="4"/>
      <c r="N174" s="2"/>
      <c r="O174" s="3"/>
      <c r="P174" s="4"/>
      <c r="Q174" s="2"/>
      <c r="R174" s="3"/>
      <c r="S174" s="4"/>
      <c r="T174" s="2"/>
      <c r="U174" s="3"/>
      <c r="V174" s="4"/>
      <c r="W174" s="2"/>
      <c r="X174" s="3"/>
      <c r="Y174" s="4"/>
      <c r="Z174" s="2"/>
      <c r="AA174" s="3"/>
      <c r="AB174" s="4"/>
      <c r="AC174" s="2"/>
      <c r="AD174" s="3"/>
    </row>
    <row r="175" spans="1:30" ht="16.5" hidden="1" customHeight="1" x14ac:dyDescent="0.45">
      <c r="A175" s="6" t="s">
        <v>161</v>
      </c>
      <c r="B175" s="7">
        <v>0</v>
      </c>
      <c r="C175" s="8">
        <f>IFERROR(B175/B444, "NA")</f>
        <v>0</v>
      </c>
      <c r="D175" s="9"/>
      <c r="E175" s="7">
        <v>0</v>
      </c>
      <c r="F175" s="8">
        <f>IFERROR(E175/E444, "NA")</f>
        <v>0</v>
      </c>
      <c r="G175" s="9"/>
      <c r="H175" s="10">
        <f>IFERROR(-(B175-E175), "NA")</f>
        <v>0</v>
      </c>
      <c r="I175" s="8">
        <f>IFERROR(H175/H444, "NA")</f>
        <v>0</v>
      </c>
      <c r="J175" s="9"/>
      <c r="K175" s="7">
        <v>0</v>
      </c>
      <c r="L175" s="8">
        <f>IFERROR(K175/K444, "NA")</f>
        <v>0</v>
      </c>
      <c r="M175" s="9"/>
      <c r="N175" s="10">
        <f>IFERROR(-(B175-K175), "NA")</f>
        <v>0</v>
      </c>
      <c r="O175" s="8">
        <f>IFERROR(N175/N444, "NA")</f>
        <v>0</v>
      </c>
      <c r="P175" s="9"/>
      <c r="Q175" s="7">
        <v>0</v>
      </c>
      <c r="R175" s="8">
        <f>IFERROR(Q175/Q444, "NA")</f>
        <v>0</v>
      </c>
      <c r="S175" s="9"/>
      <c r="T175" s="7">
        <v>0</v>
      </c>
      <c r="U175" s="8">
        <f>IFERROR(T175/T444, "NA")</f>
        <v>0</v>
      </c>
      <c r="V175" s="9"/>
      <c r="W175" s="10">
        <f>IFERROR(-(Q175-T175), "NA")</f>
        <v>0</v>
      </c>
      <c r="X175" s="8">
        <f>IFERROR(W175/W444, "NA")</f>
        <v>0</v>
      </c>
      <c r="Y175" s="9"/>
      <c r="Z175" s="7">
        <v>0</v>
      </c>
      <c r="AA175" s="8">
        <f>IFERROR(Z175/Z444, "NA")</f>
        <v>0</v>
      </c>
      <c r="AB175" s="9"/>
      <c r="AC175" s="10">
        <f>IFERROR(-(Q175-Z175), "NA")</f>
        <v>0</v>
      </c>
      <c r="AD175" s="8">
        <f>IFERROR(AC175/AC444, "NA")</f>
        <v>0</v>
      </c>
    </row>
    <row r="176" spans="1:30" ht="16.5" customHeight="1" x14ac:dyDescent="0.45">
      <c r="A176" s="11" t="s">
        <v>162</v>
      </c>
      <c r="B176" s="2"/>
      <c r="C176" s="3"/>
      <c r="D176" s="4"/>
      <c r="E176" s="2"/>
      <c r="F176" s="3"/>
      <c r="G176" s="4"/>
      <c r="H176" s="2"/>
      <c r="I176" s="3"/>
      <c r="J176" s="4"/>
      <c r="K176" s="2"/>
      <c r="L176" s="3"/>
      <c r="M176" s="4"/>
      <c r="N176" s="2"/>
      <c r="O176" s="3"/>
      <c r="P176" s="4"/>
      <c r="Q176" s="2"/>
      <c r="R176" s="3"/>
      <c r="S176" s="4"/>
      <c r="T176" s="2"/>
      <c r="U176" s="3"/>
      <c r="V176" s="4"/>
      <c r="W176" s="2"/>
      <c r="X176" s="3"/>
      <c r="Y176" s="4"/>
      <c r="Z176" s="2"/>
      <c r="AA176" s="3"/>
      <c r="AB176" s="4"/>
      <c r="AC176" s="2"/>
      <c r="AD176" s="3"/>
    </row>
    <row r="177" spans="1:30" ht="16.5" hidden="1" customHeight="1" x14ac:dyDescent="0.45">
      <c r="A177" s="12" t="s">
        <v>162</v>
      </c>
      <c r="B177" s="7">
        <v>0</v>
      </c>
      <c r="C177" s="8">
        <f>IFERROR(B177/B444, "NA")</f>
        <v>0</v>
      </c>
      <c r="D177" s="9"/>
      <c r="E177" s="7">
        <v>0</v>
      </c>
      <c r="F177" s="8">
        <f>IFERROR(E177/E444, "NA")</f>
        <v>0</v>
      </c>
      <c r="G177" s="9"/>
      <c r="H177" s="10">
        <f t="shared" ref="H177:H184" si="44">IFERROR(-(B177-E177), "NA")</f>
        <v>0</v>
      </c>
      <c r="I177" s="8">
        <f>IFERROR(H177/H444, "NA")</f>
        <v>0</v>
      </c>
      <c r="J177" s="9"/>
      <c r="K177" s="7">
        <v>0</v>
      </c>
      <c r="L177" s="8">
        <f>IFERROR(K177/K444, "NA")</f>
        <v>0</v>
      </c>
      <c r="M177" s="9"/>
      <c r="N177" s="10">
        <f t="shared" ref="N177:N184" si="45">IFERROR(-(B177-K177), "NA")</f>
        <v>0</v>
      </c>
      <c r="O177" s="8">
        <f>IFERROR(N177/N444, "NA")</f>
        <v>0</v>
      </c>
      <c r="P177" s="9"/>
      <c r="Q177" s="7">
        <v>0</v>
      </c>
      <c r="R177" s="8">
        <f>IFERROR(Q177/Q444, "NA")</f>
        <v>0</v>
      </c>
      <c r="S177" s="9"/>
      <c r="T177" s="7">
        <v>0</v>
      </c>
      <c r="U177" s="8">
        <f>IFERROR(T177/T444, "NA")</f>
        <v>0</v>
      </c>
      <c r="V177" s="9"/>
      <c r="W177" s="10">
        <f t="shared" ref="W177:W184" si="46">IFERROR(-(Q177-T177), "NA")</f>
        <v>0</v>
      </c>
      <c r="X177" s="8">
        <f>IFERROR(W177/W444, "NA")</f>
        <v>0</v>
      </c>
      <c r="Y177" s="9"/>
      <c r="Z177" s="7">
        <v>0</v>
      </c>
      <c r="AA177" s="8">
        <f>IFERROR(Z177/Z444, "NA")</f>
        <v>0</v>
      </c>
      <c r="AB177" s="9"/>
      <c r="AC177" s="10">
        <f t="shared" ref="AC177:AC184" si="47">IFERROR(-(Q177-Z177), "NA")</f>
        <v>0</v>
      </c>
      <c r="AD177" s="8">
        <f>IFERROR(AC177/AC444, "NA")</f>
        <v>0</v>
      </c>
    </row>
    <row r="178" spans="1:30" ht="16.5" customHeight="1" x14ac:dyDescent="0.45">
      <c r="A178" s="12" t="s">
        <v>163</v>
      </c>
      <c r="B178" s="7">
        <v>5192.32</v>
      </c>
      <c r="C178" s="8">
        <f>IFERROR(B178/B444, "NA")</f>
        <v>5.7083873271497006E-2</v>
      </c>
      <c r="D178" s="9"/>
      <c r="E178" s="7">
        <v>5192.32</v>
      </c>
      <c r="F178" s="8">
        <f>IFERROR(E178/E444, "NA")</f>
        <v>5.3466246569237506E-2</v>
      </c>
      <c r="G178" s="9"/>
      <c r="H178" s="10">
        <f t="shared" si="44"/>
        <v>0</v>
      </c>
      <c r="I178" s="8">
        <f>IFERROR(H178/H444, "NA")</f>
        <v>0</v>
      </c>
      <c r="J178" s="9"/>
      <c r="K178" s="7">
        <v>5192.32</v>
      </c>
      <c r="L178" s="8">
        <f>IFERROR(K178/K444, "NA")</f>
        <v>5.4375172268192981E-2</v>
      </c>
      <c r="M178" s="9"/>
      <c r="N178" s="10">
        <f t="shared" si="45"/>
        <v>0</v>
      </c>
      <c r="O178" s="8">
        <f>IFERROR(N178/N444, "NA")</f>
        <v>0</v>
      </c>
      <c r="P178" s="9"/>
      <c r="Q178" s="7">
        <v>5192.32</v>
      </c>
      <c r="R178" s="8">
        <f>IFERROR(Q178/Q444, "NA")</f>
        <v>5.7083873271497006E-2</v>
      </c>
      <c r="S178" s="9"/>
      <c r="T178" s="7">
        <v>5192.32</v>
      </c>
      <c r="U178" s="8">
        <f>IFERROR(T178/T444, "NA")</f>
        <v>5.3466246569237506E-2</v>
      </c>
      <c r="V178" s="9"/>
      <c r="W178" s="10">
        <f t="shared" si="46"/>
        <v>0</v>
      </c>
      <c r="X178" s="8">
        <f>IFERROR(W178/W444, "NA")</f>
        <v>0</v>
      </c>
      <c r="Y178" s="9"/>
      <c r="Z178" s="7">
        <v>5192.32</v>
      </c>
      <c r="AA178" s="8">
        <f>IFERROR(Z178/Z444, "NA")</f>
        <v>5.4375172268192981E-2</v>
      </c>
      <c r="AB178" s="9"/>
      <c r="AC178" s="10">
        <f t="shared" si="47"/>
        <v>0</v>
      </c>
      <c r="AD178" s="8">
        <f>IFERROR(AC178/AC444, "NA")</f>
        <v>0</v>
      </c>
    </row>
    <row r="179" spans="1:30" ht="16.5" hidden="1" customHeight="1" x14ac:dyDescent="0.45">
      <c r="A179" s="12" t="s">
        <v>164</v>
      </c>
      <c r="B179" s="7">
        <v>0</v>
      </c>
      <c r="C179" s="8">
        <f>IFERROR(B179/B444, "NA")</f>
        <v>0</v>
      </c>
      <c r="D179" s="9"/>
      <c r="E179" s="7">
        <v>0</v>
      </c>
      <c r="F179" s="8">
        <f>IFERROR(E179/E444, "NA")</f>
        <v>0</v>
      </c>
      <c r="G179" s="9"/>
      <c r="H179" s="10">
        <f t="shared" si="44"/>
        <v>0</v>
      </c>
      <c r="I179" s="8">
        <f>IFERROR(H179/H444, "NA")</f>
        <v>0</v>
      </c>
      <c r="J179" s="9"/>
      <c r="K179" s="7">
        <v>0</v>
      </c>
      <c r="L179" s="8">
        <f>IFERROR(K179/K444, "NA")</f>
        <v>0</v>
      </c>
      <c r="M179" s="9"/>
      <c r="N179" s="10">
        <f t="shared" si="45"/>
        <v>0</v>
      </c>
      <c r="O179" s="8">
        <f>IFERROR(N179/N444, "NA")</f>
        <v>0</v>
      </c>
      <c r="P179" s="9"/>
      <c r="Q179" s="7">
        <v>0</v>
      </c>
      <c r="R179" s="8">
        <f>IFERROR(Q179/Q444, "NA")</f>
        <v>0</v>
      </c>
      <c r="S179" s="9"/>
      <c r="T179" s="7">
        <v>0</v>
      </c>
      <c r="U179" s="8">
        <f>IFERROR(T179/T444, "NA")</f>
        <v>0</v>
      </c>
      <c r="V179" s="9"/>
      <c r="W179" s="10">
        <f t="shared" si="46"/>
        <v>0</v>
      </c>
      <c r="X179" s="8">
        <f>IFERROR(W179/W444, "NA")</f>
        <v>0</v>
      </c>
      <c r="Y179" s="9"/>
      <c r="Z179" s="7">
        <v>0</v>
      </c>
      <c r="AA179" s="8">
        <f>IFERROR(Z179/Z444, "NA")</f>
        <v>0</v>
      </c>
      <c r="AB179" s="9"/>
      <c r="AC179" s="10">
        <f t="shared" si="47"/>
        <v>0</v>
      </c>
      <c r="AD179" s="8">
        <f>IFERROR(AC179/AC444, "NA")</f>
        <v>0</v>
      </c>
    </row>
    <row r="180" spans="1:30" ht="16.5" customHeight="1" x14ac:dyDescent="0.45">
      <c r="A180" s="12" t="s">
        <v>165</v>
      </c>
      <c r="B180" s="7">
        <v>20184.650000000001</v>
      </c>
      <c r="C180" s="8">
        <f>IFERROR(B180/B444, "NA")</f>
        <v>0.2219081263538307</v>
      </c>
      <c r="D180" s="9"/>
      <c r="E180" s="7">
        <v>19908.37</v>
      </c>
      <c r="F180" s="8">
        <f>IFERROR(E180/E444, "NA")</f>
        <v>0.2050000422184324</v>
      </c>
      <c r="G180" s="9"/>
      <c r="H180" s="10">
        <f t="shared" si="44"/>
        <v>-276.28000000000247</v>
      </c>
      <c r="I180" s="8">
        <f>IFERROR(H180/H444, "NA")</f>
        <v>4.489080329970524E-2</v>
      </c>
      <c r="J180" s="9"/>
      <c r="K180" s="7">
        <v>19974.47</v>
      </c>
      <c r="L180" s="8">
        <f>IFERROR(K180/K444, "NA")</f>
        <v>0.20917725548807717</v>
      </c>
      <c r="M180" s="9"/>
      <c r="N180" s="10">
        <f t="shared" si="45"/>
        <v>-210.18000000000029</v>
      </c>
      <c r="O180" s="8">
        <f>IFERROR(N180/N444, "NA")</f>
        <v>4.6385575405802182E-2</v>
      </c>
      <c r="P180" s="9"/>
      <c r="Q180" s="7">
        <v>20184.650000000001</v>
      </c>
      <c r="R180" s="8">
        <f>IFERROR(Q180/Q444, "NA")</f>
        <v>0.2219081263538307</v>
      </c>
      <c r="S180" s="9"/>
      <c r="T180" s="7">
        <v>19908.37</v>
      </c>
      <c r="U180" s="8">
        <f>IFERROR(T180/T444, "NA")</f>
        <v>0.2050000422184324</v>
      </c>
      <c r="V180" s="9"/>
      <c r="W180" s="10">
        <f t="shared" si="46"/>
        <v>-276.28000000000247</v>
      </c>
      <c r="X180" s="8">
        <f>IFERROR(W180/W444, "NA")</f>
        <v>4.489080329970524E-2</v>
      </c>
      <c r="Y180" s="9"/>
      <c r="Z180" s="7">
        <v>19974.47</v>
      </c>
      <c r="AA180" s="8">
        <f>IFERROR(Z180/Z444, "NA")</f>
        <v>0.20917725548807717</v>
      </c>
      <c r="AB180" s="9"/>
      <c r="AC180" s="10">
        <f t="shared" si="47"/>
        <v>-210.18000000000029</v>
      </c>
      <c r="AD180" s="8">
        <f>IFERROR(AC180/AC444, "NA")</f>
        <v>4.6385575405802182E-2</v>
      </c>
    </row>
    <row r="181" spans="1:30" ht="16.5" customHeight="1" x14ac:dyDescent="0.45">
      <c r="A181" s="12" t="s">
        <v>166</v>
      </c>
      <c r="B181" s="7">
        <v>0</v>
      </c>
      <c r="C181" s="8">
        <f>IFERROR(B181/B444, "NA")</f>
        <v>0</v>
      </c>
      <c r="D181" s="9"/>
      <c r="E181" s="7">
        <v>0</v>
      </c>
      <c r="F181" s="8">
        <f>IFERROR(E181/E444, "NA")</f>
        <v>0</v>
      </c>
      <c r="G181" s="9"/>
      <c r="H181" s="10">
        <f t="shared" si="44"/>
        <v>0</v>
      </c>
      <c r="I181" s="8">
        <f>IFERROR(H181/H444, "NA")</f>
        <v>0</v>
      </c>
      <c r="J181" s="9"/>
      <c r="K181" s="7">
        <v>15.86</v>
      </c>
      <c r="L181" s="8">
        <f>IFERROR(K181/K444, "NA")</f>
        <v>1.6608957694701804E-4</v>
      </c>
      <c r="M181" s="9"/>
      <c r="N181" s="10">
        <f t="shared" si="45"/>
        <v>15.86</v>
      </c>
      <c r="O181" s="8">
        <f>IFERROR(N181/N444, "NA")</f>
        <v>-3.5002151771625347E-3</v>
      </c>
      <c r="P181" s="9"/>
      <c r="Q181" s="7">
        <v>0</v>
      </c>
      <c r="R181" s="8">
        <f>IFERROR(Q181/Q444, "NA")</f>
        <v>0</v>
      </c>
      <c r="S181" s="9"/>
      <c r="T181" s="7">
        <v>0</v>
      </c>
      <c r="U181" s="8">
        <f>IFERROR(T181/T444, "NA")</f>
        <v>0</v>
      </c>
      <c r="V181" s="9"/>
      <c r="W181" s="10">
        <f t="shared" si="46"/>
        <v>0</v>
      </c>
      <c r="X181" s="8">
        <f>IFERROR(W181/W444, "NA")</f>
        <v>0</v>
      </c>
      <c r="Y181" s="9"/>
      <c r="Z181" s="7">
        <v>15.86</v>
      </c>
      <c r="AA181" s="8">
        <f>IFERROR(Z181/Z444, "NA")</f>
        <v>1.6608957694701804E-4</v>
      </c>
      <c r="AB181" s="9"/>
      <c r="AC181" s="10">
        <f t="shared" si="47"/>
        <v>15.86</v>
      </c>
      <c r="AD181" s="8">
        <f>IFERROR(AC181/AC444, "NA")</f>
        <v>-3.5002151771625347E-3</v>
      </c>
    </row>
    <row r="182" spans="1:30" ht="16.5" customHeight="1" x14ac:dyDescent="0.45">
      <c r="A182" s="13" t="s">
        <v>167</v>
      </c>
      <c r="B182" s="14">
        <f>IFERROR(B177+B178+B179+B180+B181, "NA")</f>
        <v>25376.97</v>
      </c>
      <c r="C182" s="15">
        <f>IFERROR(B182/B444, "NA")</f>
        <v>0.27899199962532772</v>
      </c>
      <c r="D182" s="2"/>
      <c r="E182" s="14">
        <f>IFERROR(E177+E178+E179+E180+E181, "NA")</f>
        <v>25100.69</v>
      </c>
      <c r="F182" s="15">
        <f>IFERROR(E182/E444, "NA")</f>
        <v>0.25846628878766992</v>
      </c>
      <c r="G182" s="2"/>
      <c r="H182" s="14">
        <f t="shared" si="44"/>
        <v>-276.28000000000247</v>
      </c>
      <c r="I182" s="15">
        <f>IFERROR(H182/H444, "NA")</f>
        <v>4.489080329970524E-2</v>
      </c>
      <c r="J182" s="2"/>
      <c r="K182" s="14">
        <f>IFERROR(K177+K178+K179+K180+K181, "NA")</f>
        <v>25182.65</v>
      </c>
      <c r="L182" s="15">
        <f>IFERROR(K182/K444, "NA")</f>
        <v>0.26371851733321716</v>
      </c>
      <c r="M182" s="2"/>
      <c r="N182" s="14">
        <f t="shared" si="45"/>
        <v>-194.31999999999971</v>
      </c>
      <c r="O182" s="15">
        <f>IFERROR(N182/N444, "NA")</f>
        <v>4.2885360228639521E-2</v>
      </c>
      <c r="P182" s="2"/>
      <c r="Q182" s="14">
        <f>IFERROR(Q177+Q178+Q179+Q180+Q181, "NA")</f>
        <v>25376.97</v>
      </c>
      <c r="R182" s="15">
        <f>IFERROR(Q182/Q444, "NA")</f>
        <v>0.27899199962532772</v>
      </c>
      <c r="S182" s="2"/>
      <c r="T182" s="14">
        <f>IFERROR(T177+T178+T179+T180+T181, "NA")</f>
        <v>25100.69</v>
      </c>
      <c r="U182" s="15">
        <f>IFERROR(T182/T444, "NA")</f>
        <v>0.25846628878766992</v>
      </c>
      <c r="V182" s="2"/>
      <c r="W182" s="14">
        <f t="shared" si="46"/>
        <v>-276.28000000000247</v>
      </c>
      <c r="X182" s="15">
        <f>IFERROR(W182/W444, "NA")</f>
        <v>4.489080329970524E-2</v>
      </c>
      <c r="Y182" s="2"/>
      <c r="Z182" s="14">
        <f>IFERROR(Z177+Z178+Z179+Z180+Z181, "NA")</f>
        <v>25182.65</v>
      </c>
      <c r="AA182" s="15">
        <f>IFERROR(Z182/Z444, "NA")</f>
        <v>0.26371851733321716</v>
      </c>
      <c r="AB182" s="2"/>
      <c r="AC182" s="14">
        <f t="shared" si="47"/>
        <v>-194.31999999999971</v>
      </c>
      <c r="AD182" s="15">
        <f>IFERROR(AC182/AC444, "NA")</f>
        <v>4.2885360228639521E-2</v>
      </c>
    </row>
    <row r="183" spans="1:30" ht="16.5" hidden="1" customHeight="1" x14ac:dyDescent="0.45">
      <c r="A183" s="6" t="s">
        <v>168</v>
      </c>
      <c r="B183" s="7">
        <v>0</v>
      </c>
      <c r="C183" s="8">
        <f>IFERROR(B183/B444, "NA")</f>
        <v>0</v>
      </c>
      <c r="D183" s="9"/>
      <c r="E183" s="7">
        <v>0</v>
      </c>
      <c r="F183" s="8">
        <f>IFERROR(E183/E444, "NA")</f>
        <v>0</v>
      </c>
      <c r="G183" s="9"/>
      <c r="H183" s="10">
        <f t="shared" si="44"/>
        <v>0</v>
      </c>
      <c r="I183" s="8">
        <f>IFERROR(H183/H444, "NA")</f>
        <v>0</v>
      </c>
      <c r="J183" s="9"/>
      <c r="K183" s="7">
        <v>0</v>
      </c>
      <c r="L183" s="8">
        <f>IFERROR(K183/K444, "NA")</f>
        <v>0</v>
      </c>
      <c r="M183" s="9"/>
      <c r="N183" s="10">
        <f t="shared" si="45"/>
        <v>0</v>
      </c>
      <c r="O183" s="8">
        <f>IFERROR(N183/N444, "NA")</f>
        <v>0</v>
      </c>
      <c r="P183" s="9"/>
      <c r="Q183" s="7">
        <v>0</v>
      </c>
      <c r="R183" s="8">
        <f>IFERROR(Q183/Q444, "NA")</f>
        <v>0</v>
      </c>
      <c r="S183" s="9"/>
      <c r="T183" s="7">
        <v>0</v>
      </c>
      <c r="U183" s="8">
        <f>IFERROR(T183/T444, "NA")</f>
        <v>0</v>
      </c>
      <c r="V183" s="9"/>
      <c r="W183" s="10">
        <f t="shared" si="46"/>
        <v>0</v>
      </c>
      <c r="X183" s="8">
        <f>IFERROR(W183/W444, "NA")</f>
        <v>0</v>
      </c>
      <c r="Y183" s="9"/>
      <c r="Z183" s="7">
        <v>0</v>
      </c>
      <c r="AA183" s="8">
        <f>IFERROR(Z183/Z444, "NA")</f>
        <v>0</v>
      </c>
      <c r="AB183" s="9"/>
      <c r="AC183" s="10">
        <f t="shared" si="47"/>
        <v>0</v>
      </c>
      <c r="AD183" s="8">
        <f>IFERROR(AC183/AC444, "NA")</f>
        <v>0</v>
      </c>
    </row>
    <row r="184" spans="1:30" ht="16.5" customHeight="1" x14ac:dyDescent="0.45">
      <c r="A184" s="6" t="s">
        <v>169</v>
      </c>
      <c r="B184" s="7">
        <v>325</v>
      </c>
      <c r="C184" s="8">
        <f>IFERROR(B184/B444, "NA")</f>
        <v>3.5730191539112628E-3</v>
      </c>
      <c r="D184" s="9"/>
      <c r="E184" s="7">
        <v>325</v>
      </c>
      <c r="F184" s="8">
        <f>IFERROR(E184/E444, "NA")</f>
        <v>3.3465830563220661E-3</v>
      </c>
      <c r="G184" s="9"/>
      <c r="H184" s="10">
        <f t="shared" si="44"/>
        <v>0</v>
      </c>
      <c r="I184" s="8">
        <f>IFERROR(H184/H444, "NA")</f>
        <v>0</v>
      </c>
      <c r="J184" s="9"/>
      <c r="K184" s="7">
        <v>500</v>
      </c>
      <c r="L184" s="8">
        <f>IFERROR(K184/K444, "NA")</f>
        <v>5.2361152883675299E-3</v>
      </c>
      <c r="M184" s="9"/>
      <c r="N184" s="10">
        <f t="shared" si="45"/>
        <v>175</v>
      </c>
      <c r="O184" s="8">
        <f>IFERROR(N184/N444, "NA")</f>
        <v>-3.8621541992650922E-2</v>
      </c>
      <c r="P184" s="9"/>
      <c r="Q184" s="7">
        <v>325</v>
      </c>
      <c r="R184" s="8">
        <f>IFERROR(Q184/Q444, "NA")</f>
        <v>3.5730191539112628E-3</v>
      </c>
      <c r="S184" s="9"/>
      <c r="T184" s="7">
        <v>325</v>
      </c>
      <c r="U184" s="8">
        <f>IFERROR(T184/T444, "NA")</f>
        <v>3.3465830563220661E-3</v>
      </c>
      <c r="V184" s="9"/>
      <c r="W184" s="10">
        <f t="shared" si="46"/>
        <v>0</v>
      </c>
      <c r="X184" s="8">
        <f>IFERROR(W184/W444, "NA")</f>
        <v>0</v>
      </c>
      <c r="Y184" s="9"/>
      <c r="Z184" s="7">
        <v>500</v>
      </c>
      <c r="AA184" s="8">
        <f>IFERROR(Z184/Z444, "NA")</f>
        <v>5.2361152883675299E-3</v>
      </c>
      <c r="AB184" s="9"/>
      <c r="AC184" s="10">
        <f t="shared" si="47"/>
        <v>175</v>
      </c>
      <c r="AD184" s="8">
        <f>IFERROR(AC184/AC444, "NA")</f>
        <v>-3.8621541992650922E-2</v>
      </c>
    </row>
    <row r="185" spans="1:30" ht="16.5" customHeight="1" x14ac:dyDescent="0.45">
      <c r="A185" s="11" t="s">
        <v>170</v>
      </c>
      <c r="B185" s="2"/>
      <c r="C185" s="3"/>
      <c r="D185" s="4"/>
      <c r="E185" s="2"/>
      <c r="F185" s="3"/>
      <c r="G185" s="4"/>
      <c r="H185" s="2"/>
      <c r="I185" s="3"/>
      <c r="J185" s="4"/>
      <c r="K185" s="2"/>
      <c r="L185" s="3"/>
      <c r="M185" s="4"/>
      <c r="N185" s="2"/>
      <c r="O185" s="3"/>
      <c r="P185" s="4"/>
      <c r="Q185" s="2"/>
      <c r="R185" s="3"/>
      <c r="S185" s="4"/>
      <c r="T185" s="2"/>
      <c r="U185" s="3"/>
      <c r="V185" s="4"/>
      <c r="W185" s="2"/>
      <c r="X185" s="3"/>
      <c r="Y185" s="4"/>
      <c r="Z185" s="2"/>
      <c r="AA185" s="3"/>
      <c r="AB185" s="4"/>
      <c r="AC185" s="2"/>
      <c r="AD185" s="3"/>
    </row>
    <row r="186" spans="1:30" ht="16.5" customHeight="1" x14ac:dyDescent="0.45">
      <c r="A186" s="12" t="s">
        <v>170</v>
      </c>
      <c r="B186" s="7">
        <v>2465.04</v>
      </c>
      <c r="C186" s="8">
        <f>IFERROR(B186/B444, "NA")</f>
        <v>2.7100415800484369E-2</v>
      </c>
      <c r="D186" s="9"/>
      <c r="E186" s="7">
        <v>2588.4699999999998</v>
      </c>
      <c r="F186" s="8">
        <f>IFERROR(E186/E444, "NA")</f>
        <v>2.6653937980916857E-2</v>
      </c>
      <c r="G186" s="9"/>
      <c r="H186" s="10">
        <f t="shared" ref="H186:H197" si="48">IFERROR(-(B186-E186), "NA")</f>
        <v>123.42999999999984</v>
      </c>
      <c r="I186" s="8">
        <f>IFERROR(H186/H444, "NA")</f>
        <v>-2.0055276716673523E-2</v>
      </c>
      <c r="J186" s="9"/>
      <c r="K186" s="7">
        <v>2545.1999999999998</v>
      </c>
      <c r="L186" s="8">
        <f>IFERROR(K186/K444, "NA")</f>
        <v>2.6653921263906075E-2</v>
      </c>
      <c r="M186" s="9"/>
      <c r="N186" s="10">
        <f t="shared" ref="N186:N197" si="49">IFERROR(-(B186-K186), "NA")</f>
        <v>80.159999999999854</v>
      </c>
      <c r="O186" s="8">
        <f>IFERROR(N186/N444, "NA")</f>
        <v>-1.7690873177890813E-2</v>
      </c>
      <c r="P186" s="9"/>
      <c r="Q186" s="7">
        <v>2465.04</v>
      </c>
      <c r="R186" s="8">
        <f>IFERROR(Q186/Q444, "NA")</f>
        <v>2.7100415800484369E-2</v>
      </c>
      <c r="S186" s="9"/>
      <c r="T186" s="7">
        <v>2588.4699999999998</v>
      </c>
      <c r="U186" s="8">
        <f>IFERROR(T186/T444, "NA")</f>
        <v>2.6653937980916857E-2</v>
      </c>
      <c r="V186" s="9"/>
      <c r="W186" s="10">
        <f t="shared" ref="W186:W197" si="50">IFERROR(-(Q186-T186), "NA")</f>
        <v>123.42999999999984</v>
      </c>
      <c r="X186" s="8">
        <f>IFERROR(W186/W444, "NA")</f>
        <v>-2.0055276716673523E-2</v>
      </c>
      <c r="Y186" s="9"/>
      <c r="Z186" s="7">
        <v>2545.1999999999998</v>
      </c>
      <c r="AA186" s="8">
        <f>IFERROR(Z186/Z444, "NA")</f>
        <v>2.6653921263906075E-2</v>
      </c>
      <c r="AB186" s="9"/>
      <c r="AC186" s="10">
        <f t="shared" ref="AC186:AC197" si="51">IFERROR(-(Q186-Z186), "NA")</f>
        <v>80.159999999999854</v>
      </c>
      <c r="AD186" s="8">
        <f>IFERROR(AC186/AC444, "NA")</f>
        <v>-1.7690873177890813E-2</v>
      </c>
    </row>
    <row r="187" spans="1:30" ht="16.5" hidden="1" customHeight="1" x14ac:dyDescent="0.45">
      <c r="A187" s="12" t="s">
        <v>171</v>
      </c>
      <c r="B187" s="7">
        <v>0</v>
      </c>
      <c r="C187" s="8">
        <f>IFERROR(B187/B444, "NA")</f>
        <v>0</v>
      </c>
      <c r="D187" s="9"/>
      <c r="E187" s="7">
        <v>0</v>
      </c>
      <c r="F187" s="8">
        <f>IFERROR(E187/E444, "NA")</f>
        <v>0</v>
      </c>
      <c r="G187" s="9"/>
      <c r="H187" s="10">
        <f t="shared" si="48"/>
        <v>0</v>
      </c>
      <c r="I187" s="8">
        <f>IFERROR(H187/H444, "NA")</f>
        <v>0</v>
      </c>
      <c r="J187" s="9"/>
      <c r="K187" s="7">
        <v>0</v>
      </c>
      <c r="L187" s="8">
        <f>IFERROR(K187/K444, "NA")</f>
        <v>0</v>
      </c>
      <c r="M187" s="9"/>
      <c r="N187" s="10">
        <f t="shared" si="49"/>
        <v>0</v>
      </c>
      <c r="O187" s="8">
        <f>IFERROR(N187/N444, "NA")</f>
        <v>0</v>
      </c>
      <c r="P187" s="9"/>
      <c r="Q187" s="7">
        <v>0</v>
      </c>
      <c r="R187" s="8">
        <f>IFERROR(Q187/Q444, "NA")</f>
        <v>0</v>
      </c>
      <c r="S187" s="9"/>
      <c r="T187" s="7">
        <v>0</v>
      </c>
      <c r="U187" s="8">
        <f>IFERROR(T187/T444, "NA")</f>
        <v>0</v>
      </c>
      <c r="V187" s="9"/>
      <c r="W187" s="10">
        <f t="shared" si="50"/>
        <v>0</v>
      </c>
      <c r="X187" s="8">
        <f>IFERROR(W187/W444, "NA")</f>
        <v>0</v>
      </c>
      <c r="Y187" s="9"/>
      <c r="Z187" s="7">
        <v>0</v>
      </c>
      <c r="AA187" s="8">
        <f>IFERROR(Z187/Z444, "NA")</f>
        <v>0</v>
      </c>
      <c r="AB187" s="9"/>
      <c r="AC187" s="10">
        <f t="shared" si="51"/>
        <v>0</v>
      </c>
      <c r="AD187" s="8">
        <f>IFERROR(AC187/AC444, "NA")</f>
        <v>0</v>
      </c>
    </row>
    <row r="188" spans="1:30" ht="16.5" hidden="1" customHeight="1" x14ac:dyDescent="0.45">
      <c r="A188" s="12" t="s">
        <v>172</v>
      </c>
      <c r="B188" s="7">
        <v>0</v>
      </c>
      <c r="C188" s="8">
        <f>IFERROR(B188/B444, "NA")</f>
        <v>0</v>
      </c>
      <c r="D188" s="9"/>
      <c r="E188" s="7">
        <v>0</v>
      </c>
      <c r="F188" s="8">
        <f>IFERROR(E188/E444, "NA")</f>
        <v>0</v>
      </c>
      <c r="G188" s="9"/>
      <c r="H188" s="10">
        <f t="shared" si="48"/>
        <v>0</v>
      </c>
      <c r="I188" s="8">
        <f>IFERROR(H188/H444, "NA")</f>
        <v>0</v>
      </c>
      <c r="J188" s="9"/>
      <c r="K188" s="7">
        <v>0</v>
      </c>
      <c r="L188" s="8">
        <f>IFERROR(K188/K444, "NA")</f>
        <v>0</v>
      </c>
      <c r="M188" s="9"/>
      <c r="N188" s="10">
        <f t="shared" si="49"/>
        <v>0</v>
      </c>
      <c r="O188" s="8">
        <f>IFERROR(N188/N444, "NA")</f>
        <v>0</v>
      </c>
      <c r="P188" s="9"/>
      <c r="Q188" s="7">
        <v>0</v>
      </c>
      <c r="R188" s="8">
        <f>IFERROR(Q188/Q444, "NA")</f>
        <v>0</v>
      </c>
      <c r="S188" s="9"/>
      <c r="T188" s="7">
        <v>0</v>
      </c>
      <c r="U188" s="8">
        <f>IFERROR(T188/T444, "NA")</f>
        <v>0</v>
      </c>
      <c r="V188" s="9"/>
      <c r="W188" s="10">
        <f t="shared" si="50"/>
        <v>0</v>
      </c>
      <c r="X188" s="8">
        <f>IFERROR(W188/W444, "NA")</f>
        <v>0</v>
      </c>
      <c r="Y188" s="9"/>
      <c r="Z188" s="7">
        <v>0</v>
      </c>
      <c r="AA188" s="8">
        <f>IFERROR(Z188/Z444, "NA")</f>
        <v>0</v>
      </c>
      <c r="AB188" s="9"/>
      <c r="AC188" s="10">
        <f t="shared" si="51"/>
        <v>0</v>
      </c>
      <c r="AD188" s="8">
        <f>IFERROR(AC188/AC444, "NA")</f>
        <v>0</v>
      </c>
    </row>
    <row r="189" spans="1:30" ht="16.5" hidden="1" customHeight="1" x14ac:dyDescent="0.45">
      <c r="A189" s="12" t="s">
        <v>173</v>
      </c>
      <c r="B189" s="7">
        <v>0</v>
      </c>
      <c r="C189" s="8">
        <f>IFERROR(B189/B444, "NA")</f>
        <v>0</v>
      </c>
      <c r="D189" s="9"/>
      <c r="E189" s="7">
        <v>0</v>
      </c>
      <c r="F189" s="8">
        <f>IFERROR(E189/E444, "NA")</f>
        <v>0</v>
      </c>
      <c r="G189" s="9"/>
      <c r="H189" s="10">
        <f t="shared" si="48"/>
        <v>0</v>
      </c>
      <c r="I189" s="8">
        <f>IFERROR(H189/H444, "NA")</f>
        <v>0</v>
      </c>
      <c r="J189" s="9"/>
      <c r="K189" s="7">
        <v>0</v>
      </c>
      <c r="L189" s="8">
        <f>IFERROR(K189/K444, "NA")</f>
        <v>0</v>
      </c>
      <c r="M189" s="9"/>
      <c r="N189" s="10">
        <f t="shared" si="49"/>
        <v>0</v>
      </c>
      <c r="O189" s="8">
        <f>IFERROR(N189/N444, "NA")</f>
        <v>0</v>
      </c>
      <c r="P189" s="9"/>
      <c r="Q189" s="7">
        <v>0</v>
      </c>
      <c r="R189" s="8">
        <f>IFERROR(Q189/Q444, "NA")</f>
        <v>0</v>
      </c>
      <c r="S189" s="9"/>
      <c r="T189" s="7">
        <v>0</v>
      </c>
      <c r="U189" s="8">
        <f>IFERROR(T189/T444, "NA")</f>
        <v>0</v>
      </c>
      <c r="V189" s="9"/>
      <c r="W189" s="10">
        <f t="shared" si="50"/>
        <v>0</v>
      </c>
      <c r="X189" s="8">
        <f>IFERROR(W189/W444, "NA")</f>
        <v>0</v>
      </c>
      <c r="Y189" s="9"/>
      <c r="Z189" s="7">
        <v>0</v>
      </c>
      <c r="AA189" s="8">
        <f>IFERROR(Z189/Z444, "NA")</f>
        <v>0</v>
      </c>
      <c r="AB189" s="9"/>
      <c r="AC189" s="10">
        <f t="shared" si="51"/>
        <v>0</v>
      </c>
      <c r="AD189" s="8">
        <f>IFERROR(AC189/AC444, "NA")</f>
        <v>0</v>
      </c>
    </row>
    <row r="190" spans="1:30" ht="16.5" hidden="1" customHeight="1" x14ac:dyDescent="0.45">
      <c r="A190" s="12" t="s">
        <v>174</v>
      </c>
      <c r="B190" s="7">
        <v>0</v>
      </c>
      <c r="C190" s="8">
        <f>IFERROR(B190/B444, "NA")</f>
        <v>0</v>
      </c>
      <c r="D190" s="9"/>
      <c r="E190" s="7">
        <v>0</v>
      </c>
      <c r="F190" s="8">
        <f>IFERROR(E190/E444, "NA")</f>
        <v>0</v>
      </c>
      <c r="G190" s="9"/>
      <c r="H190" s="10">
        <f t="shared" si="48"/>
        <v>0</v>
      </c>
      <c r="I190" s="8">
        <f>IFERROR(H190/H444, "NA")</f>
        <v>0</v>
      </c>
      <c r="J190" s="9"/>
      <c r="K190" s="7">
        <v>0</v>
      </c>
      <c r="L190" s="8">
        <f>IFERROR(K190/K444, "NA")</f>
        <v>0</v>
      </c>
      <c r="M190" s="9"/>
      <c r="N190" s="10">
        <f t="shared" si="49"/>
        <v>0</v>
      </c>
      <c r="O190" s="8">
        <f>IFERROR(N190/N444, "NA")</f>
        <v>0</v>
      </c>
      <c r="P190" s="9"/>
      <c r="Q190" s="7">
        <v>0</v>
      </c>
      <c r="R190" s="8">
        <f>IFERROR(Q190/Q444, "NA")</f>
        <v>0</v>
      </c>
      <c r="S190" s="9"/>
      <c r="T190" s="7">
        <v>0</v>
      </c>
      <c r="U190" s="8">
        <f>IFERROR(T190/T444, "NA")</f>
        <v>0</v>
      </c>
      <c r="V190" s="9"/>
      <c r="W190" s="10">
        <f t="shared" si="50"/>
        <v>0</v>
      </c>
      <c r="X190" s="8">
        <f>IFERROR(W190/W444, "NA")</f>
        <v>0</v>
      </c>
      <c r="Y190" s="9"/>
      <c r="Z190" s="7">
        <v>0</v>
      </c>
      <c r="AA190" s="8">
        <f>IFERROR(Z190/Z444, "NA")</f>
        <v>0</v>
      </c>
      <c r="AB190" s="9"/>
      <c r="AC190" s="10">
        <f t="shared" si="51"/>
        <v>0</v>
      </c>
      <c r="AD190" s="8">
        <f>IFERROR(AC190/AC444, "NA")</f>
        <v>0</v>
      </c>
    </row>
    <row r="191" spans="1:30" ht="16.5" hidden="1" customHeight="1" x14ac:dyDescent="0.45">
      <c r="A191" s="12" t="s">
        <v>175</v>
      </c>
      <c r="B191" s="7">
        <v>0</v>
      </c>
      <c r="C191" s="8">
        <f>IFERROR(B191/B444, "NA")</f>
        <v>0</v>
      </c>
      <c r="D191" s="9"/>
      <c r="E191" s="7">
        <v>0</v>
      </c>
      <c r="F191" s="8">
        <f>IFERROR(E191/E444, "NA")</f>
        <v>0</v>
      </c>
      <c r="G191" s="9"/>
      <c r="H191" s="10">
        <f t="shared" si="48"/>
        <v>0</v>
      </c>
      <c r="I191" s="8">
        <f>IFERROR(H191/H444, "NA")</f>
        <v>0</v>
      </c>
      <c r="J191" s="9"/>
      <c r="K191" s="7">
        <v>0</v>
      </c>
      <c r="L191" s="8">
        <f>IFERROR(K191/K444, "NA")</f>
        <v>0</v>
      </c>
      <c r="M191" s="9"/>
      <c r="N191" s="10">
        <f t="shared" si="49"/>
        <v>0</v>
      </c>
      <c r="O191" s="8">
        <f>IFERROR(N191/N444, "NA")</f>
        <v>0</v>
      </c>
      <c r="P191" s="9"/>
      <c r="Q191" s="7">
        <v>0</v>
      </c>
      <c r="R191" s="8">
        <f>IFERROR(Q191/Q444, "NA")</f>
        <v>0</v>
      </c>
      <c r="S191" s="9"/>
      <c r="T191" s="7">
        <v>0</v>
      </c>
      <c r="U191" s="8">
        <f>IFERROR(T191/T444, "NA")</f>
        <v>0</v>
      </c>
      <c r="V191" s="9"/>
      <c r="W191" s="10">
        <f t="shared" si="50"/>
        <v>0</v>
      </c>
      <c r="X191" s="8">
        <f>IFERROR(W191/W444, "NA")</f>
        <v>0</v>
      </c>
      <c r="Y191" s="9"/>
      <c r="Z191" s="7">
        <v>0</v>
      </c>
      <c r="AA191" s="8">
        <f>IFERROR(Z191/Z444, "NA")</f>
        <v>0</v>
      </c>
      <c r="AB191" s="9"/>
      <c r="AC191" s="10">
        <f t="shared" si="51"/>
        <v>0</v>
      </c>
      <c r="AD191" s="8">
        <f>IFERROR(AC191/AC444, "NA")</f>
        <v>0</v>
      </c>
    </row>
    <row r="192" spans="1:30" ht="16.5" hidden="1" customHeight="1" x14ac:dyDescent="0.45">
      <c r="A192" s="12" t="s">
        <v>176</v>
      </c>
      <c r="B192" s="7">
        <v>0</v>
      </c>
      <c r="C192" s="8">
        <f>IFERROR(B192/B444, "NA")</f>
        <v>0</v>
      </c>
      <c r="D192" s="9"/>
      <c r="E192" s="7">
        <v>0</v>
      </c>
      <c r="F192" s="8">
        <f>IFERROR(E192/E444, "NA")</f>
        <v>0</v>
      </c>
      <c r="G192" s="9"/>
      <c r="H192" s="10">
        <f t="shared" si="48"/>
        <v>0</v>
      </c>
      <c r="I192" s="8">
        <f>IFERROR(H192/H444, "NA")</f>
        <v>0</v>
      </c>
      <c r="J192" s="9"/>
      <c r="K192" s="7">
        <v>0</v>
      </c>
      <c r="L192" s="8">
        <f>IFERROR(K192/K444, "NA")</f>
        <v>0</v>
      </c>
      <c r="M192" s="9"/>
      <c r="N192" s="10">
        <f t="shared" si="49"/>
        <v>0</v>
      </c>
      <c r="O192" s="8">
        <f>IFERROR(N192/N444, "NA")</f>
        <v>0</v>
      </c>
      <c r="P192" s="9"/>
      <c r="Q192" s="7">
        <v>0</v>
      </c>
      <c r="R192" s="8">
        <f>IFERROR(Q192/Q444, "NA")</f>
        <v>0</v>
      </c>
      <c r="S192" s="9"/>
      <c r="T192" s="7">
        <v>0</v>
      </c>
      <c r="U192" s="8">
        <f>IFERROR(T192/T444, "NA")</f>
        <v>0</v>
      </c>
      <c r="V192" s="9"/>
      <c r="W192" s="10">
        <f t="shared" si="50"/>
        <v>0</v>
      </c>
      <c r="X192" s="8">
        <f>IFERROR(W192/W444, "NA")</f>
        <v>0</v>
      </c>
      <c r="Y192" s="9"/>
      <c r="Z192" s="7">
        <v>0</v>
      </c>
      <c r="AA192" s="8">
        <f>IFERROR(Z192/Z444, "NA")</f>
        <v>0</v>
      </c>
      <c r="AB192" s="9"/>
      <c r="AC192" s="10">
        <f t="shared" si="51"/>
        <v>0</v>
      </c>
      <c r="AD192" s="8">
        <f>IFERROR(AC192/AC444, "NA")</f>
        <v>0</v>
      </c>
    </row>
    <row r="193" spans="1:30" ht="16.5" customHeight="1" x14ac:dyDescent="0.45">
      <c r="A193" s="13" t="s">
        <v>177</v>
      </c>
      <c r="B193" s="14">
        <f>IFERROR(B186+B187+B188+B189+B190+B191+B192, "NA")</f>
        <v>2465.04</v>
      </c>
      <c r="C193" s="15">
        <f>IFERROR(B193/B444, "NA")</f>
        <v>2.7100415800484369E-2</v>
      </c>
      <c r="D193" s="2"/>
      <c r="E193" s="14">
        <f>IFERROR(E186+E187+E188+E189+E190+E191+E192, "NA")</f>
        <v>2588.4699999999998</v>
      </c>
      <c r="F193" s="15">
        <f>IFERROR(E193/E444, "NA")</f>
        <v>2.6653937980916857E-2</v>
      </c>
      <c r="G193" s="2"/>
      <c r="H193" s="14">
        <f t="shared" si="48"/>
        <v>123.42999999999984</v>
      </c>
      <c r="I193" s="15">
        <f>IFERROR(H193/H444, "NA")</f>
        <v>-2.0055276716673523E-2</v>
      </c>
      <c r="J193" s="2"/>
      <c r="K193" s="14">
        <f>IFERROR(K186+K187+K188+K189+K190+K191+K192, "NA")</f>
        <v>2545.1999999999998</v>
      </c>
      <c r="L193" s="15">
        <f>IFERROR(K193/K444, "NA")</f>
        <v>2.6653921263906075E-2</v>
      </c>
      <c r="M193" s="2"/>
      <c r="N193" s="14">
        <f t="shared" si="49"/>
        <v>80.159999999999854</v>
      </c>
      <c r="O193" s="15">
        <f>IFERROR(N193/N444, "NA")</f>
        <v>-1.7690873177890813E-2</v>
      </c>
      <c r="P193" s="2"/>
      <c r="Q193" s="14">
        <f>IFERROR(Q186+Q187+Q188+Q189+Q190+Q191+Q192, "NA")</f>
        <v>2465.04</v>
      </c>
      <c r="R193" s="15">
        <f>IFERROR(Q193/Q444, "NA")</f>
        <v>2.7100415800484369E-2</v>
      </c>
      <c r="S193" s="2"/>
      <c r="T193" s="14">
        <f>IFERROR(T186+T187+T188+T189+T190+T191+T192, "NA")</f>
        <v>2588.4699999999998</v>
      </c>
      <c r="U193" s="15">
        <f>IFERROR(T193/T444, "NA")</f>
        <v>2.6653937980916857E-2</v>
      </c>
      <c r="V193" s="2"/>
      <c r="W193" s="14">
        <f t="shared" si="50"/>
        <v>123.42999999999984</v>
      </c>
      <c r="X193" s="15">
        <f>IFERROR(W193/W444, "NA")</f>
        <v>-2.0055276716673523E-2</v>
      </c>
      <c r="Y193" s="2"/>
      <c r="Z193" s="14">
        <f>IFERROR(Z186+Z187+Z188+Z189+Z190+Z191+Z192, "NA")</f>
        <v>2545.1999999999998</v>
      </c>
      <c r="AA193" s="15">
        <f>IFERROR(Z193/Z444, "NA")</f>
        <v>2.6653921263906075E-2</v>
      </c>
      <c r="AB193" s="2"/>
      <c r="AC193" s="14">
        <f t="shared" si="51"/>
        <v>80.159999999999854</v>
      </c>
      <c r="AD193" s="15">
        <f>IFERROR(AC193/AC444, "NA")</f>
        <v>-1.7690873177890813E-2</v>
      </c>
    </row>
    <row r="194" spans="1:30" ht="16.5" customHeight="1" x14ac:dyDescent="0.45">
      <c r="A194" s="6" t="s">
        <v>178</v>
      </c>
      <c r="B194" s="7">
        <v>275.60000000000002</v>
      </c>
      <c r="C194" s="8">
        <f>IFERROR(B194/B444, "NA")</f>
        <v>3.0299202425167512E-3</v>
      </c>
      <c r="D194" s="9"/>
      <c r="E194" s="7">
        <v>203.41</v>
      </c>
      <c r="F194" s="8">
        <f>IFERROR(E194/E444, "NA")</f>
        <v>2.0945491061122199E-3</v>
      </c>
      <c r="G194" s="9"/>
      <c r="H194" s="10">
        <f t="shared" si="48"/>
        <v>-72.190000000000026</v>
      </c>
      <c r="I194" s="8">
        <f>IFERROR(H194/H444, "NA")</f>
        <v>1.1729647785600454E-2</v>
      </c>
      <c r="J194" s="9"/>
      <c r="K194" s="7">
        <v>275.60000000000002</v>
      </c>
      <c r="L194" s="8">
        <f>IFERROR(K194/K444, "NA")</f>
        <v>2.886146746948183E-3</v>
      </c>
      <c r="M194" s="9"/>
      <c r="N194" s="10">
        <f t="shared" si="49"/>
        <v>0</v>
      </c>
      <c r="O194" s="8">
        <f>IFERROR(N194/N444, "NA")</f>
        <v>0</v>
      </c>
      <c r="P194" s="9"/>
      <c r="Q194" s="7">
        <v>275.60000000000002</v>
      </c>
      <c r="R194" s="8">
        <f>IFERROR(Q194/Q444, "NA")</f>
        <v>3.0299202425167512E-3</v>
      </c>
      <c r="S194" s="9"/>
      <c r="T194" s="7">
        <v>203.41</v>
      </c>
      <c r="U194" s="8">
        <f>IFERROR(T194/T444, "NA")</f>
        <v>2.0945491061122199E-3</v>
      </c>
      <c r="V194" s="9"/>
      <c r="W194" s="10">
        <f t="shared" si="50"/>
        <v>-72.190000000000026</v>
      </c>
      <c r="X194" s="8">
        <f>IFERROR(W194/W444, "NA")</f>
        <v>1.1729647785600454E-2</v>
      </c>
      <c r="Y194" s="9"/>
      <c r="Z194" s="7">
        <v>275.60000000000002</v>
      </c>
      <c r="AA194" s="8">
        <f>IFERROR(Z194/Z444, "NA")</f>
        <v>2.886146746948183E-3</v>
      </c>
      <c r="AB194" s="9"/>
      <c r="AC194" s="10">
        <f t="shared" si="51"/>
        <v>0</v>
      </c>
      <c r="AD194" s="8">
        <f>IFERROR(AC194/AC444, "NA")</f>
        <v>0</v>
      </c>
    </row>
    <row r="195" spans="1:30" ht="16.5" customHeight="1" x14ac:dyDescent="0.45">
      <c r="A195" s="6" t="s">
        <v>179</v>
      </c>
      <c r="B195" s="7">
        <v>0</v>
      </c>
      <c r="C195" s="8">
        <f>IFERROR(B195/B444, "NA")</f>
        <v>0</v>
      </c>
      <c r="D195" s="9"/>
      <c r="E195" s="7">
        <v>874.03</v>
      </c>
      <c r="F195" s="8">
        <f>IFERROR(E195/E444, "NA")</f>
        <v>9.000043042206694E-3</v>
      </c>
      <c r="G195" s="9"/>
      <c r="H195" s="10">
        <f t="shared" si="48"/>
        <v>874.03</v>
      </c>
      <c r="I195" s="8">
        <f>IFERROR(H195/H444, "NA")</f>
        <v>-0.1420150166788802</v>
      </c>
      <c r="J195" s="9"/>
      <c r="K195" s="7">
        <v>895</v>
      </c>
      <c r="L195" s="8">
        <f>IFERROR(K195/K444, "NA")</f>
        <v>9.3726463661778781E-3</v>
      </c>
      <c r="M195" s="9"/>
      <c r="N195" s="10">
        <f t="shared" si="49"/>
        <v>895</v>
      </c>
      <c r="O195" s="8">
        <f>IFERROR(N195/N444, "NA")</f>
        <v>-0.19752160047670042</v>
      </c>
      <c r="P195" s="9"/>
      <c r="Q195" s="7">
        <v>0</v>
      </c>
      <c r="R195" s="8">
        <f>IFERROR(Q195/Q444, "NA")</f>
        <v>0</v>
      </c>
      <c r="S195" s="9"/>
      <c r="T195" s="7">
        <v>874.03</v>
      </c>
      <c r="U195" s="8">
        <f>IFERROR(T195/T444, "NA")</f>
        <v>9.000043042206694E-3</v>
      </c>
      <c r="V195" s="9"/>
      <c r="W195" s="10">
        <f t="shared" si="50"/>
        <v>874.03</v>
      </c>
      <c r="X195" s="8">
        <f>IFERROR(W195/W444, "NA")</f>
        <v>-0.1420150166788802</v>
      </c>
      <c r="Y195" s="9"/>
      <c r="Z195" s="7">
        <v>895</v>
      </c>
      <c r="AA195" s="8">
        <f>IFERROR(Z195/Z444, "NA")</f>
        <v>9.3726463661778781E-3</v>
      </c>
      <c r="AB195" s="9"/>
      <c r="AC195" s="10">
        <f t="shared" si="51"/>
        <v>895</v>
      </c>
      <c r="AD195" s="8">
        <f>IFERROR(AC195/AC444, "NA")</f>
        <v>-0.19752160047670042</v>
      </c>
    </row>
    <row r="196" spans="1:30" ht="16.5" customHeight="1" x14ac:dyDescent="0.45">
      <c r="A196" s="19" t="s">
        <v>180</v>
      </c>
      <c r="B196" s="14">
        <f>IFERROR(B175+B177+B178+B179+B180+B181+B183+B184+B186+B187+B188+B189+B190+B191+B192+B194+B195, "NA")</f>
        <v>28442.61</v>
      </c>
      <c r="C196" s="15">
        <f>IFERROR(B196/B444, "NA")</f>
        <v>0.31269535482224009</v>
      </c>
      <c r="D196" s="2"/>
      <c r="E196" s="14">
        <f>IFERROR(E175+E177+E178+E179+E180+E181+E183+E184+E186+E187+E188+E189+E190+E191+E192+E194+E195, "NA")</f>
        <v>29091.599999999999</v>
      </c>
      <c r="F196" s="15">
        <f>IFERROR(E196/E444, "NA")</f>
        <v>0.29956140197322773</v>
      </c>
      <c r="G196" s="2"/>
      <c r="H196" s="14">
        <f t="shared" si="48"/>
        <v>648.98999999999796</v>
      </c>
      <c r="I196" s="15">
        <f>IFERROR(H196/H444, "NA")</f>
        <v>-0.10544984231024812</v>
      </c>
      <c r="J196" s="2"/>
      <c r="K196" s="14">
        <f>IFERROR(K175+K177+K178+K179+K180+K181+K183+K184+K186+K187+K188+K189+K190+K191+K192+K194+K195, "NA")</f>
        <v>29398.45</v>
      </c>
      <c r="L196" s="15">
        <f>IFERROR(K196/K444, "NA")</f>
        <v>0.30786734699861684</v>
      </c>
      <c r="M196" s="2"/>
      <c r="N196" s="14">
        <f t="shared" si="49"/>
        <v>955.84000000000015</v>
      </c>
      <c r="O196" s="15">
        <f>IFERROR(N196/N444, "NA")</f>
        <v>-0.21094865541860264</v>
      </c>
      <c r="P196" s="2"/>
      <c r="Q196" s="14">
        <f>IFERROR(Q175+Q177+Q178+Q179+Q180+Q181+Q183+Q184+Q186+Q187+Q188+Q189+Q190+Q191+Q192+Q194+Q195, "NA")</f>
        <v>28442.61</v>
      </c>
      <c r="R196" s="15">
        <f>IFERROR(Q196/Q444, "NA")</f>
        <v>0.31269535482224009</v>
      </c>
      <c r="S196" s="2"/>
      <c r="T196" s="14">
        <f>IFERROR(T175+T177+T178+T179+T180+T181+T183+T184+T186+T187+T188+T189+T190+T191+T192+T194+T195, "NA")</f>
        <v>29091.599999999999</v>
      </c>
      <c r="U196" s="15">
        <f>IFERROR(T196/T444, "NA")</f>
        <v>0.29956140197322773</v>
      </c>
      <c r="V196" s="2"/>
      <c r="W196" s="14">
        <f t="shared" si="50"/>
        <v>648.98999999999796</v>
      </c>
      <c r="X196" s="15">
        <f>IFERROR(W196/W444, "NA")</f>
        <v>-0.10544984231024812</v>
      </c>
      <c r="Y196" s="2"/>
      <c r="Z196" s="14">
        <f>IFERROR(Z175+Z177+Z178+Z179+Z180+Z181+Z183+Z184+Z186+Z187+Z188+Z189+Z190+Z191+Z192+Z194+Z195, "NA")</f>
        <v>29398.45</v>
      </c>
      <c r="AA196" s="15">
        <f>IFERROR(Z196/Z444, "NA")</f>
        <v>0.30786734699861684</v>
      </c>
      <c r="AB196" s="2"/>
      <c r="AC196" s="14">
        <f t="shared" si="51"/>
        <v>955.84000000000015</v>
      </c>
      <c r="AD196" s="15">
        <f>IFERROR(AC196/AC444, "NA")</f>
        <v>-0.21094865541860264</v>
      </c>
    </row>
    <row r="197" spans="1:30" ht="16.5" customHeight="1" x14ac:dyDescent="0.45">
      <c r="A197" s="21" t="s">
        <v>180</v>
      </c>
      <c r="B197" s="14">
        <f>IFERROR(B175+B177+B178+B179+B180+B181+B183+B184+B186+B187+B188+B189+B190+B191+B192+B194+B195, "NA")</f>
        <v>28442.61</v>
      </c>
      <c r="C197" s="15">
        <f>IFERROR(B197/B444, "NA")</f>
        <v>0.31269535482224009</v>
      </c>
      <c r="D197" s="2"/>
      <c r="E197" s="14">
        <f>IFERROR(E175+E177+E178+E179+E180+E181+E183+E184+E186+E187+E188+E189+E190+E191+E192+E194+E195, "NA")</f>
        <v>29091.599999999999</v>
      </c>
      <c r="F197" s="15">
        <f>IFERROR(E197/E444, "NA")</f>
        <v>0.29956140197322773</v>
      </c>
      <c r="G197" s="2"/>
      <c r="H197" s="14">
        <f t="shared" si="48"/>
        <v>648.98999999999796</v>
      </c>
      <c r="I197" s="15">
        <f>IFERROR(H197/H444, "NA")</f>
        <v>-0.10544984231024812</v>
      </c>
      <c r="J197" s="2"/>
      <c r="K197" s="14">
        <f>IFERROR(K175+K177+K178+K179+K180+K181+K183+K184+K186+K187+K188+K189+K190+K191+K192+K194+K195, "NA")</f>
        <v>29398.45</v>
      </c>
      <c r="L197" s="15">
        <f>IFERROR(K197/K444, "NA")</f>
        <v>0.30786734699861684</v>
      </c>
      <c r="M197" s="2"/>
      <c r="N197" s="14">
        <f t="shared" si="49"/>
        <v>955.84000000000015</v>
      </c>
      <c r="O197" s="15">
        <f>IFERROR(N197/N444, "NA")</f>
        <v>-0.21094865541860264</v>
      </c>
      <c r="P197" s="2"/>
      <c r="Q197" s="14">
        <f>IFERROR(Q175+Q177+Q178+Q179+Q180+Q181+Q183+Q184+Q186+Q187+Q188+Q189+Q190+Q191+Q192+Q194+Q195, "NA")</f>
        <v>28442.61</v>
      </c>
      <c r="R197" s="15">
        <f>IFERROR(Q197/Q444, "NA")</f>
        <v>0.31269535482224009</v>
      </c>
      <c r="S197" s="2"/>
      <c r="T197" s="14">
        <f>IFERROR(T175+T177+T178+T179+T180+T181+T183+T184+T186+T187+T188+T189+T190+T191+T192+T194+T195, "NA")</f>
        <v>29091.599999999999</v>
      </c>
      <c r="U197" s="15">
        <f>IFERROR(T197/T444, "NA")</f>
        <v>0.29956140197322773</v>
      </c>
      <c r="V197" s="2"/>
      <c r="W197" s="14">
        <f t="shared" si="50"/>
        <v>648.98999999999796</v>
      </c>
      <c r="X197" s="15">
        <f>IFERROR(W197/W444, "NA")</f>
        <v>-0.10544984231024812</v>
      </c>
      <c r="Y197" s="2"/>
      <c r="Z197" s="14">
        <f>IFERROR(Z175+Z177+Z178+Z179+Z180+Z181+Z183+Z184+Z186+Z187+Z188+Z189+Z190+Z191+Z192+Z194+Z195, "NA")</f>
        <v>29398.45</v>
      </c>
      <c r="AA197" s="15">
        <f>IFERROR(Z197/Z444, "NA")</f>
        <v>0.30786734699861684</v>
      </c>
      <c r="AB197" s="2"/>
      <c r="AC197" s="14">
        <f t="shared" si="51"/>
        <v>955.84000000000015</v>
      </c>
      <c r="AD197" s="15">
        <f>IFERROR(AC197/AC444, "NA")</f>
        <v>-0.21094865541860264</v>
      </c>
    </row>
    <row r="198" spans="1:30" ht="16.5" customHeight="1" x14ac:dyDescent="0.45">
      <c r="A198" s="22" t="s">
        <v>181</v>
      </c>
      <c r="B198" s="23">
        <f>IFERROR(B172-B197, "NA")</f>
        <v>35457.579999999987</v>
      </c>
      <c r="C198" s="24">
        <f>IFERROR(B198/B444, "NA")</f>
        <v>0.38981726920412574</v>
      </c>
      <c r="D198" s="25"/>
      <c r="E198" s="23">
        <f>IFERROR(E172-E197, "NA")</f>
        <v>40636.240000000013</v>
      </c>
      <c r="F198" s="24">
        <f>IFERROR(E198/E444, "NA")</f>
        <v>0.41843862232811396</v>
      </c>
      <c r="G198" s="25"/>
      <c r="H198" s="23">
        <f>IFERROR(B198-E198, "NA")</f>
        <v>-5178.6600000000253</v>
      </c>
      <c r="I198" s="24">
        <f>IFERROR(H198/H444, "NA")</f>
        <v>0.84144421389912616</v>
      </c>
      <c r="J198" s="25"/>
      <c r="K198" s="23">
        <f>IFERROR(K172-K197, "NA")</f>
        <v>42148.880000000019</v>
      </c>
      <c r="L198" s="24">
        <f>IFERROR(K198/K444, "NA")</f>
        <v>0.44139278991113706</v>
      </c>
      <c r="M198" s="25"/>
      <c r="N198" s="23">
        <f>IFERROR(B198-K198, "NA")</f>
        <v>-6691.300000000032</v>
      </c>
      <c r="O198" s="24">
        <f>IFERROR(N198/N444, "NA")</f>
        <v>1.4767332796310078</v>
      </c>
      <c r="P198" s="25"/>
      <c r="Q198" s="23">
        <f>IFERROR(Q172-Q197, "NA")</f>
        <v>35457.579999999987</v>
      </c>
      <c r="R198" s="24">
        <f>IFERROR(Q198/Q444, "NA")</f>
        <v>0.38981726920412574</v>
      </c>
      <c r="S198" s="25"/>
      <c r="T198" s="23">
        <f>IFERROR(T172-T197, "NA")</f>
        <v>40636.240000000013</v>
      </c>
      <c r="U198" s="24">
        <f>IFERROR(T198/T444, "NA")</f>
        <v>0.41843862232811396</v>
      </c>
      <c r="V198" s="25"/>
      <c r="W198" s="23">
        <f>IFERROR(Q198-T198, "NA")</f>
        <v>-5178.6600000000253</v>
      </c>
      <c r="X198" s="24">
        <f>IFERROR(W198/W444, "NA")</f>
        <v>0.84144421389912616</v>
      </c>
      <c r="Y198" s="25"/>
      <c r="Z198" s="23">
        <f>IFERROR(Z172-Z197, "NA")</f>
        <v>42148.880000000019</v>
      </c>
      <c r="AA198" s="24">
        <f>IFERROR(Z198/Z444, "NA")</f>
        <v>0.44139278991113706</v>
      </c>
      <c r="AB198" s="25"/>
      <c r="AC198" s="23">
        <f>IFERROR(Q198-Z198, "NA")</f>
        <v>-6691.300000000032</v>
      </c>
      <c r="AD198" s="24">
        <f>IFERROR(AC198/AC444, "NA")</f>
        <v>1.4767332796310078</v>
      </c>
    </row>
    <row r="199" spans="1:30" ht="16.5" customHeight="1" x14ac:dyDescent="0.45">
      <c r="A199" s="1" t="s">
        <v>182</v>
      </c>
      <c r="B199" s="2"/>
      <c r="C199" s="3"/>
      <c r="D199" s="4"/>
      <c r="E199" s="2"/>
      <c r="F199" s="3"/>
      <c r="G199" s="4"/>
      <c r="H199" s="2"/>
      <c r="I199" s="3"/>
      <c r="J199" s="4"/>
      <c r="K199" s="2"/>
      <c r="L199" s="3"/>
      <c r="M199" s="4"/>
      <c r="N199" s="2"/>
      <c r="O199" s="3"/>
      <c r="P199" s="4"/>
      <c r="Q199" s="2"/>
      <c r="R199" s="3"/>
      <c r="S199" s="4"/>
      <c r="T199" s="2"/>
      <c r="U199" s="3"/>
      <c r="V199" s="4"/>
      <c r="W199" s="2"/>
      <c r="X199" s="3"/>
      <c r="Y199" s="4"/>
      <c r="Z199" s="2"/>
      <c r="AA199" s="3"/>
      <c r="AB199" s="4"/>
      <c r="AC199" s="2"/>
      <c r="AD199" s="3"/>
    </row>
    <row r="200" spans="1:30" ht="16.5" customHeight="1" x14ac:dyDescent="0.45">
      <c r="A200" s="5" t="s">
        <v>183</v>
      </c>
      <c r="B200" s="2"/>
      <c r="C200" s="3"/>
      <c r="D200" s="4"/>
      <c r="E200" s="2"/>
      <c r="F200" s="3"/>
      <c r="G200" s="4"/>
      <c r="H200" s="2"/>
      <c r="I200" s="3"/>
      <c r="J200" s="4"/>
      <c r="K200" s="2"/>
      <c r="L200" s="3"/>
      <c r="M200" s="4"/>
      <c r="N200" s="2"/>
      <c r="O200" s="3"/>
      <c r="P200" s="4"/>
      <c r="Q200" s="2"/>
      <c r="R200" s="3"/>
      <c r="S200" s="4"/>
      <c r="T200" s="2"/>
      <c r="U200" s="3"/>
      <c r="V200" s="4"/>
      <c r="W200" s="2"/>
      <c r="X200" s="3"/>
      <c r="Y200" s="4"/>
      <c r="Z200" s="2"/>
      <c r="AA200" s="3"/>
      <c r="AB200" s="4"/>
      <c r="AC200" s="2"/>
      <c r="AD200" s="3"/>
    </row>
    <row r="201" spans="1:30" ht="16.5" hidden="1" customHeight="1" x14ac:dyDescent="0.45">
      <c r="A201" s="6" t="s">
        <v>183</v>
      </c>
      <c r="B201" s="7">
        <v>0</v>
      </c>
      <c r="C201" s="8">
        <f>IFERROR(B201/B444, "NA")</f>
        <v>0</v>
      </c>
      <c r="D201" s="9"/>
      <c r="E201" s="7">
        <v>0</v>
      </c>
      <c r="F201" s="8">
        <f>IFERROR(E201/E444, "NA")</f>
        <v>0</v>
      </c>
      <c r="G201" s="9"/>
      <c r="H201" s="10">
        <f t="shared" ref="H201:H209" si="52">IFERROR(-(B201-E201), "NA")</f>
        <v>0</v>
      </c>
      <c r="I201" s="8">
        <f>IFERROR(H201/H444, "NA")</f>
        <v>0</v>
      </c>
      <c r="J201" s="9"/>
      <c r="K201" s="7">
        <v>0</v>
      </c>
      <c r="L201" s="8">
        <f>IFERROR(K201/K444, "NA")</f>
        <v>0</v>
      </c>
      <c r="M201" s="9"/>
      <c r="N201" s="10">
        <f t="shared" ref="N201:N209" si="53">IFERROR(-(B201-K201), "NA")</f>
        <v>0</v>
      </c>
      <c r="O201" s="8">
        <f>IFERROR(N201/N444, "NA")</f>
        <v>0</v>
      </c>
      <c r="P201" s="9"/>
      <c r="Q201" s="7">
        <v>0</v>
      </c>
      <c r="R201" s="8">
        <f>IFERROR(Q201/Q444, "NA")</f>
        <v>0</v>
      </c>
      <c r="S201" s="9"/>
      <c r="T201" s="7">
        <v>0</v>
      </c>
      <c r="U201" s="8">
        <f>IFERROR(T201/T444, "NA")</f>
        <v>0</v>
      </c>
      <c r="V201" s="9"/>
      <c r="W201" s="10">
        <f t="shared" ref="W201:W209" si="54">IFERROR(-(Q201-T201), "NA")</f>
        <v>0</v>
      </c>
      <c r="X201" s="8">
        <f>IFERROR(W201/W444, "NA")</f>
        <v>0</v>
      </c>
      <c r="Y201" s="9"/>
      <c r="Z201" s="7">
        <v>0</v>
      </c>
      <c r="AA201" s="8">
        <f>IFERROR(Z201/Z444, "NA")</f>
        <v>0</v>
      </c>
      <c r="AB201" s="9"/>
      <c r="AC201" s="10">
        <f t="shared" ref="AC201:AC209" si="55">IFERROR(-(Q201-Z201), "NA")</f>
        <v>0</v>
      </c>
      <c r="AD201" s="8">
        <f>IFERROR(AC201/AC444, "NA")</f>
        <v>0</v>
      </c>
    </row>
    <row r="202" spans="1:30" ht="16.5" customHeight="1" x14ac:dyDescent="0.45">
      <c r="A202" s="6" t="s">
        <v>184</v>
      </c>
      <c r="B202" s="7">
        <v>870.81</v>
      </c>
      <c r="C202" s="8">
        <f>IFERROR(B202/B444, "NA")</f>
        <v>9.5736024905152817E-3</v>
      </c>
      <c r="D202" s="9"/>
      <c r="E202" s="7">
        <v>1068.25</v>
      </c>
      <c r="F202" s="8">
        <f>IFERROR(E202/E444, "NA")</f>
        <v>1.099996107666476E-2</v>
      </c>
      <c r="G202" s="9"/>
      <c r="H202" s="10">
        <f t="shared" si="52"/>
        <v>197.44000000000005</v>
      </c>
      <c r="I202" s="8">
        <f>IFERROR(H202/H444, "NA")</f>
        <v>-3.2080643562667314E-2</v>
      </c>
      <c r="J202" s="9"/>
      <c r="K202" s="7">
        <v>818.59</v>
      </c>
      <c r="L202" s="8">
        <f>IFERROR(K202/K444, "NA")</f>
        <v>8.5724632278095531E-3</v>
      </c>
      <c r="M202" s="9"/>
      <c r="N202" s="10">
        <f t="shared" si="53"/>
        <v>-52.219999999999914</v>
      </c>
      <c r="O202" s="8">
        <f>IFERROR(N202/N444, "NA")</f>
        <v>1.1524668130607017E-2</v>
      </c>
      <c r="P202" s="9"/>
      <c r="Q202" s="7">
        <v>870.81</v>
      </c>
      <c r="R202" s="8">
        <f>IFERROR(Q202/Q444, "NA")</f>
        <v>9.5736024905152817E-3</v>
      </c>
      <c r="S202" s="9"/>
      <c r="T202" s="7">
        <v>1068.25</v>
      </c>
      <c r="U202" s="8">
        <f>IFERROR(T202/T444, "NA")</f>
        <v>1.099996107666476E-2</v>
      </c>
      <c r="V202" s="9"/>
      <c r="W202" s="10">
        <f t="shared" si="54"/>
        <v>197.44000000000005</v>
      </c>
      <c r="X202" s="8">
        <f>IFERROR(W202/W444, "NA")</f>
        <v>-3.2080643562667314E-2</v>
      </c>
      <c r="Y202" s="9"/>
      <c r="Z202" s="7">
        <v>818.59</v>
      </c>
      <c r="AA202" s="8">
        <f>IFERROR(Z202/Z444, "NA")</f>
        <v>8.5724632278095531E-3</v>
      </c>
      <c r="AB202" s="9"/>
      <c r="AC202" s="10">
        <f t="shared" si="55"/>
        <v>-52.219999999999914</v>
      </c>
      <c r="AD202" s="8">
        <f>IFERROR(AC202/AC444, "NA")</f>
        <v>1.1524668130607017E-2</v>
      </c>
    </row>
    <row r="203" spans="1:30" ht="16.5" customHeight="1" x14ac:dyDescent="0.45">
      <c r="A203" s="6" t="s">
        <v>185</v>
      </c>
      <c r="B203" s="7">
        <v>625.96</v>
      </c>
      <c r="C203" s="8">
        <f>IFERROR(B203/B444, "NA")</f>
        <v>6.8817448294839828E-3</v>
      </c>
      <c r="D203" s="9"/>
      <c r="E203" s="7">
        <v>679.8</v>
      </c>
      <c r="F203" s="8">
        <f>IFERROR(E203/E444, "NA")</f>
        <v>7.0000220359622781E-3</v>
      </c>
      <c r="G203" s="9"/>
      <c r="H203" s="10">
        <f t="shared" si="52"/>
        <v>53.839999999999918</v>
      </c>
      <c r="I203" s="8">
        <f>IFERROR(H203/H444, "NA")</f>
        <v>-8.748084731634952E-3</v>
      </c>
      <c r="J203" s="9"/>
      <c r="K203" s="7">
        <v>524.75</v>
      </c>
      <c r="L203" s="8">
        <f>IFERROR(K203/K444, "NA")</f>
        <v>5.495302995141723E-3</v>
      </c>
      <c r="M203" s="9"/>
      <c r="N203" s="10">
        <f t="shared" si="53"/>
        <v>-101.21000000000004</v>
      </c>
      <c r="O203" s="8">
        <f>IFERROR(N203/N444, "NA")</f>
        <v>2.2336492943292579E-2</v>
      </c>
      <c r="P203" s="9"/>
      <c r="Q203" s="7">
        <v>625.96</v>
      </c>
      <c r="R203" s="8">
        <f>IFERROR(Q203/Q444, "NA")</f>
        <v>6.8817448294839828E-3</v>
      </c>
      <c r="S203" s="9"/>
      <c r="T203" s="7">
        <v>679.8</v>
      </c>
      <c r="U203" s="8">
        <f>IFERROR(T203/T444, "NA")</f>
        <v>7.0000220359622781E-3</v>
      </c>
      <c r="V203" s="9"/>
      <c r="W203" s="10">
        <f t="shared" si="54"/>
        <v>53.839999999999918</v>
      </c>
      <c r="X203" s="8">
        <f>IFERROR(W203/W444, "NA")</f>
        <v>-8.748084731634952E-3</v>
      </c>
      <c r="Y203" s="9"/>
      <c r="Z203" s="7">
        <v>524.75</v>
      </c>
      <c r="AA203" s="8">
        <f>IFERROR(Z203/Z444, "NA")</f>
        <v>5.495302995141723E-3</v>
      </c>
      <c r="AB203" s="9"/>
      <c r="AC203" s="10">
        <f t="shared" si="55"/>
        <v>-101.21000000000004</v>
      </c>
      <c r="AD203" s="8">
        <f>IFERROR(AC203/AC444, "NA")</f>
        <v>2.2336492943292579E-2</v>
      </c>
    </row>
    <row r="204" spans="1:30" ht="16.5" customHeight="1" x14ac:dyDescent="0.45">
      <c r="A204" s="6" t="s">
        <v>186</v>
      </c>
      <c r="B204" s="7">
        <v>22.89</v>
      </c>
      <c r="C204" s="8">
        <f>IFERROR(B204/B444, "NA")</f>
        <v>2.5165048748624247E-4</v>
      </c>
      <c r="D204" s="9"/>
      <c r="E204" s="7">
        <v>194.23</v>
      </c>
      <c r="F204" s="8">
        <f>IFERROR(E204/E444, "NA")</f>
        <v>2.000021006244415E-3</v>
      </c>
      <c r="G204" s="9"/>
      <c r="H204" s="10">
        <f t="shared" si="52"/>
        <v>171.33999999999997</v>
      </c>
      <c r="I204" s="8">
        <f>IFERROR(H204/H444, "NA")</f>
        <v>-2.783983725702702E-2</v>
      </c>
      <c r="J204" s="9"/>
      <c r="K204" s="7">
        <v>22.7</v>
      </c>
      <c r="L204" s="8">
        <f>IFERROR(K204/K444, "NA")</f>
        <v>2.3771963409188586E-4</v>
      </c>
      <c r="M204" s="9"/>
      <c r="N204" s="10">
        <f t="shared" si="53"/>
        <v>-0.19000000000000128</v>
      </c>
      <c r="O204" s="8">
        <f>IFERROR(N204/N444, "NA")</f>
        <v>4.1931959877735566E-5</v>
      </c>
      <c r="P204" s="9"/>
      <c r="Q204" s="7">
        <v>22.89</v>
      </c>
      <c r="R204" s="8">
        <f>IFERROR(Q204/Q444, "NA")</f>
        <v>2.5165048748624247E-4</v>
      </c>
      <c r="S204" s="9"/>
      <c r="T204" s="7">
        <v>194.23</v>
      </c>
      <c r="U204" s="8">
        <f>IFERROR(T204/T444, "NA")</f>
        <v>2.000021006244415E-3</v>
      </c>
      <c r="V204" s="9"/>
      <c r="W204" s="10">
        <f t="shared" si="54"/>
        <v>171.33999999999997</v>
      </c>
      <c r="X204" s="8">
        <f>IFERROR(W204/W444, "NA")</f>
        <v>-2.783983725702702E-2</v>
      </c>
      <c r="Y204" s="9"/>
      <c r="Z204" s="7">
        <v>22.7</v>
      </c>
      <c r="AA204" s="8">
        <f>IFERROR(Z204/Z444, "NA")</f>
        <v>2.3771963409188586E-4</v>
      </c>
      <c r="AB204" s="9"/>
      <c r="AC204" s="10">
        <f t="shared" si="55"/>
        <v>-0.19000000000000128</v>
      </c>
      <c r="AD204" s="8">
        <f>IFERROR(AC204/AC444, "NA")</f>
        <v>4.1931959877735566E-5</v>
      </c>
    </row>
    <row r="205" spans="1:30" ht="16.5" customHeight="1" x14ac:dyDescent="0.45">
      <c r="A205" s="6" t="s">
        <v>187</v>
      </c>
      <c r="B205" s="7">
        <v>455.3</v>
      </c>
      <c r="C205" s="8">
        <f>IFERROR(B205/B444, "NA")</f>
        <v>5.0055249870024554E-3</v>
      </c>
      <c r="D205" s="9"/>
      <c r="E205" s="7">
        <v>291.33999999999997</v>
      </c>
      <c r="F205" s="8">
        <f>IFERROR(E205/E444, "NA")</f>
        <v>2.9999800234734482E-3</v>
      </c>
      <c r="G205" s="9"/>
      <c r="H205" s="10">
        <f t="shared" si="52"/>
        <v>-163.96000000000004</v>
      </c>
      <c r="I205" s="8">
        <f>IFERROR(H205/H444, "NA")</f>
        <v>2.6640712715432193E-2</v>
      </c>
      <c r="J205" s="9"/>
      <c r="K205" s="7">
        <v>364.24</v>
      </c>
      <c r="L205" s="8">
        <f>IFERROR(K205/K444, "NA")</f>
        <v>3.8144052652699786E-3</v>
      </c>
      <c r="M205" s="9"/>
      <c r="N205" s="10">
        <f t="shared" si="53"/>
        <v>-91.06</v>
      </c>
      <c r="O205" s="8">
        <f>IFERROR(N205/N444, "NA")</f>
        <v>2.0096443507718817E-2</v>
      </c>
      <c r="P205" s="9"/>
      <c r="Q205" s="7">
        <v>455.3</v>
      </c>
      <c r="R205" s="8">
        <f>IFERROR(Q205/Q444, "NA")</f>
        <v>5.0055249870024554E-3</v>
      </c>
      <c r="S205" s="9"/>
      <c r="T205" s="7">
        <v>291.33999999999997</v>
      </c>
      <c r="U205" s="8">
        <f>IFERROR(T205/T444, "NA")</f>
        <v>2.9999800234734482E-3</v>
      </c>
      <c r="V205" s="9"/>
      <c r="W205" s="10">
        <f t="shared" si="54"/>
        <v>-163.96000000000004</v>
      </c>
      <c r="X205" s="8">
        <f>IFERROR(W205/W444, "NA")</f>
        <v>2.6640712715432193E-2</v>
      </c>
      <c r="Y205" s="9"/>
      <c r="Z205" s="7">
        <v>364.24</v>
      </c>
      <c r="AA205" s="8">
        <f>IFERROR(Z205/Z444, "NA")</f>
        <v>3.8144052652699786E-3</v>
      </c>
      <c r="AB205" s="9"/>
      <c r="AC205" s="10">
        <f t="shared" si="55"/>
        <v>-91.06</v>
      </c>
      <c r="AD205" s="8">
        <f>IFERROR(AC205/AC444, "NA")</f>
        <v>2.0096443507718817E-2</v>
      </c>
    </row>
    <row r="206" spans="1:30" ht="16.5" customHeight="1" x14ac:dyDescent="0.45">
      <c r="A206" s="6" t="s">
        <v>188</v>
      </c>
      <c r="B206" s="7">
        <v>0</v>
      </c>
      <c r="C206" s="8">
        <f>IFERROR(B206/B444, "NA")</f>
        <v>0</v>
      </c>
      <c r="D206" s="9"/>
      <c r="E206" s="7">
        <v>97.11</v>
      </c>
      <c r="F206" s="8">
        <f>IFERROR(E206/E444, "NA")</f>
        <v>9.9995901722903344E-4</v>
      </c>
      <c r="G206" s="9"/>
      <c r="H206" s="10">
        <f t="shared" si="52"/>
        <v>97.11</v>
      </c>
      <c r="I206" s="8">
        <f>IFERROR(H206/H444, "NA")</f>
        <v>-1.5778724150985728E-2</v>
      </c>
      <c r="J206" s="9"/>
      <c r="K206" s="7">
        <v>0</v>
      </c>
      <c r="L206" s="8">
        <f>IFERROR(K206/K444, "NA")</f>
        <v>0</v>
      </c>
      <c r="M206" s="9"/>
      <c r="N206" s="10">
        <f t="shared" si="53"/>
        <v>0</v>
      </c>
      <c r="O206" s="8">
        <f>IFERROR(N206/N444, "NA")</f>
        <v>0</v>
      </c>
      <c r="P206" s="9"/>
      <c r="Q206" s="7">
        <v>0</v>
      </c>
      <c r="R206" s="8">
        <f>IFERROR(Q206/Q444, "NA")</f>
        <v>0</v>
      </c>
      <c r="S206" s="9"/>
      <c r="T206" s="7">
        <v>97.11</v>
      </c>
      <c r="U206" s="8">
        <f>IFERROR(T206/T444, "NA")</f>
        <v>9.9995901722903344E-4</v>
      </c>
      <c r="V206" s="9"/>
      <c r="W206" s="10">
        <f t="shared" si="54"/>
        <v>97.11</v>
      </c>
      <c r="X206" s="8">
        <f>IFERROR(W206/W444, "NA")</f>
        <v>-1.5778724150985728E-2</v>
      </c>
      <c r="Y206" s="9"/>
      <c r="Z206" s="7">
        <v>0</v>
      </c>
      <c r="AA206" s="8">
        <f>IFERROR(Z206/Z444, "NA")</f>
        <v>0</v>
      </c>
      <c r="AB206" s="9"/>
      <c r="AC206" s="10">
        <f t="shared" si="55"/>
        <v>0</v>
      </c>
      <c r="AD206" s="8">
        <f>IFERROR(AC206/AC444, "NA")</f>
        <v>0</v>
      </c>
    </row>
    <row r="207" spans="1:30" ht="16.5" customHeight="1" x14ac:dyDescent="0.45">
      <c r="A207" s="6" t="s">
        <v>189</v>
      </c>
      <c r="B207" s="7">
        <v>0</v>
      </c>
      <c r="C207" s="8">
        <f>IFERROR(B207/B444, "NA")</f>
        <v>0</v>
      </c>
      <c r="D207" s="9"/>
      <c r="E207" s="7">
        <v>100</v>
      </c>
      <c r="F207" s="8">
        <f>IFERROR(E207/E444, "NA")</f>
        <v>1.0297178634837128E-3</v>
      </c>
      <c r="G207" s="9"/>
      <c r="H207" s="10">
        <f t="shared" si="52"/>
        <v>100</v>
      </c>
      <c r="I207" s="8">
        <f>IFERROR(H207/H444, "NA")</f>
        <v>-1.6248300021610262E-2</v>
      </c>
      <c r="J207" s="9"/>
      <c r="K207" s="7">
        <v>99.6</v>
      </c>
      <c r="L207" s="8">
        <f>IFERROR(K207/K444, "NA")</f>
        <v>1.043034165442812E-3</v>
      </c>
      <c r="M207" s="9"/>
      <c r="N207" s="10">
        <f t="shared" si="53"/>
        <v>99.6</v>
      </c>
      <c r="O207" s="8">
        <f>IFERROR(N207/N444, "NA")</f>
        <v>-2.1981174756960181E-2</v>
      </c>
      <c r="P207" s="9"/>
      <c r="Q207" s="7">
        <v>0</v>
      </c>
      <c r="R207" s="8">
        <f>IFERROR(Q207/Q444, "NA")</f>
        <v>0</v>
      </c>
      <c r="S207" s="9"/>
      <c r="T207" s="7">
        <v>100</v>
      </c>
      <c r="U207" s="8">
        <f>IFERROR(T207/T444, "NA")</f>
        <v>1.0297178634837128E-3</v>
      </c>
      <c r="V207" s="9"/>
      <c r="W207" s="10">
        <f t="shared" si="54"/>
        <v>100</v>
      </c>
      <c r="X207" s="8">
        <f>IFERROR(W207/W444, "NA")</f>
        <v>-1.6248300021610262E-2</v>
      </c>
      <c r="Y207" s="9"/>
      <c r="Z207" s="7">
        <v>99.6</v>
      </c>
      <c r="AA207" s="8">
        <f>IFERROR(Z207/Z444, "NA")</f>
        <v>1.043034165442812E-3</v>
      </c>
      <c r="AB207" s="9"/>
      <c r="AC207" s="10">
        <f t="shared" si="55"/>
        <v>99.6</v>
      </c>
      <c r="AD207" s="8">
        <f>IFERROR(AC207/AC444, "NA")</f>
        <v>-2.1981174756960181E-2</v>
      </c>
    </row>
    <row r="208" spans="1:30" ht="16.5" customHeight="1" x14ac:dyDescent="0.45">
      <c r="A208" s="6" t="s">
        <v>190</v>
      </c>
      <c r="B208" s="7">
        <v>127.12</v>
      </c>
      <c r="C208" s="8">
        <f>IFERROR(B208/B444, "NA")</f>
        <v>1.3975452149083069E-3</v>
      </c>
      <c r="D208" s="9"/>
      <c r="E208" s="7">
        <v>100</v>
      </c>
      <c r="F208" s="8">
        <f>IFERROR(E208/E444, "NA")</f>
        <v>1.0297178634837128E-3</v>
      </c>
      <c r="G208" s="9"/>
      <c r="H208" s="10">
        <f t="shared" si="52"/>
        <v>-27.120000000000005</v>
      </c>
      <c r="I208" s="8">
        <f>IFERROR(H208/H444, "NA")</f>
        <v>4.4065389658607046E-3</v>
      </c>
      <c r="J208" s="9"/>
      <c r="K208" s="7">
        <v>103.42</v>
      </c>
      <c r="L208" s="8">
        <f>IFERROR(K208/K444, "NA")</f>
        <v>1.08303808624594E-3</v>
      </c>
      <c r="M208" s="9"/>
      <c r="N208" s="10">
        <f t="shared" si="53"/>
        <v>-23.700000000000003</v>
      </c>
      <c r="O208" s="8">
        <f>IFERROR(N208/N444, "NA")</f>
        <v>5.2304602584332966E-3</v>
      </c>
      <c r="P208" s="9"/>
      <c r="Q208" s="7">
        <v>127.12</v>
      </c>
      <c r="R208" s="8">
        <f>IFERROR(Q208/Q444, "NA")</f>
        <v>1.3975452149083069E-3</v>
      </c>
      <c r="S208" s="9"/>
      <c r="T208" s="7">
        <v>100</v>
      </c>
      <c r="U208" s="8">
        <f>IFERROR(T208/T444, "NA")</f>
        <v>1.0297178634837128E-3</v>
      </c>
      <c r="V208" s="9"/>
      <c r="W208" s="10">
        <f t="shared" si="54"/>
        <v>-27.120000000000005</v>
      </c>
      <c r="X208" s="8">
        <f>IFERROR(W208/W444, "NA")</f>
        <v>4.4065389658607046E-3</v>
      </c>
      <c r="Y208" s="9"/>
      <c r="Z208" s="7">
        <v>103.42</v>
      </c>
      <c r="AA208" s="8">
        <f>IFERROR(Z208/Z444, "NA")</f>
        <v>1.08303808624594E-3</v>
      </c>
      <c r="AB208" s="9"/>
      <c r="AC208" s="10">
        <f t="shared" si="55"/>
        <v>-23.700000000000003</v>
      </c>
      <c r="AD208" s="8">
        <f>IFERROR(AC208/AC444, "NA")</f>
        <v>5.2304602584332966E-3</v>
      </c>
    </row>
    <row r="209" spans="1:30" ht="16.5" customHeight="1" x14ac:dyDescent="0.45">
      <c r="A209" s="19" t="s">
        <v>191</v>
      </c>
      <c r="B209" s="14">
        <f>IFERROR(B201+B202+B203+B204+B205+B206+B207+B208, "NA")</f>
        <v>2102.08</v>
      </c>
      <c r="C209" s="15">
        <f>IFERROR(B209/B444, "NA")</f>
        <v>2.3110068009396269E-2</v>
      </c>
      <c r="D209" s="2"/>
      <c r="E209" s="14">
        <f>IFERROR(E201+E202+E203+E204+E205+E206+E207+E208, "NA")</f>
        <v>2530.73</v>
      </c>
      <c r="F209" s="15">
        <f>IFERROR(E209/E444, "NA")</f>
        <v>2.6059378886541362E-2</v>
      </c>
      <c r="G209" s="2"/>
      <c r="H209" s="14">
        <f t="shared" si="52"/>
        <v>428.65000000000009</v>
      </c>
      <c r="I209" s="15">
        <f>IFERROR(H209/H444, "NA")</f>
        <v>-6.9648338042632416E-2</v>
      </c>
      <c r="J209" s="2"/>
      <c r="K209" s="14">
        <f>IFERROR(K201+K202+K203+K204+K205+K206+K207+K208, "NA")</f>
        <v>1933.3000000000002</v>
      </c>
      <c r="L209" s="15">
        <f>IFERROR(K209/K444, "NA")</f>
        <v>2.0245963374001894E-2</v>
      </c>
      <c r="M209" s="2"/>
      <c r="N209" s="14">
        <f t="shared" si="53"/>
        <v>-168.77999999999975</v>
      </c>
      <c r="O209" s="15">
        <f>IFERROR(N209/N444, "NA")</f>
        <v>3.7248822042969212E-2</v>
      </c>
      <c r="P209" s="2"/>
      <c r="Q209" s="14">
        <f>IFERROR(Q201+Q202+Q203+Q204+Q205+Q206+Q207+Q208, "NA")</f>
        <v>2102.08</v>
      </c>
      <c r="R209" s="15">
        <f>IFERROR(Q209/Q444, "NA")</f>
        <v>2.3110068009396269E-2</v>
      </c>
      <c r="S209" s="2"/>
      <c r="T209" s="14">
        <f>IFERROR(T201+T202+T203+T204+T205+T206+T207+T208, "NA")</f>
        <v>2530.73</v>
      </c>
      <c r="U209" s="15">
        <f>IFERROR(T209/T444, "NA")</f>
        <v>2.6059378886541362E-2</v>
      </c>
      <c r="V209" s="2"/>
      <c r="W209" s="14">
        <f t="shared" si="54"/>
        <v>428.65000000000009</v>
      </c>
      <c r="X209" s="15">
        <f>IFERROR(W209/W444, "NA")</f>
        <v>-6.9648338042632416E-2</v>
      </c>
      <c r="Y209" s="2"/>
      <c r="Z209" s="14">
        <f>IFERROR(Z201+Z202+Z203+Z204+Z205+Z206+Z207+Z208, "NA")</f>
        <v>1933.3000000000002</v>
      </c>
      <c r="AA209" s="15">
        <f>IFERROR(Z209/Z444, "NA")</f>
        <v>2.0245963374001894E-2</v>
      </c>
      <c r="AB209" s="2"/>
      <c r="AC209" s="14">
        <f t="shared" si="55"/>
        <v>-168.77999999999975</v>
      </c>
      <c r="AD209" s="15">
        <f>IFERROR(AC209/AC444, "NA")</f>
        <v>3.7248822042969212E-2</v>
      </c>
    </row>
    <row r="210" spans="1:30" ht="16.5" customHeight="1" x14ac:dyDescent="0.45">
      <c r="A210" s="5" t="s">
        <v>192</v>
      </c>
      <c r="B210" s="2"/>
      <c r="C210" s="3"/>
      <c r="D210" s="4"/>
      <c r="E210" s="2"/>
      <c r="F210" s="3"/>
      <c r="G210" s="4"/>
      <c r="H210" s="2"/>
      <c r="I210" s="3"/>
      <c r="J210" s="4"/>
      <c r="K210" s="2"/>
      <c r="L210" s="3"/>
      <c r="M210" s="4"/>
      <c r="N210" s="2"/>
      <c r="O210" s="3"/>
      <c r="P210" s="4"/>
      <c r="Q210" s="2"/>
      <c r="R210" s="3"/>
      <c r="S210" s="4"/>
      <c r="T210" s="2"/>
      <c r="U210" s="3"/>
      <c r="V210" s="4"/>
      <c r="W210" s="2"/>
      <c r="X210" s="3"/>
      <c r="Y210" s="4"/>
      <c r="Z210" s="2"/>
      <c r="AA210" s="3"/>
      <c r="AB210" s="4"/>
      <c r="AC210" s="2"/>
      <c r="AD210" s="3"/>
    </row>
    <row r="211" spans="1:30" ht="16.5" hidden="1" customHeight="1" x14ac:dyDescent="0.45">
      <c r="A211" s="6" t="s">
        <v>192</v>
      </c>
      <c r="B211" s="7">
        <v>0</v>
      </c>
      <c r="C211" s="8">
        <f>IFERROR(B211/B444, "NA")</f>
        <v>0</v>
      </c>
      <c r="D211" s="9"/>
      <c r="E211" s="7">
        <v>0</v>
      </c>
      <c r="F211" s="8">
        <f>IFERROR(E211/E444, "NA")</f>
        <v>0</v>
      </c>
      <c r="G211" s="9"/>
      <c r="H211" s="10">
        <f>IFERROR(-(B211-E211), "NA")</f>
        <v>0</v>
      </c>
      <c r="I211" s="8">
        <f>IFERROR(H211/H444, "NA")</f>
        <v>0</v>
      </c>
      <c r="J211" s="9"/>
      <c r="K211" s="7">
        <v>0</v>
      </c>
      <c r="L211" s="8">
        <f>IFERROR(K211/K444, "NA")</f>
        <v>0</v>
      </c>
      <c r="M211" s="9"/>
      <c r="N211" s="10">
        <f>IFERROR(-(B211-K211), "NA")</f>
        <v>0</v>
      </c>
      <c r="O211" s="8">
        <f>IFERROR(N211/N444, "NA")</f>
        <v>0</v>
      </c>
      <c r="P211" s="9"/>
      <c r="Q211" s="7">
        <v>0</v>
      </c>
      <c r="R211" s="8">
        <f>IFERROR(Q211/Q444, "NA")</f>
        <v>0</v>
      </c>
      <c r="S211" s="9"/>
      <c r="T211" s="7">
        <v>0</v>
      </c>
      <c r="U211" s="8">
        <f>IFERROR(T211/T444, "NA")</f>
        <v>0</v>
      </c>
      <c r="V211" s="9"/>
      <c r="W211" s="10">
        <f>IFERROR(-(Q211-T211), "NA")</f>
        <v>0</v>
      </c>
      <c r="X211" s="8">
        <f>IFERROR(W211/W444, "NA")</f>
        <v>0</v>
      </c>
      <c r="Y211" s="9"/>
      <c r="Z211" s="7">
        <v>0</v>
      </c>
      <c r="AA211" s="8">
        <f>IFERROR(Z211/Z444, "NA")</f>
        <v>0</v>
      </c>
      <c r="AB211" s="9"/>
      <c r="AC211" s="10">
        <f>IFERROR(-(Q211-Z211), "NA")</f>
        <v>0</v>
      </c>
      <c r="AD211" s="8">
        <f>IFERROR(AC211/AC444, "NA")</f>
        <v>0</v>
      </c>
    </row>
    <row r="212" spans="1:30" ht="16.5" customHeight="1" x14ac:dyDescent="0.45">
      <c r="A212" s="11" t="s">
        <v>193</v>
      </c>
      <c r="B212" s="2"/>
      <c r="C212" s="3"/>
      <c r="D212" s="4"/>
      <c r="E212" s="2"/>
      <c r="F212" s="3"/>
      <c r="G212" s="4"/>
      <c r="H212" s="2"/>
      <c r="I212" s="3"/>
      <c r="J212" s="4"/>
      <c r="K212" s="2"/>
      <c r="L212" s="3"/>
      <c r="M212" s="4"/>
      <c r="N212" s="2"/>
      <c r="O212" s="3"/>
      <c r="P212" s="4"/>
      <c r="Q212" s="2"/>
      <c r="R212" s="3"/>
      <c r="S212" s="4"/>
      <c r="T212" s="2"/>
      <c r="U212" s="3"/>
      <c r="V212" s="4"/>
      <c r="W212" s="2"/>
      <c r="X212" s="3"/>
      <c r="Y212" s="4"/>
      <c r="Z212" s="2"/>
      <c r="AA212" s="3"/>
      <c r="AB212" s="4"/>
      <c r="AC212" s="2"/>
      <c r="AD212" s="3"/>
    </row>
    <row r="213" spans="1:30" ht="16.5" customHeight="1" x14ac:dyDescent="0.45">
      <c r="A213" s="12" t="s">
        <v>193</v>
      </c>
      <c r="B213" s="7">
        <v>0</v>
      </c>
      <c r="C213" s="8">
        <f>IFERROR(B213/B444, "NA")</f>
        <v>0</v>
      </c>
      <c r="D213" s="9"/>
      <c r="E213" s="7">
        <v>2816.31</v>
      </c>
      <c r="F213" s="8">
        <f>IFERROR(E213/E444, "NA")</f>
        <v>2.9000047161078148E-2</v>
      </c>
      <c r="G213" s="9"/>
      <c r="H213" s="10">
        <f t="shared" ref="H213:H227" si="56">IFERROR(-(B213-E213), "NA")</f>
        <v>2816.31</v>
      </c>
      <c r="I213" s="8">
        <f>IFERROR(H213/H444, "NA")</f>
        <v>-0.457602498338612</v>
      </c>
      <c r="J213" s="9"/>
      <c r="K213" s="7">
        <v>0</v>
      </c>
      <c r="L213" s="8">
        <f>IFERROR(K213/K444, "NA")</f>
        <v>0</v>
      </c>
      <c r="M213" s="9"/>
      <c r="N213" s="10">
        <f t="shared" ref="N213:N227" si="57">IFERROR(-(B213-K213), "NA")</f>
        <v>0</v>
      </c>
      <c r="O213" s="8">
        <f>IFERROR(N213/N444, "NA")</f>
        <v>0</v>
      </c>
      <c r="P213" s="9"/>
      <c r="Q213" s="7">
        <v>0</v>
      </c>
      <c r="R213" s="8">
        <f>IFERROR(Q213/Q444, "NA")</f>
        <v>0</v>
      </c>
      <c r="S213" s="9"/>
      <c r="T213" s="7">
        <v>2816.31</v>
      </c>
      <c r="U213" s="8">
        <f>IFERROR(T213/T444, "NA")</f>
        <v>2.9000047161078148E-2</v>
      </c>
      <c r="V213" s="9"/>
      <c r="W213" s="10">
        <f t="shared" ref="W213:W227" si="58">IFERROR(-(Q213-T213), "NA")</f>
        <v>2816.31</v>
      </c>
      <c r="X213" s="8">
        <f>IFERROR(W213/W444, "NA")</f>
        <v>-0.457602498338612</v>
      </c>
      <c r="Y213" s="9"/>
      <c r="Z213" s="7">
        <v>0</v>
      </c>
      <c r="AA213" s="8">
        <f>IFERROR(Z213/Z444, "NA")</f>
        <v>0</v>
      </c>
      <c r="AB213" s="9"/>
      <c r="AC213" s="10">
        <f t="shared" ref="AC213:AC227" si="59">IFERROR(-(Q213-Z213), "NA")</f>
        <v>0</v>
      </c>
      <c r="AD213" s="8">
        <f>IFERROR(AC213/AC444, "NA")</f>
        <v>0</v>
      </c>
    </row>
    <row r="214" spans="1:30" ht="16.5" customHeight="1" x14ac:dyDescent="0.45">
      <c r="A214" s="12" t="s">
        <v>194</v>
      </c>
      <c r="B214" s="7">
        <v>1462.41</v>
      </c>
      <c r="C214" s="8">
        <f>IFERROR(B214/B444, "NA")</f>
        <v>1.6077596741142678E-2</v>
      </c>
      <c r="D214" s="9"/>
      <c r="E214" s="7">
        <v>0</v>
      </c>
      <c r="F214" s="8">
        <f>IFERROR(E214/E444, "NA")</f>
        <v>0</v>
      </c>
      <c r="G214" s="9"/>
      <c r="H214" s="10">
        <f t="shared" si="56"/>
        <v>-1462.41</v>
      </c>
      <c r="I214" s="8">
        <f>IFERROR(H214/H444, "NA")</f>
        <v>0.23761676434603066</v>
      </c>
      <c r="J214" s="9"/>
      <c r="K214" s="7">
        <v>1858.61</v>
      </c>
      <c r="L214" s="8">
        <f>IFERROR(K214/K444, "NA")</f>
        <v>1.9463792472225547E-2</v>
      </c>
      <c r="M214" s="9"/>
      <c r="N214" s="10">
        <f t="shared" si="57"/>
        <v>396.19999999999982</v>
      </c>
      <c r="O214" s="8">
        <f>IFERROR(N214/N444, "NA")</f>
        <v>-8.7439171071361649E-2</v>
      </c>
      <c r="P214" s="9"/>
      <c r="Q214" s="7">
        <v>1462.41</v>
      </c>
      <c r="R214" s="8">
        <f>IFERROR(Q214/Q444, "NA")</f>
        <v>1.6077596741142678E-2</v>
      </c>
      <c r="S214" s="9"/>
      <c r="T214" s="7">
        <v>0</v>
      </c>
      <c r="U214" s="8">
        <f>IFERROR(T214/T444, "NA")</f>
        <v>0</v>
      </c>
      <c r="V214" s="9"/>
      <c r="W214" s="10">
        <f t="shared" si="58"/>
        <v>-1462.41</v>
      </c>
      <c r="X214" s="8">
        <f>IFERROR(W214/W444, "NA")</f>
        <v>0.23761676434603066</v>
      </c>
      <c r="Y214" s="9"/>
      <c r="Z214" s="7">
        <v>1858.61</v>
      </c>
      <c r="AA214" s="8">
        <f>IFERROR(Z214/Z444, "NA")</f>
        <v>1.9463792472225547E-2</v>
      </c>
      <c r="AB214" s="9"/>
      <c r="AC214" s="10">
        <f t="shared" si="59"/>
        <v>396.19999999999982</v>
      </c>
      <c r="AD214" s="8">
        <f>IFERROR(AC214/AC444, "NA")</f>
        <v>-8.7439171071361649E-2</v>
      </c>
    </row>
    <row r="215" spans="1:30" ht="16.5" customHeight="1" x14ac:dyDescent="0.45">
      <c r="A215" s="12" t="s">
        <v>195</v>
      </c>
      <c r="B215" s="7">
        <v>185.38</v>
      </c>
      <c r="C215" s="8">
        <f>IFERROR(B215/B444, "NA")</f>
        <v>2.0380501253909845E-3</v>
      </c>
      <c r="D215" s="9"/>
      <c r="E215" s="7">
        <v>0</v>
      </c>
      <c r="F215" s="8">
        <f>IFERROR(E215/E444, "NA")</f>
        <v>0</v>
      </c>
      <c r="G215" s="9"/>
      <c r="H215" s="10">
        <f t="shared" si="56"/>
        <v>-185.38</v>
      </c>
      <c r="I215" s="8">
        <f>IFERROR(H215/H444, "NA")</f>
        <v>3.0121098580061106E-2</v>
      </c>
      <c r="J215" s="9"/>
      <c r="K215" s="7">
        <v>0</v>
      </c>
      <c r="L215" s="8">
        <f>IFERROR(K215/K444, "NA")</f>
        <v>0</v>
      </c>
      <c r="M215" s="9"/>
      <c r="N215" s="10">
        <f t="shared" si="57"/>
        <v>-185.38</v>
      </c>
      <c r="O215" s="8">
        <f>IFERROR(N215/N444, "NA")</f>
        <v>4.09123511691293E-2</v>
      </c>
      <c r="P215" s="9"/>
      <c r="Q215" s="7">
        <v>185.38</v>
      </c>
      <c r="R215" s="8">
        <f>IFERROR(Q215/Q444, "NA")</f>
        <v>2.0380501253909845E-3</v>
      </c>
      <c r="S215" s="9"/>
      <c r="T215" s="7">
        <v>0</v>
      </c>
      <c r="U215" s="8">
        <f>IFERROR(T215/T444, "NA")</f>
        <v>0</v>
      </c>
      <c r="V215" s="9"/>
      <c r="W215" s="10">
        <f t="shared" si="58"/>
        <v>-185.38</v>
      </c>
      <c r="X215" s="8">
        <f>IFERROR(W215/W444, "NA")</f>
        <v>3.0121098580061106E-2</v>
      </c>
      <c r="Y215" s="9"/>
      <c r="Z215" s="7">
        <v>0</v>
      </c>
      <c r="AA215" s="8">
        <f>IFERROR(Z215/Z444, "NA")</f>
        <v>0</v>
      </c>
      <c r="AB215" s="9"/>
      <c r="AC215" s="10">
        <f t="shared" si="59"/>
        <v>-185.38</v>
      </c>
      <c r="AD215" s="8">
        <f>IFERROR(AC215/AC444, "NA")</f>
        <v>4.09123511691293E-2</v>
      </c>
    </row>
    <row r="216" spans="1:30" ht="16.5" hidden="1" customHeight="1" x14ac:dyDescent="0.45">
      <c r="A216" s="12" t="s">
        <v>196</v>
      </c>
      <c r="B216" s="7">
        <v>0</v>
      </c>
      <c r="C216" s="8">
        <f>IFERROR(B216/B444, "NA")</f>
        <v>0</v>
      </c>
      <c r="D216" s="9"/>
      <c r="E216" s="7">
        <v>0</v>
      </c>
      <c r="F216" s="8">
        <f>IFERROR(E216/E444, "NA")</f>
        <v>0</v>
      </c>
      <c r="G216" s="9"/>
      <c r="H216" s="10">
        <f t="shared" si="56"/>
        <v>0</v>
      </c>
      <c r="I216" s="8">
        <f>IFERROR(H216/H444, "NA")</f>
        <v>0</v>
      </c>
      <c r="J216" s="9"/>
      <c r="K216" s="7">
        <v>0</v>
      </c>
      <c r="L216" s="8">
        <f>IFERROR(K216/K444, "NA")</f>
        <v>0</v>
      </c>
      <c r="M216" s="9"/>
      <c r="N216" s="10">
        <f t="shared" si="57"/>
        <v>0</v>
      </c>
      <c r="O216" s="8">
        <f>IFERROR(N216/N444, "NA")</f>
        <v>0</v>
      </c>
      <c r="P216" s="9"/>
      <c r="Q216" s="7">
        <v>0</v>
      </c>
      <c r="R216" s="8">
        <f>IFERROR(Q216/Q444, "NA")</f>
        <v>0</v>
      </c>
      <c r="S216" s="9"/>
      <c r="T216" s="7">
        <v>0</v>
      </c>
      <c r="U216" s="8">
        <f>IFERROR(T216/T444, "NA")</f>
        <v>0</v>
      </c>
      <c r="V216" s="9"/>
      <c r="W216" s="10">
        <f t="shared" si="58"/>
        <v>0</v>
      </c>
      <c r="X216" s="8">
        <f>IFERROR(W216/W444, "NA")</f>
        <v>0</v>
      </c>
      <c r="Y216" s="9"/>
      <c r="Z216" s="7">
        <v>0</v>
      </c>
      <c r="AA216" s="8">
        <f>IFERROR(Z216/Z444, "NA")</f>
        <v>0</v>
      </c>
      <c r="AB216" s="9"/>
      <c r="AC216" s="10">
        <f t="shared" si="59"/>
        <v>0</v>
      </c>
      <c r="AD216" s="8">
        <f>IFERROR(AC216/AC444, "NA")</f>
        <v>0</v>
      </c>
    </row>
    <row r="217" spans="1:30" ht="16.5" customHeight="1" x14ac:dyDescent="0.45">
      <c r="A217" s="12" t="s">
        <v>197</v>
      </c>
      <c r="B217" s="7">
        <v>317.68</v>
      </c>
      <c r="C217" s="8">
        <f>IFERROR(B217/B444, "NA")</f>
        <v>3.4925437686600925E-3</v>
      </c>
      <c r="D217" s="9"/>
      <c r="E217" s="7">
        <v>0</v>
      </c>
      <c r="F217" s="8">
        <f>IFERROR(E217/E444, "NA")</f>
        <v>0</v>
      </c>
      <c r="G217" s="9"/>
      <c r="H217" s="10">
        <f t="shared" si="56"/>
        <v>-317.68</v>
      </c>
      <c r="I217" s="8">
        <f>IFERROR(H217/H444, "NA")</f>
        <v>5.1617599508651489E-2</v>
      </c>
      <c r="J217" s="9"/>
      <c r="K217" s="7">
        <v>1735.97</v>
      </c>
      <c r="L217" s="8">
        <f>IFERROR(K217/K444, "NA")</f>
        <v>1.8179478114294764E-2</v>
      </c>
      <c r="M217" s="9"/>
      <c r="N217" s="10">
        <f t="shared" si="57"/>
        <v>1418.29</v>
      </c>
      <c r="O217" s="8">
        <f>IFERROR(N217/N444, "NA")</f>
        <v>-0.31300883881575359</v>
      </c>
      <c r="P217" s="9"/>
      <c r="Q217" s="7">
        <v>317.68</v>
      </c>
      <c r="R217" s="8">
        <f>IFERROR(Q217/Q444, "NA")</f>
        <v>3.4925437686600925E-3</v>
      </c>
      <c r="S217" s="9"/>
      <c r="T217" s="7">
        <v>0</v>
      </c>
      <c r="U217" s="8">
        <f>IFERROR(T217/T444, "NA")</f>
        <v>0</v>
      </c>
      <c r="V217" s="9"/>
      <c r="W217" s="10">
        <f t="shared" si="58"/>
        <v>-317.68</v>
      </c>
      <c r="X217" s="8">
        <f>IFERROR(W217/W444, "NA")</f>
        <v>5.1617599508651489E-2</v>
      </c>
      <c r="Y217" s="9"/>
      <c r="Z217" s="7">
        <v>1735.97</v>
      </c>
      <c r="AA217" s="8">
        <f>IFERROR(Z217/Z444, "NA")</f>
        <v>1.8179478114294764E-2</v>
      </c>
      <c r="AB217" s="9"/>
      <c r="AC217" s="10">
        <f t="shared" si="59"/>
        <v>1418.29</v>
      </c>
      <c r="AD217" s="8">
        <f>IFERROR(AC217/AC444, "NA")</f>
        <v>-0.31300883881575359</v>
      </c>
    </row>
    <row r="218" spans="1:30" ht="16.5" customHeight="1" x14ac:dyDescent="0.45">
      <c r="A218" s="13" t="s">
        <v>198</v>
      </c>
      <c r="B218" s="14">
        <f>IFERROR(B213+B214+B215+B216+B217, "NA")</f>
        <v>1965.47</v>
      </c>
      <c r="C218" s="15">
        <f>IFERROR(B218/B444, "NA")</f>
        <v>2.1608190635193755E-2</v>
      </c>
      <c r="D218" s="2"/>
      <c r="E218" s="14">
        <f>IFERROR(E213+E214+E215+E216+E217, "NA")</f>
        <v>2816.31</v>
      </c>
      <c r="F218" s="15">
        <f>IFERROR(E218/E444, "NA")</f>
        <v>2.9000047161078148E-2</v>
      </c>
      <c r="G218" s="2"/>
      <c r="H218" s="14">
        <f t="shared" si="56"/>
        <v>850.83999999999992</v>
      </c>
      <c r="I218" s="15">
        <f>IFERROR(H218/H444, "NA")</f>
        <v>-0.13824703590386875</v>
      </c>
      <c r="J218" s="2"/>
      <c r="K218" s="14">
        <f>IFERROR(K213+K214+K215+K216+K217, "NA")</f>
        <v>3594.58</v>
      </c>
      <c r="L218" s="15">
        <f>IFERROR(K218/K444, "NA")</f>
        <v>3.7643270586520311E-2</v>
      </c>
      <c r="M218" s="2"/>
      <c r="N218" s="14">
        <f t="shared" si="57"/>
        <v>1629.11</v>
      </c>
      <c r="O218" s="15">
        <f>IFERROR(N218/N444, "NA")</f>
        <v>-0.35953565871798593</v>
      </c>
      <c r="P218" s="2"/>
      <c r="Q218" s="14">
        <f>IFERROR(Q213+Q214+Q215+Q216+Q217, "NA")</f>
        <v>1965.47</v>
      </c>
      <c r="R218" s="15">
        <f>IFERROR(Q218/Q444, "NA")</f>
        <v>2.1608190635193755E-2</v>
      </c>
      <c r="S218" s="2"/>
      <c r="T218" s="14">
        <f>IFERROR(T213+T214+T215+T216+T217, "NA")</f>
        <v>2816.31</v>
      </c>
      <c r="U218" s="15">
        <f>IFERROR(T218/T444, "NA")</f>
        <v>2.9000047161078148E-2</v>
      </c>
      <c r="V218" s="2"/>
      <c r="W218" s="14">
        <f t="shared" si="58"/>
        <v>850.83999999999992</v>
      </c>
      <c r="X218" s="15">
        <f>IFERROR(W218/W444, "NA")</f>
        <v>-0.13824703590386875</v>
      </c>
      <c r="Y218" s="2"/>
      <c r="Z218" s="14">
        <f>IFERROR(Z213+Z214+Z215+Z216+Z217, "NA")</f>
        <v>3594.58</v>
      </c>
      <c r="AA218" s="15">
        <f>IFERROR(Z218/Z444, "NA")</f>
        <v>3.7643270586520311E-2</v>
      </c>
      <c r="AB218" s="2"/>
      <c r="AC218" s="14">
        <f t="shared" si="59"/>
        <v>1629.11</v>
      </c>
      <c r="AD218" s="15">
        <f>IFERROR(AC218/AC444, "NA")</f>
        <v>-0.35953565871798593</v>
      </c>
    </row>
    <row r="219" spans="1:30" ht="16.5" hidden="1" customHeight="1" x14ac:dyDescent="0.45">
      <c r="A219" s="6" t="s">
        <v>199</v>
      </c>
      <c r="B219" s="7">
        <v>0</v>
      </c>
      <c r="C219" s="8">
        <f>IFERROR(B219/B444, "NA")</f>
        <v>0</v>
      </c>
      <c r="D219" s="9"/>
      <c r="E219" s="7">
        <v>0</v>
      </c>
      <c r="F219" s="8">
        <f>IFERROR(E219/E444, "NA")</f>
        <v>0</v>
      </c>
      <c r="G219" s="9"/>
      <c r="H219" s="10">
        <f t="shared" si="56"/>
        <v>0</v>
      </c>
      <c r="I219" s="8">
        <f>IFERROR(H219/H444, "NA")</f>
        <v>0</v>
      </c>
      <c r="J219" s="9"/>
      <c r="K219" s="7">
        <v>0</v>
      </c>
      <c r="L219" s="8">
        <f>IFERROR(K219/K444, "NA")</f>
        <v>0</v>
      </c>
      <c r="M219" s="9"/>
      <c r="N219" s="10">
        <f t="shared" si="57"/>
        <v>0</v>
      </c>
      <c r="O219" s="8">
        <f>IFERROR(N219/N444, "NA")</f>
        <v>0</v>
      </c>
      <c r="P219" s="9"/>
      <c r="Q219" s="7">
        <v>0</v>
      </c>
      <c r="R219" s="8">
        <f>IFERROR(Q219/Q444, "NA")</f>
        <v>0</v>
      </c>
      <c r="S219" s="9"/>
      <c r="T219" s="7">
        <v>0</v>
      </c>
      <c r="U219" s="8">
        <f>IFERROR(T219/T444, "NA")</f>
        <v>0</v>
      </c>
      <c r="V219" s="9"/>
      <c r="W219" s="10">
        <f t="shared" si="58"/>
        <v>0</v>
      </c>
      <c r="X219" s="8">
        <f>IFERROR(W219/W444, "NA")</f>
        <v>0</v>
      </c>
      <c r="Y219" s="9"/>
      <c r="Z219" s="7">
        <v>0</v>
      </c>
      <c r="AA219" s="8">
        <f>IFERROR(Z219/Z444, "NA")</f>
        <v>0</v>
      </c>
      <c r="AB219" s="9"/>
      <c r="AC219" s="10">
        <f t="shared" si="59"/>
        <v>0</v>
      </c>
      <c r="AD219" s="8">
        <f>IFERROR(AC219/AC444, "NA")</f>
        <v>0</v>
      </c>
    </row>
    <row r="220" spans="1:30" ht="16.5" hidden="1" customHeight="1" x14ac:dyDescent="0.45">
      <c r="A220" s="6" t="s">
        <v>200</v>
      </c>
      <c r="B220" s="7">
        <v>0</v>
      </c>
      <c r="C220" s="8">
        <f>IFERROR(B220/B444, "NA")</f>
        <v>0</v>
      </c>
      <c r="D220" s="9"/>
      <c r="E220" s="7">
        <v>0</v>
      </c>
      <c r="F220" s="8">
        <f>IFERROR(E220/E444, "NA")</f>
        <v>0</v>
      </c>
      <c r="G220" s="9"/>
      <c r="H220" s="10">
        <f t="shared" si="56"/>
        <v>0</v>
      </c>
      <c r="I220" s="8">
        <f>IFERROR(H220/H444, "NA")</f>
        <v>0</v>
      </c>
      <c r="J220" s="9"/>
      <c r="K220" s="7">
        <v>0</v>
      </c>
      <c r="L220" s="8">
        <f>IFERROR(K220/K444, "NA")</f>
        <v>0</v>
      </c>
      <c r="M220" s="9"/>
      <c r="N220" s="10">
        <f t="shared" si="57"/>
        <v>0</v>
      </c>
      <c r="O220" s="8">
        <f>IFERROR(N220/N444, "NA")</f>
        <v>0</v>
      </c>
      <c r="P220" s="9"/>
      <c r="Q220" s="7">
        <v>0</v>
      </c>
      <c r="R220" s="8">
        <f>IFERROR(Q220/Q444, "NA")</f>
        <v>0</v>
      </c>
      <c r="S220" s="9"/>
      <c r="T220" s="7">
        <v>0</v>
      </c>
      <c r="U220" s="8">
        <f>IFERROR(T220/T444, "NA")</f>
        <v>0</v>
      </c>
      <c r="V220" s="9"/>
      <c r="W220" s="10">
        <f t="shared" si="58"/>
        <v>0</v>
      </c>
      <c r="X220" s="8">
        <f>IFERROR(W220/W444, "NA")</f>
        <v>0</v>
      </c>
      <c r="Y220" s="9"/>
      <c r="Z220" s="7">
        <v>0</v>
      </c>
      <c r="AA220" s="8">
        <f>IFERROR(Z220/Z444, "NA")</f>
        <v>0</v>
      </c>
      <c r="AB220" s="9"/>
      <c r="AC220" s="10">
        <f t="shared" si="59"/>
        <v>0</v>
      </c>
      <c r="AD220" s="8">
        <f>IFERROR(AC220/AC444, "NA")</f>
        <v>0</v>
      </c>
    </row>
    <row r="221" spans="1:30" ht="16.5" hidden="1" customHeight="1" x14ac:dyDescent="0.45">
      <c r="A221" s="6" t="s">
        <v>201</v>
      </c>
      <c r="B221" s="7">
        <v>0</v>
      </c>
      <c r="C221" s="8">
        <f>IFERROR(B221/B444, "NA")</f>
        <v>0</v>
      </c>
      <c r="D221" s="9"/>
      <c r="E221" s="7">
        <v>0</v>
      </c>
      <c r="F221" s="8">
        <f>IFERROR(E221/E444, "NA")</f>
        <v>0</v>
      </c>
      <c r="G221" s="9"/>
      <c r="H221" s="10">
        <f t="shared" si="56"/>
        <v>0</v>
      </c>
      <c r="I221" s="8">
        <f>IFERROR(H221/H444, "NA")</f>
        <v>0</v>
      </c>
      <c r="J221" s="9"/>
      <c r="K221" s="7">
        <v>0</v>
      </c>
      <c r="L221" s="8">
        <f>IFERROR(K221/K444, "NA")</f>
        <v>0</v>
      </c>
      <c r="M221" s="9"/>
      <c r="N221" s="10">
        <f t="shared" si="57"/>
        <v>0</v>
      </c>
      <c r="O221" s="8">
        <f>IFERROR(N221/N444, "NA")</f>
        <v>0</v>
      </c>
      <c r="P221" s="9"/>
      <c r="Q221" s="7">
        <v>0</v>
      </c>
      <c r="R221" s="8">
        <f>IFERROR(Q221/Q444, "NA")</f>
        <v>0</v>
      </c>
      <c r="S221" s="9"/>
      <c r="T221" s="7">
        <v>0</v>
      </c>
      <c r="U221" s="8">
        <f>IFERROR(T221/T444, "NA")</f>
        <v>0</v>
      </c>
      <c r="V221" s="9"/>
      <c r="W221" s="10">
        <f t="shared" si="58"/>
        <v>0</v>
      </c>
      <c r="X221" s="8">
        <f>IFERROR(W221/W444, "NA")</f>
        <v>0</v>
      </c>
      <c r="Y221" s="9"/>
      <c r="Z221" s="7">
        <v>0</v>
      </c>
      <c r="AA221" s="8">
        <f>IFERROR(Z221/Z444, "NA")</f>
        <v>0</v>
      </c>
      <c r="AB221" s="9"/>
      <c r="AC221" s="10">
        <f t="shared" si="59"/>
        <v>0</v>
      </c>
      <c r="AD221" s="8">
        <f>IFERROR(AC221/AC444, "NA")</f>
        <v>0</v>
      </c>
    </row>
    <row r="222" spans="1:30" ht="16.5" customHeight="1" x14ac:dyDescent="0.45">
      <c r="A222" s="6" t="s">
        <v>202</v>
      </c>
      <c r="B222" s="7">
        <v>0</v>
      </c>
      <c r="C222" s="8">
        <f>IFERROR(B222/B444, "NA")</f>
        <v>0</v>
      </c>
      <c r="D222" s="9"/>
      <c r="E222" s="7">
        <v>100</v>
      </c>
      <c r="F222" s="8">
        <f>IFERROR(E222/E444, "NA")</f>
        <v>1.0297178634837128E-3</v>
      </c>
      <c r="G222" s="9"/>
      <c r="H222" s="10">
        <f t="shared" si="56"/>
        <v>100</v>
      </c>
      <c r="I222" s="8">
        <f>IFERROR(H222/H444, "NA")</f>
        <v>-1.6248300021610262E-2</v>
      </c>
      <c r="J222" s="9"/>
      <c r="K222" s="7">
        <v>246.85</v>
      </c>
      <c r="L222" s="8">
        <f>IFERROR(K222/K444, "NA")</f>
        <v>2.5850701178670495E-3</v>
      </c>
      <c r="M222" s="9"/>
      <c r="N222" s="10">
        <f t="shared" si="57"/>
        <v>246.85</v>
      </c>
      <c r="O222" s="8">
        <f>IFERROR(N222/N444, "NA")</f>
        <v>-5.4478443662205028E-2</v>
      </c>
      <c r="P222" s="9"/>
      <c r="Q222" s="7">
        <v>0</v>
      </c>
      <c r="R222" s="8">
        <f>IFERROR(Q222/Q444, "NA")</f>
        <v>0</v>
      </c>
      <c r="S222" s="9"/>
      <c r="T222" s="7">
        <v>100</v>
      </c>
      <c r="U222" s="8">
        <f>IFERROR(T222/T444, "NA")</f>
        <v>1.0297178634837128E-3</v>
      </c>
      <c r="V222" s="9"/>
      <c r="W222" s="10">
        <f t="shared" si="58"/>
        <v>100</v>
      </c>
      <c r="X222" s="8">
        <f>IFERROR(W222/W444, "NA")</f>
        <v>-1.6248300021610262E-2</v>
      </c>
      <c r="Y222" s="9"/>
      <c r="Z222" s="7">
        <v>246.85</v>
      </c>
      <c r="AA222" s="8">
        <f>IFERROR(Z222/Z444, "NA")</f>
        <v>2.5850701178670495E-3</v>
      </c>
      <c r="AB222" s="9"/>
      <c r="AC222" s="10">
        <f t="shared" si="59"/>
        <v>246.85</v>
      </c>
      <c r="AD222" s="8">
        <f>IFERROR(AC222/AC444, "NA")</f>
        <v>-5.4478443662205028E-2</v>
      </c>
    </row>
    <row r="223" spans="1:30" ht="16.5" hidden="1" customHeight="1" x14ac:dyDescent="0.45">
      <c r="A223" s="6" t="s">
        <v>203</v>
      </c>
      <c r="B223" s="7">
        <v>0</v>
      </c>
      <c r="C223" s="8">
        <f>IFERROR(B223/B444, "NA")</f>
        <v>0</v>
      </c>
      <c r="D223" s="9"/>
      <c r="E223" s="7">
        <v>0</v>
      </c>
      <c r="F223" s="8">
        <f>IFERROR(E223/E444, "NA")</f>
        <v>0</v>
      </c>
      <c r="G223" s="9"/>
      <c r="H223" s="10">
        <f t="shared" si="56"/>
        <v>0</v>
      </c>
      <c r="I223" s="8">
        <f>IFERROR(H223/H444, "NA")</f>
        <v>0</v>
      </c>
      <c r="J223" s="9"/>
      <c r="K223" s="7">
        <v>0</v>
      </c>
      <c r="L223" s="8">
        <f>IFERROR(K223/K444, "NA")</f>
        <v>0</v>
      </c>
      <c r="M223" s="9"/>
      <c r="N223" s="10">
        <f t="shared" si="57"/>
        <v>0</v>
      </c>
      <c r="O223" s="8">
        <f>IFERROR(N223/N444, "NA")</f>
        <v>0</v>
      </c>
      <c r="P223" s="9"/>
      <c r="Q223" s="7">
        <v>0</v>
      </c>
      <c r="R223" s="8">
        <f>IFERROR(Q223/Q444, "NA")</f>
        <v>0</v>
      </c>
      <c r="S223" s="9"/>
      <c r="T223" s="7">
        <v>0</v>
      </c>
      <c r="U223" s="8">
        <f>IFERROR(T223/T444, "NA")</f>
        <v>0</v>
      </c>
      <c r="V223" s="9"/>
      <c r="W223" s="10">
        <f t="shared" si="58"/>
        <v>0</v>
      </c>
      <c r="X223" s="8">
        <f>IFERROR(W223/W444, "NA")</f>
        <v>0</v>
      </c>
      <c r="Y223" s="9"/>
      <c r="Z223" s="7">
        <v>0</v>
      </c>
      <c r="AA223" s="8">
        <f>IFERROR(Z223/Z444, "NA")</f>
        <v>0</v>
      </c>
      <c r="AB223" s="9"/>
      <c r="AC223" s="10">
        <f t="shared" si="59"/>
        <v>0</v>
      </c>
      <c r="AD223" s="8">
        <f>IFERROR(AC223/AC444, "NA")</f>
        <v>0</v>
      </c>
    </row>
    <row r="224" spans="1:30" ht="16.5" hidden="1" customHeight="1" x14ac:dyDescent="0.45">
      <c r="A224" s="6" t="s">
        <v>204</v>
      </c>
      <c r="B224" s="7">
        <v>0</v>
      </c>
      <c r="C224" s="8">
        <f>IFERROR(B224/B444, "NA")</f>
        <v>0</v>
      </c>
      <c r="D224" s="9"/>
      <c r="E224" s="7">
        <v>0</v>
      </c>
      <c r="F224" s="8">
        <f>IFERROR(E224/E444, "NA")</f>
        <v>0</v>
      </c>
      <c r="G224" s="9"/>
      <c r="H224" s="10">
        <f t="shared" si="56"/>
        <v>0</v>
      </c>
      <c r="I224" s="8">
        <f>IFERROR(H224/H444, "NA")</f>
        <v>0</v>
      </c>
      <c r="J224" s="9"/>
      <c r="K224" s="7">
        <v>0</v>
      </c>
      <c r="L224" s="8">
        <f>IFERROR(K224/K444, "NA")</f>
        <v>0</v>
      </c>
      <c r="M224" s="9"/>
      <c r="N224" s="10">
        <f t="shared" si="57"/>
        <v>0</v>
      </c>
      <c r="O224" s="8">
        <f>IFERROR(N224/N444, "NA")</f>
        <v>0</v>
      </c>
      <c r="P224" s="9"/>
      <c r="Q224" s="7">
        <v>0</v>
      </c>
      <c r="R224" s="8">
        <f>IFERROR(Q224/Q444, "NA")</f>
        <v>0</v>
      </c>
      <c r="S224" s="9"/>
      <c r="T224" s="7">
        <v>0</v>
      </c>
      <c r="U224" s="8">
        <f>IFERROR(T224/T444, "NA")</f>
        <v>0</v>
      </c>
      <c r="V224" s="9"/>
      <c r="W224" s="10">
        <f t="shared" si="58"/>
        <v>0</v>
      </c>
      <c r="X224" s="8">
        <f>IFERROR(W224/W444, "NA")</f>
        <v>0</v>
      </c>
      <c r="Y224" s="9"/>
      <c r="Z224" s="7">
        <v>0</v>
      </c>
      <c r="AA224" s="8">
        <f>IFERROR(Z224/Z444, "NA")</f>
        <v>0</v>
      </c>
      <c r="AB224" s="9"/>
      <c r="AC224" s="10">
        <f t="shared" si="59"/>
        <v>0</v>
      </c>
      <c r="AD224" s="8">
        <f>IFERROR(AC224/AC444, "NA")</f>
        <v>0</v>
      </c>
    </row>
    <row r="225" spans="1:30" ht="16.5" hidden="1" customHeight="1" x14ac:dyDescent="0.45">
      <c r="A225" s="6" t="s">
        <v>205</v>
      </c>
      <c r="B225" s="7">
        <v>0</v>
      </c>
      <c r="C225" s="8">
        <f>IFERROR(B225/B444, "NA")</f>
        <v>0</v>
      </c>
      <c r="D225" s="9"/>
      <c r="E225" s="7">
        <v>0</v>
      </c>
      <c r="F225" s="8">
        <f>IFERROR(E225/E444, "NA")</f>
        <v>0</v>
      </c>
      <c r="G225" s="9"/>
      <c r="H225" s="10">
        <f t="shared" si="56"/>
        <v>0</v>
      </c>
      <c r="I225" s="8">
        <f>IFERROR(H225/H444, "NA")</f>
        <v>0</v>
      </c>
      <c r="J225" s="9"/>
      <c r="K225" s="7">
        <v>0</v>
      </c>
      <c r="L225" s="8">
        <f>IFERROR(K225/K444, "NA")</f>
        <v>0</v>
      </c>
      <c r="M225" s="9"/>
      <c r="N225" s="10">
        <f t="shared" si="57"/>
        <v>0</v>
      </c>
      <c r="O225" s="8">
        <f>IFERROR(N225/N444, "NA")</f>
        <v>0</v>
      </c>
      <c r="P225" s="9"/>
      <c r="Q225" s="7">
        <v>0</v>
      </c>
      <c r="R225" s="8">
        <f>IFERROR(Q225/Q444, "NA")</f>
        <v>0</v>
      </c>
      <c r="S225" s="9"/>
      <c r="T225" s="7">
        <v>0</v>
      </c>
      <c r="U225" s="8">
        <f>IFERROR(T225/T444, "NA")</f>
        <v>0</v>
      </c>
      <c r="V225" s="9"/>
      <c r="W225" s="10">
        <f t="shared" si="58"/>
        <v>0</v>
      </c>
      <c r="X225" s="8">
        <f>IFERROR(W225/W444, "NA")</f>
        <v>0</v>
      </c>
      <c r="Y225" s="9"/>
      <c r="Z225" s="7">
        <v>0</v>
      </c>
      <c r="AA225" s="8">
        <f>IFERROR(Z225/Z444, "NA")</f>
        <v>0</v>
      </c>
      <c r="AB225" s="9"/>
      <c r="AC225" s="10">
        <f t="shared" si="59"/>
        <v>0</v>
      </c>
      <c r="AD225" s="8">
        <f>IFERROR(AC225/AC444, "NA")</f>
        <v>0</v>
      </c>
    </row>
    <row r="226" spans="1:30" ht="16.5" hidden="1" customHeight="1" x14ac:dyDescent="0.45">
      <c r="A226" s="6" t="s">
        <v>206</v>
      </c>
      <c r="B226" s="7">
        <v>0</v>
      </c>
      <c r="C226" s="8">
        <f>IFERROR(B226/B444, "NA")</f>
        <v>0</v>
      </c>
      <c r="D226" s="9"/>
      <c r="E226" s="7">
        <v>0</v>
      </c>
      <c r="F226" s="8">
        <f>IFERROR(E226/E444, "NA")</f>
        <v>0</v>
      </c>
      <c r="G226" s="9"/>
      <c r="H226" s="10">
        <f t="shared" si="56"/>
        <v>0</v>
      </c>
      <c r="I226" s="8">
        <f>IFERROR(H226/H444, "NA")</f>
        <v>0</v>
      </c>
      <c r="J226" s="9"/>
      <c r="K226" s="7">
        <v>0</v>
      </c>
      <c r="L226" s="8">
        <f>IFERROR(K226/K444, "NA")</f>
        <v>0</v>
      </c>
      <c r="M226" s="9"/>
      <c r="N226" s="10">
        <f t="shared" si="57"/>
        <v>0</v>
      </c>
      <c r="O226" s="8">
        <f>IFERROR(N226/N444, "NA")</f>
        <v>0</v>
      </c>
      <c r="P226" s="9"/>
      <c r="Q226" s="7">
        <v>0</v>
      </c>
      <c r="R226" s="8">
        <f>IFERROR(Q226/Q444, "NA")</f>
        <v>0</v>
      </c>
      <c r="S226" s="9"/>
      <c r="T226" s="7">
        <v>0</v>
      </c>
      <c r="U226" s="8">
        <f>IFERROR(T226/T444, "NA")</f>
        <v>0</v>
      </c>
      <c r="V226" s="9"/>
      <c r="W226" s="10">
        <f t="shared" si="58"/>
        <v>0</v>
      </c>
      <c r="X226" s="8">
        <f>IFERROR(W226/W444, "NA")</f>
        <v>0</v>
      </c>
      <c r="Y226" s="9"/>
      <c r="Z226" s="7">
        <v>0</v>
      </c>
      <c r="AA226" s="8">
        <f>IFERROR(Z226/Z444, "NA")</f>
        <v>0</v>
      </c>
      <c r="AB226" s="9"/>
      <c r="AC226" s="10">
        <f t="shared" si="59"/>
        <v>0</v>
      </c>
      <c r="AD226" s="8">
        <f>IFERROR(AC226/AC444, "NA")</f>
        <v>0</v>
      </c>
    </row>
    <row r="227" spans="1:30" ht="16.5" customHeight="1" x14ac:dyDescent="0.45">
      <c r="A227" s="19" t="s">
        <v>207</v>
      </c>
      <c r="B227" s="14">
        <f>IFERROR(B211+B213+B214+B215+B216+B217+B219+B220+B221+B222+B223+B224+B225+B226, "NA")</f>
        <v>1965.47</v>
      </c>
      <c r="C227" s="15">
        <f>IFERROR(B227/B444, "NA")</f>
        <v>2.1608190635193755E-2</v>
      </c>
      <c r="D227" s="2"/>
      <c r="E227" s="14">
        <f>IFERROR(E211+E213+E214+E215+E216+E217+E219+E220+E221+E222+E223+E224+E225+E226, "NA")</f>
        <v>2916.31</v>
      </c>
      <c r="F227" s="15">
        <f>IFERROR(E227/E444, "NA")</f>
        <v>3.0029765024561859E-2</v>
      </c>
      <c r="G227" s="2"/>
      <c r="H227" s="14">
        <f t="shared" si="56"/>
        <v>950.83999999999992</v>
      </c>
      <c r="I227" s="15">
        <f>IFERROR(H227/H444, "NA")</f>
        <v>-0.15449533592547901</v>
      </c>
      <c r="J227" s="2"/>
      <c r="K227" s="14">
        <f>IFERROR(K211+K213+K214+K215+K216+K217+K219+K220+K221+K222+K223+K224+K225+K226, "NA")</f>
        <v>3841.43</v>
      </c>
      <c r="L227" s="15">
        <f>IFERROR(K227/K444, "NA")</f>
        <v>4.0228340704387362E-2</v>
      </c>
      <c r="M227" s="2"/>
      <c r="N227" s="14">
        <f t="shared" si="57"/>
        <v>1875.9599999999998</v>
      </c>
      <c r="O227" s="15">
        <f>IFERROR(N227/N444, "NA")</f>
        <v>-0.41401410238019093</v>
      </c>
      <c r="P227" s="2"/>
      <c r="Q227" s="14">
        <f>IFERROR(Q211+Q213+Q214+Q215+Q216+Q217+Q219+Q220+Q221+Q222+Q223+Q224+Q225+Q226, "NA")</f>
        <v>1965.47</v>
      </c>
      <c r="R227" s="15">
        <f>IFERROR(Q227/Q444, "NA")</f>
        <v>2.1608190635193755E-2</v>
      </c>
      <c r="S227" s="2"/>
      <c r="T227" s="14">
        <f>IFERROR(T211+T213+T214+T215+T216+T217+T219+T220+T221+T222+T223+T224+T225+T226, "NA")</f>
        <v>2916.31</v>
      </c>
      <c r="U227" s="15">
        <f>IFERROR(T227/T444, "NA")</f>
        <v>3.0029765024561859E-2</v>
      </c>
      <c r="V227" s="2"/>
      <c r="W227" s="14">
        <f t="shared" si="58"/>
        <v>950.83999999999992</v>
      </c>
      <c r="X227" s="15">
        <f>IFERROR(W227/W444, "NA")</f>
        <v>-0.15449533592547901</v>
      </c>
      <c r="Y227" s="2"/>
      <c r="Z227" s="14">
        <f>IFERROR(Z211+Z213+Z214+Z215+Z216+Z217+Z219+Z220+Z221+Z222+Z223+Z224+Z225+Z226, "NA")</f>
        <v>3841.43</v>
      </c>
      <c r="AA227" s="15">
        <f>IFERROR(Z227/Z444, "NA")</f>
        <v>4.0228340704387362E-2</v>
      </c>
      <c r="AB227" s="2"/>
      <c r="AC227" s="14">
        <f t="shared" si="59"/>
        <v>1875.9599999999998</v>
      </c>
      <c r="AD227" s="15">
        <f>IFERROR(AC227/AC444, "NA")</f>
        <v>-0.41401410238019093</v>
      </c>
    </row>
    <row r="228" spans="1:30" ht="16.5" customHeight="1" x14ac:dyDescent="0.45">
      <c r="A228" s="5" t="s">
        <v>208</v>
      </c>
      <c r="B228" s="2"/>
      <c r="C228" s="3"/>
      <c r="D228" s="4"/>
      <c r="E228" s="2"/>
      <c r="F228" s="3"/>
      <c r="G228" s="4"/>
      <c r="H228" s="2"/>
      <c r="I228" s="3"/>
      <c r="J228" s="4"/>
      <c r="K228" s="2"/>
      <c r="L228" s="3"/>
      <c r="M228" s="4"/>
      <c r="N228" s="2"/>
      <c r="O228" s="3"/>
      <c r="P228" s="4"/>
      <c r="Q228" s="2"/>
      <c r="R228" s="3"/>
      <c r="S228" s="4"/>
      <c r="T228" s="2"/>
      <c r="U228" s="3"/>
      <c r="V228" s="4"/>
      <c r="W228" s="2"/>
      <c r="X228" s="3"/>
      <c r="Y228" s="4"/>
      <c r="Z228" s="2"/>
      <c r="AA228" s="3"/>
      <c r="AB228" s="4"/>
      <c r="AC228" s="2"/>
      <c r="AD228" s="3"/>
    </row>
    <row r="229" spans="1:30" ht="16.5" customHeight="1" x14ac:dyDescent="0.45">
      <c r="A229" s="6" t="s">
        <v>208</v>
      </c>
      <c r="B229" s="7">
        <v>0</v>
      </c>
      <c r="C229" s="8">
        <f>IFERROR(B229/B444, "NA")</f>
        <v>0</v>
      </c>
      <c r="D229" s="9"/>
      <c r="E229" s="7">
        <v>1262.48</v>
      </c>
      <c r="F229" s="8">
        <f>IFERROR(E229/E444, "NA")</f>
        <v>1.2999982082909176E-2</v>
      </c>
      <c r="G229" s="9"/>
      <c r="H229" s="10">
        <f t="shared" ref="H229:H236" si="60">IFERROR(-(B229-E229), "NA")</f>
        <v>1262.48</v>
      </c>
      <c r="I229" s="8">
        <f>IFERROR(H229/H444, "NA")</f>
        <v>-0.20513153811282525</v>
      </c>
      <c r="J229" s="9"/>
      <c r="K229" s="7">
        <v>0</v>
      </c>
      <c r="L229" s="8">
        <f>IFERROR(K229/K444, "NA")</f>
        <v>0</v>
      </c>
      <c r="M229" s="9"/>
      <c r="N229" s="10">
        <f t="shared" ref="N229:N236" si="61">IFERROR(-(B229-K229), "NA")</f>
        <v>0</v>
      </c>
      <c r="O229" s="8">
        <f>IFERROR(N229/N444, "NA")</f>
        <v>0</v>
      </c>
      <c r="P229" s="9"/>
      <c r="Q229" s="7">
        <v>0</v>
      </c>
      <c r="R229" s="8">
        <f>IFERROR(Q229/Q444, "NA")</f>
        <v>0</v>
      </c>
      <c r="S229" s="9"/>
      <c r="T229" s="7">
        <v>1262.48</v>
      </c>
      <c r="U229" s="8">
        <f>IFERROR(T229/T444, "NA")</f>
        <v>1.2999982082909176E-2</v>
      </c>
      <c r="V229" s="9"/>
      <c r="W229" s="10">
        <f t="shared" ref="W229:W236" si="62">IFERROR(-(Q229-T229), "NA")</f>
        <v>1262.48</v>
      </c>
      <c r="X229" s="8">
        <f>IFERROR(W229/W444, "NA")</f>
        <v>-0.20513153811282525</v>
      </c>
      <c r="Y229" s="9"/>
      <c r="Z229" s="7">
        <v>0</v>
      </c>
      <c r="AA229" s="8">
        <f>IFERROR(Z229/Z444, "NA")</f>
        <v>0</v>
      </c>
      <c r="AB229" s="9"/>
      <c r="AC229" s="10">
        <f t="shared" ref="AC229:AC236" si="63">IFERROR(-(Q229-Z229), "NA")</f>
        <v>0</v>
      </c>
      <c r="AD229" s="8">
        <f>IFERROR(AC229/AC444, "NA")</f>
        <v>0</v>
      </c>
    </row>
    <row r="230" spans="1:30" ht="16.5" hidden="1" customHeight="1" x14ac:dyDescent="0.45">
      <c r="A230" s="6" t="s">
        <v>209</v>
      </c>
      <c r="B230" s="7">
        <v>0</v>
      </c>
      <c r="C230" s="8">
        <f>IFERROR(B230/B444, "NA")</f>
        <v>0</v>
      </c>
      <c r="D230" s="9"/>
      <c r="E230" s="7">
        <v>0</v>
      </c>
      <c r="F230" s="8">
        <f>IFERROR(E230/E444, "NA")</f>
        <v>0</v>
      </c>
      <c r="G230" s="9"/>
      <c r="H230" s="10">
        <f t="shared" si="60"/>
        <v>0</v>
      </c>
      <c r="I230" s="8">
        <f>IFERROR(H230/H444, "NA")</f>
        <v>0</v>
      </c>
      <c r="J230" s="9"/>
      <c r="K230" s="7">
        <v>0</v>
      </c>
      <c r="L230" s="8">
        <f>IFERROR(K230/K444, "NA")</f>
        <v>0</v>
      </c>
      <c r="M230" s="9"/>
      <c r="N230" s="10">
        <f t="shared" si="61"/>
        <v>0</v>
      </c>
      <c r="O230" s="8">
        <f>IFERROR(N230/N444, "NA")</f>
        <v>0</v>
      </c>
      <c r="P230" s="9"/>
      <c r="Q230" s="7">
        <v>0</v>
      </c>
      <c r="R230" s="8">
        <f>IFERROR(Q230/Q444, "NA")</f>
        <v>0</v>
      </c>
      <c r="S230" s="9"/>
      <c r="T230" s="7">
        <v>0</v>
      </c>
      <c r="U230" s="8">
        <f>IFERROR(T230/T444, "NA")</f>
        <v>0</v>
      </c>
      <c r="V230" s="9"/>
      <c r="W230" s="10">
        <f t="shared" si="62"/>
        <v>0</v>
      </c>
      <c r="X230" s="8">
        <f>IFERROR(W230/W444, "NA")</f>
        <v>0</v>
      </c>
      <c r="Y230" s="9"/>
      <c r="Z230" s="7">
        <v>0</v>
      </c>
      <c r="AA230" s="8">
        <f>IFERROR(Z230/Z444, "NA")</f>
        <v>0</v>
      </c>
      <c r="AB230" s="9"/>
      <c r="AC230" s="10">
        <f t="shared" si="63"/>
        <v>0</v>
      </c>
      <c r="AD230" s="8">
        <f>IFERROR(AC230/AC444, "NA")</f>
        <v>0</v>
      </c>
    </row>
    <row r="231" spans="1:30" ht="16.5" customHeight="1" x14ac:dyDescent="0.45">
      <c r="A231" s="6" t="s">
        <v>210</v>
      </c>
      <c r="B231" s="7">
        <v>231</v>
      </c>
      <c r="C231" s="8">
        <f>IFERROR(B231/B444, "NA")</f>
        <v>2.5395920755492359E-3</v>
      </c>
      <c r="D231" s="9"/>
      <c r="E231" s="7">
        <v>0</v>
      </c>
      <c r="F231" s="8">
        <f>IFERROR(E231/E444, "NA")</f>
        <v>0</v>
      </c>
      <c r="G231" s="9"/>
      <c r="H231" s="10">
        <f t="shared" si="60"/>
        <v>-231</v>
      </c>
      <c r="I231" s="8">
        <f>IFERROR(H231/H444, "NA")</f>
        <v>3.7533573049919708E-2</v>
      </c>
      <c r="J231" s="9"/>
      <c r="K231" s="7">
        <v>217.05</v>
      </c>
      <c r="L231" s="8">
        <f>IFERROR(K231/K444, "NA")</f>
        <v>2.2729976466803448E-3</v>
      </c>
      <c r="M231" s="9"/>
      <c r="N231" s="10">
        <f t="shared" si="61"/>
        <v>-13.949999999999989</v>
      </c>
      <c r="O231" s="8">
        <f>IFERROR(N231/N444, "NA")</f>
        <v>3.0786886331284568E-3</v>
      </c>
      <c r="P231" s="9"/>
      <c r="Q231" s="7">
        <v>231</v>
      </c>
      <c r="R231" s="8">
        <f>IFERROR(Q231/Q444, "NA")</f>
        <v>2.5395920755492359E-3</v>
      </c>
      <c r="S231" s="9"/>
      <c r="T231" s="7">
        <v>0</v>
      </c>
      <c r="U231" s="8">
        <f>IFERROR(T231/T444, "NA")</f>
        <v>0</v>
      </c>
      <c r="V231" s="9"/>
      <c r="W231" s="10">
        <f t="shared" si="62"/>
        <v>-231</v>
      </c>
      <c r="X231" s="8">
        <f>IFERROR(W231/W444, "NA")</f>
        <v>3.7533573049919708E-2</v>
      </c>
      <c r="Y231" s="9"/>
      <c r="Z231" s="7">
        <v>217.05</v>
      </c>
      <c r="AA231" s="8">
        <f>IFERROR(Z231/Z444, "NA")</f>
        <v>2.2729976466803448E-3</v>
      </c>
      <c r="AB231" s="9"/>
      <c r="AC231" s="10">
        <f t="shared" si="63"/>
        <v>-13.949999999999989</v>
      </c>
      <c r="AD231" s="8">
        <f>IFERROR(AC231/AC444, "NA")</f>
        <v>3.0786886331284568E-3</v>
      </c>
    </row>
    <row r="232" spans="1:30" ht="16.5" hidden="1" customHeight="1" x14ac:dyDescent="0.45">
      <c r="A232" s="6" t="s">
        <v>211</v>
      </c>
      <c r="B232" s="7">
        <v>0</v>
      </c>
      <c r="C232" s="8">
        <f>IFERROR(B232/B444, "NA")</f>
        <v>0</v>
      </c>
      <c r="D232" s="9"/>
      <c r="E232" s="7">
        <v>0</v>
      </c>
      <c r="F232" s="8">
        <f>IFERROR(E232/E444, "NA")</f>
        <v>0</v>
      </c>
      <c r="G232" s="9"/>
      <c r="H232" s="10">
        <f t="shared" si="60"/>
        <v>0</v>
      </c>
      <c r="I232" s="8">
        <f>IFERROR(H232/H444, "NA")</f>
        <v>0</v>
      </c>
      <c r="J232" s="9"/>
      <c r="K232" s="7">
        <v>0</v>
      </c>
      <c r="L232" s="8">
        <f>IFERROR(K232/K444, "NA")</f>
        <v>0</v>
      </c>
      <c r="M232" s="9"/>
      <c r="N232" s="10">
        <f t="shared" si="61"/>
        <v>0</v>
      </c>
      <c r="O232" s="8">
        <f>IFERROR(N232/N444, "NA")</f>
        <v>0</v>
      </c>
      <c r="P232" s="9"/>
      <c r="Q232" s="7">
        <v>0</v>
      </c>
      <c r="R232" s="8">
        <f>IFERROR(Q232/Q444, "NA")</f>
        <v>0</v>
      </c>
      <c r="S232" s="9"/>
      <c r="T232" s="7">
        <v>0</v>
      </c>
      <c r="U232" s="8">
        <f>IFERROR(T232/T444, "NA")</f>
        <v>0</v>
      </c>
      <c r="V232" s="9"/>
      <c r="W232" s="10">
        <f t="shared" si="62"/>
        <v>0</v>
      </c>
      <c r="X232" s="8">
        <f>IFERROR(W232/W444, "NA")</f>
        <v>0</v>
      </c>
      <c r="Y232" s="9"/>
      <c r="Z232" s="7">
        <v>0</v>
      </c>
      <c r="AA232" s="8">
        <f>IFERROR(Z232/Z444, "NA")</f>
        <v>0</v>
      </c>
      <c r="AB232" s="9"/>
      <c r="AC232" s="10">
        <f t="shared" si="63"/>
        <v>0</v>
      </c>
      <c r="AD232" s="8">
        <f>IFERROR(AC232/AC444, "NA")</f>
        <v>0</v>
      </c>
    </row>
    <row r="233" spans="1:30" ht="16.5" hidden="1" customHeight="1" x14ac:dyDescent="0.45">
      <c r="A233" s="6" t="s">
        <v>212</v>
      </c>
      <c r="B233" s="7">
        <v>0</v>
      </c>
      <c r="C233" s="8">
        <f>IFERROR(B233/B444, "NA")</f>
        <v>0</v>
      </c>
      <c r="D233" s="9"/>
      <c r="E233" s="7">
        <v>0</v>
      </c>
      <c r="F233" s="8">
        <f>IFERROR(E233/E444, "NA")</f>
        <v>0</v>
      </c>
      <c r="G233" s="9"/>
      <c r="H233" s="10">
        <f t="shared" si="60"/>
        <v>0</v>
      </c>
      <c r="I233" s="8">
        <f>IFERROR(H233/H444, "NA")</f>
        <v>0</v>
      </c>
      <c r="J233" s="9"/>
      <c r="K233" s="7">
        <v>0</v>
      </c>
      <c r="L233" s="8">
        <f>IFERROR(K233/K444, "NA")</f>
        <v>0</v>
      </c>
      <c r="M233" s="9"/>
      <c r="N233" s="10">
        <f t="shared" si="61"/>
        <v>0</v>
      </c>
      <c r="O233" s="8">
        <f>IFERROR(N233/N444, "NA")</f>
        <v>0</v>
      </c>
      <c r="P233" s="9"/>
      <c r="Q233" s="7">
        <v>0</v>
      </c>
      <c r="R233" s="8">
        <f>IFERROR(Q233/Q444, "NA")</f>
        <v>0</v>
      </c>
      <c r="S233" s="9"/>
      <c r="T233" s="7">
        <v>0</v>
      </c>
      <c r="U233" s="8">
        <f>IFERROR(T233/T444, "NA")</f>
        <v>0</v>
      </c>
      <c r="V233" s="9"/>
      <c r="W233" s="10">
        <f t="shared" si="62"/>
        <v>0</v>
      </c>
      <c r="X233" s="8">
        <f>IFERROR(W233/W444, "NA")</f>
        <v>0</v>
      </c>
      <c r="Y233" s="9"/>
      <c r="Z233" s="7">
        <v>0</v>
      </c>
      <c r="AA233" s="8">
        <f>IFERROR(Z233/Z444, "NA")</f>
        <v>0</v>
      </c>
      <c r="AB233" s="9"/>
      <c r="AC233" s="10">
        <f t="shared" si="63"/>
        <v>0</v>
      </c>
      <c r="AD233" s="8">
        <f>IFERROR(AC233/AC444, "NA")</f>
        <v>0</v>
      </c>
    </row>
    <row r="234" spans="1:30" ht="16.5" customHeight="1" x14ac:dyDescent="0.45">
      <c r="A234" s="6" t="s">
        <v>213</v>
      </c>
      <c r="B234" s="7">
        <v>1172.83</v>
      </c>
      <c r="C234" s="8">
        <f>IFERROR(B234/B444, "NA")</f>
        <v>1.2893981705482296E-2</v>
      </c>
      <c r="D234" s="9"/>
      <c r="E234" s="7">
        <v>0</v>
      </c>
      <c r="F234" s="8">
        <f>IFERROR(E234/E444, "NA")</f>
        <v>0</v>
      </c>
      <c r="G234" s="9"/>
      <c r="H234" s="10">
        <f t="shared" si="60"/>
        <v>-1172.83</v>
      </c>
      <c r="I234" s="8">
        <f>IFERROR(H234/H444, "NA")</f>
        <v>0.19056493714345163</v>
      </c>
      <c r="J234" s="9"/>
      <c r="K234" s="7">
        <v>1658.46</v>
      </c>
      <c r="L234" s="8">
        <f>IFERROR(K234/K444, "NA")</f>
        <v>1.7367775522292028E-2</v>
      </c>
      <c r="M234" s="9"/>
      <c r="N234" s="10">
        <f t="shared" si="61"/>
        <v>485.63000000000011</v>
      </c>
      <c r="O234" s="8">
        <f>IFERROR(N234/N444, "NA")</f>
        <v>-0.1071758825022347</v>
      </c>
      <c r="P234" s="9"/>
      <c r="Q234" s="7">
        <v>1172.83</v>
      </c>
      <c r="R234" s="8">
        <f>IFERROR(Q234/Q444, "NA")</f>
        <v>1.2893981705482296E-2</v>
      </c>
      <c r="S234" s="9"/>
      <c r="T234" s="7">
        <v>0</v>
      </c>
      <c r="U234" s="8">
        <f>IFERROR(T234/T444, "NA")</f>
        <v>0</v>
      </c>
      <c r="V234" s="9"/>
      <c r="W234" s="10">
        <f t="shared" si="62"/>
        <v>-1172.83</v>
      </c>
      <c r="X234" s="8">
        <f>IFERROR(W234/W444, "NA")</f>
        <v>0.19056493714345163</v>
      </c>
      <c r="Y234" s="9"/>
      <c r="Z234" s="7">
        <v>1658.46</v>
      </c>
      <c r="AA234" s="8">
        <f>IFERROR(Z234/Z444, "NA")</f>
        <v>1.7367775522292028E-2</v>
      </c>
      <c r="AB234" s="9"/>
      <c r="AC234" s="10">
        <f t="shared" si="63"/>
        <v>485.63000000000011</v>
      </c>
      <c r="AD234" s="8">
        <f>IFERROR(AC234/AC444, "NA")</f>
        <v>-0.1071758825022347</v>
      </c>
    </row>
    <row r="235" spans="1:30" ht="16.5" customHeight="1" x14ac:dyDescent="0.45">
      <c r="A235" s="6" t="s">
        <v>214</v>
      </c>
      <c r="B235" s="7">
        <v>14.9</v>
      </c>
      <c r="C235" s="8">
        <f>IFERROR(B235/B444, "NA")</f>
        <v>1.6380918582547022E-4</v>
      </c>
      <c r="D235" s="9"/>
      <c r="E235" s="7">
        <v>0</v>
      </c>
      <c r="F235" s="8">
        <f>IFERROR(E235/E444, "NA")</f>
        <v>0</v>
      </c>
      <c r="G235" s="9"/>
      <c r="H235" s="10">
        <f t="shared" si="60"/>
        <v>-14.9</v>
      </c>
      <c r="I235" s="8">
        <f>IFERROR(H235/H444, "NA")</f>
        <v>2.4209967032199292E-3</v>
      </c>
      <c r="J235" s="9"/>
      <c r="K235" s="7">
        <v>0</v>
      </c>
      <c r="L235" s="8">
        <f>IFERROR(K235/K444, "NA")</f>
        <v>0</v>
      </c>
      <c r="M235" s="9"/>
      <c r="N235" s="10">
        <f t="shared" si="61"/>
        <v>-14.9</v>
      </c>
      <c r="O235" s="8">
        <f>IFERROR(N235/N444, "NA")</f>
        <v>3.2883484325171358E-3</v>
      </c>
      <c r="P235" s="9"/>
      <c r="Q235" s="7">
        <v>14.9</v>
      </c>
      <c r="R235" s="8">
        <f>IFERROR(Q235/Q444, "NA")</f>
        <v>1.6380918582547022E-4</v>
      </c>
      <c r="S235" s="9"/>
      <c r="T235" s="7">
        <v>0</v>
      </c>
      <c r="U235" s="8">
        <f>IFERROR(T235/T444, "NA")</f>
        <v>0</v>
      </c>
      <c r="V235" s="9"/>
      <c r="W235" s="10">
        <f t="shared" si="62"/>
        <v>-14.9</v>
      </c>
      <c r="X235" s="8">
        <f>IFERROR(W235/W444, "NA")</f>
        <v>2.4209967032199292E-3</v>
      </c>
      <c r="Y235" s="9"/>
      <c r="Z235" s="7">
        <v>0</v>
      </c>
      <c r="AA235" s="8">
        <f>IFERROR(Z235/Z444, "NA")</f>
        <v>0</v>
      </c>
      <c r="AB235" s="9"/>
      <c r="AC235" s="10">
        <f t="shared" si="63"/>
        <v>-14.9</v>
      </c>
      <c r="AD235" s="8">
        <f>IFERROR(AC235/AC444, "NA")</f>
        <v>3.2883484325171358E-3</v>
      </c>
    </row>
    <row r="236" spans="1:30" ht="16.5" customHeight="1" x14ac:dyDescent="0.45">
      <c r="A236" s="19" t="s">
        <v>215</v>
      </c>
      <c r="B236" s="14">
        <f>IFERROR(B229+B230+B231+B232+B233+B234+B235, "NA")</f>
        <v>1418.73</v>
      </c>
      <c r="C236" s="15">
        <f>IFERROR(B236/B444, "NA")</f>
        <v>1.5597382966857004E-2</v>
      </c>
      <c r="D236" s="2"/>
      <c r="E236" s="14">
        <f>IFERROR(E229+E230+E231+E232+E233+E234+E235, "NA")</f>
        <v>1262.48</v>
      </c>
      <c r="F236" s="15">
        <f>IFERROR(E236/E444, "NA")</f>
        <v>1.2999982082909176E-2</v>
      </c>
      <c r="G236" s="2"/>
      <c r="H236" s="14">
        <f t="shared" si="60"/>
        <v>-156.25</v>
      </c>
      <c r="I236" s="15">
        <f>IFERROR(H236/H444, "NA")</f>
        <v>2.5387968783766039E-2</v>
      </c>
      <c r="J236" s="2"/>
      <c r="K236" s="14">
        <f>IFERROR(K229+K230+K231+K232+K233+K234+K235, "NA")</f>
        <v>1875.51</v>
      </c>
      <c r="L236" s="15">
        <f>IFERROR(K236/K444, "NA")</f>
        <v>1.9640773168972371E-2</v>
      </c>
      <c r="M236" s="2"/>
      <c r="N236" s="14">
        <f t="shared" si="61"/>
        <v>456.78</v>
      </c>
      <c r="O236" s="15">
        <f>IFERROR(N236/N444, "NA")</f>
        <v>-0.10080884543658906</v>
      </c>
      <c r="P236" s="2"/>
      <c r="Q236" s="14">
        <f>IFERROR(Q229+Q230+Q231+Q232+Q233+Q234+Q235, "NA")</f>
        <v>1418.73</v>
      </c>
      <c r="R236" s="15">
        <f>IFERROR(Q236/Q444, "NA")</f>
        <v>1.5597382966857004E-2</v>
      </c>
      <c r="S236" s="2"/>
      <c r="T236" s="14">
        <f>IFERROR(T229+T230+T231+T232+T233+T234+T235, "NA")</f>
        <v>1262.48</v>
      </c>
      <c r="U236" s="15">
        <f>IFERROR(T236/T444, "NA")</f>
        <v>1.2999982082909176E-2</v>
      </c>
      <c r="V236" s="2"/>
      <c r="W236" s="14">
        <f t="shared" si="62"/>
        <v>-156.25</v>
      </c>
      <c r="X236" s="15">
        <f>IFERROR(W236/W444, "NA")</f>
        <v>2.5387968783766039E-2</v>
      </c>
      <c r="Y236" s="2"/>
      <c r="Z236" s="14">
        <f>IFERROR(Z229+Z230+Z231+Z232+Z233+Z234+Z235, "NA")</f>
        <v>1875.51</v>
      </c>
      <c r="AA236" s="15">
        <f>IFERROR(Z236/Z444, "NA")</f>
        <v>1.9640773168972371E-2</v>
      </c>
      <c r="AB236" s="2"/>
      <c r="AC236" s="14">
        <f t="shared" si="63"/>
        <v>456.78</v>
      </c>
      <c r="AD236" s="15">
        <f>IFERROR(AC236/AC444, "NA")</f>
        <v>-0.10080884543658906</v>
      </c>
    </row>
    <row r="237" spans="1:30" ht="16.5" customHeight="1" x14ac:dyDescent="0.45">
      <c r="A237" s="5" t="s">
        <v>216</v>
      </c>
      <c r="B237" s="2"/>
      <c r="C237" s="3"/>
      <c r="D237" s="4"/>
      <c r="E237" s="2"/>
      <c r="F237" s="3"/>
      <c r="G237" s="4"/>
      <c r="H237" s="2"/>
      <c r="I237" s="3"/>
      <c r="J237" s="4"/>
      <c r="K237" s="2"/>
      <c r="L237" s="3"/>
      <c r="M237" s="4"/>
      <c r="N237" s="2"/>
      <c r="O237" s="3"/>
      <c r="P237" s="4"/>
      <c r="Q237" s="2"/>
      <c r="R237" s="3"/>
      <c r="S237" s="4"/>
      <c r="T237" s="2"/>
      <c r="U237" s="3"/>
      <c r="V237" s="4"/>
      <c r="W237" s="2"/>
      <c r="X237" s="3"/>
      <c r="Y237" s="4"/>
      <c r="Z237" s="2"/>
      <c r="AA237" s="3"/>
      <c r="AB237" s="4"/>
      <c r="AC237" s="2"/>
      <c r="AD237" s="3"/>
    </row>
    <row r="238" spans="1:30" ht="16.5" hidden="1" customHeight="1" x14ac:dyDescent="0.45">
      <c r="A238" s="6" t="s">
        <v>216</v>
      </c>
      <c r="B238" s="7">
        <v>0</v>
      </c>
      <c r="C238" s="8">
        <f>IFERROR(B238/B444, "NA")</f>
        <v>0</v>
      </c>
      <c r="D238" s="9"/>
      <c r="E238" s="7">
        <v>0</v>
      </c>
      <c r="F238" s="8">
        <f>IFERROR(E238/E444, "NA")</f>
        <v>0</v>
      </c>
      <c r="G238" s="9"/>
      <c r="H238" s="10">
        <f>IFERROR(-(B238-E238), "NA")</f>
        <v>0</v>
      </c>
      <c r="I238" s="8">
        <f>IFERROR(H238/H444, "NA")</f>
        <v>0</v>
      </c>
      <c r="J238" s="9"/>
      <c r="K238" s="7">
        <v>0</v>
      </c>
      <c r="L238" s="8">
        <f>IFERROR(K238/K444, "NA")</f>
        <v>0</v>
      </c>
      <c r="M238" s="9"/>
      <c r="N238" s="10">
        <f>IFERROR(-(B238-K238), "NA")</f>
        <v>0</v>
      </c>
      <c r="O238" s="8">
        <f>IFERROR(N238/N444, "NA")</f>
        <v>0</v>
      </c>
      <c r="P238" s="9"/>
      <c r="Q238" s="7">
        <v>0</v>
      </c>
      <c r="R238" s="8">
        <f>IFERROR(Q238/Q444, "NA")</f>
        <v>0</v>
      </c>
      <c r="S238" s="9"/>
      <c r="T238" s="7">
        <v>0</v>
      </c>
      <c r="U238" s="8">
        <f>IFERROR(T238/T444, "NA")</f>
        <v>0</v>
      </c>
      <c r="V238" s="9"/>
      <c r="W238" s="10">
        <f>IFERROR(-(Q238-T238), "NA")</f>
        <v>0</v>
      </c>
      <c r="X238" s="8">
        <f>IFERROR(W238/W444, "NA")</f>
        <v>0</v>
      </c>
      <c r="Y238" s="9"/>
      <c r="Z238" s="7">
        <v>0</v>
      </c>
      <c r="AA238" s="8">
        <f>IFERROR(Z238/Z444, "NA")</f>
        <v>0</v>
      </c>
      <c r="AB238" s="9"/>
      <c r="AC238" s="10">
        <f>IFERROR(-(Q238-Z238), "NA")</f>
        <v>0</v>
      </c>
      <c r="AD238" s="8">
        <f>IFERROR(AC238/AC444, "NA")</f>
        <v>0</v>
      </c>
    </row>
    <row r="239" spans="1:30" ht="16.5" customHeight="1" x14ac:dyDescent="0.45">
      <c r="A239" s="11" t="s">
        <v>217</v>
      </c>
      <c r="B239" s="2"/>
      <c r="C239" s="3"/>
      <c r="D239" s="4"/>
      <c r="E239" s="2"/>
      <c r="F239" s="3"/>
      <c r="G239" s="4"/>
      <c r="H239" s="2"/>
      <c r="I239" s="3"/>
      <c r="J239" s="4"/>
      <c r="K239" s="2"/>
      <c r="L239" s="3"/>
      <c r="M239" s="4"/>
      <c r="N239" s="2"/>
      <c r="O239" s="3"/>
      <c r="P239" s="4"/>
      <c r="Q239" s="2"/>
      <c r="R239" s="3"/>
      <c r="S239" s="4"/>
      <c r="T239" s="2"/>
      <c r="U239" s="3"/>
      <c r="V239" s="4"/>
      <c r="W239" s="2"/>
      <c r="X239" s="3"/>
      <c r="Y239" s="4"/>
      <c r="Z239" s="2"/>
      <c r="AA239" s="3"/>
      <c r="AB239" s="4"/>
      <c r="AC239" s="2"/>
      <c r="AD239" s="3"/>
    </row>
    <row r="240" spans="1:30" ht="16.5" customHeight="1" x14ac:dyDescent="0.45">
      <c r="A240" s="12" t="s">
        <v>217</v>
      </c>
      <c r="B240" s="7">
        <v>0</v>
      </c>
      <c r="C240" s="8">
        <f>IFERROR(B240/B444, "NA")</f>
        <v>0</v>
      </c>
      <c r="D240" s="9"/>
      <c r="E240" s="7">
        <v>5923.95</v>
      </c>
      <c r="F240" s="8">
        <f>IFERROR(E240/E444, "NA")</f>
        <v>6.0999971373843394E-2</v>
      </c>
      <c r="G240" s="9"/>
      <c r="H240" s="10">
        <f t="shared" ref="H240:H263" si="64">IFERROR(-(B240-E240), "NA")</f>
        <v>5923.95</v>
      </c>
      <c r="I240" s="8">
        <f>IFERROR(H240/H444, "NA")</f>
        <v>-0.96254116913018117</v>
      </c>
      <c r="J240" s="9"/>
      <c r="K240" s="7">
        <v>0</v>
      </c>
      <c r="L240" s="8">
        <f>IFERROR(K240/K444, "NA")</f>
        <v>0</v>
      </c>
      <c r="M240" s="9"/>
      <c r="N240" s="10">
        <f t="shared" ref="N240:N263" si="65">IFERROR(-(B240-K240), "NA")</f>
        <v>0</v>
      </c>
      <c r="O240" s="8">
        <f>IFERROR(N240/N444, "NA")</f>
        <v>0</v>
      </c>
      <c r="P240" s="9"/>
      <c r="Q240" s="7">
        <v>0</v>
      </c>
      <c r="R240" s="8">
        <f>IFERROR(Q240/Q444, "NA")</f>
        <v>0</v>
      </c>
      <c r="S240" s="9"/>
      <c r="T240" s="7">
        <v>5923.95</v>
      </c>
      <c r="U240" s="8">
        <f>IFERROR(T240/T444, "NA")</f>
        <v>6.0999971373843394E-2</v>
      </c>
      <c r="V240" s="9"/>
      <c r="W240" s="10">
        <f t="shared" ref="W240:W263" si="66">IFERROR(-(Q240-T240), "NA")</f>
        <v>5923.95</v>
      </c>
      <c r="X240" s="8">
        <f>IFERROR(W240/W444, "NA")</f>
        <v>-0.96254116913018117</v>
      </c>
      <c r="Y240" s="9"/>
      <c r="Z240" s="7">
        <v>0</v>
      </c>
      <c r="AA240" s="8">
        <f>IFERROR(Z240/Z444, "NA")</f>
        <v>0</v>
      </c>
      <c r="AB240" s="9"/>
      <c r="AC240" s="10">
        <f t="shared" ref="AC240:AC263" si="67">IFERROR(-(Q240-Z240), "NA")</f>
        <v>0</v>
      </c>
      <c r="AD240" s="8">
        <f>IFERROR(AC240/AC444, "NA")</f>
        <v>0</v>
      </c>
    </row>
    <row r="241" spans="1:30" ht="16.5" hidden="1" customHeight="1" x14ac:dyDescent="0.45">
      <c r="A241" s="12" t="s">
        <v>218</v>
      </c>
      <c r="B241" s="7">
        <v>0</v>
      </c>
      <c r="C241" s="8">
        <f>IFERROR(B241/B444, "NA")</f>
        <v>0</v>
      </c>
      <c r="D241" s="9"/>
      <c r="E241" s="7">
        <v>0</v>
      </c>
      <c r="F241" s="8">
        <f>IFERROR(E241/E444, "NA")</f>
        <v>0</v>
      </c>
      <c r="G241" s="9"/>
      <c r="H241" s="10">
        <f t="shared" si="64"/>
        <v>0</v>
      </c>
      <c r="I241" s="8">
        <f>IFERROR(H241/H444, "NA")</f>
        <v>0</v>
      </c>
      <c r="J241" s="9"/>
      <c r="K241" s="7">
        <v>0</v>
      </c>
      <c r="L241" s="8">
        <f>IFERROR(K241/K444, "NA")</f>
        <v>0</v>
      </c>
      <c r="M241" s="9"/>
      <c r="N241" s="10">
        <f t="shared" si="65"/>
        <v>0</v>
      </c>
      <c r="O241" s="8">
        <f>IFERROR(N241/N444, "NA")</f>
        <v>0</v>
      </c>
      <c r="P241" s="9"/>
      <c r="Q241" s="7">
        <v>0</v>
      </c>
      <c r="R241" s="8">
        <f>IFERROR(Q241/Q444, "NA")</f>
        <v>0</v>
      </c>
      <c r="S241" s="9"/>
      <c r="T241" s="7">
        <v>0</v>
      </c>
      <c r="U241" s="8">
        <f>IFERROR(T241/T444, "NA")</f>
        <v>0</v>
      </c>
      <c r="V241" s="9"/>
      <c r="W241" s="10">
        <f t="shared" si="66"/>
        <v>0</v>
      </c>
      <c r="X241" s="8">
        <f>IFERROR(W241/W444, "NA")</f>
        <v>0</v>
      </c>
      <c r="Y241" s="9"/>
      <c r="Z241" s="7">
        <v>0</v>
      </c>
      <c r="AA241" s="8">
        <f>IFERROR(Z241/Z444, "NA")</f>
        <v>0</v>
      </c>
      <c r="AB241" s="9"/>
      <c r="AC241" s="10">
        <f t="shared" si="67"/>
        <v>0</v>
      </c>
      <c r="AD241" s="8">
        <f>IFERROR(AC241/AC444, "NA")</f>
        <v>0</v>
      </c>
    </row>
    <row r="242" spans="1:30" ht="16.5" customHeight="1" x14ac:dyDescent="0.45">
      <c r="A242" s="12" t="s">
        <v>219</v>
      </c>
      <c r="B242" s="7">
        <v>1315.92</v>
      </c>
      <c r="C242" s="8">
        <f>IFERROR(B242/B444, "NA")</f>
        <v>1.4467099584661259E-2</v>
      </c>
      <c r="D242" s="9"/>
      <c r="E242" s="7">
        <v>0</v>
      </c>
      <c r="F242" s="8">
        <f>IFERROR(E242/E444, "NA")</f>
        <v>0</v>
      </c>
      <c r="G242" s="9"/>
      <c r="H242" s="10">
        <f t="shared" si="64"/>
        <v>-1315.92</v>
      </c>
      <c r="I242" s="8">
        <f>IFERROR(H242/H444, "NA")</f>
        <v>0.21381462964437378</v>
      </c>
      <c r="J242" s="9"/>
      <c r="K242" s="7">
        <v>916.7</v>
      </c>
      <c r="L242" s="8">
        <f>IFERROR(K242/K444, "NA")</f>
        <v>9.5998937696930298E-3</v>
      </c>
      <c r="M242" s="9"/>
      <c r="N242" s="10">
        <f t="shared" si="65"/>
        <v>-399.22</v>
      </c>
      <c r="O242" s="8">
        <f>IFERROR(N242/N444, "NA")</f>
        <v>8.8105668538892012E-2</v>
      </c>
      <c r="P242" s="9"/>
      <c r="Q242" s="7">
        <v>1315.92</v>
      </c>
      <c r="R242" s="8">
        <f>IFERROR(Q242/Q444, "NA")</f>
        <v>1.4467099584661259E-2</v>
      </c>
      <c r="S242" s="9"/>
      <c r="T242" s="7">
        <v>0</v>
      </c>
      <c r="U242" s="8">
        <f>IFERROR(T242/T444, "NA")</f>
        <v>0</v>
      </c>
      <c r="V242" s="9"/>
      <c r="W242" s="10">
        <f t="shared" si="66"/>
        <v>-1315.92</v>
      </c>
      <c r="X242" s="8">
        <f>IFERROR(W242/W444, "NA")</f>
        <v>0.21381462964437378</v>
      </c>
      <c r="Y242" s="9"/>
      <c r="Z242" s="7">
        <v>916.7</v>
      </c>
      <c r="AA242" s="8">
        <f>IFERROR(Z242/Z444, "NA")</f>
        <v>9.5998937696930298E-3</v>
      </c>
      <c r="AB242" s="9"/>
      <c r="AC242" s="10">
        <f t="shared" si="67"/>
        <v>-399.22</v>
      </c>
      <c r="AD242" s="8">
        <f>IFERROR(AC242/AC444, "NA")</f>
        <v>8.8105668538892012E-2</v>
      </c>
    </row>
    <row r="243" spans="1:30" ht="16.5" customHeight="1" x14ac:dyDescent="0.45">
      <c r="A243" s="12" t="s">
        <v>220</v>
      </c>
      <c r="B243" s="7">
        <v>1933.52</v>
      </c>
      <c r="C243" s="8">
        <f>IFERROR(B243/B444, "NA")</f>
        <v>2.1256935367601554E-2</v>
      </c>
      <c r="D243" s="9"/>
      <c r="E243" s="7">
        <v>0</v>
      </c>
      <c r="F243" s="8">
        <f>IFERROR(E243/E444, "NA")</f>
        <v>0</v>
      </c>
      <c r="G243" s="9"/>
      <c r="H243" s="10">
        <f t="shared" si="64"/>
        <v>-1933.52</v>
      </c>
      <c r="I243" s="8">
        <f>IFERROR(H243/H444, "NA")</f>
        <v>0.31416413057783876</v>
      </c>
      <c r="J243" s="9"/>
      <c r="K243" s="7">
        <v>3270.72</v>
      </c>
      <c r="L243" s="8">
        <f>IFERROR(K243/K444, "NA")</f>
        <v>3.4251733991938892E-2</v>
      </c>
      <c r="M243" s="9"/>
      <c r="N243" s="10">
        <f t="shared" si="65"/>
        <v>1337.1999999999998</v>
      </c>
      <c r="O243" s="8">
        <f>IFERROR(N243/N444, "NA")</f>
        <v>-0.29511271972898745</v>
      </c>
      <c r="P243" s="9"/>
      <c r="Q243" s="7">
        <v>1933.52</v>
      </c>
      <c r="R243" s="8">
        <f>IFERROR(Q243/Q444, "NA")</f>
        <v>2.1256935367601554E-2</v>
      </c>
      <c r="S243" s="9"/>
      <c r="T243" s="7">
        <v>0</v>
      </c>
      <c r="U243" s="8">
        <f>IFERROR(T243/T444, "NA")</f>
        <v>0</v>
      </c>
      <c r="V243" s="9"/>
      <c r="W243" s="10">
        <f t="shared" si="66"/>
        <v>-1933.52</v>
      </c>
      <c r="X243" s="8">
        <f>IFERROR(W243/W444, "NA")</f>
        <v>0.31416413057783876</v>
      </c>
      <c r="Y243" s="9"/>
      <c r="Z243" s="7">
        <v>3270.72</v>
      </c>
      <c r="AA243" s="8">
        <f>IFERROR(Z243/Z444, "NA")</f>
        <v>3.4251733991938892E-2</v>
      </c>
      <c r="AB243" s="9"/>
      <c r="AC243" s="10">
        <f t="shared" si="67"/>
        <v>1337.1999999999998</v>
      </c>
      <c r="AD243" s="8">
        <f>IFERROR(AC243/AC444, "NA")</f>
        <v>-0.29511271972898745</v>
      </c>
    </row>
    <row r="244" spans="1:30" ht="16.5" customHeight="1" x14ac:dyDescent="0.45">
      <c r="A244" s="12" t="s">
        <v>221</v>
      </c>
      <c r="B244" s="7">
        <v>808</v>
      </c>
      <c r="C244" s="8">
        <f>IFERROR(B244/B444, "NA")</f>
        <v>8.8830753118778472E-3</v>
      </c>
      <c r="D244" s="9"/>
      <c r="E244" s="7">
        <v>0</v>
      </c>
      <c r="F244" s="8">
        <f>IFERROR(E244/E444, "NA")</f>
        <v>0</v>
      </c>
      <c r="G244" s="9"/>
      <c r="H244" s="10">
        <f t="shared" si="64"/>
        <v>-808</v>
      </c>
      <c r="I244" s="8">
        <f>IFERROR(H244/H444, "NA")</f>
        <v>0.13128626417461092</v>
      </c>
      <c r="J244" s="9"/>
      <c r="K244" s="7">
        <v>0</v>
      </c>
      <c r="L244" s="8">
        <f>IFERROR(K244/K444, "NA")</f>
        <v>0</v>
      </c>
      <c r="M244" s="9"/>
      <c r="N244" s="10">
        <f t="shared" si="65"/>
        <v>-808</v>
      </c>
      <c r="O244" s="8">
        <f>IFERROR(N244/N444, "NA")</f>
        <v>0.1783211767432111</v>
      </c>
      <c r="P244" s="9"/>
      <c r="Q244" s="7">
        <v>808</v>
      </c>
      <c r="R244" s="8">
        <f>IFERROR(Q244/Q444, "NA")</f>
        <v>8.8830753118778472E-3</v>
      </c>
      <c r="S244" s="9"/>
      <c r="T244" s="7">
        <v>0</v>
      </c>
      <c r="U244" s="8">
        <f>IFERROR(T244/T444, "NA")</f>
        <v>0</v>
      </c>
      <c r="V244" s="9"/>
      <c r="W244" s="10">
        <f t="shared" si="66"/>
        <v>-808</v>
      </c>
      <c r="X244" s="8">
        <f>IFERROR(W244/W444, "NA")</f>
        <v>0.13128626417461092</v>
      </c>
      <c r="Y244" s="9"/>
      <c r="Z244" s="7">
        <v>0</v>
      </c>
      <c r="AA244" s="8">
        <f>IFERROR(Z244/Z444, "NA")</f>
        <v>0</v>
      </c>
      <c r="AB244" s="9"/>
      <c r="AC244" s="10">
        <f t="shared" si="67"/>
        <v>-808</v>
      </c>
      <c r="AD244" s="8">
        <f>IFERROR(AC244/AC444, "NA")</f>
        <v>0.1783211767432111</v>
      </c>
    </row>
    <row r="245" spans="1:30" ht="16.5" hidden="1" customHeight="1" x14ac:dyDescent="0.45">
      <c r="A245" s="12" t="s">
        <v>222</v>
      </c>
      <c r="B245" s="7">
        <v>0</v>
      </c>
      <c r="C245" s="8">
        <f>IFERROR(B245/B444, "NA")</f>
        <v>0</v>
      </c>
      <c r="D245" s="9"/>
      <c r="E245" s="7">
        <v>0</v>
      </c>
      <c r="F245" s="8">
        <f>IFERROR(E245/E444, "NA")</f>
        <v>0</v>
      </c>
      <c r="G245" s="9"/>
      <c r="H245" s="10">
        <f t="shared" si="64"/>
        <v>0</v>
      </c>
      <c r="I245" s="8">
        <f>IFERROR(H245/H444, "NA")</f>
        <v>0</v>
      </c>
      <c r="J245" s="9"/>
      <c r="K245" s="7">
        <v>0</v>
      </c>
      <c r="L245" s="8">
        <f>IFERROR(K245/K444, "NA")</f>
        <v>0</v>
      </c>
      <c r="M245" s="9"/>
      <c r="N245" s="10">
        <f t="shared" si="65"/>
        <v>0</v>
      </c>
      <c r="O245" s="8">
        <f>IFERROR(N245/N444, "NA")</f>
        <v>0</v>
      </c>
      <c r="P245" s="9"/>
      <c r="Q245" s="7">
        <v>0</v>
      </c>
      <c r="R245" s="8">
        <f>IFERROR(Q245/Q444, "NA")</f>
        <v>0</v>
      </c>
      <c r="S245" s="9"/>
      <c r="T245" s="7">
        <v>0</v>
      </c>
      <c r="U245" s="8">
        <f>IFERROR(T245/T444, "NA")</f>
        <v>0</v>
      </c>
      <c r="V245" s="9"/>
      <c r="W245" s="10">
        <f t="shared" si="66"/>
        <v>0</v>
      </c>
      <c r="X245" s="8">
        <f>IFERROR(W245/W444, "NA")</f>
        <v>0</v>
      </c>
      <c r="Y245" s="9"/>
      <c r="Z245" s="7">
        <v>0</v>
      </c>
      <c r="AA245" s="8">
        <f>IFERROR(Z245/Z444, "NA")</f>
        <v>0</v>
      </c>
      <c r="AB245" s="9"/>
      <c r="AC245" s="10">
        <f t="shared" si="67"/>
        <v>0</v>
      </c>
      <c r="AD245" s="8">
        <f>IFERROR(AC245/AC444, "NA")</f>
        <v>0</v>
      </c>
    </row>
    <row r="246" spans="1:30" ht="16.5" customHeight="1" x14ac:dyDescent="0.45">
      <c r="A246" s="12" t="s">
        <v>223</v>
      </c>
      <c r="B246" s="7">
        <v>140.34</v>
      </c>
      <c r="C246" s="8">
        <f>IFERROR(B246/B444, "NA")</f>
        <v>1.5428846401843281E-3</v>
      </c>
      <c r="D246" s="9"/>
      <c r="E246" s="7">
        <v>0</v>
      </c>
      <c r="F246" s="8">
        <f>IFERROR(E246/E444, "NA")</f>
        <v>0</v>
      </c>
      <c r="G246" s="9"/>
      <c r="H246" s="10">
        <f t="shared" si="64"/>
        <v>-140.34</v>
      </c>
      <c r="I246" s="8">
        <f>IFERROR(H246/H444, "NA")</f>
        <v>2.2802864250327844E-2</v>
      </c>
      <c r="J246" s="9"/>
      <c r="K246" s="7">
        <v>238.2</v>
      </c>
      <c r="L246" s="8">
        <f>IFERROR(K246/K444, "NA")</f>
        <v>2.494485323378291E-3</v>
      </c>
      <c r="M246" s="9"/>
      <c r="N246" s="10">
        <f t="shared" si="65"/>
        <v>97.859999999999985</v>
      </c>
      <c r="O246" s="8">
        <f>IFERROR(N246/N444, "NA")</f>
        <v>-2.1597166282290393E-2</v>
      </c>
      <c r="P246" s="9"/>
      <c r="Q246" s="7">
        <v>140.34</v>
      </c>
      <c r="R246" s="8">
        <f>IFERROR(Q246/Q444, "NA")</f>
        <v>1.5428846401843281E-3</v>
      </c>
      <c r="S246" s="9"/>
      <c r="T246" s="7">
        <v>0</v>
      </c>
      <c r="U246" s="8">
        <f>IFERROR(T246/T444, "NA")</f>
        <v>0</v>
      </c>
      <c r="V246" s="9"/>
      <c r="W246" s="10">
        <f t="shared" si="66"/>
        <v>-140.34</v>
      </c>
      <c r="X246" s="8">
        <f>IFERROR(W246/W444, "NA")</f>
        <v>2.2802864250327844E-2</v>
      </c>
      <c r="Y246" s="9"/>
      <c r="Z246" s="7">
        <v>238.2</v>
      </c>
      <c r="AA246" s="8">
        <f>IFERROR(Z246/Z444, "NA")</f>
        <v>2.494485323378291E-3</v>
      </c>
      <c r="AB246" s="9"/>
      <c r="AC246" s="10">
        <f t="shared" si="67"/>
        <v>97.859999999999985</v>
      </c>
      <c r="AD246" s="8">
        <f>IFERROR(AC246/AC444, "NA")</f>
        <v>-2.1597166282290393E-2</v>
      </c>
    </row>
    <row r="247" spans="1:30" ht="16.5" hidden="1" customHeight="1" x14ac:dyDescent="0.45">
      <c r="A247" s="12" t="s">
        <v>224</v>
      </c>
      <c r="B247" s="7">
        <v>0</v>
      </c>
      <c r="C247" s="8">
        <f>IFERROR(B247/B444, "NA")</f>
        <v>0</v>
      </c>
      <c r="D247" s="9"/>
      <c r="E247" s="7">
        <v>0</v>
      </c>
      <c r="F247" s="8">
        <f>IFERROR(E247/E444, "NA")</f>
        <v>0</v>
      </c>
      <c r="G247" s="9"/>
      <c r="H247" s="10">
        <f t="shared" si="64"/>
        <v>0</v>
      </c>
      <c r="I247" s="8">
        <f>IFERROR(H247/H444, "NA")</f>
        <v>0</v>
      </c>
      <c r="J247" s="9"/>
      <c r="K247" s="7">
        <v>0</v>
      </c>
      <c r="L247" s="8">
        <f>IFERROR(K247/K444, "NA")</f>
        <v>0</v>
      </c>
      <c r="M247" s="9"/>
      <c r="N247" s="10">
        <f t="shared" si="65"/>
        <v>0</v>
      </c>
      <c r="O247" s="8">
        <f>IFERROR(N247/N444, "NA")</f>
        <v>0</v>
      </c>
      <c r="P247" s="9"/>
      <c r="Q247" s="7">
        <v>0</v>
      </c>
      <c r="R247" s="8">
        <f>IFERROR(Q247/Q444, "NA")</f>
        <v>0</v>
      </c>
      <c r="S247" s="9"/>
      <c r="T247" s="7">
        <v>0</v>
      </c>
      <c r="U247" s="8">
        <f>IFERROR(T247/T444, "NA")</f>
        <v>0</v>
      </c>
      <c r="V247" s="9"/>
      <c r="W247" s="10">
        <f t="shared" si="66"/>
        <v>0</v>
      </c>
      <c r="X247" s="8">
        <f>IFERROR(W247/W444, "NA")</f>
        <v>0</v>
      </c>
      <c r="Y247" s="9"/>
      <c r="Z247" s="7">
        <v>0</v>
      </c>
      <c r="AA247" s="8">
        <f>IFERROR(Z247/Z444, "NA")</f>
        <v>0</v>
      </c>
      <c r="AB247" s="9"/>
      <c r="AC247" s="10">
        <f t="shared" si="67"/>
        <v>0</v>
      </c>
      <c r="AD247" s="8">
        <f>IFERROR(AC247/AC444, "NA")</f>
        <v>0</v>
      </c>
    </row>
    <row r="248" spans="1:30" ht="16.5" customHeight="1" x14ac:dyDescent="0.45">
      <c r="A248" s="12" t="s">
        <v>225</v>
      </c>
      <c r="B248" s="7">
        <v>241.65</v>
      </c>
      <c r="C248" s="8">
        <f>IFERROR(B248/B444, "NA")</f>
        <v>2.6566771647466361E-3</v>
      </c>
      <c r="D248" s="9"/>
      <c r="E248" s="7">
        <v>0</v>
      </c>
      <c r="F248" s="8">
        <f>IFERROR(E248/E444, "NA")</f>
        <v>0</v>
      </c>
      <c r="G248" s="9"/>
      <c r="H248" s="10">
        <f t="shared" si="64"/>
        <v>-241.65</v>
      </c>
      <c r="I248" s="8">
        <f>IFERROR(H248/H444, "NA")</f>
        <v>3.9264017002221201E-2</v>
      </c>
      <c r="J248" s="9"/>
      <c r="K248" s="7">
        <v>250.6</v>
      </c>
      <c r="L248" s="8">
        <f>IFERROR(K248/K444, "NA")</f>
        <v>2.624340982529806E-3</v>
      </c>
      <c r="M248" s="9"/>
      <c r="N248" s="10">
        <f t="shared" si="65"/>
        <v>8.9499999999999886</v>
      </c>
      <c r="O248" s="8">
        <f>IFERROR(N248/N444, "NA")</f>
        <v>-1.9752160047670016E-3</v>
      </c>
      <c r="P248" s="9"/>
      <c r="Q248" s="7">
        <v>241.65</v>
      </c>
      <c r="R248" s="8">
        <f>IFERROR(Q248/Q444, "NA")</f>
        <v>2.6566771647466361E-3</v>
      </c>
      <c r="S248" s="9"/>
      <c r="T248" s="7">
        <v>0</v>
      </c>
      <c r="U248" s="8">
        <f>IFERROR(T248/T444, "NA")</f>
        <v>0</v>
      </c>
      <c r="V248" s="9"/>
      <c r="W248" s="10">
        <f t="shared" si="66"/>
        <v>-241.65</v>
      </c>
      <c r="X248" s="8">
        <f>IFERROR(W248/W444, "NA")</f>
        <v>3.9264017002221201E-2</v>
      </c>
      <c r="Y248" s="9"/>
      <c r="Z248" s="7">
        <v>250.6</v>
      </c>
      <c r="AA248" s="8">
        <f>IFERROR(Z248/Z444, "NA")</f>
        <v>2.624340982529806E-3</v>
      </c>
      <c r="AB248" s="9"/>
      <c r="AC248" s="10">
        <f t="shared" si="67"/>
        <v>8.9499999999999886</v>
      </c>
      <c r="AD248" s="8">
        <f>IFERROR(AC248/AC444, "NA")</f>
        <v>-1.9752160047670016E-3</v>
      </c>
    </row>
    <row r="249" spans="1:30" ht="16.5" customHeight="1" x14ac:dyDescent="0.45">
      <c r="A249" s="12" t="s">
        <v>226</v>
      </c>
      <c r="B249" s="7">
        <v>1214.26</v>
      </c>
      <c r="C249" s="8">
        <f>IFERROR(B249/B444, "NA")</f>
        <v>1.3349459193317816E-2</v>
      </c>
      <c r="D249" s="9"/>
      <c r="E249" s="7">
        <v>0</v>
      </c>
      <c r="F249" s="8">
        <f>IFERROR(E249/E444, "NA")</f>
        <v>0</v>
      </c>
      <c r="G249" s="9"/>
      <c r="H249" s="10">
        <f t="shared" si="64"/>
        <v>-1214.26</v>
      </c>
      <c r="I249" s="8">
        <f>IFERROR(H249/H444, "NA")</f>
        <v>0.1972966078424048</v>
      </c>
      <c r="J249" s="9"/>
      <c r="K249" s="7">
        <v>1142.67</v>
      </c>
      <c r="L249" s="8">
        <f>IFERROR(K249/K444, "NA")</f>
        <v>1.1966303713117852E-2</v>
      </c>
      <c r="M249" s="9"/>
      <c r="N249" s="10">
        <f t="shared" si="65"/>
        <v>-71.589999999999918</v>
      </c>
      <c r="O249" s="8">
        <f>IFERROR(N249/N444, "NA")</f>
        <v>1.5799521092879295E-2</v>
      </c>
      <c r="P249" s="9"/>
      <c r="Q249" s="7">
        <v>1214.26</v>
      </c>
      <c r="R249" s="8">
        <f>IFERROR(Q249/Q444, "NA")</f>
        <v>1.3349459193317816E-2</v>
      </c>
      <c r="S249" s="9"/>
      <c r="T249" s="7">
        <v>0</v>
      </c>
      <c r="U249" s="8">
        <f>IFERROR(T249/T444, "NA")</f>
        <v>0</v>
      </c>
      <c r="V249" s="9"/>
      <c r="W249" s="10">
        <f t="shared" si="66"/>
        <v>-1214.26</v>
      </c>
      <c r="X249" s="8">
        <f>IFERROR(W249/W444, "NA")</f>
        <v>0.1972966078424048</v>
      </c>
      <c r="Y249" s="9"/>
      <c r="Z249" s="7">
        <v>1142.67</v>
      </c>
      <c r="AA249" s="8">
        <f>IFERROR(Z249/Z444, "NA")</f>
        <v>1.1966303713117852E-2</v>
      </c>
      <c r="AB249" s="9"/>
      <c r="AC249" s="10">
        <f t="shared" si="67"/>
        <v>-71.589999999999918</v>
      </c>
      <c r="AD249" s="8">
        <f>IFERROR(AC249/AC444, "NA")</f>
        <v>1.5799521092879295E-2</v>
      </c>
    </row>
    <row r="250" spans="1:30" ht="16.5" hidden="1" customHeight="1" x14ac:dyDescent="0.45">
      <c r="A250" s="12" t="s">
        <v>227</v>
      </c>
      <c r="B250" s="7">
        <v>0</v>
      </c>
      <c r="C250" s="8">
        <f>IFERROR(B250/B444, "NA")</f>
        <v>0</v>
      </c>
      <c r="D250" s="9"/>
      <c r="E250" s="7">
        <v>0</v>
      </c>
      <c r="F250" s="8">
        <f>IFERROR(E250/E444, "NA")</f>
        <v>0</v>
      </c>
      <c r="G250" s="9"/>
      <c r="H250" s="10">
        <f t="shared" si="64"/>
        <v>0</v>
      </c>
      <c r="I250" s="8">
        <f>IFERROR(H250/H444, "NA")</f>
        <v>0</v>
      </c>
      <c r="J250" s="9"/>
      <c r="K250" s="7">
        <v>0</v>
      </c>
      <c r="L250" s="8">
        <f>IFERROR(K250/K444, "NA")</f>
        <v>0</v>
      </c>
      <c r="M250" s="9"/>
      <c r="N250" s="10">
        <f t="shared" si="65"/>
        <v>0</v>
      </c>
      <c r="O250" s="8">
        <f>IFERROR(N250/N444, "NA")</f>
        <v>0</v>
      </c>
      <c r="P250" s="9"/>
      <c r="Q250" s="7">
        <v>0</v>
      </c>
      <c r="R250" s="8">
        <f>IFERROR(Q250/Q444, "NA")</f>
        <v>0</v>
      </c>
      <c r="S250" s="9"/>
      <c r="T250" s="7">
        <v>0</v>
      </c>
      <c r="U250" s="8">
        <f>IFERROR(T250/T444, "NA")</f>
        <v>0</v>
      </c>
      <c r="V250" s="9"/>
      <c r="W250" s="10">
        <f t="shared" si="66"/>
        <v>0</v>
      </c>
      <c r="X250" s="8">
        <f>IFERROR(W250/W444, "NA")</f>
        <v>0</v>
      </c>
      <c r="Y250" s="9"/>
      <c r="Z250" s="7">
        <v>0</v>
      </c>
      <c r="AA250" s="8">
        <f>IFERROR(Z250/Z444, "NA")</f>
        <v>0</v>
      </c>
      <c r="AB250" s="9"/>
      <c r="AC250" s="10">
        <f t="shared" si="67"/>
        <v>0</v>
      </c>
      <c r="AD250" s="8">
        <f>IFERROR(AC250/AC444, "NA")</f>
        <v>0</v>
      </c>
    </row>
    <row r="251" spans="1:30" ht="16.5" hidden="1" customHeight="1" x14ac:dyDescent="0.45">
      <c r="A251" s="12" t="s">
        <v>228</v>
      </c>
      <c r="B251" s="7">
        <v>0</v>
      </c>
      <c r="C251" s="8">
        <f>IFERROR(B251/B444, "NA")</f>
        <v>0</v>
      </c>
      <c r="D251" s="9"/>
      <c r="E251" s="7">
        <v>0</v>
      </c>
      <c r="F251" s="8">
        <f>IFERROR(E251/E444, "NA")</f>
        <v>0</v>
      </c>
      <c r="G251" s="9"/>
      <c r="H251" s="10">
        <f t="shared" si="64"/>
        <v>0</v>
      </c>
      <c r="I251" s="8">
        <f>IFERROR(H251/H444, "NA")</f>
        <v>0</v>
      </c>
      <c r="J251" s="9"/>
      <c r="K251" s="7">
        <v>0</v>
      </c>
      <c r="L251" s="8">
        <f>IFERROR(K251/K444, "NA")</f>
        <v>0</v>
      </c>
      <c r="M251" s="9"/>
      <c r="N251" s="10">
        <f t="shared" si="65"/>
        <v>0</v>
      </c>
      <c r="O251" s="8">
        <f>IFERROR(N251/N444, "NA")</f>
        <v>0</v>
      </c>
      <c r="P251" s="9"/>
      <c r="Q251" s="7">
        <v>0</v>
      </c>
      <c r="R251" s="8">
        <f>IFERROR(Q251/Q444, "NA")</f>
        <v>0</v>
      </c>
      <c r="S251" s="9"/>
      <c r="T251" s="7">
        <v>0</v>
      </c>
      <c r="U251" s="8">
        <f>IFERROR(T251/T444, "NA")</f>
        <v>0</v>
      </c>
      <c r="V251" s="9"/>
      <c r="W251" s="10">
        <f t="shared" si="66"/>
        <v>0</v>
      </c>
      <c r="X251" s="8">
        <f>IFERROR(W251/W444, "NA")</f>
        <v>0</v>
      </c>
      <c r="Y251" s="9"/>
      <c r="Z251" s="7">
        <v>0</v>
      </c>
      <c r="AA251" s="8">
        <f>IFERROR(Z251/Z444, "NA")</f>
        <v>0</v>
      </c>
      <c r="AB251" s="9"/>
      <c r="AC251" s="10">
        <f t="shared" si="67"/>
        <v>0</v>
      </c>
      <c r="AD251" s="8">
        <f>IFERROR(AC251/AC444, "NA")</f>
        <v>0</v>
      </c>
    </row>
    <row r="252" spans="1:30" ht="16.5" hidden="1" customHeight="1" x14ac:dyDescent="0.45">
      <c r="A252" s="12" t="s">
        <v>229</v>
      </c>
      <c r="B252" s="7">
        <v>0</v>
      </c>
      <c r="C252" s="8">
        <f>IFERROR(B252/B444, "NA")</f>
        <v>0</v>
      </c>
      <c r="D252" s="9"/>
      <c r="E252" s="7">
        <v>0</v>
      </c>
      <c r="F252" s="8">
        <f>IFERROR(E252/E444, "NA")</f>
        <v>0</v>
      </c>
      <c r="G252" s="9"/>
      <c r="H252" s="10">
        <f t="shared" si="64"/>
        <v>0</v>
      </c>
      <c r="I252" s="8">
        <f>IFERROR(H252/H444, "NA")</f>
        <v>0</v>
      </c>
      <c r="J252" s="9"/>
      <c r="K252" s="7">
        <v>0</v>
      </c>
      <c r="L252" s="8">
        <f>IFERROR(K252/K444, "NA")</f>
        <v>0</v>
      </c>
      <c r="M252" s="9"/>
      <c r="N252" s="10">
        <f t="shared" si="65"/>
        <v>0</v>
      </c>
      <c r="O252" s="8">
        <f>IFERROR(N252/N444, "NA")</f>
        <v>0</v>
      </c>
      <c r="P252" s="9"/>
      <c r="Q252" s="7">
        <v>0</v>
      </c>
      <c r="R252" s="8">
        <f>IFERROR(Q252/Q444, "NA")</f>
        <v>0</v>
      </c>
      <c r="S252" s="9"/>
      <c r="T252" s="7">
        <v>0</v>
      </c>
      <c r="U252" s="8">
        <f>IFERROR(T252/T444, "NA")</f>
        <v>0</v>
      </c>
      <c r="V252" s="9"/>
      <c r="W252" s="10">
        <f t="shared" si="66"/>
        <v>0</v>
      </c>
      <c r="X252" s="8">
        <f>IFERROR(W252/W444, "NA")</f>
        <v>0</v>
      </c>
      <c r="Y252" s="9"/>
      <c r="Z252" s="7">
        <v>0</v>
      </c>
      <c r="AA252" s="8">
        <f>IFERROR(Z252/Z444, "NA")</f>
        <v>0</v>
      </c>
      <c r="AB252" s="9"/>
      <c r="AC252" s="10">
        <f t="shared" si="67"/>
        <v>0</v>
      </c>
      <c r="AD252" s="8">
        <f>IFERROR(AC252/AC444, "NA")</f>
        <v>0</v>
      </c>
    </row>
    <row r="253" spans="1:30" ht="16.5" hidden="1" customHeight="1" x14ac:dyDescent="0.45">
      <c r="A253" s="12" t="s">
        <v>230</v>
      </c>
      <c r="B253" s="7">
        <v>0</v>
      </c>
      <c r="C253" s="8">
        <f>IFERROR(B253/B444, "NA")</f>
        <v>0</v>
      </c>
      <c r="D253" s="9"/>
      <c r="E253" s="7">
        <v>0</v>
      </c>
      <c r="F253" s="8">
        <f>IFERROR(E253/E444, "NA")</f>
        <v>0</v>
      </c>
      <c r="G253" s="9"/>
      <c r="H253" s="10">
        <f t="shared" si="64"/>
        <v>0</v>
      </c>
      <c r="I253" s="8">
        <f>IFERROR(H253/H444, "NA")</f>
        <v>0</v>
      </c>
      <c r="J253" s="9"/>
      <c r="K253" s="7">
        <v>0</v>
      </c>
      <c r="L253" s="8">
        <f>IFERROR(K253/K444, "NA")</f>
        <v>0</v>
      </c>
      <c r="M253" s="9"/>
      <c r="N253" s="10">
        <f t="shared" si="65"/>
        <v>0</v>
      </c>
      <c r="O253" s="8">
        <f>IFERROR(N253/N444, "NA")</f>
        <v>0</v>
      </c>
      <c r="P253" s="9"/>
      <c r="Q253" s="7">
        <v>0</v>
      </c>
      <c r="R253" s="8">
        <f>IFERROR(Q253/Q444, "NA")</f>
        <v>0</v>
      </c>
      <c r="S253" s="9"/>
      <c r="T253" s="7">
        <v>0</v>
      </c>
      <c r="U253" s="8">
        <f>IFERROR(T253/T444, "NA")</f>
        <v>0</v>
      </c>
      <c r="V253" s="9"/>
      <c r="W253" s="10">
        <f t="shared" si="66"/>
        <v>0</v>
      </c>
      <c r="X253" s="8">
        <f>IFERROR(W253/W444, "NA")</f>
        <v>0</v>
      </c>
      <c r="Y253" s="9"/>
      <c r="Z253" s="7">
        <v>0</v>
      </c>
      <c r="AA253" s="8">
        <f>IFERROR(Z253/Z444, "NA")</f>
        <v>0</v>
      </c>
      <c r="AB253" s="9"/>
      <c r="AC253" s="10">
        <f t="shared" si="67"/>
        <v>0</v>
      </c>
      <c r="AD253" s="8">
        <f>IFERROR(AC253/AC444, "NA")</f>
        <v>0</v>
      </c>
    </row>
    <row r="254" spans="1:30" ht="16.5" customHeight="1" x14ac:dyDescent="0.45">
      <c r="A254" s="12" t="s">
        <v>231</v>
      </c>
      <c r="B254" s="7">
        <v>741.61</v>
      </c>
      <c r="C254" s="8">
        <f>IFERROR(B254/B444, "NA")</f>
        <v>8.1531899530219443E-3</v>
      </c>
      <c r="D254" s="9"/>
      <c r="E254" s="7">
        <v>0</v>
      </c>
      <c r="F254" s="8">
        <f>IFERROR(E254/E444, "NA")</f>
        <v>0</v>
      </c>
      <c r="G254" s="9"/>
      <c r="H254" s="10">
        <f t="shared" si="64"/>
        <v>-741.61</v>
      </c>
      <c r="I254" s="8">
        <f>IFERROR(H254/H444, "NA")</f>
        <v>0.12049901779026388</v>
      </c>
      <c r="J254" s="9"/>
      <c r="K254" s="7">
        <v>1175.98</v>
      </c>
      <c r="L254" s="8">
        <f>IFERROR(K254/K444, "NA")</f>
        <v>1.2315133713628896E-2</v>
      </c>
      <c r="M254" s="9"/>
      <c r="N254" s="10">
        <f t="shared" si="65"/>
        <v>434.37</v>
      </c>
      <c r="O254" s="8">
        <f>IFERROR(N254/N444, "NA")</f>
        <v>-9.5863081116273036E-2</v>
      </c>
      <c r="P254" s="9"/>
      <c r="Q254" s="7">
        <v>741.61</v>
      </c>
      <c r="R254" s="8">
        <f>IFERROR(Q254/Q444, "NA")</f>
        <v>8.1531899530219443E-3</v>
      </c>
      <c r="S254" s="9"/>
      <c r="T254" s="7">
        <v>0</v>
      </c>
      <c r="U254" s="8">
        <f>IFERROR(T254/T444, "NA")</f>
        <v>0</v>
      </c>
      <c r="V254" s="9"/>
      <c r="W254" s="10">
        <f t="shared" si="66"/>
        <v>-741.61</v>
      </c>
      <c r="X254" s="8">
        <f>IFERROR(W254/W444, "NA")</f>
        <v>0.12049901779026388</v>
      </c>
      <c r="Y254" s="9"/>
      <c r="Z254" s="7">
        <v>1175.98</v>
      </c>
      <c r="AA254" s="8">
        <f>IFERROR(Z254/Z444, "NA")</f>
        <v>1.2315133713628896E-2</v>
      </c>
      <c r="AB254" s="9"/>
      <c r="AC254" s="10">
        <f t="shared" si="67"/>
        <v>434.37</v>
      </c>
      <c r="AD254" s="8">
        <f>IFERROR(AC254/AC444, "NA")</f>
        <v>-9.5863081116273036E-2</v>
      </c>
    </row>
    <row r="255" spans="1:30" ht="16.5" hidden="1" customHeight="1" x14ac:dyDescent="0.45">
      <c r="A255" s="12" t="s">
        <v>232</v>
      </c>
      <c r="B255" s="7">
        <v>0</v>
      </c>
      <c r="C255" s="8">
        <f>IFERROR(B255/B444, "NA")</f>
        <v>0</v>
      </c>
      <c r="D255" s="9"/>
      <c r="E255" s="7">
        <v>0</v>
      </c>
      <c r="F255" s="8">
        <f>IFERROR(E255/E444, "NA")</f>
        <v>0</v>
      </c>
      <c r="G255" s="9"/>
      <c r="H255" s="10">
        <f t="shared" si="64"/>
        <v>0</v>
      </c>
      <c r="I255" s="8">
        <f>IFERROR(H255/H444, "NA")</f>
        <v>0</v>
      </c>
      <c r="J255" s="9"/>
      <c r="K255" s="7">
        <v>0</v>
      </c>
      <c r="L255" s="8">
        <f>IFERROR(K255/K444, "NA")</f>
        <v>0</v>
      </c>
      <c r="M255" s="9"/>
      <c r="N255" s="10">
        <f t="shared" si="65"/>
        <v>0</v>
      </c>
      <c r="O255" s="8">
        <f>IFERROR(N255/N444, "NA")</f>
        <v>0</v>
      </c>
      <c r="P255" s="9"/>
      <c r="Q255" s="7">
        <v>0</v>
      </c>
      <c r="R255" s="8">
        <f>IFERROR(Q255/Q444, "NA")</f>
        <v>0</v>
      </c>
      <c r="S255" s="9"/>
      <c r="T255" s="7">
        <v>0</v>
      </c>
      <c r="U255" s="8">
        <f>IFERROR(T255/T444, "NA")</f>
        <v>0</v>
      </c>
      <c r="V255" s="9"/>
      <c r="W255" s="10">
        <f t="shared" si="66"/>
        <v>0</v>
      </c>
      <c r="X255" s="8">
        <f>IFERROR(W255/W444, "NA")</f>
        <v>0</v>
      </c>
      <c r="Y255" s="9"/>
      <c r="Z255" s="7">
        <v>0</v>
      </c>
      <c r="AA255" s="8">
        <f>IFERROR(Z255/Z444, "NA")</f>
        <v>0</v>
      </c>
      <c r="AB255" s="9"/>
      <c r="AC255" s="10">
        <f t="shared" si="67"/>
        <v>0</v>
      </c>
      <c r="AD255" s="8">
        <f>IFERROR(AC255/AC444, "NA")</f>
        <v>0</v>
      </c>
    </row>
    <row r="256" spans="1:30" ht="16.5" hidden="1" customHeight="1" x14ac:dyDescent="0.45">
      <c r="A256" s="12" t="s">
        <v>233</v>
      </c>
      <c r="B256" s="7">
        <v>0</v>
      </c>
      <c r="C256" s="8">
        <f>IFERROR(B256/B444, "NA")</f>
        <v>0</v>
      </c>
      <c r="D256" s="9"/>
      <c r="E256" s="7">
        <v>0</v>
      </c>
      <c r="F256" s="8">
        <f>IFERROR(E256/E444, "NA")</f>
        <v>0</v>
      </c>
      <c r="G256" s="9"/>
      <c r="H256" s="10">
        <f t="shared" si="64"/>
        <v>0</v>
      </c>
      <c r="I256" s="8">
        <f>IFERROR(H256/H444, "NA")</f>
        <v>0</v>
      </c>
      <c r="J256" s="9"/>
      <c r="K256" s="7">
        <v>0</v>
      </c>
      <c r="L256" s="8">
        <f>IFERROR(K256/K444, "NA")</f>
        <v>0</v>
      </c>
      <c r="M256" s="9"/>
      <c r="N256" s="10">
        <f t="shared" si="65"/>
        <v>0</v>
      </c>
      <c r="O256" s="8">
        <f>IFERROR(N256/N444, "NA")</f>
        <v>0</v>
      </c>
      <c r="P256" s="9"/>
      <c r="Q256" s="7">
        <v>0</v>
      </c>
      <c r="R256" s="8">
        <f>IFERROR(Q256/Q444, "NA")</f>
        <v>0</v>
      </c>
      <c r="S256" s="9"/>
      <c r="T256" s="7">
        <v>0</v>
      </c>
      <c r="U256" s="8">
        <f>IFERROR(T256/T444, "NA")</f>
        <v>0</v>
      </c>
      <c r="V256" s="9"/>
      <c r="W256" s="10">
        <f t="shared" si="66"/>
        <v>0</v>
      </c>
      <c r="X256" s="8">
        <f>IFERROR(W256/W444, "NA")</f>
        <v>0</v>
      </c>
      <c r="Y256" s="9"/>
      <c r="Z256" s="7">
        <v>0</v>
      </c>
      <c r="AA256" s="8">
        <f>IFERROR(Z256/Z444, "NA")</f>
        <v>0</v>
      </c>
      <c r="AB256" s="9"/>
      <c r="AC256" s="10">
        <f t="shared" si="67"/>
        <v>0</v>
      </c>
      <c r="AD256" s="8">
        <f>IFERROR(AC256/AC444, "NA")</f>
        <v>0</v>
      </c>
    </row>
    <row r="257" spans="1:30" ht="16.5" hidden="1" customHeight="1" x14ac:dyDescent="0.45">
      <c r="A257" s="12" t="s">
        <v>234</v>
      </c>
      <c r="B257" s="7">
        <v>0</v>
      </c>
      <c r="C257" s="8">
        <f>IFERROR(B257/B444, "NA")</f>
        <v>0</v>
      </c>
      <c r="D257" s="9"/>
      <c r="E257" s="7">
        <v>0</v>
      </c>
      <c r="F257" s="8">
        <f>IFERROR(E257/E444, "NA")</f>
        <v>0</v>
      </c>
      <c r="G257" s="9"/>
      <c r="H257" s="10">
        <f t="shared" si="64"/>
        <v>0</v>
      </c>
      <c r="I257" s="8">
        <f>IFERROR(H257/H444, "NA")</f>
        <v>0</v>
      </c>
      <c r="J257" s="9"/>
      <c r="K257" s="7">
        <v>0</v>
      </c>
      <c r="L257" s="8">
        <f>IFERROR(K257/K444, "NA")</f>
        <v>0</v>
      </c>
      <c r="M257" s="9"/>
      <c r="N257" s="10">
        <f t="shared" si="65"/>
        <v>0</v>
      </c>
      <c r="O257" s="8">
        <f>IFERROR(N257/N444, "NA")</f>
        <v>0</v>
      </c>
      <c r="P257" s="9"/>
      <c r="Q257" s="7">
        <v>0</v>
      </c>
      <c r="R257" s="8">
        <f>IFERROR(Q257/Q444, "NA")</f>
        <v>0</v>
      </c>
      <c r="S257" s="9"/>
      <c r="T257" s="7">
        <v>0</v>
      </c>
      <c r="U257" s="8">
        <f>IFERROR(T257/T444, "NA")</f>
        <v>0</v>
      </c>
      <c r="V257" s="9"/>
      <c r="W257" s="10">
        <f t="shared" si="66"/>
        <v>0</v>
      </c>
      <c r="X257" s="8">
        <f>IFERROR(W257/W444, "NA")</f>
        <v>0</v>
      </c>
      <c r="Y257" s="9"/>
      <c r="Z257" s="7">
        <v>0</v>
      </c>
      <c r="AA257" s="8">
        <f>IFERROR(Z257/Z444, "NA")</f>
        <v>0</v>
      </c>
      <c r="AB257" s="9"/>
      <c r="AC257" s="10">
        <f t="shared" si="67"/>
        <v>0</v>
      </c>
      <c r="AD257" s="8">
        <f>IFERROR(AC257/AC444, "NA")</f>
        <v>0</v>
      </c>
    </row>
    <row r="258" spans="1:30" ht="16.5" hidden="1" customHeight="1" x14ac:dyDescent="0.45">
      <c r="A258" s="12" t="s">
        <v>235</v>
      </c>
      <c r="B258" s="7">
        <v>0</v>
      </c>
      <c r="C258" s="8">
        <f>IFERROR(B258/B444, "NA")</f>
        <v>0</v>
      </c>
      <c r="D258" s="9"/>
      <c r="E258" s="7">
        <v>0</v>
      </c>
      <c r="F258" s="8">
        <f>IFERROR(E258/E444, "NA")</f>
        <v>0</v>
      </c>
      <c r="G258" s="9"/>
      <c r="H258" s="10">
        <f t="shared" si="64"/>
        <v>0</v>
      </c>
      <c r="I258" s="8">
        <f>IFERROR(H258/H444, "NA")</f>
        <v>0</v>
      </c>
      <c r="J258" s="9"/>
      <c r="K258" s="7">
        <v>0</v>
      </c>
      <c r="L258" s="8">
        <f>IFERROR(K258/K444, "NA")</f>
        <v>0</v>
      </c>
      <c r="M258" s="9"/>
      <c r="N258" s="10">
        <f t="shared" si="65"/>
        <v>0</v>
      </c>
      <c r="O258" s="8">
        <f>IFERROR(N258/N444, "NA")</f>
        <v>0</v>
      </c>
      <c r="P258" s="9"/>
      <c r="Q258" s="7">
        <v>0</v>
      </c>
      <c r="R258" s="8">
        <f>IFERROR(Q258/Q444, "NA")</f>
        <v>0</v>
      </c>
      <c r="S258" s="9"/>
      <c r="T258" s="7">
        <v>0</v>
      </c>
      <c r="U258" s="8">
        <f>IFERROR(T258/T444, "NA")</f>
        <v>0</v>
      </c>
      <c r="V258" s="9"/>
      <c r="W258" s="10">
        <f t="shared" si="66"/>
        <v>0</v>
      </c>
      <c r="X258" s="8">
        <f>IFERROR(W258/W444, "NA")</f>
        <v>0</v>
      </c>
      <c r="Y258" s="9"/>
      <c r="Z258" s="7">
        <v>0</v>
      </c>
      <c r="AA258" s="8">
        <f>IFERROR(Z258/Z444, "NA")</f>
        <v>0</v>
      </c>
      <c r="AB258" s="9"/>
      <c r="AC258" s="10">
        <f t="shared" si="67"/>
        <v>0</v>
      </c>
      <c r="AD258" s="8">
        <f>IFERROR(AC258/AC444, "NA")</f>
        <v>0</v>
      </c>
    </row>
    <row r="259" spans="1:30" ht="16.5" hidden="1" customHeight="1" x14ac:dyDescent="0.45">
      <c r="A259" s="12" t="s">
        <v>236</v>
      </c>
      <c r="B259" s="7">
        <v>0</v>
      </c>
      <c r="C259" s="8">
        <f>IFERROR(B259/B444, "NA")</f>
        <v>0</v>
      </c>
      <c r="D259" s="9"/>
      <c r="E259" s="7">
        <v>0</v>
      </c>
      <c r="F259" s="8">
        <f>IFERROR(E259/E444, "NA")</f>
        <v>0</v>
      </c>
      <c r="G259" s="9"/>
      <c r="H259" s="10">
        <f t="shared" si="64"/>
        <v>0</v>
      </c>
      <c r="I259" s="8">
        <f>IFERROR(H259/H444, "NA")</f>
        <v>0</v>
      </c>
      <c r="J259" s="9"/>
      <c r="K259" s="7">
        <v>0</v>
      </c>
      <c r="L259" s="8">
        <f>IFERROR(K259/K444, "NA")</f>
        <v>0</v>
      </c>
      <c r="M259" s="9"/>
      <c r="N259" s="10">
        <f t="shared" si="65"/>
        <v>0</v>
      </c>
      <c r="O259" s="8">
        <f>IFERROR(N259/N444, "NA")</f>
        <v>0</v>
      </c>
      <c r="P259" s="9"/>
      <c r="Q259" s="7">
        <v>0</v>
      </c>
      <c r="R259" s="8">
        <f>IFERROR(Q259/Q444, "NA")</f>
        <v>0</v>
      </c>
      <c r="S259" s="9"/>
      <c r="T259" s="7">
        <v>0</v>
      </c>
      <c r="U259" s="8">
        <f>IFERROR(T259/T444, "NA")</f>
        <v>0</v>
      </c>
      <c r="V259" s="9"/>
      <c r="W259" s="10">
        <f t="shared" si="66"/>
        <v>0</v>
      </c>
      <c r="X259" s="8">
        <f>IFERROR(W259/W444, "NA")</f>
        <v>0</v>
      </c>
      <c r="Y259" s="9"/>
      <c r="Z259" s="7">
        <v>0</v>
      </c>
      <c r="AA259" s="8">
        <f>IFERROR(Z259/Z444, "NA")</f>
        <v>0</v>
      </c>
      <c r="AB259" s="9"/>
      <c r="AC259" s="10">
        <f t="shared" si="67"/>
        <v>0</v>
      </c>
      <c r="AD259" s="8">
        <f>IFERROR(AC259/AC444, "NA")</f>
        <v>0</v>
      </c>
    </row>
    <row r="260" spans="1:30" ht="16.5" hidden="1" customHeight="1" x14ac:dyDescent="0.45">
      <c r="A260" s="12" t="s">
        <v>237</v>
      </c>
      <c r="B260" s="7">
        <v>0</v>
      </c>
      <c r="C260" s="8">
        <f>IFERROR(B260/B444, "NA")</f>
        <v>0</v>
      </c>
      <c r="D260" s="9"/>
      <c r="E260" s="7">
        <v>0</v>
      </c>
      <c r="F260" s="8">
        <f>IFERROR(E260/E444, "NA")</f>
        <v>0</v>
      </c>
      <c r="G260" s="9"/>
      <c r="H260" s="10">
        <f t="shared" si="64"/>
        <v>0</v>
      </c>
      <c r="I260" s="8">
        <f>IFERROR(H260/H444, "NA")</f>
        <v>0</v>
      </c>
      <c r="J260" s="9"/>
      <c r="K260" s="7">
        <v>0</v>
      </c>
      <c r="L260" s="8">
        <f>IFERROR(K260/K444, "NA")</f>
        <v>0</v>
      </c>
      <c r="M260" s="9"/>
      <c r="N260" s="10">
        <f t="shared" si="65"/>
        <v>0</v>
      </c>
      <c r="O260" s="8">
        <f>IFERROR(N260/N444, "NA")</f>
        <v>0</v>
      </c>
      <c r="P260" s="9"/>
      <c r="Q260" s="7">
        <v>0</v>
      </c>
      <c r="R260" s="8">
        <f>IFERROR(Q260/Q444, "NA")</f>
        <v>0</v>
      </c>
      <c r="S260" s="9"/>
      <c r="T260" s="7">
        <v>0</v>
      </c>
      <c r="U260" s="8">
        <f>IFERROR(T260/T444, "NA")</f>
        <v>0</v>
      </c>
      <c r="V260" s="9"/>
      <c r="W260" s="10">
        <f t="shared" si="66"/>
        <v>0</v>
      </c>
      <c r="X260" s="8">
        <f>IFERROR(W260/W444, "NA")</f>
        <v>0</v>
      </c>
      <c r="Y260" s="9"/>
      <c r="Z260" s="7">
        <v>0</v>
      </c>
      <c r="AA260" s="8">
        <f>IFERROR(Z260/Z444, "NA")</f>
        <v>0</v>
      </c>
      <c r="AB260" s="9"/>
      <c r="AC260" s="10">
        <f t="shared" si="67"/>
        <v>0</v>
      </c>
      <c r="AD260" s="8">
        <f>IFERROR(AC260/AC444, "NA")</f>
        <v>0</v>
      </c>
    </row>
    <row r="261" spans="1:30" ht="16.5" hidden="1" customHeight="1" x14ac:dyDescent="0.45">
      <c r="A261" s="12" t="s">
        <v>238</v>
      </c>
      <c r="B261" s="7">
        <v>0</v>
      </c>
      <c r="C261" s="8">
        <f>IFERROR(B261/B444, "NA")</f>
        <v>0</v>
      </c>
      <c r="D261" s="9"/>
      <c r="E261" s="7">
        <v>0</v>
      </c>
      <c r="F261" s="8">
        <f>IFERROR(E261/E444, "NA")</f>
        <v>0</v>
      </c>
      <c r="G261" s="9"/>
      <c r="H261" s="10">
        <f t="shared" si="64"/>
        <v>0</v>
      </c>
      <c r="I261" s="8">
        <f>IFERROR(H261/H444, "NA")</f>
        <v>0</v>
      </c>
      <c r="J261" s="9"/>
      <c r="K261" s="7">
        <v>0</v>
      </c>
      <c r="L261" s="8">
        <f>IFERROR(K261/K444, "NA")</f>
        <v>0</v>
      </c>
      <c r="M261" s="9"/>
      <c r="N261" s="10">
        <f t="shared" si="65"/>
        <v>0</v>
      </c>
      <c r="O261" s="8">
        <f>IFERROR(N261/N444, "NA")</f>
        <v>0</v>
      </c>
      <c r="P261" s="9"/>
      <c r="Q261" s="7">
        <v>0</v>
      </c>
      <c r="R261" s="8">
        <f>IFERROR(Q261/Q444, "NA")</f>
        <v>0</v>
      </c>
      <c r="S261" s="9"/>
      <c r="T261" s="7">
        <v>0</v>
      </c>
      <c r="U261" s="8">
        <f>IFERROR(T261/T444, "NA")</f>
        <v>0</v>
      </c>
      <c r="V261" s="9"/>
      <c r="W261" s="10">
        <f t="shared" si="66"/>
        <v>0</v>
      </c>
      <c r="X261" s="8">
        <f>IFERROR(W261/W444, "NA")</f>
        <v>0</v>
      </c>
      <c r="Y261" s="9"/>
      <c r="Z261" s="7">
        <v>0</v>
      </c>
      <c r="AA261" s="8">
        <f>IFERROR(Z261/Z444, "NA")</f>
        <v>0</v>
      </c>
      <c r="AB261" s="9"/>
      <c r="AC261" s="10">
        <f t="shared" si="67"/>
        <v>0</v>
      </c>
      <c r="AD261" s="8">
        <f>IFERROR(AC261/AC444, "NA")</f>
        <v>0</v>
      </c>
    </row>
    <row r="262" spans="1:30" ht="16.5" customHeight="1" x14ac:dyDescent="0.45">
      <c r="A262" s="13" t="s">
        <v>239</v>
      </c>
      <c r="B262" s="14">
        <f>IFERROR(B240+B241+B242+B243+B244+B245+B246+B247+B248+B249+B250+B251+B252+B253+B254+B255+B256+B257+B258+B259+B260+B261, "NA")</f>
        <v>6395.2999999999993</v>
      </c>
      <c r="C262" s="15">
        <f>IFERROR(B262/B444, "NA")</f>
        <v>7.0309321215411377E-2</v>
      </c>
      <c r="D262" s="2"/>
      <c r="E262" s="14">
        <f>IFERROR(E240+E241+E242+E243+E244+E245+E246+E247+E248+E249+E250+E251+E252+E253+E254+E255+E256+E257+E258+E259+E260+E261, "NA")</f>
        <v>5923.95</v>
      </c>
      <c r="F262" s="15">
        <f>IFERROR(E262/E444, "NA")</f>
        <v>6.0999971373843394E-2</v>
      </c>
      <c r="G262" s="2"/>
      <c r="H262" s="14">
        <f t="shared" si="64"/>
        <v>-471.34999999999945</v>
      </c>
      <c r="I262" s="15">
        <f>IFERROR(H262/H444, "NA")</f>
        <v>7.6586362151859891E-2</v>
      </c>
      <c r="J262" s="2"/>
      <c r="K262" s="14">
        <f>IFERROR(K240+K241+K242+K243+K244+K245+K246+K247+K248+K249+K250+K251+K252+K253+K254+K255+K256+K257+K258+K259+K260+K261, "NA")</f>
        <v>6994.8700000000008</v>
      </c>
      <c r="L262" s="15">
        <f>IFERROR(K262/K444, "NA")</f>
        <v>7.3251891494286778E-2</v>
      </c>
      <c r="M262" s="2"/>
      <c r="N262" s="14">
        <f t="shared" si="65"/>
        <v>599.57000000000153</v>
      </c>
      <c r="O262" s="15">
        <f>IFERROR(N262/N444, "NA")</f>
        <v>-0.13232181675733584</v>
      </c>
      <c r="P262" s="2"/>
      <c r="Q262" s="14">
        <f>IFERROR(Q240+Q241+Q242+Q243+Q244+Q245+Q246+Q247+Q248+Q249+Q250+Q251+Q252+Q253+Q254+Q255+Q256+Q257+Q258+Q259+Q260+Q261, "NA")</f>
        <v>6395.2999999999993</v>
      </c>
      <c r="R262" s="15">
        <f>IFERROR(Q262/Q444, "NA")</f>
        <v>7.0309321215411377E-2</v>
      </c>
      <c r="S262" s="2"/>
      <c r="T262" s="14">
        <f>IFERROR(T240+T241+T242+T243+T244+T245+T246+T247+T248+T249+T250+T251+T252+T253+T254+T255+T256+T257+T258+T259+T260+T261, "NA")</f>
        <v>5923.95</v>
      </c>
      <c r="U262" s="15">
        <f>IFERROR(T262/T444, "NA")</f>
        <v>6.0999971373843394E-2</v>
      </c>
      <c r="V262" s="2"/>
      <c r="W262" s="14">
        <f t="shared" si="66"/>
        <v>-471.34999999999945</v>
      </c>
      <c r="X262" s="15">
        <f>IFERROR(W262/W444, "NA")</f>
        <v>7.6586362151859891E-2</v>
      </c>
      <c r="Y262" s="2"/>
      <c r="Z262" s="14">
        <f>IFERROR(Z240+Z241+Z242+Z243+Z244+Z245+Z246+Z247+Z248+Z249+Z250+Z251+Z252+Z253+Z254+Z255+Z256+Z257+Z258+Z259+Z260+Z261, "NA")</f>
        <v>6994.8700000000008</v>
      </c>
      <c r="AA262" s="15">
        <f>IFERROR(Z262/Z444, "NA")</f>
        <v>7.3251891494286778E-2</v>
      </c>
      <c r="AB262" s="2"/>
      <c r="AC262" s="14">
        <f t="shared" si="67"/>
        <v>599.57000000000153</v>
      </c>
      <c r="AD262" s="15">
        <f>IFERROR(AC262/AC444, "NA")</f>
        <v>-0.13232181675733584</v>
      </c>
    </row>
    <row r="263" spans="1:30" ht="16.5" customHeight="1" x14ac:dyDescent="0.45">
      <c r="A263" s="19" t="s">
        <v>240</v>
      </c>
      <c r="B263" s="14">
        <f>IFERROR(B238+B240+B241+B242+B243+B244+B245+B246+B247+B248+B249+B250+B251+B252+B253+B254+B255+B256+B257+B258+B259+B260+B261, "NA")</f>
        <v>6395.2999999999993</v>
      </c>
      <c r="C263" s="15">
        <f>IFERROR(B263/B444, "NA")</f>
        <v>7.0309321215411377E-2</v>
      </c>
      <c r="D263" s="2"/>
      <c r="E263" s="14">
        <f>IFERROR(E238+E240+E241+E242+E243+E244+E245+E246+E247+E248+E249+E250+E251+E252+E253+E254+E255+E256+E257+E258+E259+E260+E261, "NA")</f>
        <v>5923.95</v>
      </c>
      <c r="F263" s="15">
        <f>IFERROR(E263/E444, "NA")</f>
        <v>6.0999971373843394E-2</v>
      </c>
      <c r="G263" s="2"/>
      <c r="H263" s="14">
        <f t="shared" si="64"/>
        <v>-471.34999999999945</v>
      </c>
      <c r="I263" s="15">
        <f>IFERROR(H263/H444, "NA")</f>
        <v>7.6586362151859891E-2</v>
      </c>
      <c r="J263" s="2"/>
      <c r="K263" s="14">
        <f>IFERROR(K238+K240+K241+K242+K243+K244+K245+K246+K247+K248+K249+K250+K251+K252+K253+K254+K255+K256+K257+K258+K259+K260+K261, "NA")</f>
        <v>6994.8700000000008</v>
      </c>
      <c r="L263" s="15">
        <f>IFERROR(K263/K444, "NA")</f>
        <v>7.3251891494286778E-2</v>
      </c>
      <c r="M263" s="2"/>
      <c r="N263" s="14">
        <f t="shared" si="65"/>
        <v>599.57000000000153</v>
      </c>
      <c r="O263" s="15">
        <f>IFERROR(N263/N444, "NA")</f>
        <v>-0.13232181675733584</v>
      </c>
      <c r="P263" s="2"/>
      <c r="Q263" s="14">
        <f>IFERROR(Q238+Q240+Q241+Q242+Q243+Q244+Q245+Q246+Q247+Q248+Q249+Q250+Q251+Q252+Q253+Q254+Q255+Q256+Q257+Q258+Q259+Q260+Q261, "NA")</f>
        <v>6395.2999999999993</v>
      </c>
      <c r="R263" s="15">
        <f>IFERROR(Q263/Q444, "NA")</f>
        <v>7.0309321215411377E-2</v>
      </c>
      <c r="S263" s="2"/>
      <c r="T263" s="14">
        <f>IFERROR(T238+T240+T241+T242+T243+T244+T245+T246+T247+T248+T249+T250+T251+T252+T253+T254+T255+T256+T257+T258+T259+T260+T261, "NA")</f>
        <v>5923.95</v>
      </c>
      <c r="U263" s="15">
        <f>IFERROR(T263/T444, "NA")</f>
        <v>6.0999971373843394E-2</v>
      </c>
      <c r="V263" s="2"/>
      <c r="W263" s="14">
        <f t="shared" si="66"/>
        <v>-471.34999999999945</v>
      </c>
      <c r="X263" s="15">
        <f>IFERROR(W263/W444, "NA")</f>
        <v>7.6586362151859891E-2</v>
      </c>
      <c r="Y263" s="2"/>
      <c r="Z263" s="14">
        <f>IFERROR(Z238+Z240+Z241+Z242+Z243+Z244+Z245+Z246+Z247+Z248+Z249+Z250+Z251+Z252+Z253+Z254+Z255+Z256+Z257+Z258+Z259+Z260+Z261, "NA")</f>
        <v>6994.8700000000008</v>
      </c>
      <c r="AA263" s="15">
        <f>IFERROR(Z263/Z444, "NA")</f>
        <v>7.3251891494286778E-2</v>
      </c>
      <c r="AB263" s="2"/>
      <c r="AC263" s="14">
        <f t="shared" si="67"/>
        <v>599.57000000000153</v>
      </c>
      <c r="AD263" s="15">
        <f>IFERROR(AC263/AC444, "NA")</f>
        <v>-0.13232181675733584</v>
      </c>
    </row>
    <row r="264" spans="1:30" ht="16.5" customHeight="1" x14ac:dyDescent="0.45">
      <c r="A264" s="5" t="s">
        <v>241</v>
      </c>
      <c r="B264" s="2"/>
      <c r="C264" s="3"/>
      <c r="D264" s="4"/>
      <c r="E264" s="2"/>
      <c r="F264" s="3"/>
      <c r="G264" s="4"/>
      <c r="H264" s="2"/>
      <c r="I264" s="3"/>
      <c r="J264" s="4"/>
      <c r="K264" s="2"/>
      <c r="L264" s="3"/>
      <c r="M264" s="4"/>
      <c r="N264" s="2"/>
      <c r="O264" s="3"/>
      <c r="P264" s="4"/>
      <c r="Q264" s="2"/>
      <c r="R264" s="3"/>
      <c r="S264" s="4"/>
      <c r="T264" s="2"/>
      <c r="U264" s="3"/>
      <c r="V264" s="4"/>
      <c r="W264" s="2"/>
      <c r="X264" s="3"/>
      <c r="Y264" s="4"/>
      <c r="Z264" s="2"/>
      <c r="AA264" s="3"/>
      <c r="AB264" s="4"/>
      <c r="AC264" s="2"/>
      <c r="AD264" s="3"/>
    </row>
    <row r="265" spans="1:30" ht="16.5" customHeight="1" x14ac:dyDescent="0.45">
      <c r="A265" s="6" t="s">
        <v>241</v>
      </c>
      <c r="B265" s="7">
        <v>2472.11</v>
      </c>
      <c r="C265" s="8">
        <f>IFERROR(B265/B444, "NA")</f>
        <v>2.7178142709463299E-2</v>
      </c>
      <c r="D265" s="9"/>
      <c r="E265" s="7">
        <v>2622.08</v>
      </c>
      <c r="F265" s="8">
        <f>IFERROR(E265/E444, "NA")</f>
        <v>2.7000026154833733E-2</v>
      </c>
      <c r="G265" s="9"/>
      <c r="H265" s="10">
        <f>IFERROR(-(B265-E265), "NA")</f>
        <v>149.9699999999998</v>
      </c>
      <c r="I265" s="8">
        <f>IFERROR(H265/H444, "NA")</f>
        <v>-2.4367575542408881E-2</v>
      </c>
      <c r="J265" s="9"/>
      <c r="K265" s="7">
        <v>2537.1</v>
      </c>
      <c r="L265" s="8">
        <f>IFERROR(K265/K444, "NA")</f>
        <v>2.6569096196234519E-2</v>
      </c>
      <c r="M265" s="9"/>
      <c r="N265" s="10">
        <f>IFERROR(-(B265-K265), "NA")</f>
        <v>64.989999999999782</v>
      </c>
      <c r="O265" s="8">
        <f>IFERROR(N265/N444, "NA")</f>
        <v>-1.4342937223442143E-2</v>
      </c>
      <c r="P265" s="9"/>
      <c r="Q265" s="7">
        <v>2472.11</v>
      </c>
      <c r="R265" s="8">
        <f>IFERROR(Q265/Q444, "NA")</f>
        <v>2.7178142709463299E-2</v>
      </c>
      <c r="S265" s="9"/>
      <c r="T265" s="7">
        <v>2622.08</v>
      </c>
      <c r="U265" s="8">
        <f>IFERROR(T265/T444, "NA")</f>
        <v>2.7000026154833733E-2</v>
      </c>
      <c r="V265" s="9"/>
      <c r="W265" s="10">
        <f>IFERROR(-(Q265-T265), "NA")</f>
        <v>149.9699999999998</v>
      </c>
      <c r="X265" s="8">
        <f>IFERROR(W265/W444, "NA")</f>
        <v>-2.4367575542408881E-2</v>
      </c>
      <c r="Y265" s="9"/>
      <c r="Z265" s="7">
        <v>2537.1</v>
      </c>
      <c r="AA265" s="8">
        <f>IFERROR(Z265/Z444, "NA")</f>
        <v>2.6569096196234519E-2</v>
      </c>
      <c r="AB265" s="9"/>
      <c r="AC265" s="10">
        <f>IFERROR(-(Q265-Z265), "NA")</f>
        <v>64.989999999999782</v>
      </c>
      <c r="AD265" s="8">
        <f>IFERROR(AC265/AC444, "NA")</f>
        <v>-1.4342937223442143E-2</v>
      </c>
    </row>
    <row r="266" spans="1:30" ht="16.5" hidden="1" customHeight="1" x14ac:dyDescent="0.45">
      <c r="A266" s="6" t="s">
        <v>242</v>
      </c>
      <c r="B266" s="7">
        <v>0</v>
      </c>
      <c r="C266" s="8">
        <f>IFERROR(B266/B444, "NA")</f>
        <v>0</v>
      </c>
      <c r="D266" s="9"/>
      <c r="E266" s="7">
        <v>0</v>
      </c>
      <c r="F266" s="8">
        <f>IFERROR(E266/E444, "NA")</f>
        <v>0</v>
      </c>
      <c r="G266" s="9"/>
      <c r="H266" s="10">
        <f>IFERROR(-(B266-E266), "NA")</f>
        <v>0</v>
      </c>
      <c r="I266" s="8">
        <f>IFERROR(H266/H444, "NA")</f>
        <v>0</v>
      </c>
      <c r="J266" s="9"/>
      <c r="K266" s="7">
        <v>0</v>
      </c>
      <c r="L266" s="8">
        <f>IFERROR(K266/K444, "NA")</f>
        <v>0</v>
      </c>
      <c r="M266" s="9"/>
      <c r="N266" s="10">
        <f>IFERROR(-(B266-K266), "NA")</f>
        <v>0</v>
      </c>
      <c r="O266" s="8">
        <f>IFERROR(N266/N444, "NA")</f>
        <v>0</v>
      </c>
      <c r="P266" s="9"/>
      <c r="Q266" s="7">
        <v>0</v>
      </c>
      <c r="R266" s="8">
        <f>IFERROR(Q266/Q444, "NA")</f>
        <v>0</v>
      </c>
      <c r="S266" s="9"/>
      <c r="T266" s="7">
        <v>0</v>
      </c>
      <c r="U266" s="8">
        <f>IFERROR(T266/T444, "NA")</f>
        <v>0</v>
      </c>
      <c r="V266" s="9"/>
      <c r="W266" s="10">
        <f>IFERROR(-(Q266-T266), "NA")</f>
        <v>0</v>
      </c>
      <c r="X266" s="8">
        <f>IFERROR(W266/W444, "NA")</f>
        <v>0</v>
      </c>
      <c r="Y266" s="9"/>
      <c r="Z266" s="7">
        <v>0</v>
      </c>
      <c r="AA266" s="8">
        <f>IFERROR(Z266/Z444, "NA")</f>
        <v>0</v>
      </c>
      <c r="AB266" s="9"/>
      <c r="AC266" s="10">
        <f>IFERROR(-(Q266-Z266), "NA")</f>
        <v>0</v>
      </c>
      <c r="AD266" s="8">
        <f>IFERROR(AC266/AC444, "NA")</f>
        <v>0</v>
      </c>
    </row>
    <row r="267" spans="1:30" ht="16.5" customHeight="1" x14ac:dyDescent="0.45">
      <c r="A267" s="19" t="s">
        <v>243</v>
      </c>
      <c r="B267" s="14">
        <f>IFERROR(B265+B266, "NA")</f>
        <v>2472.11</v>
      </c>
      <c r="C267" s="15">
        <f>IFERROR(B267/B444, "NA")</f>
        <v>2.7178142709463299E-2</v>
      </c>
      <c r="D267" s="2"/>
      <c r="E267" s="14">
        <f>IFERROR(E265+E266, "NA")</f>
        <v>2622.08</v>
      </c>
      <c r="F267" s="15">
        <f>IFERROR(E267/E444, "NA")</f>
        <v>2.7000026154833733E-2</v>
      </c>
      <c r="G267" s="2"/>
      <c r="H267" s="14">
        <f>IFERROR(-(B267-E267), "NA")</f>
        <v>149.9699999999998</v>
      </c>
      <c r="I267" s="15">
        <f>IFERROR(H267/H444, "NA")</f>
        <v>-2.4367575542408881E-2</v>
      </c>
      <c r="J267" s="2"/>
      <c r="K267" s="14">
        <f>IFERROR(K265+K266, "NA")</f>
        <v>2537.1</v>
      </c>
      <c r="L267" s="15">
        <f>IFERROR(K267/K444, "NA")</f>
        <v>2.6569096196234519E-2</v>
      </c>
      <c r="M267" s="2"/>
      <c r="N267" s="14">
        <f>IFERROR(-(B267-K267), "NA")</f>
        <v>64.989999999999782</v>
      </c>
      <c r="O267" s="15">
        <f>IFERROR(N267/N444, "NA")</f>
        <v>-1.4342937223442143E-2</v>
      </c>
      <c r="P267" s="2"/>
      <c r="Q267" s="14">
        <f>IFERROR(Q265+Q266, "NA")</f>
        <v>2472.11</v>
      </c>
      <c r="R267" s="15">
        <f>IFERROR(Q267/Q444, "NA")</f>
        <v>2.7178142709463299E-2</v>
      </c>
      <c r="S267" s="2"/>
      <c r="T267" s="14">
        <f>IFERROR(T265+T266, "NA")</f>
        <v>2622.08</v>
      </c>
      <c r="U267" s="15">
        <f>IFERROR(T267/T444, "NA")</f>
        <v>2.7000026154833733E-2</v>
      </c>
      <c r="V267" s="2"/>
      <c r="W267" s="14">
        <f>IFERROR(-(Q267-T267), "NA")</f>
        <v>149.9699999999998</v>
      </c>
      <c r="X267" s="15">
        <f>IFERROR(W267/W444, "NA")</f>
        <v>-2.4367575542408881E-2</v>
      </c>
      <c r="Y267" s="2"/>
      <c r="Z267" s="14">
        <f>IFERROR(Z265+Z266, "NA")</f>
        <v>2537.1</v>
      </c>
      <c r="AA267" s="15">
        <f>IFERROR(Z267/Z444, "NA")</f>
        <v>2.6569096196234519E-2</v>
      </c>
      <c r="AB267" s="2"/>
      <c r="AC267" s="14">
        <f>IFERROR(-(Q267-Z267), "NA")</f>
        <v>64.989999999999782</v>
      </c>
      <c r="AD267" s="15">
        <f>IFERROR(AC267/AC444, "NA")</f>
        <v>-1.4342937223442143E-2</v>
      </c>
    </row>
    <row r="268" spans="1:30" ht="16.5" customHeight="1" x14ac:dyDescent="0.45">
      <c r="A268" s="5" t="s">
        <v>244</v>
      </c>
      <c r="B268" s="2"/>
      <c r="C268" s="3"/>
      <c r="D268" s="4"/>
      <c r="E268" s="2"/>
      <c r="F268" s="3"/>
      <c r="G268" s="4"/>
      <c r="H268" s="2"/>
      <c r="I268" s="3"/>
      <c r="J268" s="4"/>
      <c r="K268" s="2"/>
      <c r="L268" s="3"/>
      <c r="M268" s="4"/>
      <c r="N268" s="2"/>
      <c r="O268" s="3"/>
      <c r="P268" s="4"/>
      <c r="Q268" s="2"/>
      <c r="R268" s="3"/>
      <c r="S268" s="4"/>
      <c r="T268" s="2"/>
      <c r="U268" s="3"/>
      <c r="V268" s="4"/>
      <c r="W268" s="2"/>
      <c r="X268" s="3"/>
      <c r="Y268" s="4"/>
      <c r="Z268" s="2"/>
      <c r="AA268" s="3"/>
      <c r="AB268" s="4"/>
      <c r="AC268" s="2"/>
      <c r="AD268" s="3"/>
    </row>
    <row r="269" spans="1:30" ht="16.5" hidden="1" customHeight="1" x14ac:dyDescent="0.45">
      <c r="A269" s="6" t="s">
        <v>244</v>
      </c>
      <c r="B269" s="7">
        <v>0</v>
      </c>
      <c r="C269" s="8">
        <f>IFERROR(B269/B444, "NA")</f>
        <v>0</v>
      </c>
      <c r="D269" s="9"/>
      <c r="E269" s="7">
        <v>0</v>
      </c>
      <c r="F269" s="8">
        <f>IFERROR(E269/E444, "NA")</f>
        <v>0</v>
      </c>
      <c r="G269" s="9"/>
      <c r="H269" s="10">
        <f>IFERROR(-(B269-E269), "NA")</f>
        <v>0</v>
      </c>
      <c r="I269" s="8">
        <f>IFERROR(H269/H444, "NA")</f>
        <v>0</v>
      </c>
      <c r="J269" s="9"/>
      <c r="K269" s="7">
        <v>0</v>
      </c>
      <c r="L269" s="8">
        <f>IFERROR(K269/K444, "NA")</f>
        <v>0</v>
      </c>
      <c r="M269" s="9"/>
      <c r="N269" s="10">
        <f>IFERROR(-(B269-K269), "NA")</f>
        <v>0</v>
      </c>
      <c r="O269" s="8">
        <f>IFERROR(N269/N444, "NA")</f>
        <v>0</v>
      </c>
      <c r="P269" s="9"/>
      <c r="Q269" s="7">
        <v>0</v>
      </c>
      <c r="R269" s="8">
        <f>IFERROR(Q269/Q444, "NA")</f>
        <v>0</v>
      </c>
      <c r="S269" s="9"/>
      <c r="T269" s="7">
        <v>0</v>
      </c>
      <c r="U269" s="8">
        <f>IFERROR(T269/T444, "NA")</f>
        <v>0</v>
      </c>
      <c r="V269" s="9"/>
      <c r="W269" s="10">
        <f>IFERROR(-(Q269-T269), "NA")</f>
        <v>0</v>
      </c>
      <c r="X269" s="8">
        <f>IFERROR(W269/W444, "NA")</f>
        <v>0</v>
      </c>
      <c r="Y269" s="9"/>
      <c r="Z269" s="7">
        <v>0</v>
      </c>
      <c r="AA269" s="8">
        <f>IFERROR(Z269/Z444, "NA")</f>
        <v>0</v>
      </c>
      <c r="AB269" s="9"/>
      <c r="AC269" s="10">
        <f>IFERROR(-(Q269-Z269), "NA")</f>
        <v>0</v>
      </c>
      <c r="AD269" s="8">
        <f>IFERROR(AC269/AC444, "NA")</f>
        <v>0</v>
      </c>
    </row>
    <row r="270" spans="1:30" ht="16.5" customHeight="1" x14ac:dyDescent="0.45">
      <c r="A270" s="6" t="s">
        <v>245</v>
      </c>
      <c r="B270" s="7">
        <v>89.72</v>
      </c>
      <c r="C270" s="8">
        <f>IFERROR(B270/B444, "NA")</f>
        <v>9.8637316458128764E-4</v>
      </c>
      <c r="D270" s="9"/>
      <c r="E270" s="7">
        <v>111.38</v>
      </c>
      <c r="F270" s="8">
        <f>IFERROR(E270/E444, "NA")</f>
        <v>1.1468997563481591E-3</v>
      </c>
      <c r="G270" s="9"/>
      <c r="H270" s="10">
        <f>IFERROR(-(B270-E270), "NA")</f>
        <v>21.659999999999997</v>
      </c>
      <c r="I270" s="8">
        <f>IFERROR(H270/H444, "NA")</f>
        <v>-3.5193817846807824E-3</v>
      </c>
      <c r="J270" s="9"/>
      <c r="K270" s="7">
        <v>214.97</v>
      </c>
      <c r="L270" s="8">
        <f>IFERROR(K270/K444, "NA")</f>
        <v>2.2512154070807359E-3</v>
      </c>
      <c r="M270" s="9"/>
      <c r="N270" s="10">
        <f>IFERROR(-(B270-K270), "NA")</f>
        <v>125.25</v>
      </c>
      <c r="O270" s="8">
        <f>IFERROR(N270/N444, "NA")</f>
        <v>-2.7641989340454445E-2</v>
      </c>
      <c r="P270" s="9"/>
      <c r="Q270" s="7">
        <v>89.72</v>
      </c>
      <c r="R270" s="8">
        <f>IFERROR(Q270/Q444, "NA")</f>
        <v>9.8637316458128764E-4</v>
      </c>
      <c r="S270" s="9"/>
      <c r="T270" s="7">
        <v>111.38</v>
      </c>
      <c r="U270" s="8">
        <f>IFERROR(T270/T444, "NA")</f>
        <v>1.1468997563481591E-3</v>
      </c>
      <c r="V270" s="9"/>
      <c r="W270" s="10">
        <f>IFERROR(-(Q270-T270), "NA")</f>
        <v>21.659999999999997</v>
      </c>
      <c r="X270" s="8">
        <f>IFERROR(W270/W444, "NA")</f>
        <v>-3.5193817846807824E-3</v>
      </c>
      <c r="Y270" s="9"/>
      <c r="Z270" s="7">
        <v>214.97</v>
      </c>
      <c r="AA270" s="8">
        <f>IFERROR(Z270/Z444, "NA")</f>
        <v>2.2512154070807359E-3</v>
      </c>
      <c r="AB270" s="9"/>
      <c r="AC270" s="10">
        <f>IFERROR(-(Q270-Z270), "NA")</f>
        <v>125.25</v>
      </c>
      <c r="AD270" s="8">
        <f>IFERROR(AC270/AC444, "NA")</f>
        <v>-2.7641989340454445E-2</v>
      </c>
    </row>
    <row r="271" spans="1:30" ht="16.5" customHeight="1" x14ac:dyDescent="0.45">
      <c r="A271" s="6" t="s">
        <v>246</v>
      </c>
      <c r="B271" s="7">
        <v>1183.72</v>
      </c>
      <c r="C271" s="8">
        <f>IFERROR(B271/B444, "NA")</f>
        <v>1.3013705331901047E-2</v>
      </c>
      <c r="D271" s="9"/>
      <c r="E271" s="7">
        <v>1183.75</v>
      </c>
      <c r="F271" s="8">
        <f>IFERROR(E271/E444, "NA")</f>
        <v>1.2189285208988449E-2</v>
      </c>
      <c r="G271" s="9"/>
      <c r="H271" s="10">
        <f>IFERROR(-(B271-E271), "NA")</f>
        <v>2.9999999999972715E-2</v>
      </c>
      <c r="I271" s="8">
        <f>IFERROR(H271/H444, "NA")</f>
        <v>-4.8744900064786457E-6</v>
      </c>
      <c r="J271" s="9"/>
      <c r="K271" s="7">
        <v>806.54</v>
      </c>
      <c r="L271" s="8">
        <f>IFERROR(K271/K444, "NA")</f>
        <v>8.4462728493598944E-3</v>
      </c>
      <c r="M271" s="9"/>
      <c r="N271" s="10">
        <f>IFERROR(-(B271-K271), "NA")</f>
        <v>-377.18000000000006</v>
      </c>
      <c r="O271" s="8">
        <f>IFERROR(N271/N444, "NA")</f>
        <v>8.3241561193074728E-2</v>
      </c>
      <c r="P271" s="9"/>
      <c r="Q271" s="7">
        <v>1183.72</v>
      </c>
      <c r="R271" s="8">
        <f>IFERROR(Q271/Q444, "NA")</f>
        <v>1.3013705331901047E-2</v>
      </c>
      <c r="S271" s="9"/>
      <c r="T271" s="7">
        <v>1183.75</v>
      </c>
      <c r="U271" s="8">
        <f>IFERROR(T271/T444, "NA")</f>
        <v>1.2189285208988449E-2</v>
      </c>
      <c r="V271" s="9"/>
      <c r="W271" s="10">
        <f>IFERROR(-(Q271-T271), "NA")</f>
        <v>2.9999999999972715E-2</v>
      </c>
      <c r="X271" s="8">
        <f>IFERROR(W271/W444, "NA")</f>
        <v>-4.8744900064786457E-6</v>
      </c>
      <c r="Y271" s="9"/>
      <c r="Z271" s="7">
        <v>806.54</v>
      </c>
      <c r="AA271" s="8">
        <f>IFERROR(Z271/Z444, "NA")</f>
        <v>8.4462728493598944E-3</v>
      </c>
      <c r="AB271" s="9"/>
      <c r="AC271" s="10">
        <f>IFERROR(-(Q271-Z271), "NA")</f>
        <v>-377.18000000000006</v>
      </c>
      <c r="AD271" s="8">
        <f>IFERROR(AC271/AC444, "NA")</f>
        <v>8.3241561193074728E-2</v>
      </c>
    </row>
    <row r="272" spans="1:30" ht="16.5" customHeight="1" x14ac:dyDescent="0.45">
      <c r="A272" s="6" t="s">
        <v>247</v>
      </c>
      <c r="B272" s="7">
        <v>199.27</v>
      </c>
      <c r="C272" s="8">
        <f>IFERROR(B272/B444, "NA")</f>
        <v>2.1907554670766074E-3</v>
      </c>
      <c r="D272" s="9"/>
      <c r="E272" s="7">
        <v>0</v>
      </c>
      <c r="F272" s="8">
        <f>IFERROR(E272/E444, "NA")</f>
        <v>0</v>
      </c>
      <c r="G272" s="9"/>
      <c r="H272" s="10">
        <f>IFERROR(-(B272-E272), "NA")</f>
        <v>-199.27</v>
      </c>
      <c r="I272" s="8">
        <f>IFERROR(H272/H444, "NA")</f>
        <v>3.2377987453062772E-2</v>
      </c>
      <c r="J272" s="9"/>
      <c r="K272" s="7">
        <v>0</v>
      </c>
      <c r="L272" s="8">
        <f>IFERROR(K272/K444, "NA")</f>
        <v>0</v>
      </c>
      <c r="M272" s="9"/>
      <c r="N272" s="10">
        <f>IFERROR(-(B272-K272), "NA")</f>
        <v>-199.27</v>
      </c>
      <c r="O272" s="8">
        <f>IFERROR(N272/N444, "NA")</f>
        <v>4.3977798130717428E-2</v>
      </c>
      <c r="P272" s="9"/>
      <c r="Q272" s="7">
        <v>199.27</v>
      </c>
      <c r="R272" s="8">
        <f>IFERROR(Q272/Q444, "NA")</f>
        <v>2.1907554670766074E-3</v>
      </c>
      <c r="S272" s="9"/>
      <c r="T272" s="7">
        <v>0</v>
      </c>
      <c r="U272" s="8">
        <f>IFERROR(T272/T444, "NA")</f>
        <v>0</v>
      </c>
      <c r="V272" s="9"/>
      <c r="W272" s="10">
        <f>IFERROR(-(Q272-T272), "NA")</f>
        <v>-199.27</v>
      </c>
      <c r="X272" s="8">
        <f>IFERROR(W272/W444, "NA")</f>
        <v>3.2377987453062772E-2</v>
      </c>
      <c r="Y272" s="9"/>
      <c r="Z272" s="7">
        <v>0</v>
      </c>
      <c r="AA272" s="8">
        <f>IFERROR(Z272/Z444, "NA")</f>
        <v>0</v>
      </c>
      <c r="AB272" s="9"/>
      <c r="AC272" s="10">
        <f>IFERROR(-(Q272-Z272), "NA")</f>
        <v>-199.27</v>
      </c>
      <c r="AD272" s="8">
        <f>IFERROR(AC272/AC444, "NA")</f>
        <v>4.3977798130717428E-2</v>
      </c>
    </row>
    <row r="273" spans="1:30" ht="16.5" customHeight="1" x14ac:dyDescent="0.45">
      <c r="A273" s="19" t="s">
        <v>248</v>
      </c>
      <c r="B273" s="14">
        <f>IFERROR(B269+B270+B271+B272, "NA")</f>
        <v>1472.71</v>
      </c>
      <c r="C273" s="15">
        <f>IFERROR(B273/B444, "NA")</f>
        <v>1.6190833963558943E-2</v>
      </c>
      <c r="D273" s="2"/>
      <c r="E273" s="14">
        <f>IFERROR(E269+E270+E271+E272, "NA")</f>
        <v>1295.1300000000001</v>
      </c>
      <c r="F273" s="15">
        <f>IFERROR(E273/E444, "NA")</f>
        <v>1.3336184965336608E-2</v>
      </c>
      <c r="G273" s="2"/>
      <c r="H273" s="14">
        <f>IFERROR(-(B273-E273), "NA")</f>
        <v>-177.57999999999993</v>
      </c>
      <c r="I273" s="15">
        <f>IFERROR(H273/H444, "NA")</f>
        <v>2.8853731178375495E-2</v>
      </c>
      <c r="J273" s="2"/>
      <c r="K273" s="14">
        <f>IFERROR(K269+K270+K271+K272, "NA")</f>
        <v>1021.51</v>
      </c>
      <c r="L273" s="15">
        <f>IFERROR(K273/K444, "NA")</f>
        <v>1.0697488256440631E-2</v>
      </c>
      <c r="M273" s="2"/>
      <c r="N273" s="14">
        <f>IFERROR(-(B273-K273), "NA")</f>
        <v>-451.20000000000005</v>
      </c>
      <c r="O273" s="15">
        <f>IFERROR(N273/N444, "NA")</f>
        <v>9.9577369983337702E-2</v>
      </c>
      <c r="P273" s="2"/>
      <c r="Q273" s="14">
        <f>IFERROR(Q269+Q270+Q271+Q272, "NA")</f>
        <v>1472.71</v>
      </c>
      <c r="R273" s="15">
        <f>IFERROR(Q273/Q444, "NA")</f>
        <v>1.6190833963558943E-2</v>
      </c>
      <c r="S273" s="2"/>
      <c r="T273" s="14">
        <f>IFERROR(T269+T270+T271+T272, "NA")</f>
        <v>1295.1300000000001</v>
      </c>
      <c r="U273" s="15">
        <f>IFERROR(T273/T444, "NA")</f>
        <v>1.3336184965336608E-2</v>
      </c>
      <c r="V273" s="2"/>
      <c r="W273" s="14">
        <f>IFERROR(-(Q273-T273), "NA")</f>
        <v>-177.57999999999993</v>
      </c>
      <c r="X273" s="15">
        <f>IFERROR(W273/W444, "NA")</f>
        <v>2.8853731178375495E-2</v>
      </c>
      <c r="Y273" s="2"/>
      <c r="Z273" s="14">
        <f>IFERROR(Z269+Z270+Z271+Z272, "NA")</f>
        <v>1021.51</v>
      </c>
      <c r="AA273" s="15">
        <f>IFERROR(Z273/Z444, "NA")</f>
        <v>1.0697488256440631E-2</v>
      </c>
      <c r="AB273" s="2"/>
      <c r="AC273" s="14">
        <f>IFERROR(-(Q273-Z273), "NA")</f>
        <v>-451.20000000000005</v>
      </c>
      <c r="AD273" s="15">
        <f>IFERROR(AC273/AC444, "NA")</f>
        <v>9.9577369983337702E-2</v>
      </c>
    </row>
    <row r="274" spans="1:30" ht="16.5" customHeight="1" x14ac:dyDescent="0.45">
      <c r="A274" s="5" t="s">
        <v>249</v>
      </c>
      <c r="B274" s="2"/>
      <c r="C274" s="3"/>
      <c r="D274" s="4"/>
      <c r="E274" s="2"/>
      <c r="F274" s="3"/>
      <c r="G274" s="4"/>
      <c r="H274" s="2"/>
      <c r="I274" s="3"/>
      <c r="J274" s="4"/>
      <c r="K274" s="2"/>
      <c r="L274" s="3"/>
      <c r="M274" s="4"/>
      <c r="N274" s="2"/>
      <c r="O274" s="3"/>
      <c r="P274" s="4"/>
      <c r="Q274" s="2"/>
      <c r="R274" s="3"/>
      <c r="S274" s="4"/>
      <c r="T274" s="2"/>
      <c r="U274" s="3"/>
      <c r="V274" s="4"/>
      <c r="W274" s="2"/>
      <c r="X274" s="3"/>
      <c r="Y274" s="4"/>
      <c r="Z274" s="2"/>
      <c r="AA274" s="3"/>
      <c r="AB274" s="4"/>
      <c r="AC274" s="2"/>
      <c r="AD274" s="3"/>
    </row>
    <row r="275" spans="1:30" ht="16.5" hidden="1" customHeight="1" x14ac:dyDescent="0.45">
      <c r="A275" s="6" t="s">
        <v>249</v>
      </c>
      <c r="B275" s="7">
        <v>0</v>
      </c>
      <c r="C275" s="8">
        <f>IFERROR(B275/B444, "NA")</f>
        <v>0</v>
      </c>
      <c r="D275" s="9"/>
      <c r="E275" s="7">
        <v>0</v>
      </c>
      <c r="F275" s="8">
        <f>IFERROR(E275/E444, "NA")</f>
        <v>0</v>
      </c>
      <c r="G275" s="9"/>
      <c r="H275" s="10">
        <f t="shared" ref="H275:H284" si="68">IFERROR(-(B275-E275), "NA")</f>
        <v>0</v>
      </c>
      <c r="I275" s="8">
        <f>IFERROR(H275/H444, "NA")</f>
        <v>0</v>
      </c>
      <c r="J275" s="9"/>
      <c r="K275" s="7">
        <v>0</v>
      </c>
      <c r="L275" s="8">
        <f>IFERROR(K275/K444, "NA")</f>
        <v>0</v>
      </c>
      <c r="M275" s="9"/>
      <c r="N275" s="10">
        <f t="shared" ref="N275:N284" si="69">IFERROR(-(B275-K275), "NA")</f>
        <v>0</v>
      </c>
      <c r="O275" s="8">
        <f>IFERROR(N275/N444, "NA")</f>
        <v>0</v>
      </c>
      <c r="P275" s="9"/>
      <c r="Q275" s="7">
        <v>0</v>
      </c>
      <c r="R275" s="8">
        <f>IFERROR(Q275/Q444, "NA")</f>
        <v>0</v>
      </c>
      <c r="S275" s="9"/>
      <c r="T275" s="7">
        <v>0</v>
      </c>
      <c r="U275" s="8">
        <f>IFERROR(T275/T444, "NA")</f>
        <v>0</v>
      </c>
      <c r="V275" s="9"/>
      <c r="W275" s="10">
        <f t="shared" ref="W275:W284" si="70">IFERROR(-(Q275-T275), "NA")</f>
        <v>0</v>
      </c>
      <c r="X275" s="8">
        <f>IFERROR(W275/W444, "NA")</f>
        <v>0</v>
      </c>
      <c r="Y275" s="9"/>
      <c r="Z275" s="7">
        <v>0</v>
      </c>
      <c r="AA275" s="8">
        <f>IFERROR(Z275/Z444, "NA")</f>
        <v>0</v>
      </c>
      <c r="AB275" s="9"/>
      <c r="AC275" s="10">
        <f t="shared" ref="AC275:AC284" si="71">IFERROR(-(Q275-Z275), "NA")</f>
        <v>0</v>
      </c>
      <c r="AD275" s="8">
        <f>IFERROR(AC275/AC444, "NA")</f>
        <v>0</v>
      </c>
    </row>
    <row r="276" spans="1:30" ht="16.5" hidden="1" customHeight="1" x14ac:dyDescent="0.45">
      <c r="A276" s="6" t="s">
        <v>250</v>
      </c>
      <c r="B276" s="7">
        <v>0</v>
      </c>
      <c r="C276" s="8">
        <f>IFERROR(B276/B444, "NA")</f>
        <v>0</v>
      </c>
      <c r="D276" s="9"/>
      <c r="E276" s="7">
        <v>0</v>
      </c>
      <c r="F276" s="8">
        <f>IFERROR(E276/E444, "NA")</f>
        <v>0</v>
      </c>
      <c r="G276" s="9"/>
      <c r="H276" s="10">
        <f t="shared" si="68"/>
        <v>0</v>
      </c>
      <c r="I276" s="8">
        <f>IFERROR(H276/H444, "NA")</f>
        <v>0</v>
      </c>
      <c r="J276" s="9"/>
      <c r="K276" s="7">
        <v>0</v>
      </c>
      <c r="L276" s="8">
        <f>IFERROR(K276/K444, "NA")</f>
        <v>0</v>
      </c>
      <c r="M276" s="9"/>
      <c r="N276" s="10">
        <f t="shared" si="69"/>
        <v>0</v>
      </c>
      <c r="O276" s="8">
        <f>IFERROR(N276/N444, "NA")</f>
        <v>0</v>
      </c>
      <c r="P276" s="9"/>
      <c r="Q276" s="7">
        <v>0</v>
      </c>
      <c r="R276" s="8">
        <f>IFERROR(Q276/Q444, "NA")</f>
        <v>0</v>
      </c>
      <c r="S276" s="9"/>
      <c r="T276" s="7">
        <v>0</v>
      </c>
      <c r="U276" s="8">
        <f>IFERROR(T276/T444, "NA")</f>
        <v>0</v>
      </c>
      <c r="V276" s="9"/>
      <c r="W276" s="10">
        <f t="shared" si="70"/>
        <v>0</v>
      </c>
      <c r="X276" s="8">
        <f>IFERROR(W276/W444, "NA")</f>
        <v>0</v>
      </c>
      <c r="Y276" s="9"/>
      <c r="Z276" s="7">
        <v>0</v>
      </c>
      <c r="AA276" s="8">
        <f>IFERROR(Z276/Z444, "NA")</f>
        <v>0</v>
      </c>
      <c r="AB276" s="9"/>
      <c r="AC276" s="10">
        <f t="shared" si="71"/>
        <v>0</v>
      </c>
      <c r="AD276" s="8">
        <f>IFERROR(AC276/AC444, "NA")</f>
        <v>0</v>
      </c>
    </row>
    <row r="277" spans="1:30" ht="16.5" hidden="1" customHeight="1" x14ac:dyDescent="0.45">
      <c r="A277" s="6" t="s">
        <v>251</v>
      </c>
      <c r="B277" s="7">
        <v>0</v>
      </c>
      <c r="C277" s="8">
        <f>IFERROR(B277/B444, "NA")</f>
        <v>0</v>
      </c>
      <c r="D277" s="9"/>
      <c r="E277" s="7">
        <v>0</v>
      </c>
      <c r="F277" s="8">
        <f>IFERROR(E277/E444, "NA")</f>
        <v>0</v>
      </c>
      <c r="G277" s="9"/>
      <c r="H277" s="10">
        <f t="shared" si="68"/>
        <v>0</v>
      </c>
      <c r="I277" s="8">
        <f>IFERROR(H277/H444, "NA")</f>
        <v>0</v>
      </c>
      <c r="J277" s="9"/>
      <c r="K277" s="7">
        <v>0</v>
      </c>
      <c r="L277" s="8">
        <f>IFERROR(K277/K444, "NA")</f>
        <v>0</v>
      </c>
      <c r="M277" s="9"/>
      <c r="N277" s="10">
        <f t="shared" si="69"/>
        <v>0</v>
      </c>
      <c r="O277" s="8">
        <f>IFERROR(N277/N444, "NA")</f>
        <v>0</v>
      </c>
      <c r="P277" s="9"/>
      <c r="Q277" s="7">
        <v>0</v>
      </c>
      <c r="R277" s="8">
        <f>IFERROR(Q277/Q444, "NA")</f>
        <v>0</v>
      </c>
      <c r="S277" s="9"/>
      <c r="T277" s="7">
        <v>0</v>
      </c>
      <c r="U277" s="8">
        <f>IFERROR(T277/T444, "NA")</f>
        <v>0</v>
      </c>
      <c r="V277" s="9"/>
      <c r="W277" s="10">
        <f t="shared" si="70"/>
        <v>0</v>
      </c>
      <c r="X277" s="8">
        <f>IFERROR(W277/W444, "NA")</f>
        <v>0</v>
      </c>
      <c r="Y277" s="9"/>
      <c r="Z277" s="7">
        <v>0</v>
      </c>
      <c r="AA277" s="8">
        <f>IFERROR(Z277/Z444, "NA")</f>
        <v>0</v>
      </c>
      <c r="AB277" s="9"/>
      <c r="AC277" s="10">
        <f t="shared" si="71"/>
        <v>0</v>
      </c>
      <c r="AD277" s="8">
        <f>IFERROR(AC277/AC444, "NA")</f>
        <v>0</v>
      </c>
    </row>
    <row r="278" spans="1:30" ht="16.5" hidden="1" customHeight="1" x14ac:dyDescent="0.45">
      <c r="A278" s="6" t="s">
        <v>252</v>
      </c>
      <c r="B278" s="7">
        <v>0</v>
      </c>
      <c r="C278" s="8">
        <f>IFERROR(B278/B444, "NA")</f>
        <v>0</v>
      </c>
      <c r="D278" s="9"/>
      <c r="E278" s="7">
        <v>0</v>
      </c>
      <c r="F278" s="8">
        <f>IFERROR(E278/E444, "NA")</f>
        <v>0</v>
      </c>
      <c r="G278" s="9"/>
      <c r="H278" s="10">
        <f t="shared" si="68"/>
        <v>0</v>
      </c>
      <c r="I278" s="8">
        <f>IFERROR(H278/H444, "NA")</f>
        <v>0</v>
      </c>
      <c r="J278" s="9"/>
      <c r="K278" s="7">
        <v>0</v>
      </c>
      <c r="L278" s="8">
        <f>IFERROR(K278/K444, "NA")</f>
        <v>0</v>
      </c>
      <c r="M278" s="9"/>
      <c r="N278" s="10">
        <f t="shared" si="69"/>
        <v>0</v>
      </c>
      <c r="O278" s="8">
        <f>IFERROR(N278/N444, "NA")</f>
        <v>0</v>
      </c>
      <c r="P278" s="9"/>
      <c r="Q278" s="7">
        <v>0</v>
      </c>
      <c r="R278" s="8">
        <f>IFERROR(Q278/Q444, "NA")</f>
        <v>0</v>
      </c>
      <c r="S278" s="9"/>
      <c r="T278" s="7">
        <v>0</v>
      </c>
      <c r="U278" s="8">
        <f>IFERROR(T278/T444, "NA")</f>
        <v>0</v>
      </c>
      <c r="V278" s="9"/>
      <c r="W278" s="10">
        <f t="shared" si="70"/>
        <v>0</v>
      </c>
      <c r="X278" s="8">
        <f>IFERROR(W278/W444, "NA")</f>
        <v>0</v>
      </c>
      <c r="Y278" s="9"/>
      <c r="Z278" s="7">
        <v>0</v>
      </c>
      <c r="AA278" s="8">
        <f>IFERROR(Z278/Z444, "NA")</f>
        <v>0</v>
      </c>
      <c r="AB278" s="9"/>
      <c r="AC278" s="10">
        <f t="shared" si="71"/>
        <v>0</v>
      </c>
      <c r="AD278" s="8">
        <f>IFERROR(AC278/AC444, "NA")</f>
        <v>0</v>
      </c>
    </row>
    <row r="279" spans="1:30" ht="16.5" hidden="1" customHeight="1" x14ac:dyDescent="0.45">
      <c r="A279" s="6" t="s">
        <v>253</v>
      </c>
      <c r="B279" s="7">
        <v>0</v>
      </c>
      <c r="C279" s="8">
        <f>IFERROR(B279/B444, "NA")</f>
        <v>0</v>
      </c>
      <c r="D279" s="9"/>
      <c r="E279" s="7">
        <v>0</v>
      </c>
      <c r="F279" s="8">
        <f>IFERROR(E279/E444, "NA")</f>
        <v>0</v>
      </c>
      <c r="G279" s="9"/>
      <c r="H279" s="10">
        <f t="shared" si="68"/>
        <v>0</v>
      </c>
      <c r="I279" s="8">
        <f>IFERROR(H279/H444, "NA")</f>
        <v>0</v>
      </c>
      <c r="J279" s="9"/>
      <c r="K279" s="7">
        <v>0</v>
      </c>
      <c r="L279" s="8">
        <f>IFERROR(K279/K444, "NA")</f>
        <v>0</v>
      </c>
      <c r="M279" s="9"/>
      <c r="N279" s="10">
        <f t="shared" si="69"/>
        <v>0</v>
      </c>
      <c r="O279" s="8">
        <f>IFERROR(N279/N444, "NA")</f>
        <v>0</v>
      </c>
      <c r="P279" s="9"/>
      <c r="Q279" s="7">
        <v>0</v>
      </c>
      <c r="R279" s="8">
        <f>IFERROR(Q279/Q444, "NA")</f>
        <v>0</v>
      </c>
      <c r="S279" s="9"/>
      <c r="T279" s="7">
        <v>0</v>
      </c>
      <c r="U279" s="8">
        <f>IFERROR(T279/T444, "NA")</f>
        <v>0</v>
      </c>
      <c r="V279" s="9"/>
      <c r="W279" s="10">
        <f t="shared" si="70"/>
        <v>0</v>
      </c>
      <c r="X279" s="8">
        <f>IFERROR(W279/W444, "NA")</f>
        <v>0</v>
      </c>
      <c r="Y279" s="9"/>
      <c r="Z279" s="7">
        <v>0</v>
      </c>
      <c r="AA279" s="8">
        <f>IFERROR(Z279/Z444, "NA")</f>
        <v>0</v>
      </c>
      <c r="AB279" s="9"/>
      <c r="AC279" s="10">
        <f t="shared" si="71"/>
        <v>0</v>
      </c>
      <c r="AD279" s="8">
        <f>IFERROR(AC279/AC444, "NA")</f>
        <v>0</v>
      </c>
    </row>
    <row r="280" spans="1:30" ht="16.5" hidden="1" customHeight="1" x14ac:dyDescent="0.45">
      <c r="A280" s="6" t="s">
        <v>254</v>
      </c>
      <c r="B280" s="7">
        <v>0</v>
      </c>
      <c r="C280" s="8">
        <f>IFERROR(B280/B444, "NA")</f>
        <v>0</v>
      </c>
      <c r="D280" s="9"/>
      <c r="E280" s="7">
        <v>0</v>
      </c>
      <c r="F280" s="8">
        <f>IFERROR(E280/E444, "NA")</f>
        <v>0</v>
      </c>
      <c r="G280" s="9"/>
      <c r="H280" s="10">
        <f t="shared" si="68"/>
        <v>0</v>
      </c>
      <c r="I280" s="8">
        <f>IFERROR(H280/H444, "NA")</f>
        <v>0</v>
      </c>
      <c r="J280" s="9"/>
      <c r="K280" s="7">
        <v>0</v>
      </c>
      <c r="L280" s="8">
        <f>IFERROR(K280/K444, "NA")</f>
        <v>0</v>
      </c>
      <c r="M280" s="9"/>
      <c r="N280" s="10">
        <f t="shared" si="69"/>
        <v>0</v>
      </c>
      <c r="O280" s="8">
        <f>IFERROR(N280/N444, "NA")</f>
        <v>0</v>
      </c>
      <c r="P280" s="9"/>
      <c r="Q280" s="7">
        <v>0</v>
      </c>
      <c r="R280" s="8">
        <f>IFERROR(Q280/Q444, "NA")</f>
        <v>0</v>
      </c>
      <c r="S280" s="9"/>
      <c r="T280" s="7">
        <v>0</v>
      </c>
      <c r="U280" s="8">
        <f>IFERROR(T280/T444, "NA")</f>
        <v>0</v>
      </c>
      <c r="V280" s="9"/>
      <c r="W280" s="10">
        <f t="shared" si="70"/>
        <v>0</v>
      </c>
      <c r="X280" s="8">
        <f>IFERROR(W280/W444, "NA")</f>
        <v>0</v>
      </c>
      <c r="Y280" s="9"/>
      <c r="Z280" s="7">
        <v>0</v>
      </c>
      <c r="AA280" s="8">
        <f>IFERROR(Z280/Z444, "NA")</f>
        <v>0</v>
      </c>
      <c r="AB280" s="9"/>
      <c r="AC280" s="10">
        <f t="shared" si="71"/>
        <v>0</v>
      </c>
      <c r="AD280" s="8">
        <f>IFERROR(AC280/AC444, "NA")</f>
        <v>0</v>
      </c>
    </row>
    <row r="281" spans="1:30" ht="16.5" hidden="1" customHeight="1" x14ac:dyDescent="0.45">
      <c r="A281" s="6" t="s">
        <v>255</v>
      </c>
      <c r="B281" s="7">
        <v>0</v>
      </c>
      <c r="C281" s="8">
        <f>IFERROR(B281/B444, "NA")</f>
        <v>0</v>
      </c>
      <c r="D281" s="9"/>
      <c r="E281" s="7">
        <v>0</v>
      </c>
      <c r="F281" s="8">
        <f>IFERROR(E281/E444, "NA")</f>
        <v>0</v>
      </c>
      <c r="G281" s="9"/>
      <c r="H281" s="10">
        <f t="shared" si="68"/>
        <v>0</v>
      </c>
      <c r="I281" s="8">
        <f>IFERROR(H281/H444, "NA")</f>
        <v>0</v>
      </c>
      <c r="J281" s="9"/>
      <c r="K281" s="7">
        <v>0</v>
      </c>
      <c r="L281" s="8">
        <f>IFERROR(K281/K444, "NA")</f>
        <v>0</v>
      </c>
      <c r="M281" s="9"/>
      <c r="N281" s="10">
        <f t="shared" si="69"/>
        <v>0</v>
      </c>
      <c r="O281" s="8">
        <f>IFERROR(N281/N444, "NA")</f>
        <v>0</v>
      </c>
      <c r="P281" s="9"/>
      <c r="Q281" s="7">
        <v>0</v>
      </c>
      <c r="R281" s="8">
        <f>IFERROR(Q281/Q444, "NA")</f>
        <v>0</v>
      </c>
      <c r="S281" s="9"/>
      <c r="T281" s="7">
        <v>0</v>
      </c>
      <c r="U281" s="8">
        <f>IFERROR(T281/T444, "NA")</f>
        <v>0</v>
      </c>
      <c r="V281" s="9"/>
      <c r="W281" s="10">
        <f t="shared" si="70"/>
        <v>0</v>
      </c>
      <c r="X281" s="8">
        <f>IFERROR(W281/W444, "NA")</f>
        <v>0</v>
      </c>
      <c r="Y281" s="9"/>
      <c r="Z281" s="7">
        <v>0</v>
      </c>
      <c r="AA281" s="8">
        <f>IFERROR(Z281/Z444, "NA")</f>
        <v>0</v>
      </c>
      <c r="AB281" s="9"/>
      <c r="AC281" s="10">
        <f t="shared" si="71"/>
        <v>0</v>
      </c>
      <c r="AD281" s="8">
        <f>IFERROR(AC281/AC444, "NA")</f>
        <v>0</v>
      </c>
    </row>
    <row r="282" spans="1:30" ht="16.5" hidden="1" customHeight="1" x14ac:dyDescent="0.45">
      <c r="A282" s="6" t="s">
        <v>256</v>
      </c>
      <c r="B282" s="7">
        <v>0</v>
      </c>
      <c r="C282" s="8">
        <f>IFERROR(B282/B444, "NA")</f>
        <v>0</v>
      </c>
      <c r="D282" s="9"/>
      <c r="E282" s="7">
        <v>0</v>
      </c>
      <c r="F282" s="8">
        <f>IFERROR(E282/E444, "NA")</f>
        <v>0</v>
      </c>
      <c r="G282" s="9"/>
      <c r="H282" s="10">
        <f t="shared" si="68"/>
        <v>0</v>
      </c>
      <c r="I282" s="8">
        <f>IFERROR(H282/H444, "NA")</f>
        <v>0</v>
      </c>
      <c r="J282" s="9"/>
      <c r="K282" s="7">
        <v>0</v>
      </c>
      <c r="L282" s="8">
        <f>IFERROR(K282/K444, "NA")</f>
        <v>0</v>
      </c>
      <c r="M282" s="9"/>
      <c r="N282" s="10">
        <f t="shared" si="69"/>
        <v>0</v>
      </c>
      <c r="O282" s="8">
        <f>IFERROR(N282/N444, "NA")</f>
        <v>0</v>
      </c>
      <c r="P282" s="9"/>
      <c r="Q282" s="7">
        <v>0</v>
      </c>
      <c r="R282" s="8">
        <f>IFERROR(Q282/Q444, "NA")</f>
        <v>0</v>
      </c>
      <c r="S282" s="9"/>
      <c r="T282" s="7">
        <v>0</v>
      </c>
      <c r="U282" s="8">
        <f>IFERROR(T282/T444, "NA")</f>
        <v>0</v>
      </c>
      <c r="V282" s="9"/>
      <c r="W282" s="10">
        <f t="shared" si="70"/>
        <v>0</v>
      </c>
      <c r="X282" s="8">
        <f>IFERROR(W282/W444, "NA")</f>
        <v>0</v>
      </c>
      <c r="Y282" s="9"/>
      <c r="Z282" s="7">
        <v>0</v>
      </c>
      <c r="AA282" s="8">
        <f>IFERROR(Z282/Z444, "NA")</f>
        <v>0</v>
      </c>
      <c r="AB282" s="9"/>
      <c r="AC282" s="10">
        <f t="shared" si="71"/>
        <v>0</v>
      </c>
      <c r="AD282" s="8">
        <f>IFERROR(AC282/AC444, "NA")</f>
        <v>0</v>
      </c>
    </row>
    <row r="283" spans="1:30" ht="16.5" hidden="1" customHeight="1" x14ac:dyDescent="0.45">
      <c r="A283" s="6" t="s">
        <v>257</v>
      </c>
      <c r="B283" s="7">
        <v>0</v>
      </c>
      <c r="C283" s="8">
        <f>IFERROR(B283/B444, "NA")</f>
        <v>0</v>
      </c>
      <c r="D283" s="9"/>
      <c r="E283" s="7">
        <v>0</v>
      </c>
      <c r="F283" s="8">
        <f>IFERROR(E283/E444, "NA")</f>
        <v>0</v>
      </c>
      <c r="G283" s="9"/>
      <c r="H283" s="10">
        <f t="shared" si="68"/>
        <v>0</v>
      </c>
      <c r="I283" s="8">
        <f>IFERROR(H283/H444, "NA")</f>
        <v>0</v>
      </c>
      <c r="J283" s="9"/>
      <c r="K283" s="7">
        <v>0</v>
      </c>
      <c r="L283" s="8">
        <f>IFERROR(K283/K444, "NA")</f>
        <v>0</v>
      </c>
      <c r="M283" s="9"/>
      <c r="N283" s="10">
        <f t="shared" si="69"/>
        <v>0</v>
      </c>
      <c r="O283" s="8">
        <f>IFERROR(N283/N444, "NA")</f>
        <v>0</v>
      </c>
      <c r="P283" s="9"/>
      <c r="Q283" s="7">
        <v>0</v>
      </c>
      <c r="R283" s="8">
        <f>IFERROR(Q283/Q444, "NA")</f>
        <v>0</v>
      </c>
      <c r="S283" s="9"/>
      <c r="T283" s="7">
        <v>0</v>
      </c>
      <c r="U283" s="8">
        <f>IFERROR(T283/T444, "NA")</f>
        <v>0</v>
      </c>
      <c r="V283" s="9"/>
      <c r="W283" s="10">
        <f t="shared" si="70"/>
        <v>0</v>
      </c>
      <c r="X283" s="8">
        <f>IFERROR(W283/W444, "NA")</f>
        <v>0</v>
      </c>
      <c r="Y283" s="9"/>
      <c r="Z283" s="7">
        <v>0</v>
      </c>
      <c r="AA283" s="8">
        <f>IFERROR(Z283/Z444, "NA")</f>
        <v>0</v>
      </c>
      <c r="AB283" s="9"/>
      <c r="AC283" s="10">
        <f t="shared" si="71"/>
        <v>0</v>
      </c>
      <c r="AD283" s="8">
        <f>IFERROR(AC283/AC444, "NA")</f>
        <v>0</v>
      </c>
    </row>
    <row r="284" spans="1:30" ht="16.5" customHeight="1" x14ac:dyDescent="0.45">
      <c r="A284" s="19" t="s">
        <v>258</v>
      </c>
      <c r="B284" s="14">
        <f>IFERROR(B275+B276+B277+B278+B279+B280+B281+B282+B283, "NA")</f>
        <v>0</v>
      </c>
      <c r="C284" s="15">
        <f>IFERROR(B284/B444, "NA")</f>
        <v>0</v>
      </c>
      <c r="D284" s="2"/>
      <c r="E284" s="14">
        <f>IFERROR(E275+E276+E277+E278+E279+E280+E281+E282+E283, "NA")</f>
        <v>0</v>
      </c>
      <c r="F284" s="15">
        <f>IFERROR(E284/E444, "NA")</f>
        <v>0</v>
      </c>
      <c r="G284" s="2"/>
      <c r="H284" s="14">
        <f t="shared" si="68"/>
        <v>0</v>
      </c>
      <c r="I284" s="15">
        <f>IFERROR(H284/H444, "NA")</f>
        <v>0</v>
      </c>
      <c r="J284" s="2"/>
      <c r="K284" s="14">
        <f>IFERROR(K275+K276+K277+K278+K279+K280+K281+K282+K283, "NA")</f>
        <v>0</v>
      </c>
      <c r="L284" s="15">
        <f>IFERROR(K284/K444, "NA")</f>
        <v>0</v>
      </c>
      <c r="M284" s="2"/>
      <c r="N284" s="14">
        <f t="shared" si="69"/>
        <v>0</v>
      </c>
      <c r="O284" s="15">
        <f>IFERROR(N284/N444, "NA")</f>
        <v>0</v>
      </c>
      <c r="P284" s="2"/>
      <c r="Q284" s="14">
        <f>IFERROR(Q275+Q276+Q277+Q278+Q279+Q280+Q281+Q282+Q283, "NA")</f>
        <v>0</v>
      </c>
      <c r="R284" s="15">
        <f>IFERROR(Q284/Q444, "NA")</f>
        <v>0</v>
      </c>
      <c r="S284" s="2"/>
      <c r="T284" s="14">
        <f>IFERROR(T275+T276+T277+T278+T279+T280+T281+T282+T283, "NA")</f>
        <v>0</v>
      </c>
      <c r="U284" s="15">
        <f>IFERROR(T284/T444, "NA")</f>
        <v>0</v>
      </c>
      <c r="V284" s="2"/>
      <c r="W284" s="14">
        <f t="shared" si="70"/>
        <v>0</v>
      </c>
      <c r="X284" s="15">
        <f>IFERROR(W284/W444, "NA")</f>
        <v>0</v>
      </c>
      <c r="Y284" s="2"/>
      <c r="Z284" s="14">
        <f>IFERROR(Z275+Z276+Z277+Z278+Z279+Z280+Z281+Z282+Z283, "NA")</f>
        <v>0</v>
      </c>
      <c r="AA284" s="15">
        <f>IFERROR(Z284/Z444, "NA")</f>
        <v>0</v>
      </c>
      <c r="AB284" s="2"/>
      <c r="AC284" s="14">
        <f t="shared" si="71"/>
        <v>0</v>
      </c>
      <c r="AD284" s="15">
        <f>IFERROR(AC284/AC444, "NA")</f>
        <v>0</v>
      </c>
    </row>
    <row r="285" spans="1:30" ht="16.5" customHeight="1" x14ac:dyDescent="0.45">
      <c r="A285" s="5" t="s">
        <v>259</v>
      </c>
      <c r="B285" s="2"/>
      <c r="C285" s="3"/>
      <c r="D285" s="4"/>
      <c r="E285" s="2"/>
      <c r="F285" s="3"/>
      <c r="G285" s="4"/>
      <c r="H285" s="2"/>
      <c r="I285" s="3"/>
      <c r="J285" s="4"/>
      <c r="K285" s="2"/>
      <c r="L285" s="3"/>
      <c r="M285" s="4"/>
      <c r="N285" s="2"/>
      <c r="O285" s="3"/>
      <c r="P285" s="4"/>
      <c r="Q285" s="2"/>
      <c r="R285" s="3"/>
      <c r="S285" s="4"/>
      <c r="T285" s="2"/>
      <c r="U285" s="3"/>
      <c r="V285" s="4"/>
      <c r="W285" s="2"/>
      <c r="X285" s="3"/>
      <c r="Y285" s="4"/>
      <c r="Z285" s="2"/>
      <c r="AA285" s="3"/>
      <c r="AB285" s="4"/>
      <c r="AC285" s="2"/>
      <c r="AD285" s="3"/>
    </row>
    <row r="286" spans="1:30" ht="16.5" hidden="1" customHeight="1" x14ac:dyDescent="0.45">
      <c r="A286" s="6" t="s">
        <v>259</v>
      </c>
      <c r="B286" s="7">
        <v>0</v>
      </c>
      <c r="C286" s="8">
        <f>IFERROR(B286/B444, "NA")</f>
        <v>0</v>
      </c>
      <c r="D286" s="9"/>
      <c r="E286" s="7">
        <v>0</v>
      </c>
      <c r="F286" s="8">
        <f>IFERROR(E286/E444, "NA")</f>
        <v>0</v>
      </c>
      <c r="G286" s="9"/>
      <c r="H286" s="10">
        <f t="shared" ref="H286:H295" si="72">IFERROR(-(B286-E286), "NA")</f>
        <v>0</v>
      </c>
      <c r="I286" s="8">
        <f>IFERROR(H286/H444, "NA")</f>
        <v>0</v>
      </c>
      <c r="J286" s="9"/>
      <c r="K286" s="7">
        <v>0</v>
      </c>
      <c r="L286" s="8">
        <f>IFERROR(K286/K444, "NA")</f>
        <v>0</v>
      </c>
      <c r="M286" s="9"/>
      <c r="N286" s="10">
        <f t="shared" ref="N286:N295" si="73">IFERROR(-(B286-K286), "NA")</f>
        <v>0</v>
      </c>
      <c r="O286" s="8">
        <f>IFERROR(N286/N444, "NA")</f>
        <v>0</v>
      </c>
      <c r="P286" s="9"/>
      <c r="Q286" s="7">
        <v>0</v>
      </c>
      <c r="R286" s="8">
        <f>IFERROR(Q286/Q444, "NA")</f>
        <v>0</v>
      </c>
      <c r="S286" s="9"/>
      <c r="T286" s="7">
        <v>0</v>
      </c>
      <c r="U286" s="8">
        <f>IFERROR(T286/T444, "NA")</f>
        <v>0</v>
      </c>
      <c r="V286" s="9"/>
      <c r="W286" s="10">
        <f t="shared" ref="W286:W295" si="74">IFERROR(-(Q286-T286), "NA")</f>
        <v>0</v>
      </c>
      <c r="X286" s="8">
        <f>IFERROR(W286/W444, "NA")</f>
        <v>0</v>
      </c>
      <c r="Y286" s="9"/>
      <c r="Z286" s="7">
        <v>0</v>
      </c>
      <c r="AA286" s="8">
        <f>IFERROR(Z286/Z444, "NA")</f>
        <v>0</v>
      </c>
      <c r="AB286" s="9"/>
      <c r="AC286" s="10">
        <f t="shared" ref="AC286:AC295" si="75">IFERROR(-(Q286-Z286), "NA")</f>
        <v>0</v>
      </c>
      <c r="AD286" s="8">
        <f>IFERROR(AC286/AC444, "NA")</f>
        <v>0</v>
      </c>
    </row>
    <row r="287" spans="1:30" ht="16.5" hidden="1" customHeight="1" x14ac:dyDescent="0.45">
      <c r="A287" s="6" t="s">
        <v>260</v>
      </c>
      <c r="B287" s="7">
        <v>0</v>
      </c>
      <c r="C287" s="8">
        <f>IFERROR(B287/B444, "NA")</f>
        <v>0</v>
      </c>
      <c r="D287" s="9"/>
      <c r="E287" s="7">
        <v>0</v>
      </c>
      <c r="F287" s="8">
        <f>IFERROR(E287/E444, "NA")</f>
        <v>0</v>
      </c>
      <c r="G287" s="9"/>
      <c r="H287" s="10">
        <f t="shared" si="72"/>
        <v>0</v>
      </c>
      <c r="I287" s="8">
        <f>IFERROR(H287/H444, "NA")</f>
        <v>0</v>
      </c>
      <c r="J287" s="9"/>
      <c r="K287" s="7">
        <v>0</v>
      </c>
      <c r="L287" s="8">
        <f>IFERROR(K287/K444, "NA")</f>
        <v>0</v>
      </c>
      <c r="M287" s="9"/>
      <c r="N287" s="10">
        <f t="shared" si="73"/>
        <v>0</v>
      </c>
      <c r="O287" s="8">
        <f>IFERROR(N287/N444, "NA")</f>
        <v>0</v>
      </c>
      <c r="P287" s="9"/>
      <c r="Q287" s="7">
        <v>0</v>
      </c>
      <c r="R287" s="8">
        <f>IFERROR(Q287/Q444, "NA")</f>
        <v>0</v>
      </c>
      <c r="S287" s="9"/>
      <c r="T287" s="7">
        <v>0</v>
      </c>
      <c r="U287" s="8">
        <f>IFERROR(T287/T444, "NA")</f>
        <v>0</v>
      </c>
      <c r="V287" s="9"/>
      <c r="W287" s="10">
        <f t="shared" si="74"/>
        <v>0</v>
      </c>
      <c r="X287" s="8">
        <f>IFERROR(W287/W444, "NA")</f>
        <v>0</v>
      </c>
      <c r="Y287" s="9"/>
      <c r="Z287" s="7">
        <v>0</v>
      </c>
      <c r="AA287" s="8">
        <f>IFERROR(Z287/Z444, "NA")</f>
        <v>0</v>
      </c>
      <c r="AB287" s="9"/>
      <c r="AC287" s="10">
        <f t="shared" si="75"/>
        <v>0</v>
      </c>
      <c r="AD287" s="8">
        <f>IFERROR(AC287/AC444, "NA")</f>
        <v>0</v>
      </c>
    </row>
    <row r="288" spans="1:30" ht="16.5" customHeight="1" x14ac:dyDescent="0.45">
      <c r="A288" s="6" t="s">
        <v>261</v>
      </c>
      <c r="B288" s="7">
        <v>158.35</v>
      </c>
      <c r="C288" s="8">
        <f>IFERROR(B288/B444, "NA")</f>
        <v>1.7408848708364568E-3</v>
      </c>
      <c r="D288" s="9"/>
      <c r="E288" s="7">
        <v>158</v>
      </c>
      <c r="F288" s="8">
        <f>IFERROR(E288/E444, "NA")</f>
        <v>1.626954224304266E-3</v>
      </c>
      <c r="G288" s="9"/>
      <c r="H288" s="10">
        <f t="shared" si="72"/>
        <v>-0.34999999999999432</v>
      </c>
      <c r="I288" s="8">
        <f>IFERROR(H288/H444, "NA")</f>
        <v>5.6869050075634998E-5</v>
      </c>
      <c r="J288" s="9"/>
      <c r="K288" s="7">
        <v>158.33000000000001</v>
      </c>
      <c r="L288" s="8">
        <f>IFERROR(K288/K444, "NA")</f>
        <v>1.6580682672144621E-3</v>
      </c>
      <c r="M288" s="9"/>
      <c r="N288" s="10">
        <f t="shared" si="73"/>
        <v>-1.999999999998181E-2</v>
      </c>
      <c r="O288" s="8">
        <f>IFERROR(N288/N444, "NA")</f>
        <v>4.4138905134418056E-6</v>
      </c>
      <c r="P288" s="9"/>
      <c r="Q288" s="7">
        <v>158.35</v>
      </c>
      <c r="R288" s="8">
        <f>IFERROR(Q288/Q444, "NA")</f>
        <v>1.7408848708364568E-3</v>
      </c>
      <c r="S288" s="9"/>
      <c r="T288" s="7">
        <v>158</v>
      </c>
      <c r="U288" s="8">
        <f>IFERROR(T288/T444, "NA")</f>
        <v>1.626954224304266E-3</v>
      </c>
      <c r="V288" s="9"/>
      <c r="W288" s="10">
        <f t="shared" si="74"/>
        <v>-0.34999999999999432</v>
      </c>
      <c r="X288" s="8">
        <f>IFERROR(W288/W444, "NA")</f>
        <v>5.6869050075634998E-5</v>
      </c>
      <c r="Y288" s="9"/>
      <c r="Z288" s="7">
        <v>158.33000000000001</v>
      </c>
      <c r="AA288" s="8">
        <f>IFERROR(Z288/Z444, "NA")</f>
        <v>1.6580682672144621E-3</v>
      </c>
      <c r="AB288" s="9"/>
      <c r="AC288" s="10">
        <f t="shared" si="75"/>
        <v>-1.999999999998181E-2</v>
      </c>
      <c r="AD288" s="8">
        <f>IFERROR(AC288/AC444, "NA")</f>
        <v>4.4138905134418056E-6</v>
      </c>
    </row>
    <row r="289" spans="1:30" ht="16.5" customHeight="1" x14ac:dyDescent="0.45">
      <c r="A289" s="6" t="s">
        <v>262</v>
      </c>
      <c r="B289" s="7">
        <v>247.3</v>
      </c>
      <c r="C289" s="8">
        <f>IFERROR(B289/B444, "NA")</f>
        <v>2.7187927284992473E-3</v>
      </c>
      <c r="D289" s="9"/>
      <c r="E289" s="7">
        <v>233</v>
      </c>
      <c r="F289" s="8">
        <f>IFERROR(E289/E444, "NA")</f>
        <v>2.3992426219170506E-3</v>
      </c>
      <c r="G289" s="9"/>
      <c r="H289" s="10">
        <f t="shared" si="72"/>
        <v>-14.300000000000011</v>
      </c>
      <c r="I289" s="8">
        <f>IFERROR(H289/H444, "NA")</f>
        <v>2.3235069030902696E-3</v>
      </c>
      <c r="J289" s="9"/>
      <c r="K289" s="7">
        <v>205.73</v>
      </c>
      <c r="L289" s="8">
        <f>IFERROR(K289/K444, "NA")</f>
        <v>2.1544519965517039E-3</v>
      </c>
      <c r="M289" s="9"/>
      <c r="N289" s="10">
        <f t="shared" si="73"/>
        <v>-41.570000000000022</v>
      </c>
      <c r="O289" s="8">
        <f>IFERROR(N289/N444, "NA")</f>
        <v>9.1742714321971404E-3</v>
      </c>
      <c r="P289" s="9"/>
      <c r="Q289" s="7">
        <v>247.3</v>
      </c>
      <c r="R289" s="8">
        <f>IFERROR(Q289/Q444, "NA")</f>
        <v>2.7187927284992473E-3</v>
      </c>
      <c r="S289" s="9"/>
      <c r="T289" s="7">
        <v>233</v>
      </c>
      <c r="U289" s="8">
        <f>IFERROR(T289/T444, "NA")</f>
        <v>2.3992426219170506E-3</v>
      </c>
      <c r="V289" s="9"/>
      <c r="W289" s="10">
        <f t="shared" si="74"/>
        <v>-14.300000000000011</v>
      </c>
      <c r="X289" s="8">
        <f>IFERROR(W289/W444, "NA")</f>
        <v>2.3235069030902696E-3</v>
      </c>
      <c r="Y289" s="9"/>
      <c r="Z289" s="7">
        <v>205.73</v>
      </c>
      <c r="AA289" s="8">
        <f>IFERROR(Z289/Z444, "NA")</f>
        <v>2.1544519965517039E-3</v>
      </c>
      <c r="AB289" s="9"/>
      <c r="AC289" s="10">
        <f t="shared" si="75"/>
        <v>-41.570000000000022</v>
      </c>
      <c r="AD289" s="8">
        <f>IFERROR(AC289/AC444, "NA")</f>
        <v>9.1742714321971404E-3</v>
      </c>
    </row>
    <row r="290" spans="1:30" ht="16.5" customHeight="1" x14ac:dyDescent="0.45">
      <c r="A290" s="6" t="s">
        <v>263</v>
      </c>
      <c r="B290" s="7">
        <v>746.95</v>
      </c>
      <c r="C290" s="8">
        <f>IFERROR(B290/B444, "NA")</f>
        <v>8.2118974061969781E-3</v>
      </c>
      <c r="D290" s="9"/>
      <c r="E290" s="7">
        <v>291.33999999999997</v>
      </c>
      <c r="F290" s="8">
        <f>IFERROR(E290/E444, "NA")</f>
        <v>2.9999800234734482E-3</v>
      </c>
      <c r="G290" s="9"/>
      <c r="H290" s="10">
        <f t="shared" si="72"/>
        <v>-455.61000000000007</v>
      </c>
      <c r="I290" s="8">
        <f>IFERROR(H290/H444, "NA")</f>
        <v>7.4028879728458535E-2</v>
      </c>
      <c r="J290" s="9"/>
      <c r="K290" s="7">
        <v>0</v>
      </c>
      <c r="L290" s="8">
        <f>IFERROR(K290/K444, "NA")</f>
        <v>0</v>
      </c>
      <c r="M290" s="9"/>
      <c r="N290" s="10">
        <f t="shared" si="73"/>
        <v>-746.95</v>
      </c>
      <c r="O290" s="8">
        <f>IFERROR(N290/N444, "NA")</f>
        <v>0.16484777595091776</v>
      </c>
      <c r="P290" s="9"/>
      <c r="Q290" s="7">
        <v>746.95</v>
      </c>
      <c r="R290" s="8">
        <f>IFERROR(Q290/Q444, "NA")</f>
        <v>8.2118974061969781E-3</v>
      </c>
      <c r="S290" s="9"/>
      <c r="T290" s="7">
        <v>291.33999999999997</v>
      </c>
      <c r="U290" s="8">
        <f>IFERROR(T290/T444, "NA")</f>
        <v>2.9999800234734482E-3</v>
      </c>
      <c r="V290" s="9"/>
      <c r="W290" s="10">
        <f t="shared" si="74"/>
        <v>-455.61000000000007</v>
      </c>
      <c r="X290" s="8">
        <f>IFERROR(W290/W444, "NA")</f>
        <v>7.4028879728458535E-2</v>
      </c>
      <c r="Y290" s="9"/>
      <c r="Z290" s="7">
        <v>0</v>
      </c>
      <c r="AA290" s="8">
        <f>IFERROR(Z290/Z444, "NA")</f>
        <v>0</v>
      </c>
      <c r="AB290" s="9"/>
      <c r="AC290" s="10">
        <f t="shared" si="75"/>
        <v>-746.95</v>
      </c>
      <c r="AD290" s="8">
        <f>IFERROR(AC290/AC444, "NA")</f>
        <v>0.16484777595091776</v>
      </c>
    </row>
    <row r="291" spans="1:30" ht="16.5" customHeight="1" x14ac:dyDescent="0.45">
      <c r="A291" s="6" t="s">
        <v>264</v>
      </c>
      <c r="B291" s="7">
        <v>1271.33</v>
      </c>
      <c r="C291" s="8">
        <f>IFERROR(B291/B444, "NA")</f>
        <v>1.3976881356744632E-2</v>
      </c>
      <c r="D291" s="9"/>
      <c r="E291" s="7">
        <v>388.46</v>
      </c>
      <c r="F291" s="8">
        <f>IFERROR(E291/E444, "NA")</f>
        <v>4.0000420124888299E-3</v>
      </c>
      <c r="G291" s="9"/>
      <c r="H291" s="10">
        <f t="shared" si="72"/>
        <v>-882.86999999999989</v>
      </c>
      <c r="I291" s="8">
        <f>IFERROR(H291/H444, "NA")</f>
        <v>0.14345136640079051</v>
      </c>
      <c r="J291" s="9"/>
      <c r="K291" s="7">
        <v>0</v>
      </c>
      <c r="L291" s="8">
        <f>IFERROR(K291/K444, "NA")</f>
        <v>0</v>
      </c>
      <c r="M291" s="9"/>
      <c r="N291" s="10">
        <f t="shared" si="73"/>
        <v>-1271.33</v>
      </c>
      <c r="O291" s="8">
        <f>IFERROR(N291/N444, "NA")</f>
        <v>0.28057557132295369</v>
      </c>
      <c r="P291" s="9"/>
      <c r="Q291" s="7">
        <v>1271.33</v>
      </c>
      <c r="R291" s="8">
        <f>IFERROR(Q291/Q444, "NA")</f>
        <v>1.3976881356744632E-2</v>
      </c>
      <c r="S291" s="9"/>
      <c r="T291" s="7">
        <v>388.46</v>
      </c>
      <c r="U291" s="8">
        <f>IFERROR(T291/T444, "NA")</f>
        <v>4.0000420124888299E-3</v>
      </c>
      <c r="V291" s="9"/>
      <c r="W291" s="10">
        <f t="shared" si="74"/>
        <v>-882.86999999999989</v>
      </c>
      <c r="X291" s="8">
        <f>IFERROR(W291/W444, "NA")</f>
        <v>0.14345136640079051</v>
      </c>
      <c r="Y291" s="9"/>
      <c r="Z291" s="7">
        <v>0</v>
      </c>
      <c r="AA291" s="8">
        <f>IFERROR(Z291/Z444, "NA")</f>
        <v>0</v>
      </c>
      <c r="AB291" s="9"/>
      <c r="AC291" s="10">
        <f t="shared" si="75"/>
        <v>-1271.33</v>
      </c>
      <c r="AD291" s="8">
        <f>IFERROR(AC291/AC444, "NA")</f>
        <v>0.28057557132295369</v>
      </c>
    </row>
    <row r="292" spans="1:30" ht="16.5" customHeight="1" x14ac:dyDescent="0.45">
      <c r="A292" s="6" t="s">
        <v>265</v>
      </c>
      <c r="B292" s="7">
        <v>0</v>
      </c>
      <c r="C292" s="8">
        <f>IFERROR(B292/B444, "NA")</f>
        <v>0</v>
      </c>
      <c r="D292" s="9"/>
      <c r="E292" s="7">
        <v>97.11</v>
      </c>
      <c r="F292" s="8">
        <f>IFERROR(E292/E444, "NA")</f>
        <v>9.9995901722903344E-4</v>
      </c>
      <c r="G292" s="9"/>
      <c r="H292" s="10">
        <f t="shared" si="72"/>
        <v>97.11</v>
      </c>
      <c r="I292" s="8">
        <f>IFERROR(H292/H444, "NA")</f>
        <v>-1.5778724150985728E-2</v>
      </c>
      <c r="J292" s="9"/>
      <c r="K292" s="7">
        <v>0</v>
      </c>
      <c r="L292" s="8">
        <f>IFERROR(K292/K444, "NA")</f>
        <v>0</v>
      </c>
      <c r="M292" s="9"/>
      <c r="N292" s="10">
        <f t="shared" si="73"/>
        <v>0</v>
      </c>
      <c r="O292" s="8">
        <f>IFERROR(N292/N444, "NA")</f>
        <v>0</v>
      </c>
      <c r="P292" s="9"/>
      <c r="Q292" s="7">
        <v>0</v>
      </c>
      <c r="R292" s="8">
        <f>IFERROR(Q292/Q444, "NA")</f>
        <v>0</v>
      </c>
      <c r="S292" s="9"/>
      <c r="T292" s="7">
        <v>97.11</v>
      </c>
      <c r="U292" s="8">
        <f>IFERROR(T292/T444, "NA")</f>
        <v>9.9995901722903344E-4</v>
      </c>
      <c r="V292" s="9"/>
      <c r="W292" s="10">
        <f t="shared" si="74"/>
        <v>97.11</v>
      </c>
      <c r="X292" s="8">
        <f>IFERROR(W292/W444, "NA")</f>
        <v>-1.5778724150985728E-2</v>
      </c>
      <c r="Y292" s="9"/>
      <c r="Z292" s="7">
        <v>0</v>
      </c>
      <c r="AA292" s="8">
        <f>IFERROR(Z292/Z444, "NA")</f>
        <v>0</v>
      </c>
      <c r="AB292" s="9"/>
      <c r="AC292" s="10">
        <f t="shared" si="75"/>
        <v>0</v>
      </c>
      <c r="AD292" s="8">
        <f>IFERROR(AC292/AC444, "NA")</f>
        <v>0</v>
      </c>
    </row>
    <row r="293" spans="1:30" ht="16.5" customHeight="1" x14ac:dyDescent="0.45">
      <c r="A293" s="6" t="s">
        <v>266</v>
      </c>
      <c r="B293" s="7">
        <v>0</v>
      </c>
      <c r="C293" s="8">
        <f>IFERROR(B293/B444, "NA")</f>
        <v>0</v>
      </c>
      <c r="D293" s="9"/>
      <c r="E293" s="7">
        <v>97.11</v>
      </c>
      <c r="F293" s="8">
        <f>IFERROR(E293/E444, "NA")</f>
        <v>9.9995901722903344E-4</v>
      </c>
      <c r="G293" s="9"/>
      <c r="H293" s="10">
        <f t="shared" si="72"/>
        <v>97.11</v>
      </c>
      <c r="I293" s="8">
        <f>IFERROR(H293/H444, "NA")</f>
        <v>-1.5778724150985728E-2</v>
      </c>
      <c r="J293" s="9"/>
      <c r="K293" s="7">
        <v>0</v>
      </c>
      <c r="L293" s="8">
        <f>IFERROR(K293/K444, "NA")</f>
        <v>0</v>
      </c>
      <c r="M293" s="9"/>
      <c r="N293" s="10">
        <f t="shared" si="73"/>
        <v>0</v>
      </c>
      <c r="O293" s="8">
        <f>IFERROR(N293/N444, "NA")</f>
        <v>0</v>
      </c>
      <c r="P293" s="9"/>
      <c r="Q293" s="7">
        <v>0</v>
      </c>
      <c r="R293" s="8">
        <f>IFERROR(Q293/Q444, "NA")</f>
        <v>0</v>
      </c>
      <c r="S293" s="9"/>
      <c r="T293" s="7">
        <v>97.11</v>
      </c>
      <c r="U293" s="8">
        <f>IFERROR(T293/T444, "NA")</f>
        <v>9.9995901722903344E-4</v>
      </c>
      <c r="V293" s="9"/>
      <c r="W293" s="10">
        <f t="shared" si="74"/>
        <v>97.11</v>
      </c>
      <c r="X293" s="8">
        <f>IFERROR(W293/W444, "NA")</f>
        <v>-1.5778724150985728E-2</v>
      </c>
      <c r="Y293" s="9"/>
      <c r="Z293" s="7">
        <v>0</v>
      </c>
      <c r="AA293" s="8">
        <f>IFERROR(Z293/Z444, "NA")</f>
        <v>0</v>
      </c>
      <c r="AB293" s="9"/>
      <c r="AC293" s="10">
        <f t="shared" si="75"/>
        <v>0</v>
      </c>
      <c r="AD293" s="8">
        <f>IFERROR(AC293/AC444, "NA")</f>
        <v>0</v>
      </c>
    </row>
    <row r="294" spans="1:30" ht="16.5" customHeight="1" x14ac:dyDescent="0.45">
      <c r="A294" s="6" t="s">
        <v>267</v>
      </c>
      <c r="B294" s="7">
        <v>299.99</v>
      </c>
      <c r="C294" s="8">
        <f>IFERROR(B294/B444, "NA")</f>
        <v>3.2980615876364301E-3</v>
      </c>
      <c r="D294" s="9"/>
      <c r="E294" s="7">
        <v>412</v>
      </c>
      <c r="F294" s="8">
        <f>IFERROR(E294/E444, "NA")</f>
        <v>4.242437597552896E-3</v>
      </c>
      <c r="G294" s="9"/>
      <c r="H294" s="10">
        <f t="shared" si="72"/>
        <v>112.00999999999999</v>
      </c>
      <c r="I294" s="8">
        <f>IFERROR(H294/H444, "NA")</f>
        <v>-1.8199720854205653E-2</v>
      </c>
      <c r="J294" s="9"/>
      <c r="K294" s="7">
        <v>324.99</v>
      </c>
      <c r="L294" s="8">
        <f>IFERROR(K294/K444, "NA")</f>
        <v>3.4033702151331272E-3</v>
      </c>
      <c r="M294" s="9"/>
      <c r="N294" s="10">
        <f t="shared" si="73"/>
        <v>25</v>
      </c>
      <c r="O294" s="8">
        <f>IFERROR(N294/N444, "NA")</f>
        <v>-5.5173631418072742E-3</v>
      </c>
      <c r="P294" s="9"/>
      <c r="Q294" s="7">
        <v>299.99</v>
      </c>
      <c r="R294" s="8">
        <f>IFERROR(Q294/Q444, "NA")</f>
        <v>3.2980615876364301E-3</v>
      </c>
      <c r="S294" s="9"/>
      <c r="T294" s="7">
        <v>412</v>
      </c>
      <c r="U294" s="8">
        <f>IFERROR(T294/T444, "NA")</f>
        <v>4.242437597552896E-3</v>
      </c>
      <c r="V294" s="9"/>
      <c r="W294" s="10">
        <f t="shared" si="74"/>
        <v>112.00999999999999</v>
      </c>
      <c r="X294" s="8">
        <f>IFERROR(W294/W444, "NA")</f>
        <v>-1.8199720854205653E-2</v>
      </c>
      <c r="Y294" s="9"/>
      <c r="Z294" s="7">
        <v>324.99</v>
      </c>
      <c r="AA294" s="8">
        <f>IFERROR(Z294/Z444, "NA")</f>
        <v>3.4033702151331272E-3</v>
      </c>
      <c r="AB294" s="9"/>
      <c r="AC294" s="10">
        <f t="shared" si="75"/>
        <v>25</v>
      </c>
      <c r="AD294" s="8">
        <f>IFERROR(AC294/AC444, "NA")</f>
        <v>-5.5173631418072742E-3</v>
      </c>
    </row>
    <row r="295" spans="1:30" ht="16.5" customHeight="1" x14ac:dyDescent="0.45">
      <c r="A295" s="19" t="s">
        <v>268</v>
      </c>
      <c r="B295" s="14">
        <f>IFERROR(B286+B287+B288+B289+B290+B291+B292+B293+B294, "NA")</f>
        <v>2723.92</v>
      </c>
      <c r="C295" s="15">
        <f>IFERROR(B295/B444, "NA")</f>
        <v>2.9946517949913747E-2</v>
      </c>
      <c r="D295" s="2"/>
      <c r="E295" s="14">
        <f>IFERROR(E286+E287+E288+E289+E290+E291+E292+E293+E294, "NA")</f>
        <v>1677.0199999999998</v>
      </c>
      <c r="F295" s="15">
        <f>IFERROR(E295/E444, "NA")</f>
        <v>1.7268574514194557E-2</v>
      </c>
      <c r="G295" s="2"/>
      <c r="H295" s="14">
        <f t="shared" si="72"/>
        <v>-1046.9000000000003</v>
      </c>
      <c r="I295" s="15">
        <f>IFERROR(H295/H444, "NA")</f>
        <v>0.17010345292623791</v>
      </c>
      <c r="J295" s="2"/>
      <c r="K295" s="14">
        <f>IFERROR(K286+K287+K288+K289+K290+K291+K292+K293+K294, "NA")</f>
        <v>689.05</v>
      </c>
      <c r="L295" s="15">
        <f>IFERROR(K295/K444, "NA")</f>
        <v>7.2158904788992926E-3</v>
      </c>
      <c r="M295" s="2"/>
      <c r="N295" s="14">
        <f t="shared" si="73"/>
        <v>-2034.8700000000001</v>
      </c>
      <c r="O295" s="15">
        <f>IFERROR(N295/N444, "NA")</f>
        <v>0.44908466945477477</v>
      </c>
      <c r="P295" s="2"/>
      <c r="Q295" s="14">
        <f>IFERROR(Q286+Q287+Q288+Q289+Q290+Q291+Q292+Q293+Q294, "NA")</f>
        <v>2723.92</v>
      </c>
      <c r="R295" s="15">
        <f>IFERROR(Q295/Q444, "NA")</f>
        <v>2.9946517949913747E-2</v>
      </c>
      <c r="S295" s="2"/>
      <c r="T295" s="14">
        <f>IFERROR(T286+T287+T288+T289+T290+T291+T292+T293+T294, "NA")</f>
        <v>1677.0199999999998</v>
      </c>
      <c r="U295" s="15">
        <f>IFERROR(T295/T444, "NA")</f>
        <v>1.7268574514194557E-2</v>
      </c>
      <c r="V295" s="2"/>
      <c r="W295" s="14">
        <f t="shared" si="74"/>
        <v>-1046.9000000000003</v>
      </c>
      <c r="X295" s="15">
        <f>IFERROR(W295/W444, "NA")</f>
        <v>0.17010345292623791</v>
      </c>
      <c r="Y295" s="2"/>
      <c r="Z295" s="14">
        <f>IFERROR(Z286+Z287+Z288+Z289+Z290+Z291+Z292+Z293+Z294, "NA")</f>
        <v>689.05</v>
      </c>
      <c r="AA295" s="15">
        <f>IFERROR(Z295/Z444, "NA")</f>
        <v>7.2158904788992926E-3</v>
      </c>
      <c r="AB295" s="2"/>
      <c r="AC295" s="14">
        <f t="shared" si="75"/>
        <v>-2034.8700000000001</v>
      </c>
      <c r="AD295" s="15">
        <f>IFERROR(AC295/AC444, "NA")</f>
        <v>0.44908466945477477</v>
      </c>
    </row>
    <row r="296" spans="1:30" ht="16.5" customHeight="1" x14ac:dyDescent="0.45">
      <c r="A296" s="5" t="s">
        <v>269</v>
      </c>
      <c r="B296" s="2"/>
      <c r="C296" s="3"/>
      <c r="D296" s="4"/>
      <c r="E296" s="2"/>
      <c r="F296" s="3"/>
      <c r="G296" s="4"/>
      <c r="H296" s="2"/>
      <c r="I296" s="3"/>
      <c r="J296" s="4"/>
      <c r="K296" s="2"/>
      <c r="L296" s="3"/>
      <c r="M296" s="4"/>
      <c r="N296" s="2"/>
      <c r="O296" s="3"/>
      <c r="P296" s="4"/>
      <c r="Q296" s="2"/>
      <c r="R296" s="3"/>
      <c r="S296" s="4"/>
      <c r="T296" s="2"/>
      <c r="U296" s="3"/>
      <c r="V296" s="4"/>
      <c r="W296" s="2"/>
      <c r="X296" s="3"/>
      <c r="Y296" s="4"/>
      <c r="Z296" s="2"/>
      <c r="AA296" s="3"/>
      <c r="AB296" s="4"/>
      <c r="AC296" s="2"/>
      <c r="AD296" s="3"/>
    </row>
    <row r="297" spans="1:30" ht="16.5" hidden="1" customHeight="1" x14ac:dyDescent="0.45">
      <c r="A297" s="6" t="s">
        <v>269</v>
      </c>
      <c r="B297" s="7">
        <v>0</v>
      </c>
      <c r="C297" s="8">
        <f>IFERROR(B297/B444, "NA")</f>
        <v>0</v>
      </c>
      <c r="D297" s="9"/>
      <c r="E297" s="7">
        <v>0</v>
      </c>
      <c r="F297" s="8">
        <f>IFERROR(E297/E444, "NA")</f>
        <v>0</v>
      </c>
      <c r="G297" s="9"/>
      <c r="H297" s="10">
        <f t="shared" ref="H297:H325" si="76">IFERROR(-(B297-E297), "NA")</f>
        <v>0</v>
      </c>
      <c r="I297" s="8">
        <f>IFERROR(H297/H444, "NA")</f>
        <v>0</v>
      </c>
      <c r="J297" s="9"/>
      <c r="K297" s="7">
        <v>0</v>
      </c>
      <c r="L297" s="8">
        <f>IFERROR(K297/K444, "NA")</f>
        <v>0</v>
      </c>
      <c r="M297" s="9"/>
      <c r="N297" s="10">
        <f t="shared" ref="N297:N325" si="77">IFERROR(-(B297-K297), "NA")</f>
        <v>0</v>
      </c>
      <c r="O297" s="8">
        <f>IFERROR(N297/N444, "NA")</f>
        <v>0</v>
      </c>
      <c r="P297" s="9"/>
      <c r="Q297" s="7">
        <v>0</v>
      </c>
      <c r="R297" s="8">
        <f>IFERROR(Q297/Q444, "NA")</f>
        <v>0</v>
      </c>
      <c r="S297" s="9"/>
      <c r="T297" s="7">
        <v>0</v>
      </c>
      <c r="U297" s="8">
        <f>IFERROR(T297/T444, "NA")</f>
        <v>0</v>
      </c>
      <c r="V297" s="9"/>
      <c r="W297" s="10">
        <f t="shared" ref="W297:W325" si="78">IFERROR(-(Q297-T297), "NA")</f>
        <v>0</v>
      </c>
      <c r="X297" s="8">
        <f>IFERROR(W297/W444, "NA")</f>
        <v>0</v>
      </c>
      <c r="Y297" s="9"/>
      <c r="Z297" s="7">
        <v>0</v>
      </c>
      <c r="AA297" s="8">
        <f>IFERROR(Z297/Z444, "NA")</f>
        <v>0</v>
      </c>
      <c r="AB297" s="9"/>
      <c r="AC297" s="10">
        <f t="shared" ref="AC297:AC325" si="79">IFERROR(-(Q297-Z297), "NA")</f>
        <v>0</v>
      </c>
      <c r="AD297" s="8">
        <f>IFERROR(AC297/AC444, "NA")</f>
        <v>0</v>
      </c>
    </row>
    <row r="298" spans="1:30" ht="16.5" hidden="1" customHeight="1" x14ac:dyDescent="0.45">
      <c r="A298" s="6" t="s">
        <v>270</v>
      </c>
      <c r="B298" s="7">
        <v>0</v>
      </c>
      <c r="C298" s="8">
        <f>IFERROR(B298/B444, "NA")</f>
        <v>0</v>
      </c>
      <c r="D298" s="9"/>
      <c r="E298" s="7">
        <v>0</v>
      </c>
      <c r="F298" s="8">
        <f>IFERROR(E298/E444, "NA")</f>
        <v>0</v>
      </c>
      <c r="G298" s="9"/>
      <c r="H298" s="10">
        <f t="shared" si="76"/>
        <v>0</v>
      </c>
      <c r="I298" s="8">
        <f>IFERROR(H298/H444, "NA")</f>
        <v>0</v>
      </c>
      <c r="J298" s="9"/>
      <c r="K298" s="7">
        <v>0</v>
      </c>
      <c r="L298" s="8">
        <f>IFERROR(K298/K444, "NA")</f>
        <v>0</v>
      </c>
      <c r="M298" s="9"/>
      <c r="N298" s="10">
        <f t="shared" si="77"/>
        <v>0</v>
      </c>
      <c r="O298" s="8">
        <f>IFERROR(N298/N444, "NA")</f>
        <v>0</v>
      </c>
      <c r="P298" s="9"/>
      <c r="Q298" s="7">
        <v>0</v>
      </c>
      <c r="R298" s="8">
        <f>IFERROR(Q298/Q444, "NA")</f>
        <v>0</v>
      </c>
      <c r="S298" s="9"/>
      <c r="T298" s="7">
        <v>0</v>
      </c>
      <c r="U298" s="8">
        <f>IFERROR(T298/T444, "NA")</f>
        <v>0</v>
      </c>
      <c r="V298" s="9"/>
      <c r="W298" s="10">
        <f t="shared" si="78"/>
        <v>0</v>
      </c>
      <c r="X298" s="8">
        <f>IFERROR(W298/W444, "NA")</f>
        <v>0</v>
      </c>
      <c r="Y298" s="9"/>
      <c r="Z298" s="7">
        <v>0</v>
      </c>
      <c r="AA298" s="8">
        <f>IFERROR(Z298/Z444, "NA")</f>
        <v>0</v>
      </c>
      <c r="AB298" s="9"/>
      <c r="AC298" s="10">
        <f t="shared" si="79"/>
        <v>0</v>
      </c>
      <c r="AD298" s="8">
        <f>IFERROR(AC298/AC444, "NA")</f>
        <v>0</v>
      </c>
    </row>
    <row r="299" spans="1:30" ht="16.5" customHeight="1" x14ac:dyDescent="0.45">
      <c r="A299" s="6" t="s">
        <v>271</v>
      </c>
      <c r="B299" s="7">
        <v>476.53</v>
      </c>
      <c r="C299" s="8">
        <f>IFERROR(B299/B444, "NA")</f>
        <v>5.2389255920410275E-3</v>
      </c>
      <c r="D299" s="9"/>
      <c r="E299" s="7">
        <v>469</v>
      </c>
      <c r="F299" s="8">
        <f>IFERROR(E299/E444, "NA")</f>
        <v>4.8293767797386129E-3</v>
      </c>
      <c r="G299" s="9"/>
      <c r="H299" s="10">
        <f t="shared" si="76"/>
        <v>-7.5299999999999727</v>
      </c>
      <c r="I299" s="8">
        <f>IFERROR(H299/H444, "NA")</f>
        <v>1.2234969916272483E-3</v>
      </c>
      <c r="J299" s="9"/>
      <c r="K299" s="7">
        <v>469.2</v>
      </c>
      <c r="L299" s="8">
        <f>IFERROR(K299/K444, "NA")</f>
        <v>4.9135705866040899E-3</v>
      </c>
      <c r="M299" s="9"/>
      <c r="N299" s="10">
        <f t="shared" si="77"/>
        <v>-7.3299999999999841</v>
      </c>
      <c r="O299" s="8">
        <f>IFERROR(N299/N444, "NA")</f>
        <v>1.6176908731778893E-3</v>
      </c>
      <c r="P299" s="9"/>
      <c r="Q299" s="7">
        <v>476.53</v>
      </c>
      <c r="R299" s="8">
        <f>IFERROR(Q299/Q444, "NA")</f>
        <v>5.2389255920410275E-3</v>
      </c>
      <c r="S299" s="9"/>
      <c r="T299" s="7">
        <v>469</v>
      </c>
      <c r="U299" s="8">
        <f>IFERROR(T299/T444, "NA")</f>
        <v>4.8293767797386129E-3</v>
      </c>
      <c r="V299" s="9"/>
      <c r="W299" s="10">
        <f t="shared" si="78"/>
        <v>-7.5299999999999727</v>
      </c>
      <c r="X299" s="8">
        <f>IFERROR(W299/W444, "NA")</f>
        <v>1.2234969916272483E-3</v>
      </c>
      <c r="Y299" s="9"/>
      <c r="Z299" s="7">
        <v>469.2</v>
      </c>
      <c r="AA299" s="8">
        <f>IFERROR(Z299/Z444, "NA")</f>
        <v>4.9135705866040899E-3</v>
      </c>
      <c r="AB299" s="9"/>
      <c r="AC299" s="10">
        <f t="shared" si="79"/>
        <v>-7.3299999999999841</v>
      </c>
      <c r="AD299" s="8">
        <f>IFERROR(AC299/AC444, "NA")</f>
        <v>1.6176908731778893E-3</v>
      </c>
    </row>
    <row r="300" spans="1:30" ht="16.5" hidden="1" customHeight="1" x14ac:dyDescent="0.45">
      <c r="A300" s="6" t="s">
        <v>272</v>
      </c>
      <c r="B300" s="7">
        <v>0</v>
      </c>
      <c r="C300" s="8">
        <f>IFERROR(B300/B444, "NA")</f>
        <v>0</v>
      </c>
      <c r="D300" s="9"/>
      <c r="E300" s="7">
        <v>0</v>
      </c>
      <c r="F300" s="8">
        <f>IFERROR(E300/E444, "NA")</f>
        <v>0</v>
      </c>
      <c r="G300" s="9"/>
      <c r="H300" s="10">
        <f t="shared" si="76"/>
        <v>0</v>
      </c>
      <c r="I300" s="8">
        <f>IFERROR(H300/H444, "NA")</f>
        <v>0</v>
      </c>
      <c r="J300" s="9"/>
      <c r="K300" s="7">
        <v>0</v>
      </c>
      <c r="L300" s="8">
        <f>IFERROR(K300/K444, "NA")</f>
        <v>0</v>
      </c>
      <c r="M300" s="9"/>
      <c r="N300" s="10">
        <f t="shared" si="77"/>
        <v>0</v>
      </c>
      <c r="O300" s="8">
        <f>IFERROR(N300/N444, "NA")</f>
        <v>0</v>
      </c>
      <c r="P300" s="9"/>
      <c r="Q300" s="7">
        <v>0</v>
      </c>
      <c r="R300" s="8">
        <f>IFERROR(Q300/Q444, "NA")</f>
        <v>0</v>
      </c>
      <c r="S300" s="9"/>
      <c r="T300" s="7">
        <v>0</v>
      </c>
      <c r="U300" s="8">
        <f>IFERROR(T300/T444, "NA")</f>
        <v>0</v>
      </c>
      <c r="V300" s="9"/>
      <c r="W300" s="10">
        <f t="shared" si="78"/>
        <v>0</v>
      </c>
      <c r="X300" s="8">
        <f>IFERROR(W300/W444, "NA")</f>
        <v>0</v>
      </c>
      <c r="Y300" s="9"/>
      <c r="Z300" s="7">
        <v>0</v>
      </c>
      <c r="AA300" s="8">
        <f>IFERROR(Z300/Z444, "NA")</f>
        <v>0</v>
      </c>
      <c r="AB300" s="9"/>
      <c r="AC300" s="10">
        <f t="shared" si="79"/>
        <v>0</v>
      </c>
      <c r="AD300" s="8">
        <f>IFERROR(AC300/AC444, "NA")</f>
        <v>0</v>
      </c>
    </row>
    <row r="301" spans="1:30" ht="16.5" hidden="1" customHeight="1" x14ac:dyDescent="0.45">
      <c r="A301" s="6" t="s">
        <v>273</v>
      </c>
      <c r="B301" s="7">
        <v>0</v>
      </c>
      <c r="C301" s="8">
        <f>IFERROR(B301/B444, "NA")</f>
        <v>0</v>
      </c>
      <c r="D301" s="9"/>
      <c r="E301" s="7">
        <v>0</v>
      </c>
      <c r="F301" s="8">
        <f>IFERROR(E301/E444, "NA")</f>
        <v>0</v>
      </c>
      <c r="G301" s="9"/>
      <c r="H301" s="10">
        <f t="shared" si="76"/>
        <v>0</v>
      </c>
      <c r="I301" s="8">
        <f>IFERROR(H301/H444, "NA")</f>
        <v>0</v>
      </c>
      <c r="J301" s="9"/>
      <c r="K301" s="7">
        <v>0</v>
      </c>
      <c r="L301" s="8">
        <f>IFERROR(K301/K444, "NA")</f>
        <v>0</v>
      </c>
      <c r="M301" s="9"/>
      <c r="N301" s="10">
        <f t="shared" si="77"/>
        <v>0</v>
      </c>
      <c r="O301" s="8">
        <f>IFERROR(N301/N444, "NA")</f>
        <v>0</v>
      </c>
      <c r="P301" s="9"/>
      <c r="Q301" s="7">
        <v>0</v>
      </c>
      <c r="R301" s="8">
        <f>IFERROR(Q301/Q444, "NA")</f>
        <v>0</v>
      </c>
      <c r="S301" s="9"/>
      <c r="T301" s="7">
        <v>0</v>
      </c>
      <c r="U301" s="8">
        <f>IFERROR(T301/T444, "NA")</f>
        <v>0</v>
      </c>
      <c r="V301" s="9"/>
      <c r="W301" s="10">
        <f t="shared" si="78"/>
        <v>0</v>
      </c>
      <c r="X301" s="8">
        <f>IFERROR(W301/W444, "NA")</f>
        <v>0</v>
      </c>
      <c r="Y301" s="9"/>
      <c r="Z301" s="7">
        <v>0</v>
      </c>
      <c r="AA301" s="8">
        <f>IFERROR(Z301/Z444, "NA")</f>
        <v>0</v>
      </c>
      <c r="AB301" s="9"/>
      <c r="AC301" s="10">
        <f t="shared" si="79"/>
        <v>0</v>
      </c>
      <c r="AD301" s="8">
        <f>IFERROR(AC301/AC444, "NA")</f>
        <v>0</v>
      </c>
    </row>
    <row r="302" spans="1:30" ht="16.5" hidden="1" customHeight="1" x14ac:dyDescent="0.45">
      <c r="A302" s="6" t="s">
        <v>274</v>
      </c>
      <c r="B302" s="7">
        <v>0</v>
      </c>
      <c r="C302" s="8">
        <f>IFERROR(B302/B444, "NA")</f>
        <v>0</v>
      </c>
      <c r="D302" s="9"/>
      <c r="E302" s="7">
        <v>0</v>
      </c>
      <c r="F302" s="8">
        <f>IFERROR(E302/E444, "NA")</f>
        <v>0</v>
      </c>
      <c r="G302" s="9"/>
      <c r="H302" s="10">
        <f t="shared" si="76"/>
        <v>0</v>
      </c>
      <c r="I302" s="8">
        <f>IFERROR(H302/H444, "NA")</f>
        <v>0</v>
      </c>
      <c r="J302" s="9"/>
      <c r="K302" s="7">
        <v>0</v>
      </c>
      <c r="L302" s="8">
        <f>IFERROR(K302/K444, "NA")</f>
        <v>0</v>
      </c>
      <c r="M302" s="9"/>
      <c r="N302" s="10">
        <f t="shared" si="77"/>
        <v>0</v>
      </c>
      <c r="O302" s="8">
        <f>IFERROR(N302/N444, "NA")</f>
        <v>0</v>
      </c>
      <c r="P302" s="9"/>
      <c r="Q302" s="7">
        <v>0</v>
      </c>
      <c r="R302" s="8">
        <f>IFERROR(Q302/Q444, "NA")</f>
        <v>0</v>
      </c>
      <c r="S302" s="9"/>
      <c r="T302" s="7">
        <v>0</v>
      </c>
      <c r="U302" s="8">
        <f>IFERROR(T302/T444, "NA")</f>
        <v>0</v>
      </c>
      <c r="V302" s="9"/>
      <c r="W302" s="10">
        <f t="shared" si="78"/>
        <v>0</v>
      </c>
      <c r="X302" s="8">
        <f>IFERROR(W302/W444, "NA")</f>
        <v>0</v>
      </c>
      <c r="Y302" s="9"/>
      <c r="Z302" s="7">
        <v>0</v>
      </c>
      <c r="AA302" s="8">
        <f>IFERROR(Z302/Z444, "NA")</f>
        <v>0</v>
      </c>
      <c r="AB302" s="9"/>
      <c r="AC302" s="10">
        <f t="shared" si="79"/>
        <v>0</v>
      </c>
      <c r="AD302" s="8">
        <f>IFERROR(AC302/AC444, "NA")</f>
        <v>0</v>
      </c>
    </row>
    <row r="303" spans="1:30" ht="16.5" hidden="1" customHeight="1" x14ac:dyDescent="0.45">
      <c r="A303" s="6" t="s">
        <v>275</v>
      </c>
      <c r="B303" s="7">
        <v>0</v>
      </c>
      <c r="C303" s="8">
        <f>IFERROR(B303/B444, "NA")</f>
        <v>0</v>
      </c>
      <c r="D303" s="9"/>
      <c r="E303" s="7">
        <v>0</v>
      </c>
      <c r="F303" s="8">
        <f>IFERROR(E303/E444, "NA")</f>
        <v>0</v>
      </c>
      <c r="G303" s="9"/>
      <c r="H303" s="10">
        <f t="shared" si="76"/>
        <v>0</v>
      </c>
      <c r="I303" s="8">
        <f>IFERROR(H303/H444, "NA")</f>
        <v>0</v>
      </c>
      <c r="J303" s="9"/>
      <c r="K303" s="7">
        <v>0</v>
      </c>
      <c r="L303" s="8">
        <f>IFERROR(K303/K444, "NA")</f>
        <v>0</v>
      </c>
      <c r="M303" s="9"/>
      <c r="N303" s="10">
        <f t="shared" si="77"/>
        <v>0</v>
      </c>
      <c r="O303" s="8">
        <f>IFERROR(N303/N444, "NA")</f>
        <v>0</v>
      </c>
      <c r="P303" s="9"/>
      <c r="Q303" s="7">
        <v>0</v>
      </c>
      <c r="R303" s="8">
        <f>IFERROR(Q303/Q444, "NA")</f>
        <v>0</v>
      </c>
      <c r="S303" s="9"/>
      <c r="T303" s="7">
        <v>0</v>
      </c>
      <c r="U303" s="8">
        <f>IFERROR(T303/T444, "NA")</f>
        <v>0</v>
      </c>
      <c r="V303" s="9"/>
      <c r="W303" s="10">
        <f t="shared" si="78"/>
        <v>0</v>
      </c>
      <c r="X303" s="8">
        <f>IFERROR(W303/W444, "NA")</f>
        <v>0</v>
      </c>
      <c r="Y303" s="9"/>
      <c r="Z303" s="7">
        <v>0</v>
      </c>
      <c r="AA303" s="8">
        <f>IFERROR(Z303/Z444, "NA")</f>
        <v>0</v>
      </c>
      <c r="AB303" s="9"/>
      <c r="AC303" s="10">
        <f t="shared" si="79"/>
        <v>0</v>
      </c>
      <c r="AD303" s="8">
        <f>IFERROR(AC303/AC444, "NA")</f>
        <v>0</v>
      </c>
    </row>
    <row r="304" spans="1:30" ht="16.5" hidden="1" customHeight="1" x14ac:dyDescent="0.45">
      <c r="A304" s="6" t="s">
        <v>276</v>
      </c>
      <c r="B304" s="7">
        <v>0</v>
      </c>
      <c r="C304" s="8">
        <f>IFERROR(B304/B444, "NA")</f>
        <v>0</v>
      </c>
      <c r="D304" s="9"/>
      <c r="E304" s="7">
        <v>0</v>
      </c>
      <c r="F304" s="8">
        <f>IFERROR(E304/E444, "NA")</f>
        <v>0</v>
      </c>
      <c r="G304" s="9"/>
      <c r="H304" s="10">
        <f t="shared" si="76"/>
        <v>0</v>
      </c>
      <c r="I304" s="8">
        <f>IFERROR(H304/H444, "NA")</f>
        <v>0</v>
      </c>
      <c r="J304" s="9"/>
      <c r="K304" s="7">
        <v>0</v>
      </c>
      <c r="L304" s="8">
        <f>IFERROR(K304/K444, "NA")</f>
        <v>0</v>
      </c>
      <c r="M304" s="9"/>
      <c r="N304" s="10">
        <f t="shared" si="77"/>
        <v>0</v>
      </c>
      <c r="O304" s="8">
        <f>IFERROR(N304/N444, "NA")</f>
        <v>0</v>
      </c>
      <c r="P304" s="9"/>
      <c r="Q304" s="7">
        <v>0</v>
      </c>
      <c r="R304" s="8">
        <f>IFERROR(Q304/Q444, "NA")</f>
        <v>0</v>
      </c>
      <c r="S304" s="9"/>
      <c r="T304" s="7">
        <v>0</v>
      </c>
      <c r="U304" s="8">
        <f>IFERROR(T304/T444, "NA")</f>
        <v>0</v>
      </c>
      <c r="V304" s="9"/>
      <c r="W304" s="10">
        <f t="shared" si="78"/>
        <v>0</v>
      </c>
      <c r="X304" s="8">
        <f>IFERROR(W304/W444, "NA")</f>
        <v>0</v>
      </c>
      <c r="Y304" s="9"/>
      <c r="Z304" s="7">
        <v>0</v>
      </c>
      <c r="AA304" s="8">
        <f>IFERROR(Z304/Z444, "NA")</f>
        <v>0</v>
      </c>
      <c r="AB304" s="9"/>
      <c r="AC304" s="10">
        <f t="shared" si="79"/>
        <v>0</v>
      </c>
      <c r="AD304" s="8">
        <f>IFERROR(AC304/AC444, "NA")</f>
        <v>0</v>
      </c>
    </row>
    <row r="305" spans="1:30" ht="16.5" customHeight="1" x14ac:dyDescent="0.45">
      <c r="A305" s="6" t="s">
        <v>277</v>
      </c>
      <c r="B305" s="7">
        <v>24.07</v>
      </c>
      <c r="C305" s="8">
        <f>IFERROR(B305/B444, "NA")</f>
        <v>2.6462329549121262E-4</v>
      </c>
      <c r="D305" s="9"/>
      <c r="E305" s="7">
        <v>0</v>
      </c>
      <c r="F305" s="8">
        <f>IFERROR(E305/E444, "NA")</f>
        <v>0</v>
      </c>
      <c r="G305" s="9"/>
      <c r="H305" s="10">
        <f t="shared" si="76"/>
        <v>-24.07</v>
      </c>
      <c r="I305" s="8">
        <f>IFERROR(H305/H444, "NA")</f>
        <v>3.9109658152015909E-3</v>
      </c>
      <c r="J305" s="9"/>
      <c r="K305" s="7">
        <v>0</v>
      </c>
      <c r="L305" s="8">
        <f>IFERROR(K305/K444, "NA")</f>
        <v>0</v>
      </c>
      <c r="M305" s="9"/>
      <c r="N305" s="10">
        <f t="shared" si="77"/>
        <v>-24.07</v>
      </c>
      <c r="O305" s="8">
        <f>IFERROR(N305/N444, "NA")</f>
        <v>5.3121172329320442E-3</v>
      </c>
      <c r="P305" s="9"/>
      <c r="Q305" s="7">
        <v>24.07</v>
      </c>
      <c r="R305" s="8">
        <f>IFERROR(Q305/Q444, "NA")</f>
        <v>2.6462329549121262E-4</v>
      </c>
      <c r="S305" s="9"/>
      <c r="T305" s="7">
        <v>0</v>
      </c>
      <c r="U305" s="8">
        <f>IFERROR(T305/T444, "NA")</f>
        <v>0</v>
      </c>
      <c r="V305" s="9"/>
      <c r="W305" s="10">
        <f t="shared" si="78"/>
        <v>-24.07</v>
      </c>
      <c r="X305" s="8">
        <f>IFERROR(W305/W444, "NA")</f>
        <v>3.9109658152015909E-3</v>
      </c>
      <c r="Y305" s="9"/>
      <c r="Z305" s="7">
        <v>0</v>
      </c>
      <c r="AA305" s="8">
        <f>IFERROR(Z305/Z444, "NA")</f>
        <v>0</v>
      </c>
      <c r="AB305" s="9"/>
      <c r="AC305" s="10">
        <f t="shared" si="79"/>
        <v>-24.07</v>
      </c>
      <c r="AD305" s="8">
        <f>IFERROR(AC305/AC444, "NA")</f>
        <v>5.3121172329320442E-3</v>
      </c>
    </row>
    <row r="306" spans="1:30" ht="16.5" hidden="1" customHeight="1" x14ac:dyDescent="0.45">
      <c r="A306" s="6" t="s">
        <v>278</v>
      </c>
      <c r="B306" s="7">
        <v>0</v>
      </c>
      <c r="C306" s="8">
        <f>IFERROR(B306/B444, "NA")</f>
        <v>0</v>
      </c>
      <c r="D306" s="9"/>
      <c r="E306" s="7">
        <v>0</v>
      </c>
      <c r="F306" s="8">
        <f>IFERROR(E306/E444, "NA")</f>
        <v>0</v>
      </c>
      <c r="G306" s="9"/>
      <c r="H306" s="10">
        <f t="shared" si="76"/>
        <v>0</v>
      </c>
      <c r="I306" s="8">
        <f>IFERROR(H306/H444, "NA")</f>
        <v>0</v>
      </c>
      <c r="J306" s="9"/>
      <c r="K306" s="7">
        <v>0</v>
      </c>
      <c r="L306" s="8">
        <f>IFERROR(K306/K444, "NA")</f>
        <v>0</v>
      </c>
      <c r="M306" s="9"/>
      <c r="N306" s="10">
        <f t="shared" si="77"/>
        <v>0</v>
      </c>
      <c r="O306" s="8">
        <f>IFERROR(N306/N444, "NA")</f>
        <v>0</v>
      </c>
      <c r="P306" s="9"/>
      <c r="Q306" s="7">
        <v>0</v>
      </c>
      <c r="R306" s="8">
        <f>IFERROR(Q306/Q444, "NA")</f>
        <v>0</v>
      </c>
      <c r="S306" s="9"/>
      <c r="T306" s="7">
        <v>0</v>
      </c>
      <c r="U306" s="8">
        <f>IFERROR(T306/T444, "NA")</f>
        <v>0</v>
      </c>
      <c r="V306" s="9"/>
      <c r="W306" s="10">
        <f t="shared" si="78"/>
        <v>0</v>
      </c>
      <c r="X306" s="8">
        <f>IFERROR(W306/W444, "NA")</f>
        <v>0</v>
      </c>
      <c r="Y306" s="9"/>
      <c r="Z306" s="7">
        <v>0</v>
      </c>
      <c r="AA306" s="8">
        <f>IFERROR(Z306/Z444, "NA")</f>
        <v>0</v>
      </c>
      <c r="AB306" s="9"/>
      <c r="AC306" s="10">
        <f t="shared" si="79"/>
        <v>0</v>
      </c>
      <c r="AD306" s="8">
        <f>IFERROR(AC306/AC444, "NA")</f>
        <v>0</v>
      </c>
    </row>
    <row r="307" spans="1:30" ht="16.5" hidden="1" customHeight="1" x14ac:dyDescent="0.45">
      <c r="A307" s="6" t="s">
        <v>279</v>
      </c>
      <c r="B307" s="7">
        <v>0</v>
      </c>
      <c r="C307" s="8">
        <f>IFERROR(B307/B444, "NA")</f>
        <v>0</v>
      </c>
      <c r="D307" s="9"/>
      <c r="E307" s="7">
        <v>0</v>
      </c>
      <c r="F307" s="8">
        <f>IFERROR(E307/E444, "NA")</f>
        <v>0</v>
      </c>
      <c r="G307" s="9"/>
      <c r="H307" s="10">
        <f t="shared" si="76"/>
        <v>0</v>
      </c>
      <c r="I307" s="8">
        <f>IFERROR(H307/H444, "NA")</f>
        <v>0</v>
      </c>
      <c r="J307" s="9"/>
      <c r="K307" s="7">
        <v>0</v>
      </c>
      <c r="L307" s="8">
        <f>IFERROR(K307/K444, "NA")</f>
        <v>0</v>
      </c>
      <c r="M307" s="9"/>
      <c r="N307" s="10">
        <f t="shared" si="77"/>
        <v>0</v>
      </c>
      <c r="O307" s="8">
        <f>IFERROR(N307/N444, "NA")</f>
        <v>0</v>
      </c>
      <c r="P307" s="9"/>
      <c r="Q307" s="7">
        <v>0</v>
      </c>
      <c r="R307" s="8">
        <f>IFERROR(Q307/Q444, "NA")</f>
        <v>0</v>
      </c>
      <c r="S307" s="9"/>
      <c r="T307" s="7">
        <v>0</v>
      </c>
      <c r="U307" s="8">
        <f>IFERROR(T307/T444, "NA")</f>
        <v>0</v>
      </c>
      <c r="V307" s="9"/>
      <c r="W307" s="10">
        <f t="shared" si="78"/>
        <v>0</v>
      </c>
      <c r="X307" s="8">
        <f>IFERROR(W307/W444, "NA")</f>
        <v>0</v>
      </c>
      <c r="Y307" s="9"/>
      <c r="Z307" s="7">
        <v>0</v>
      </c>
      <c r="AA307" s="8">
        <f>IFERROR(Z307/Z444, "NA")</f>
        <v>0</v>
      </c>
      <c r="AB307" s="9"/>
      <c r="AC307" s="10">
        <f t="shared" si="79"/>
        <v>0</v>
      </c>
      <c r="AD307" s="8">
        <f>IFERROR(AC307/AC444, "NA")</f>
        <v>0</v>
      </c>
    </row>
    <row r="308" spans="1:30" ht="16.5" hidden="1" customHeight="1" x14ac:dyDescent="0.45">
      <c r="A308" s="6" t="s">
        <v>280</v>
      </c>
      <c r="B308" s="7">
        <v>0</v>
      </c>
      <c r="C308" s="8">
        <f>IFERROR(B308/B444, "NA")</f>
        <v>0</v>
      </c>
      <c r="D308" s="9"/>
      <c r="E308" s="7">
        <v>0</v>
      </c>
      <c r="F308" s="8">
        <f>IFERROR(E308/E444, "NA")</f>
        <v>0</v>
      </c>
      <c r="G308" s="9"/>
      <c r="H308" s="10">
        <f t="shared" si="76"/>
        <v>0</v>
      </c>
      <c r="I308" s="8">
        <f>IFERROR(H308/H444, "NA")</f>
        <v>0</v>
      </c>
      <c r="J308" s="9"/>
      <c r="K308" s="7">
        <v>0</v>
      </c>
      <c r="L308" s="8">
        <f>IFERROR(K308/K444, "NA")</f>
        <v>0</v>
      </c>
      <c r="M308" s="9"/>
      <c r="N308" s="10">
        <f t="shared" si="77"/>
        <v>0</v>
      </c>
      <c r="O308" s="8">
        <f>IFERROR(N308/N444, "NA")</f>
        <v>0</v>
      </c>
      <c r="P308" s="9"/>
      <c r="Q308" s="7">
        <v>0</v>
      </c>
      <c r="R308" s="8">
        <f>IFERROR(Q308/Q444, "NA")</f>
        <v>0</v>
      </c>
      <c r="S308" s="9"/>
      <c r="T308" s="7">
        <v>0</v>
      </c>
      <c r="U308" s="8">
        <f>IFERROR(T308/T444, "NA")</f>
        <v>0</v>
      </c>
      <c r="V308" s="9"/>
      <c r="W308" s="10">
        <f t="shared" si="78"/>
        <v>0</v>
      </c>
      <c r="X308" s="8">
        <f>IFERROR(W308/W444, "NA")</f>
        <v>0</v>
      </c>
      <c r="Y308" s="9"/>
      <c r="Z308" s="7">
        <v>0</v>
      </c>
      <c r="AA308" s="8">
        <f>IFERROR(Z308/Z444, "NA")</f>
        <v>0</v>
      </c>
      <c r="AB308" s="9"/>
      <c r="AC308" s="10">
        <f t="shared" si="79"/>
        <v>0</v>
      </c>
      <c r="AD308" s="8">
        <f>IFERROR(AC308/AC444, "NA")</f>
        <v>0</v>
      </c>
    </row>
    <row r="309" spans="1:30" ht="16.5" hidden="1" customHeight="1" x14ac:dyDescent="0.45">
      <c r="A309" s="6" t="s">
        <v>281</v>
      </c>
      <c r="B309" s="7">
        <v>0</v>
      </c>
      <c r="C309" s="8">
        <f>IFERROR(B309/B444, "NA")</f>
        <v>0</v>
      </c>
      <c r="D309" s="9"/>
      <c r="E309" s="7">
        <v>0</v>
      </c>
      <c r="F309" s="8">
        <f>IFERROR(E309/E444, "NA")</f>
        <v>0</v>
      </c>
      <c r="G309" s="9"/>
      <c r="H309" s="10">
        <f t="shared" si="76"/>
        <v>0</v>
      </c>
      <c r="I309" s="8">
        <f>IFERROR(H309/H444, "NA")</f>
        <v>0</v>
      </c>
      <c r="J309" s="9"/>
      <c r="K309" s="7">
        <v>0</v>
      </c>
      <c r="L309" s="8">
        <f>IFERROR(K309/K444, "NA")</f>
        <v>0</v>
      </c>
      <c r="M309" s="9"/>
      <c r="N309" s="10">
        <f t="shared" si="77"/>
        <v>0</v>
      </c>
      <c r="O309" s="8">
        <f>IFERROR(N309/N444, "NA")</f>
        <v>0</v>
      </c>
      <c r="P309" s="9"/>
      <c r="Q309" s="7">
        <v>0</v>
      </c>
      <c r="R309" s="8">
        <f>IFERROR(Q309/Q444, "NA")</f>
        <v>0</v>
      </c>
      <c r="S309" s="9"/>
      <c r="T309" s="7">
        <v>0</v>
      </c>
      <c r="U309" s="8">
        <f>IFERROR(T309/T444, "NA")</f>
        <v>0</v>
      </c>
      <c r="V309" s="9"/>
      <c r="W309" s="10">
        <f t="shared" si="78"/>
        <v>0</v>
      </c>
      <c r="X309" s="8">
        <f>IFERROR(W309/W444, "NA")</f>
        <v>0</v>
      </c>
      <c r="Y309" s="9"/>
      <c r="Z309" s="7">
        <v>0</v>
      </c>
      <c r="AA309" s="8">
        <f>IFERROR(Z309/Z444, "NA")</f>
        <v>0</v>
      </c>
      <c r="AB309" s="9"/>
      <c r="AC309" s="10">
        <f t="shared" si="79"/>
        <v>0</v>
      </c>
      <c r="AD309" s="8">
        <f>IFERROR(AC309/AC444, "NA")</f>
        <v>0</v>
      </c>
    </row>
    <row r="310" spans="1:30" ht="16.5" customHeight="1" x14ac:dyDescent="0.45">
      <c r="A310" s="6" t="s">
        <v>282</v>
      </c>
      <c r="B310" s="7">
        <v>100</v>
      </c>
      <c r="C310" s="8">
        <f>IFERROR(B310/B444, "NA")</f>
        <v>1.0993905088957732E-3</v>
      </c>
      <c r="D310" s="9"/>
      <c r="E310" s="7">
        <v>55</v>
      </c>
      <c r="F310" s="8">
        <f>IFERROR(E310/E444, "NA")</f>
        <v>5.6634482491604193E-4</v>
      </c>
      <c r="G310" s="9"/>
      <c r="H310" s="10">
        <f t="shared" si="76"/>
        <v>-45</v>
      </c>
      <c r="I310" s="8">
        <f>IFERROR(H310/H444, "NA")</f>
        <v>7.3117350097246184E-3</v>
      </c>
      <c r="J310" s="9"/>
      <c r="K310" s="7">
        <v>0</v>
      </c>
      <c r="L310" s="8">
        <f>IFERROR(K310/K444, "NA")</f>
        <v>0</v>
      </c>
      <c r="M310" s="9"/>
      <c r="N310" s="10">
        <f t="shared" si="77"/>
        <v>-100</v>
      </c>
      <c r="O310" s="8">
        <f>IFERROR(N310/N444, "NA")</f>
        <v>2.2069452567229097E-2</v>
      </c>
      <c r="P310" s="9"/>
      <c r="Q310" s="7">
        <v>100</v>
      </c>
      <c r="R310" s="8">
        <f>IFERROR(Q310/Q444, "NA")</f>
        <v>1.0993905088957732E-3</v>
      </c>
      <c r="S310" s="9"/>
      <c r="T310" s="7">
        <v>55</v>
      </c>
      <c r="U310" s="8">
        <f>IFERROR(T310/T444, "NA")</f>
        <v>5.6634482491604193E-4</v>
      </c>
      <c r="V310" s="9"/>
      <c r="W310" s="10">
        <f t="shared" si="78"/>
        <v>-45</v>
      </c>
      <c r="X310" s="8">
        <f>IFERROR(W310/W444, "NA")</f>
        <v>7.3117350097246184E-3</v>
      </c>
      <c r="Y310" s="9"/>
      <c r="Z310" s="7">
        <v>0</v>
      </c>
      <c r="AA310" s="8">
        <f>IFERROR(Z310/Z444, "NA")</f>
        <v>0</v>
      </c>
      <c r="AB310" s="9"/>
      <c r="AC310" s="10">
        <f t="shared" si="79"/>
        <v>-100</v>
      </c>
      <c r="AD310" s="8">
        <f>IFERROR(AC310/AC444, "NA")</f>
        <v>2.2069452567229097E-2</v>
      </c>
    </row>
    <row r="311" spans="1:30" ht="16.5" hidden="1" customHeight="1" x14ac:dyDescent="0.45">
      <c r="A311" s="6" t="s">
        <v>283</v>
      </c>
      <c r="B311" s="7">
        <v>0</v>
      </c>
      <c r="C311" s="8">
        <f>IFERROR(B311/B444, "NA")</f>
        <v>0</v>
      </c>
      <c r="D311" s="9"/>
      <c r="E311" s="7">
        <v>0</v>
      </c>
      <c r="F311" s="8">
        <f>IFERROR(E311/E444, "NA")</f>
        <v>0</v>
      </c>
      <c r="G311" s="9"/>
      <c r="H311" s="10">
        <f t="shared" si="76"/>
        <v>0</v>
      </c>
      <c r="I311" s="8">
        <f>IFERROR(H311/H444, "NA")</f>
        <v>0</v>
      </c>
      <c r="J311" s="9"/>
      <c r="K311" s="7">
        <v>0</v>
      </c>
      <c r="L311" s="8">
        <f>IFERROR(K311/K444, "NA")</f>
        <v>0</v>
      </c>
      <c r="M311" s="9"/>
      <c r="N311" s="10">
        <f t="shared" si="77"/>
        <v>0</v>
      </c>
      <c r="O311" s="8">
        <f>IFERROR(N311/N444, "NA")</f>
        <v>0</v>
      </c>
      <c r="P311" s="9"/>
      <c r="Q311" s="7">
        <v>0</v>
      </c>
      <c r="R311" s="8">
        <f>IFERROR(Q311/Q444, "NA")</f>
        <v>0</v>
      </c>
      <c r="S311" s="9"/>
      <c r="T311" s="7">
        <v>0</v>
      </c>
      <c r="U311" s="8">
        <f>IFERROR(T311/T444, "NA")</f>
        <v>0</v>
      </c>
      <c r="V311" s="9"/>
      <c r="W311" s="10">
        <f t="shared" si="78"/>
        <v>0</v>
      </c>
      <c r="X311" s="8">
        <f>IFERROR(W311/W444, "NA")</f>
        <v>0</v>
      </c>
      <c r="Y311" s="9"/>
      <c r="Z311" s="7">
        <v>0</v>
      </c>
      <c r="AA311" s="8">
        <f>IFERROR(Z311/Z444, "NA")</f>
        <v>0</v>
      </c>
      <c r="AB311" s="9"/>
      <c r="AC311" s="10">
        <f t="shared" si="79"/>
        <v>0</v>
      </c>
      <c r="AD311" s="8">
        <f>IFERROR(AC311/AC444, "NA")</f>
        <v>0</v>
      </c>
    </row>
    <row r="312" spans="1:30" ht="16.5" customHeight="1" x14ac:dyDescent="0.45">
      <c r="A312" s="6" t="s">
        <v>284</v>
      </c>
      <c r="B312" s="7">
        <v>192.89</v>
      </c>
      <c r="C312" s="8">
        <f>IFERROR(B312/B444, "NA")</f>
        <v>2.1206143526090568E-3</v>
      </c>
      <c r="D312" s="9"/>
      <c r="E312" s="7">
        <v>35</v>
      </c>
      <c r="F312" s="8">
        <f>IFERROR(E312/E444, "NA")</f>
        <v>3.6040125221929942E-4</v>
      </c>
      <c r="G312" s="9"/>
      <c r="H312" s="10">
        <f t="shared" si="76"/>
        <v>-157.88999999999999</v>
      </c>
      <c r="I312" s="8">
        <f>IFERROR(H312/H444, "NA")</f>
        <v>2.5654440904120442E-2</v>
      </c>
      <c r="J312" s="9"/>
      <c r="K312" s="7">
        <v>176.65</v>
      </c>
      <c r="L312" s="8">
        <f>IFERROR(K312/K444, "NA")</f>
        <v>1.8499195313802484E-3</v>
      </c>
      <c r="M312" s="9"/>
      <c r="N312" s="10">
        <f t="shared" si="77"/>
        <v>-16.239999999999981</v>
      </c>
      <c r="O312" s="8">
        <f>IFERROR(N312/N444, "NA")</f>
        <v>3.5840790969180014E-3</v>
      </c>
      <c r="P312" s="9"/>
      <c r="Q312" s="7">
        <v>192.89</v>
      </c>
      <c r="R312" s="8">
        <f>IFERROR(Q312/Q444, "NA")</f>
        <v>2.1206143526090568E-3</v>
      </c>
      <c r="S312" s="9"/>
      <c r="T312" s="7">
        <v>35</v>
      </c>
      <c r="U312" s="8">
        <f>IFERROR(T312/T444, "NA")</f>
        <v>3.6040125221929942E-4</v>
      </c>
      <c r="V312" s="9"/>
      <c r="W312" s="10">
        <f t="shared" si="78"/>
        <v>-157.88999999999999</v>
      </c>
      <c r="X312" s="8">
        <f>IFERROR(W312/W444, "NA")</f>
        <v>2.5654440904120442E-2</v>
      </c>
      <c r="Y312" s="9"/>
      <c r="Z312" s="7">
        <v>176.65</v>
      </c>
      <c r="AA312" s="8">
        <f>IFERROR(Z312/Z444, "NA")</f>
        <v>1.8499195313802484E-3</v>
      </c>
      <c r="AB312" s="9"/>
      <c r="AC312" s="10">
        <f t="shared" si="79"/>
        <v>-16.239999999999981</v>
      </c>
      <c r="AD312" s="8">
        <f>IFERROR(AC312/AC444, "NA")</f>
        <v>3.5840790969180014E-3</v>
      </c>
    </row>
    <row r="313" spans="1:30" ht="16.5" customHeight="1" x14ac:dyDescent="0.45">
      <c r="A313" s="6" t="s">
        <v>285</v>
      </c>
      <c r="B313" s="7">
        <v>10</v>
      </c>
      <c r="C313" s="8">
        <f>IFERROR(B313/B444, "NA")</f>
        <v>1.0993905088957732E-4</v>
      </c>
      <c r="D313" s="9"/>
      <c r="E313" s="7">
        <v>10</v>
      </c>
      <c r="F313" s="8">
        <f>IFERROR(E313/E444, "NA")</f>
        <v>1.0297178634837127E-4</v>
      </c>
      <c r="G313" s="9"/>
      <c r="H313" s="10">
        <f t="shared" si="76"/>
        <v>0</v>
      </c>
      <c r="I313" s="8">
        <f>IFERROR(H313/H444, "NA")</f>
        <v>0</v>
      </c>
      <c r="J313" s="9"/>
      <c r="K313" s="7">
        <v>14</v>
      </c>
      <c r="L313" s="8">
        <f>IFERROR(K313/K444, "NA")</f>
        <v>1.4661122807429084E-4</v>
      </c>
      <c r="M313" s="9"/>
      <c r="N313" s="10">
        <f t="shared" si="77"/>
        <v>4</v>
      </c>
      <c r="O313" s="8">
        <f>IFERROR(N313/N444, "NA")</f>
        <v>-8.8277810268916389E-4</v>
      </c>
      <c r="P313" s="9"/>
      <c r="Q313" s="7">
        <v>10</v>
      </c>
      <c r="R313" s="8">
        <f>IFERROR(Q313/Q444, "NA")</f>
        <v>1.0993905088957732E-4</v>
      </c>
      <c r="S313" s="9"/>
      <c r="T313" s="7">
        <v>10</v>
      </c>
      <c r="U313" s="8">
        <f>IFERROR(T313/T444, "NA")</f>
        <v>1.0297178634837127E-4</v>
      </c>
      <c r="V313" s="9"/>
      <c r="W313" s="10">
        <f t="shared" si="78"/>
        <v>0</v>
      </c>
      <c r="X313" s="8">
        <f>IFERROR(W313/W444, "NA")</f>
        <v>0</v>
      </c>
      <c r="Y313" s="9"/>
      <c r="Z313" s="7">
        <v>14</v>
      </c>
      <c r="AA313" s="8">
        <f>IFERROR(Z313/Z444, "NA")</f>
        <v>1.4661122807429084E-4</v>
      </c>
      <c r="AB313" s="9"/>
      <c r="AC313" s="10">
        <f t="shared" si="79"/>
        <v>4</v>
      </c>
      <c r="AD313" s="8">
        <f>IFERROR(AC313/AC444, "NA")</f>
        <v>-8.8277810268916389E-4</v>
      </c>
    </row>
    <row r="314" spans="1:30" ht="16.5" hidden="1" customHeight="1" x14ac:dyDescent="0.45">
      <c r="A314" s="6" t="s">
        <v>286</v>
      </c>
      <c r="B314" s="7">
        <v>0</v>
      </c>
      <c r="C314" s="8">
        <f>IFERROR(B314/B444, "NA")</f>
        <v>0</v>
      </c>
      <c r="D314" s="9"/>
      <c r="E314" s="7">
        <v>0</v>
      </c>
      <c r="F314" s="8">
        <f>IFERROR(E314/E444, "NA")</f>
        <v>0</v>
      </c>
      <c r="G314" s="9"/>
      <c r="H314" s="10">
        <f t="shared" si="76"/>
        <v>0</v>
      </c>
      <c r="I314" s="8">
        <f>IFERROR(H314/H444, "NA")</f>
        <v>0</v>
      </c>
      <c r="J314" s="9"/>
      <c r="K314" s="7">
        <v>0</v>
      </c>
      <c r="L314" s="8">
        <f>IFERROR(K314/K444, "NA")</f>
        <v>0</v>
      </c>
      <c r="M314" s="9"/>
      <c r="N314" s="10">
        <f t="shared" si="77"/>
        <v>0</v>
      </c>
      <c r="O314" s="8">
        <f>IFERROR(N314/N444, "NA")</f>
        <v>0</v>
      </c>
      <c r="P314" s="9"/>
      <c r="Q314" s="7">
        <v>0</v>
      </c>
      <c r="R314" s="8">
        <f>IFERROR(Q314/Q444, "NA")</f>
        <v>0</v>
      </c>
      <c r="S314" s="9"/>
      <c r="T314" s="7">
        <v>0</v>
      </c>
      <c r="U314" s="8">
        <f>IFERROR(T314/T444, "NA")</f>
        <v>0</v>
      </c>
      <c r="V314" s="9"/>
      <c r="W314" s="10">
        <f t="shared" si="78"/>
        <v>0</v>
      </c>
      <c r="X314" s="8">
        <f>IFERROR(W314/W444, "NA")</f>
        <v>0</v>
      </c>
      <c r="Y314" s="9"/>
      <c r="Z314" s="7">
        <v>0</v>
      </c>
      <c r="AA314" s="8">
        <f>IFERROR(Z314/Z444, "NA")</f>
        <v>0</v>
      </c>
      <c r="AB314" s="9"/>
      <c r="AC314" s="10">
        <f t="shared" si="79"/>
        <v>0</v>
      </c>
      <c r="AD314" s="8">
        <f>IFERROR(AC314/AC444, "NA")</f>
        <v>0</v>
      </c>
    </row>
    <row r="315" spans="1:30" ht="16.5" customHeight="1" x14ac:dyDescent="0.45">
      <c r="A315" s="6" t="s">
        <v>287</v>
      </c>
      <c r="B315" s="7">
        <v>533.33000000000004</v>
      </c>
      <c r="C315" s="8">
        <f>IFERROR(B315/B444, "NA")</f>
        <v>5.8633794010938276E-3</v>
      </c>
      <c r="D315" s="9"/>
      <c r="E315" s="7">
        <v>388.46</v>
      </c>
      <c r="F315" s="8">
        <f>IFERROR(E315/E444, "NA")</f>
        <v>4.0000420124888299E-3</v>
      </c>
      <c r="G315" s="9"/>
      <c r="H315" s="10">
        <f t="shared" si="76"/>
        <v>-144.87000000000006</v>
      </c>
      <c r="I315" s="8">
        <f>IFERROR(H315/H444, "NA")</f>
        <v>2.35389122413068E-2</v>
      </c>
      <c r="J315" s="9"/>
      <c r="K315" s="7">
        <v>0</v>
      </c>
      <c r="L315" s="8">
        <f>IFERROR(K315/K444, "NA")</f>
        <v>0</v>
      </c>
      <c r="M315" s="9"/>
      <c r="N315" s="10">
        <f t="shared" si="77"/>
        <v>-533.33000000000004</v>
      </c>
      <c r="O315" s="8">
        <f>IFERROR(N315/N444, "NA")</f>
        <v>0.11770301137680296</v>
      </c>
      <c r="P315" s="9"/>
      <c r="Q315" s="7">
        <v>533.33000000000004</v>
      </c>
      <c r="R315" s="8">
        <f>IFERROR(Q315/Q444, "NA")</f>
        <v>5.8633794010938276E-3</v>
      </c>
      <c r="S315" s="9"/>
      <c r="T315" s="7">
        <v>388.46</v>
      </c>
      <c r="U315" s="8">
        <f>IFERROR(T315/T444, "NA")</f>
        <v>4.0000420124888299E-3</v>
      </c>
      <c r="V315" s="9"/>
      <c r="W315" s="10">
        <f t="shared" si="78"/>
        <v>-144.87000000000006</v>
      </c>
      <c r="X315" s="8">
        <f>IFERROR(W315/W444, "NA")</f>
        <v>2.35389122413068E-2</v>
      </c>
      <c r="Y315" s="9"/>
      <c r="Z315" s="7">
        <v>0</v>
      </c>
      <c r="AA315" s="8">
        <f>IFERROR(Z315/Z444, "NA")</f>
        <v>0</v>
      </c>
      <c r="AB315" s="9"/>
      <c r="AC315" s="10">
        <f t="shared" si="79"/>
        <v>-533.33000000000004</v>
      </c>
      <c r="AD315" s="8">
        <f>IFERROR(AC315/AC444, "NA")</f>
        <v>0.11770301137680296</v>
      </c>
    </row>
    <row r="316" spans="1:30" ht="16.5" hidden="1" customHeight="1" x14ac:dyDescent="0.45">
      <c r="A316" s="6" t="s">
        <v>288</v>
      </c>
      <c r="B316" s="7">
        <v>0</v>
      </c>
      <c r="C316" s="8">
        <f>IFERROR(B316/B444, "NA")</f>
        <v>0</v>
      </c>
      <c r="D316" s="9"/>
      <c r="E316" s="7">
        <v>0</v>
      </c>
      <c r="F316" s="8">
        <f>IFERROR(E316/E444, "NA")</f>
        <v>0</v>
      </c>
      <c r="G316" s="9"/>
      <c r="H316" s="10">
        <f t="shared" si="76"/>
        <v>0</v>
      </c>
      <c r="I316" s="8">
        <f>IFERROR(H316/H444, "NA")</f>
        <v>0</v>
      </c>
      <c r="J316" s="9"/>
      <c r="K316" s="7">
        <v>0</v>
      </c>
      <c r="L316" s="8">
        <f>IFERROR(K316/K444, "NA")</f>
        <v>0</v>
      </c>
      <c r="M316" s="9"/>
      <c r="N316" s="10">
        <f t="shared" si="77"/>
        <v>0</v>
      </c>
      <c r="O316" s="8">
        <f>IFERROR(N316/N444, "NA")</f>
        <v>0</v>
      </c>
      <c r="P316" s="9"/>
      <c r="Q316" s="7">
        <v>0</v>
      </c>
      <c r="R316" s="8">
        <f>IFERROR(Q316/Q444, "NA")</f>
        <v>0</v>
      </c>
      <c r="S316" s="9"/>
      <c r="T316" s="7">
        <v>0</v>
      </c>
      <c r="U316" s="8">
        <f>IFERROR(T316/T444, "NA")</f>
        <v>0</v>
      </c>
      <c r="V316" s="9"/>
      <c r="W316" s="10">
        <f t="shared" si="78"/>
        <v>0</v>
      </c>
      <c r="X316" s="8">
        <f>IFERROR(W316/W444, "NA")</f>
        <v>0</v>
      </c>
      <c r="Y316" s="9"/>
      <c r="Z316" s="7">
        <v>0</v>
      </c>
      <c r="AA316" s="8">
        <f>IFERROR(Z316/Z444, "NA")</f>
        <v>0</v>
      </c>
      <c r="AB316" s="9"/>
      <c r="AC316" s="10">
        <f t="shared" si="79"/>
        <v>0</v>
      </c>
      <c r="AD316" s="8">
        <f>IFERROR(AC316/AC444, "NA")</f>
        <v>0</v>
      </c>
    </row>
    <row r="317" spans="1:30" ht="16.5" hidden="1" customHeight="1" x14ac:dyDescent="0.45">
      <c r="A317" s="6" t="s">
        <v>289</v>
      </c>
      <c r="B317" s="7">
        <v>0</v>
      </c>
      <c r="C317" s="8">
        <f>IFERROR(B317/B444, "NA")</f>
        <v>0</v>
      </c>
      <c r="D317" s="9"/>
      <c r="E317" s="7">
        <v>0</v>
      </c>
      <c r="F317" s="8">
        <f>IFERROR(E317/E444, "NA")</f>
        <v>0</v>
      </c>
      <c r="G317" s="9"/>
      <c r="H317" s="10">
        <f t="shared" si="76"/>
        <v>0</v>
      </c>
      <c r="I317" s="8">
        <f>IFERROR(H317/H444, "NA")</f>
        <v>0</v>
      </c>
      <c r="J317" s="9"/>
      <c r="K317" s="7">
        <v>0</v>
      </c>
      <c r="L317" s="8">
        <f>IFERROR(K317/K444, "NA")</f>
        <v>0</v>
      </c>
      <c r="M317" s="9"/>
      <c r="N317" s="10">
        <f t="shared" si="77"/>
        <v>0</v>
      </c>
      <c r="O317" s="8">
        <f>IFERROR(N317/N444, "NA")</f>
        <v>0</v>
      </c>
      <c r="P317" s="9"/>
      <c r="Q317" s="7">
        <v>0</v>
      </c>
      <c r="R317" s="8">
        <f>IFERROR(Q317/Q444, "NA")</f>
        <v>0</v>
      </c>
      <c r="S317" s="9"/>
      <c r="T317" s="7">
        <v>0</v>
      </c>
      <c r="U317" s="8">
        <f>IFERROR(T317/T444, "NA")</f>
        <v>0</v>
      </c>
      <c r="V317" s="9"/>
      <c r="W317" s="10">
        <f t="shared" si="78"/>
        <v>0</v>
      </c>
      <c r="X317" s="8">
        <f>IFERROR(W317/W444, "NA")</f>
        <v>0</v>
      </c>
      <c r="Y317" s="9"/>
      <c r="Z317" s="7">
        <v>0</v>
      </c>
      <c r="AA317" s="8">
        <f>IFERROR(Z317/Z444, "NA")</f>
        <v>0</v>
      </c>
      <c r="AB317" s="9"/>
      <c r="AC317" s="10">
        <f t="shared" si="79"/>
        <v>0</v>
      </c>
      <c r="AD317" s="8">
        <f>IFERROR(AC317/AC444, "NA")</f>
        <v>0</v>
      </c>
    </row>
    <row r="318" spans="1:30" ht="16.5" hidden="1" customHeight="1" x14ac:dyDescent="0.45">
      <c r="A318" s="6" t="s">
        <v>290</v>
      </c>
      <c r="B318" s="7">
        <v>0</v>
      </c>
      <c r="C318" s="8">
        <f>IFERROR(B318/B444, "NA")</f>
        <v>0</v>
      </c>
      <c r="D318" s="9"/>
      <c r="E318" s="7">
        <v>0</v>
      </c>
      <c r="F318" s="8">
        <f>IFERROR(E318/E444, "NA")</f>
        <v>0</v>
      </c>
      <c r="G318" s="9"/>
      <c r="H318" s="10">
        <f t="shared" si="76"/>
        <v>0</v>
      </c>
      <c r="I318" s="8">
        <f>IFERROR(H318/H444, "NA")</f>
        <v>0</v>
      </c>
      <c r="J318" s="9"/>
      <c r="K318" s="7">
        <v>0</v>
      </c>
      <c r="L318" s="8">
        <f>IFERROR(K318/K444, "NA")</f>
        <v>0</v>
      </c>
      <c r="M318" s="9"/>
      <c r="N318" s="10">
        <f t="shared" si="77"/>
        <v>0</v>
      </c>
      <c r="O318" s="8">
        <f>IFERROR(N318/N444, "NA")</f>
        <v>0</v>
      </c>
      <c r="P318" s="9"/>
      <c r="Q318" s="7">
        <v>0</v>
      </c>
      <c r="R318" s="8">
        <f>IFERROR(Q318/Q444, "NA")</f>
        <v>0</v>
      </c>
      <c r="S318" s="9"/>
      <c r="T318" s="7">
        <v>0</v>
      </c>
      <c r="U318" s="8">
        <f>IFERROR(T318/T444, "NA")</f>
        <v>0</v>
      </c>
      <c r="V318" s="9"/>
      <c r="W318" s="10">
        <f t="shared" si="78"/>
        <v>0</v>
      </c>
      <c r="X318" s="8">
        <f>IFERROR(W318/W444, "NA")</f>
        <v>0</v>
      </c>
      <c r="Y318" s="9"/>
      <c r="Z318" s="7">
        <v>0</v>
      </c>
      <c r="AA318" s="8">
        <f>IFERROR(Z318/Z444, "NA")</f>
        <v>0</v>
      </c>
      <c r="AB318" s="9"/>
      <c r="AC318" s="10">
        <f t="shared" si="79"/>
        <v>0</v>
      </c>
      <c r="AD318" s="8">
        <f>IFERROR(AC318/AC444, "NA")</f>
        <v>0</v>
      </c>
    </row>
    <row r="319" spans="1:30" ht="16.5" customHeight="1" x14ac:dyDescent="0.45">
      <c r="A319" s="6" t="s">
        <v>291</v>
      </c>
      <c r="B319" s="7">
        <v>317.33</v>
      </c>
      <c r="C319" s="8">
        <f>IFERROR(B319/B444, "NA")</f>
        <v>3.4886959018789569E-3</v>
      </c>
      <c r="D319" s="9"/>
      <c r="E319" s="7">
        <v>308</v>
      </c>
      <c r="F319" s="8">
        <f>IFERROR(E319/E444, "NA")</f>
        <v>3.1715310195298352E-3</v>
      </c>
      <c r="G319" s="9"/>
      <c r="H319" s="10">
        <f t="shared" si="76"/>
        <v>-9.3299999999999841</v>
      </c>
      <c r="I319" s="8">
        <f>IFERROR(H319/H444, "NA")</f>
        <v>1.5159663920162351E-3</v>
      </c>
      <c r="J319" s="9"/>
      <c r="K319" s="7">
        <v>245.82</v>
      </c>
      <c r="L319" s="8">
        <f>IFERROR(K319/K444, "NA")</f>
        <v>2.5742837203730122E-3</v>
      </c>
      <c r="M319" s="9"/>
      <c r="N319" s="10">
        <f t="shared" si="77"/>
        <v>-71.509999999999991</v>
      </c>
      <c r="O319" s="8">
        <f>IFERROR(N319/N444, "NA")</f>
        <v>1.5781865530825525E-2</v>
      </c>
      <c r="P319" s="9"/>
      <c r="Q319" s="7">
        <v>317.33</v>
      </c>
      <c r="R319" s="8">
        <f>IFERROR(Q319/Q444, "NA")</f>
        <v>3.4886959018789569E-3</v>
      </c>
      <c r="S319" s="9"/>
      <c r="T319" s="7">
        <v>308</v>
      </c>
      <c r="U319" s="8">
        <f>IFERROR(T319/T444, "NA")</f>
        <v>3.1715310195298352E-3</v>
      </c>
      <c r="V319" s="9"/>
      <c r="W319" s="10">
        <f t="shared" si="78"/>
        <v>-9.3299999999999841</v>
      </c>
      <c r="X319" s="8">
        <f>IFERROR(W319/W444, "NA")</f>
        <v>1.5159663920162351E-3</v>
      </c>
      <c r="Y319" s="9"/>
      <c r="Z319" s="7">
        <v>245.82</v>
      </c>
      <c r="AA319" s="8">
        <f>IFERROR(Z319/Z444, "NA")</f>
        <v>2.5742837203730122E-3</v>
      </c>
      <c r="AB319" s="9"/>
      <c r="AC319" s="10">
        <f t="shared" si="79"/>
        <v>-71.509999999999991</v>
      </c>
      <c r="AD319" s="8">
        <f>IFERROR(AC319/AC444, "NA")</f>
        <v>1.5781865530825525E-2</v>
      </c>
    </row>
    <row r="320" spans="1:30" ht="16.5" customHeight="1" x14ac:dyDescent="0.45">
      <c r="A320" s="6" t="s">
        <v>292</v>
      </c>
      <c r="B320" s="7">
        <v>1185.6400000000001</v>
      </c>
      <c r="C320" s="8">
        <f>IFERROR(B320/B444, "NA")</f>
        <v>1.3034813629671847E-2</v>
      </c>
      <c r="D320" s="9"/>
      <c r="E320" s="7">
        <v>1186</v>
      </c>
      <c r="F320" s="8">
        <f>IFERROR(E320/E444, "NA")</f>
        <v>1.2212453860916832E-2</v>
      </c>
      <c r="G320" s="9"/>
      <c r="H320" s="10">
        <f t="shared" si="76"/>
        <v>0.35999999999989996</v>
      </c>
      <c r="I320" s="8">
        <f>IFERROR(H320/H444, "NA")</f>
        <v>-5.8493880077780695E-5</v>
      </c>
      <c r="J320" s="9"/>
      <c r="K320" s="7">
        <v>1081.07</v>
      </c>
      <c r="L320" s="8">
        <f>IFERROR(K320/K444, "NA")</f>
        <v>1.132121430959097E-2</v>
      </c>
      <c r="M320" s="9"/>
      <c r="N320" s="10">
        <f t="shared" si="77"/>
        <v>-104.57000000000016</v>
      </c>
      <c r="O320" s="8">
        <f>IFERROR(N320/N444, "NA")</f>
        <v>2.3078026549551503E-2</v>
      </c>
      <c r="P320" s="9"/>
      <c r="Q320" s="7">
        <v>1185.6400000000001</v>
      </c>
      <c r="R320" s="8">
        <f>IFERROR(Q320/Q444, "NA")</f>
        <v>1.3034813629671847E-2</v>
      </c>
      <c r="S320" s="9"/>
      <c r="T320" s="7">
        <v>1186</v>
      </c>
      <c r="U320" s="8">
        <f>IFERROR(T320/T444, "NA")</f>
        <v>1.2212453860916832E-2</v>
      </c>
      <c r="V320" s="9"/>
      <c r="W320" s="10">
        <f t="shared" si="78"/>
        <v>0.35999999999989996</v>
      </c>
      <c r="X320" s="8">
        <f>IFERROR(W320/W444, "NA")</f>
        <v>-5.8493880077780695E-5</v>
      </c>
      <c r="Y320" s="9"/>
      <c r="Z320" s="7">
        <v>1081.07</v>
      </c>
      <c r="AA320" s="8">
        <f>IFERROR(Z320/Z444, "NA")</f>
        <v>1.132121430959097E-2</v>
      </c>
      <c r="AB320" s="9"/>
      <c r="AC320" s="10">
        <f t="shared" si="79"/>
        <v>-104.57000000000016</v>
      </c>
      <c r="AD320" s="8">
        <f>IFERROR(AC320/AC444, "NA")</f>
        <v>2.3078026549551503E-2</v>
      </c>
    </row>
    <row r="321" spans="1:30" ht="16.5" customHeight="1" x14ac:dyDescent="0.45">
      <c r="A321" s="6" t="s">
        <v>293</v>
      </c>
      <c r="B321" s="7">
        <v>1219.98</v>
      </c>
      <c r="C321" s="8">
        <f>IFERROR(B321/B444, "NA")</f>
        <v>1.3412344330426654E-2</v>
      </c>
      <c r="D321" s="9"/>
      <c r="E321" s="7">
        <v>1359.6</v>
      </c>
      <c r="F321" s="8">
        <f>IFERROR(E321/E444, "NA")</f>
        <v>1.4000044071924556E-2</v>
      </c>
      <c r="G321" s="9"/>
      <c r="H321" s="10">
        <f t="shared" si="76"/>
        <v>139.61999999999989</v>
      </c>
      <c r="I321" s="8">
        <f>IFERROR(H321/H444, "NA")</f>
        <v>-2.2685876490172233E-2</v>
      </c>
      <c r="J321" s="9"/>
      <c r="K321" s="7">
        <v>3914.42</v>
      </c>
      <c r="L321" s="8">
        <f>IFERROR(K321/K444, "NA")</f>
        <v>4.0992708814183258E-2</v>
      </c>
      <c r="M321" s="9"/>
      <c r="N321" s="10">
        <f t="shared" si="77"/>
        <v>2694.44</v>
      </c>
      <c r="O321" s="8">
        <f>IFERROR(N321/N444, "NA")</f>
        <v>-0.59464815775244773</v>
      </c>
      <c r="P321" s="9"/>
      <c r="Q321" s="7">
        <v>1219.98</v>
      </c>
      <c r="R321" s="8">
        <f>IFERROR(Q321/Q444, "NA")</f>
        <v>1.3412344330426654E-2</v>
      </c>
      <c r="S321" s="9"/>
      <c r="T321" s="7">
        <v>1359.6</v>
      </c>
      <c r="U321" s="8">
        <f>IFERROR(T321/T444, "NA")</f>
        <v>1.4000044071924556E-2</v>
      </c>
      <c r="V321" s="9"/>
      <c r="W321" s="10">
        <f t="shared" si="78"/>
        <v>139.61999999999989</v>
      </c>
      <c r="X321" s="8">
        <f>IFERROR(W321/W444, "NA")</f>
        <v>-2.2685876490172233E-2</v>
      </c>
      <c r="Y321" s="9"/>
      <c r="Z321" s="7">
        <v>3914.42</v>
      </c>
      <c r="AA321" s="8">
        <f>IFERROR(Z321/Z444, "NA")</f>
        <v>4.0992708814183258E-2</v>
      </c>
      <c r="AB321" s="9"/>
      <c r="AC321" s="10">
        <f t="shared" si="79"/>
        <v>2694.44</v>
      </c>
      <c r="AD321" s="8">
        <f>IFERROR(AC321/AC444, "NA")</f>
        <v>-0.59464815775244773</v>
      </c>
    </row>
    <row r="322" spans="1:30" ht="16.5" customHeight="1" x14ac:dyDescent="0.45">
      <c r="A322" s="6" t="s">
        <v>294</v>
      </c>
      <c r="B322" s="7">
        <v>368.01</v>
      </c>
      <c r="C322" s="8">
        <f>IFERROR(B322/B444, "NA")</f>
        <v>4.0458670117873349E-3</v>
      </c>
      <c r="D322" s="9"/>
      <c r="E322" s="7">
        <v>252</v>
      </c>
      <c r="F322" s="8">
        <f>IFERROR(E322/E444, "NA")</f>
        <v>2.594889015978956E-3</v>
      </c>
      <c r="G322" s="9"/>
      <c r="H322" s="10">
        <f t="shared" si="76"/>
        <v>-116.00999999999999</v>
      </c>
      <c r="I322" s="8">
        <f>IFERROR(H322/H444, "NA")</f>
        <v>1.8849652855070065E-2</v>
      </c>
      <c r="J322" s="9"/>
      <c r="K322" s="7">
        <v>269.2</v>
      </c>
      <c r="L322" s="8">
        <f>IFERROR(K322/K444, "NA")</f>
        <v>2.8191244712570782E-3</v>
      </c>
      <c r="M322" s="9"/>
      <c r="N322" s="10">
        <f t="shared" si="77"/>
        <v>-98.81</v>
      </c>
      <c r="O322" s="8">
        <f>IFERROR(N322/N444, "NA")</f>
        <v>2.1806826081679071E-2</v>
      </c>
      <c r="P322" s="9"/>
      <c r="Q322" s="7">
        <v>368.01</v>
      </c>
      <c r="R322" s="8">
        <f>IFERROR(Q322/Q444, "NA")</f>
        <v>4.0458670117873349E-3</v>
      </c>
      <c r="S322" s="9"/>
      <c r="T322" s="7">
        <v>252</v>
      </c>
      <c r="U322" s="8">
        <f>IFERROR(T322/T444, "NA")</f>
        <v>2.594889015978956E-3</v>
      </c>
      <c r="V322" s="9"/>
      <c r="W322" s="10">
        <f t="shared" si="78"/>
        <v>-116.00999999999999</v>
      </c>
      <c r="X322" s="8">
        <f>IFERROR(W322/W444, "NA")</f>
        <v>1.8849652855070065E-2</v>
      </c>
      <c r="Y322" s="9"/>
      <c r="Z322" s="7">
        <v>269.2</v>
      </c>
      <c r="AA322" s="8">
        <f>IFERROR(Z322/Z444, "NA")</f>
        <v>2.8191244712570782E-3</v>
      </c>
      <c r="AB322" s="9"/>
      <c r="AC322" s="10">
        <f t="shared" si="79"/>
        <v>-98.81</v>
      </c>
      <c r="AD322" s="8">
        <f>IFERROR(AC322/AC444, "NA")</f>
        <v>2.1806826081679071E-2</v>
      </c>
    </row>
    <row r="323" spans="1:30" ht="16.5" hidden="1" customHeight="1" x14ac:dyDescent="0.45">
      <c r="A323" s="6" t="s">
        <v>295</v>
      </c>
      <c r="B323" s="7">
        <v>0</v>
      </c>
      <c r="C323" s="8">
        <f>IFERROR(B323/B444, "NA")</f>
        <v>0</v>
      </c>
      <c r="D323" s="9"/>
      <c r="E323" s="7">
        <v>0</v>
      </c>
      <c r="F323" s="8">
        <f>IFERROR(E323/E444, "NA")</f>
        <v>0</v>
      </c>
      <c r="G323" s="9"/>
      <c r="H323" s="10">
        <f t="shared" si="76"/>
        <v>0</v>
      </c>
      <c r="I323" s="8">
        <f>IFERROR(H323/H444, "NA")</f>
        <v>0</v>
      </c>
      <c r="J323" s="9"/>
      <c r="K323" s="7">
        <v>0</v>
      </c>
      <c r="L323" s="8">
        <f>IFERROR(K323/K444, "NA")</f>
        <v>0</v>
      </c>
      <c r="M323" s="9"/>
      <c r="N323" s="10">
        <f t="shared" si="77"/>
        <v>0</v>
      </c>
      <c r="O323" s="8">
        <f>IFERROR(N323/N444, "NA")</f>
        <v>0</v>
      </c>
      <c r="P323" s="9"/>
      <c r="Q323" s="7">
        <v>0</v>
      </c>
      <c r="R323" s="8">
        <f>IFERROR(Q323/Q444, "NA")</f>
        <v>0</v>
      </c>
      <c r="S323" s="9"/>
      <c r="T323" s="7">
        <v>0</v>
      </c>
      <c r="U323" s="8">
        <f>IFERROR(T323/T444, "NA")</f>
        <v>0</v>
      </c>
      <c r="V323" s="9"/>
      <c r="W323" s="10">
        <f t="shared" si="78"/>
        <v>0</v>
      </c>
      <c r="X323" s="8">
        <f>IFERROR(W323/W444, "NA")</f>
        <v>0</v>
      </c>
      <c r="Y323" s="9"/>
      <c r="Z323" s="7">
        <v>0</v>
      </c>
      <c r="AA323" s="8">
        <f>IFERROR(Z323/Z444, "NA")</f>
        <v>0</v>
      </c>
      <c r="AB323" s="9"/>
      <c r="AC323" s="10">
        <f t="shared" si="79"/>
        <v>0</v>
      </c>
      <c r="AD323" s="8">
        <f>IFERROR(AC323/AC444, "NA")</f>
        <v>0</v>
      </c>
    </row>
    <row r="324" spans="1:30" ht="16.5" customHeight="1" x14ac:dyDescent="0.45">
      <c r="A324" s="19" t="s">
        <v>296</v>
      </c>
      <c r="B324" s="14">
        <f>IFERROR(B297+B298+B299+B300+B301+B302+B303+B304+B305+B306+B307+B308+B309+B310+B311+B312+B313+B314+B315+B316+B317+B318+B319+B320+B321+B322+B323, "NA")</f>
        <v>4427.78</v>
      </c>
      <c r="C324" s="15">
        <f>IFERROR(B324/B444, "NA")</f>
        <v>4.8678593074785267E-2</v>
      </c>
      <c r="D324" s="2"/>
      <c r="E324" s="14">
        <f>IFERROR(E297+E298+E299+E300+E301+E302+E303+E304+E305+E306+E307+E308+E309+E310+E311+E312+E313+E314+E315+E316+E317+E318+E319+E320+E321+E322+E323, "NA")</f>
        <v>4063.06</v>
      </c>
      <c r="F324" s="15">
        <f>IFERROR(E324/E444, "NA")</f>
        <v>4.1838054624061337E-2</v>
      </c>
      <c r="G324" s="2"/>
      <c r="H324" s="14">
        <f t="shared" si="76"/>
        <v>-364.7199999999998</v>
      </c>
      <c r="I324" s="15">
        <f>IFERROR(H324/H444, "NA")</f>
        <v>5.9260799838816922E-2</v>
      </c>
      <c r="J324" s="2"/>
      <c r="K324" s="14">
        <f>IFERROR(K297+K298+K299+K300+K301+K302+K303+K304+K305+K306+K307+K308+K309+K310+K311+K312+K313+K314+K315+K316+K317+K318+K319+K320+K321+K322+K323, "NA")</f>
        <v>6170.36</v>
      </c>
      <c r="L324" s="15">
        <f>IFERROR(K324/K444, "NA")</f>
        <v>6.4617432661462942E-2</v>
      </c>
      <c r="M324" s="2"/>
      <c r="N324" s="14">
        <f t="shared" si="77"/>
        <v>1742.58</v>
      </c>
      <c r="O324" s="15">
        <f>IFERROR(N324/N444, "NA")</f>
        <v>-0.38457786654602083</v>
      </c>
      <c r="P324" s="2"/>
      <c r="Q324" s="14">
        <f>IFERROR(Q297+Q298+Q299+Q300+Q301+Q302+Q303+Q304+Q305+Q306+Q307+Q308+Q309+Q310+Q311+Q312+Q313+Q314+Q315+Q316+Q317+Q318+Q319+Q320+Q321+Q322+Q323, "NA")</f>
        <v>4427.78</v>
      </c>
      <c r="R324" s="15">
        <f>IFERROR(Q324/Q444, "NA")</f>
        <v>4.8678593074785267E-2</v>
      </c>
      <c r="S324" s="2"/>
      <c r="T324" s="14">
        <f>IFERROR(T297+T298+T299+T300+T301+T302+T303+T304+T305+T306+T307+T308+T309+T310+T311+T312+T313+T314+T315+T316+T317+T318+T319+T320+T321+T322+T323, "NA")</f>
        <v>4063.06</v>
      </c>
      <c r="U324" s="15">
        <f>IFERROR(T324/T444, "NA")</f>
        <v>4.1838054624061337E-2</v>
      </c>
      <c r="V324" s="2"/>
      <c r="W324" s="14">
        <f t="shared" si="78"/>
        <v>-364.7199999999998</v>
      </c>
      <c r="X324" s="15">
        <f>IFERROR(W324/W444, "NA")</f>
        <v>5.9260799838816922E-2</v>
      </c>
      <c r="Y324" s="2"/>
      <c r="Z324" s="14">
        <f>IFERROR(Z297+Z298+Z299+Z300+Z301+Z302+Z303+Z304+Z305+Z306+Z307+Z308+Z309+Z310+Z311+Z312+Z313+Z314+Z315+Z316+Z317+Z318+Z319+Z320+Z321+Z322+Z323, "NA")</f>
        <v>6170.36</v>
      </c>
      <c r="AA324" s="15">
        <f>IFERROR(Z324/Z444, "NA")</f>
        <v>6.4617432661462942E-2</v>
      </c>
      <c r="AB324" s="2"/>
      <c r="AC324" s="14">
        <f t="shared" si="79"/>
        <v>1742.58</v>
      </c>
      <c r="AD324" s="15">
        <f>IFERROR(AC324/AC444, "NA")</f>
        <v>-0.38457786654602083</v>
      </c>
    </row>
    <row r="325" spans="1:30" ht="16.5" customHeight="1" x14ac:dyDescent="0.45">
      <c r="A325" s="21" t="s">
        <v>297</v>
      </c>
      <c r="B325" s="14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265+B266+B269+B270+B271+B272+B275+B276+B277+B278+B279+B280+B281+B282+B283+B286+B287+B288+B289+B290+B291+B292+B293+B294+B297+B298+B299+B300+B301+B302+B303+B304+B305+B306+B307+B308+B309+B310+B311+B312+B313+B314+B315+B316+B317+B318+B319+B320+B321+B322+B323, "NA")</f>
        <v>22978.100000000002</v>
      </c>
      <c r="C325" s="15">
        <f>IFERROR(B325/B444, "NA")</f>
        <v>0.25261905052457967</v>
      </c>
      <c r="D325" s="2"/>
      <c r="E325" s="14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265+E266+E269+E270+E271+E272+E275+E276+E277+E278+E279+E280+E281+E282+E283+E286+E287+E288+E289+E290+E291+E292+E293+E294+E297+E298+E299+E300+E301+E302+E303+E304+E305+E306+E307+E308+E309+E310+E311+E312+E313+E314+E315+E316+E317+E318+E319+E320+E321+E322+E323, "NA")</f>
        <v>22290.76</v>
      </c>
      <c r="F325" s="15">
        <f>IFERROR(E325/E444, "NA")</f>
        <v>0.22953193762628202</v>
      </c>
      <c r="G325" s="2"/>
      <c r="H325" s="14">
        <f t="shared" si="76"/>
        <v>-687.34000000000378</v>
      </c>
      <c r="I325" s="15">
        <f>IFERROR(H325/H444, "NA")</f>
        <v>0.1116810653685366</v>
      </c>
      <c r="J325" s="2"/>
      <c r="K325" s="14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265+K266+K269+K270+K271+K272+K275+K276+K277+K278+K279+K280+K281+K282+K283+K286+K287+K288+K289+K290+K291+K292+K293+K294+K297+K298+K299+K300+K301+K302+K303+K304+K305+K306+K307+K308+K309+K310+K311+K312+K313+K314+K315+K316+K317+K318+K319+K320+K321+K322+K323, "NA")</f>
        <v>25063.130000000008</v>
      </c>
      <c r="L325" s="15">
        <f>IFERROR(K325/K444, "NA")</f>
        <v>0.26246687633468585</v>
      </c>
      <c r="M325" s="2"/>
      <c r="N325" s="14">
        <f t="shared" si="77"/>
        <v>2085.0300000000061</v>
      </c>
      <c r="O325" s="15">
        <f>IFERROR(N325/N444, "NA")</f>
        <v>-0.46015470686249821</v>
      </c>
      <c r="P325" s="2"/>
      <c r="Q325" s="14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265+Q266+Q269+Q270+Q271+Q272+Q275+Q276+Q277+Q278+Q279+Q280+Q281+Q282+Q283+Q286+Q287+Q288+Q289+Q290+Q291+Q292+Q293+Q294+Q297+Q298+Q299+Q300+Q301+Q302+Q303+Q304+Q305+Q306+Q307+Q308+Q309+Q310+Q311+Q312+Q313+Q314+Q315+Q316+Q317+Q318+Q319+Q320+Q321+Q322+Q323, "NA")</f>
        <v>22978.100000000002</v>
      </c>
      <c r="R325" s="15">
        <f>IFERROR(Q325/Q444, "NA")</f>
        <v>0.25261905052457967</v>
      </c>
      <c r="S325" s="2"/>
      <c r="T325" s="14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265+T266+T269+T270+T271+T272+T275+T276+T277+T278+T279+T280+T281+T282+T283+T286+T287+T288+T289+T290+T291+T292+T293+T294+T297+T298+T299+T300+T301+T302+T303+T304+T305+T306+T307+T308+T309+T310+T311+T312+T313+T314+T315+T316+T317+T318+T319+T320+T321+T322+T323, "NA")</f>
        <v>22290.76</v>
      </c>
      <c r="U325" s="15">
        <f>IFERROR(T325/T444, "NA")</f>
        <v>0.22953193762628202</v>
      </c>
      <c r="V325" s="2"/>
      <c r="W325" s="14">
        <f t="shared" si="78"/>
        <v>-687.34000000000378</v>
      </c>
      <c r="X325" s="15">
        <f>IFERROR(W325/W444, "NA")</f>
        <v>0.1116810653685366</v>
      </c>
      <c r="Y325" s="2"/>
      <c r="Z325" s="14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265+Z266+Z269+Z270+Z271+Z272+Z275+Z276+Z277+Z278+Z279+Z280+Z281+Z282+Z283+Z286+Z287+Z288+Z289+Z290+Z291+Z292+Z293+Z294+Z297+Z298+Z299+Z300+Z301+Z302+Z303+Z304+Z305+Z306+Z307+Z308+Z309+Z310+Z311+Z312+Z313+Z314+Z315+Z316+Z317+Z318+Z319+Z320+Z321+Z322+Z323, "NA")</f>
        <v>25063.130000000008</v>
      </c>
      <c r="AA325" s="15">
        <f>IFERROR(Z325/Z444, "NA")</f>
        <v>0.26246687633468585</v>
      </c>
      <c r="AB325" s="2"/>
      <c r="AC325" s="14">
        <f t="shared" si="79"/>
        <v>2085.0300000000061</v>
      </c>
      <c r="AD325" s="15">
        <f>IFERROR(AC325/AC444, "NA")</f>
        <v>-0.46015470686249821</v>
      </c>
    </row>
    <row r="326" spans="1:30" ht="16.5" customHeight="1" x14ac:dyDescent="0.45">
      <c r="A326" s="1" t="s">
        <v>298</v>
      </c>
      <c r="B326" s="2"/>
      <c r="C326" s="3"/>
      <c r="D326" s="4"/>
      <c r="E326" s="2"/>
      <c r="F326" s="3"/>
      <c r="G326" s="4"/>
      <c r="H326" s="2"/>
      <c r="I326" s="3"/>
      <c r="J326" s="4"/>
      <c r="K326" s="2"/>
      <c r="L326" s="3"/>
      <c r="M326" s="4"/>
      <c r="N326" s="2"/>
      <c r="O326" s="3"/>
      <c r="P326" s="4"/>
      <c r="Q326" s="2"/>
      <c r="R326" s="3"/>
      <c r="S326" s="4"/>
      <c r="T326" s="2"/>
      <c r="U326" s="3"/>
      <c r="V326" s="4"/>
      <c r="W326" s="2"/>
      <c r="X326" s="3"/>
      <c r="Y326" s="4"/>
      <c r="Z326" s="2"/>
      <c r="AA326" s="3"/>
      <c r="AB326" s="4"/>
      <c r="AC326" s="2"/>
      <c r="AD326" s="3"/>
    </row>
    <row r="327" spans="1:30" ht="16.5" customHeight="1" x14ac:dyDescent="0.45">
      <c r="A327" s="5" t="s">
        <v>299</v>
      </c>
      <c r="B327" s="2"/>
      <c r="C327" s="3"/>
      <c r="D327" s="4"/>
      <c r="E327" s="2"/>
      <c r="F327" s="3"/>
      <c r="G327" s="4"/>
      <c r="H327" s="2"/>
      <c r="I327" s="3"/>
      <c r="J327" s="4"/>
      <c r="K327" s="2"/>
      <c r="L327" s="3"/>
      <c r="M327" s="4"/>
      <c r="N327" s="2"/>
      <c r="O327" s="3"/>
      <c r="P327" s="4"/>
      <c r="Q327" s="2"/>
      <c r="R327" s="3"/>
      <c r="S327" s="4"/>
      <c r="T327" s="2"/>
      <c r="U327" s="3"/>
      <c r="V327" s="4"/>
      <c r="W327" s="2"/>
      <c r="X327" s="3"/>
      <c r="Y327" s="4"/>
      <c r="Z327" s="2"/>
      <c r="AA327" s="3"/>
      <c r="AB327" s="4"/>
      <c r="AC327" s="2"/>
      <c r="AD327" s="3"/>
    </row>
    <row r="328" spans="1:30" ht="16.5" hidden="1" customHeight="1" x14ac:dyDescent="0.45">
      <c r="A328" s="6" t="s">
        <v>299</v>
      </c>
      <c r="B328" s="7">
        <v>0</v>
      </c>
      <c r="C328" s="8">
        <f>IFERROR(B328/B444, "NA")</f>
        <v>0</v>
      </c>
      <c r="D328" s="9"/>
      <c r="E328" s="7">
        <v>0</v>
      </c>
      <c r="F328" s="8">
        <f>IFERROR(E328/E444, "NA")</f>
        <v>0</v>
      </c>
      <c r="G328" s="9"/>
      <c r="H328" s="10">
        <f t="shared" ref="H328:H335" si="80">IFERROR(-(B328-E328), "NA")</f>
        <v>0</v>
      </c>
      <c r="I328" s="8">
        <f>IFERROR(H328/H444, "NA")</f>
        <v>0</v>
      </c>
      <c r="J328" s="9"/>
      <c r="K328" s="7">
        <v>0</v>
      </c>
      <c r="L328" s="8">
        <f>IFERROR(K328/K444, "NA")</f>
        <v>0</v>
      </c>
      <c r="M328" s="9"/>
      <c r="N328" s="10">
        <f t="shared" ref="N328:N335" si="81">IFERROR(-(B328-K328), "NA")</f>
        <v>0</v>
      </c>
      <c r="O328" s="8">
        <f>IFERROR(N328/N444, "NA")</f>
        <v>0</v>
      </c>
      <c r="P328" s="9"/>
      <c r="Q328" s="7">
        <v>0</v>
      </c>
      <c r="R328" s="8">
        <f>IFERROR(Q328/Q444, "NA")</f>
        <v>0</v>
      </c>
      <c r="S328" s="9"/>
      <c r="T328" s="7">
        <v>0</v>
      </c>
      <c r="U328" s="8">
        <f>IFERROR(T328/T444, "NA")</f>
        <v>0</v>
      </c>
      <c r="V328" s="9"/>
      <c r="W328" s="10">
        <f t="shared" ref="W328:W335" si="82">IFERROR(-(Q328-T328), "NA")</f>
        <v>0</v>
      </c>
      <c r="X328" s="8">
        <f>IFERROR(W328/W444, "NA")</f>
        <v>0</v>
      </c>
      <c r="Y328" s="9"/>
      <c r="Z328" s="7">
        <v>0</v>
      </c>
      <c r="AA328" s="8">
        <f>IFERROR(Z328/Z444, "NA")</f>
        <v>0</v>
      </c>
      <c r="AB328" s="9"/>
      <c r="AC328" s="10">
        <f t="shared" ref="AC328:AC335" si="83">IFERROR(-(Q328-Z328), "NA")</f>
        <v>0</v>
      </c>
      <c r="AD328" s="8">
        <f>IFERROR(AC328/AC444, "NA")</f>
        <v>0</v>
      </c>
    </row>
    <row r="329" spans="1:30" ht="16.5" customHeight="1" x14ac:dyDescent="0.45">
      <c r="A329" s="6" t="s">
        <v>300</v>
      </c>
      <c r="B329" s="7">
        <v>20059.04</v>
      </c>
      <c r="C329" s="8">
        <f>IFERROR(B329/B444, "NA")</f>
        <v>0.22052718193560672</v>
      </c>
      <c r="D329" s="9"/>
      <c r="E329" s="7">
        <v>20059.04</v>
      </c>
      <c r="F329" s="8">
        <f>IFERROR(E329/E444, "NA")</f>
        <v>0.20655151812334333</v>
      </c>
      <c r="G329" s="9"/>
      <c r="H329" s="10">
        <f t="shared" si="80"/>
        <v>0</v>
      </c>
      <c r="I329" s="8">
        <f>IFERROR(H329/H444, "NA")</f>
        <v>0</v>
      </c>
      <c r="J329" s="9"/>
      <c r="K329" s="7">
        <v>19569.79</v>
      </c>
      <c r="L329" s="8">
        <f>IFERROR(K329/K444, "NA")</f>
        <v>0.20493935321828402</v>
      </c>
      <c r="M329" s="9"/>
      <c r="N329" s="10">
        <f t="shared" si="81"/>
        <v>-489.25</v>
      </c>
      <c r="O329" s="8">
        <f>IFERROR(N329/N444, "NA")</f>
        <v>0.10797479668516836</v>
      </c>
      <c r="P329" s="9"/>
      <c r="Q329" s="7">
        <v>20059.04</v>
      </c>
      <c r="R329" s="8">
        <f>IFERROR(Q329/Q444, "NA")</f>
        <v>0.22052718193560672</v>
      </c>
      <c r="S329" s="9"/>
      <c r="T329" s="7">
        <v>20059.04</v>
      </c>
      <c r="U329" s="8">
        <f>IFERROR(T329/T444, "NA")</f>
        <v>0.20655151812334333</v>
      </c>
      <c r="V329" s="9"/>
      <c r="W329" s="10">
        <f t="shared" si="82"/>
        <v>0</v>
      </c>
      <c r="X329" s="8">
        <f>IFERROR(W329/W444, "NA")</f>
        <v>0</v>
      </c>
      <c r="Y329" s="9"/>
      <c r="Z329" s="7">
        <v>19569.79</v>
      </c>
      <c r="AA329" s="8">
        <f>IFERROR(Z329/Z444, "NA")</f>
        <v>0.20493935321828402</v>
      </c>
      <c r="AB329" s="9"/>
      <c r="AC329" s="10">
        <f t="shared" si="83"/>
        <v>-489.25</v>
      </c>
      <c r="AD329" s="8">
        <f>IFERROR(AC329/AC444, "NA")</f>
        <v>0.10797479668516836</v>
      </c>
    </row>
    <row r="330" spans="1:30" ht="16.5" customHeight="1" x14ac:dyDescent="0.45">
      <c r="A330" s="6" t="s">
        <v>301</v>
      </c>
      <c r="B330" s="7">
        <v>658.51</v>
      </c>
      <c r="C330" s="8">
        <f>IFERROR(B330/B444, "NA")</f>
        <v>7.2395964401295561E-3</v>
      </c>
      <c r="D330" s="9"/>
      <c r="E330" s="7">
        <v>658.51</v>
      </c>
      <c r="F330" s="8">
        <f>IFERROR(E330/E444, "NA")</f>
        <v>6.7807951028265962E-3</v>
      </c>
      <c r="G330" s="9"/>
      <c r="H330" s="10">
        <f t="shared" si="80"/>
        <v>0</v>
      </c>
      <c r="I330" s="8">
        <f>IFERROR(H330/H444, "NA")</f>
        <v>0</v>
      </c>
      <c r="J330" s="9"/>
      <c r="K330" s="7">
        <v>658.51</v>
      </c>
      <c r="L330" s="8">
        <f>IFERROR(K330/K444, "NA")</f>
        <v>6.8960685570858046E-3</v>
      </c>
      <c r="M330" s="9"/>
      <c r="N330" s="10">
        <f t="shared" si="81"/>
        <v>0</v>
      </c>
      <c r="O330" s="8">
        <f>IFERROR(N330/N444, "NA")</f>
        <v>0</v>
      </c>
      <c r="P330" s="9"/>
      <c r="Q330" s="7">
        <v>658.51</v>
      </c>
      <c r="R330" s="8">
        <f>IFERROR(Q330/Q444, "NA")</f>
        <v>7.2395964401295561E-3</v>
      </c>
      <c r="S330" s="9"/>
      <c r="T330" s="7">
        <v>658.51</v>
      </c>
      <c r="U330" s="8">
        <f>IFERROR(T330/T444, "NA")</f>
        <v>6.7807951028265962E-3</v>
      </c>
      <c r="V330" s="9"/>
      <c r="W330" s="10">
        <f t="shared" si="82"/>
        <v>0</v>
      </c>
      <c r="X330" s="8">
        <f>IFERROR(W330/W444, "NA")</f>
        <v>0</v>
      </c>
      <c r="Y330" s="9"/>
      <c r="Z330" s="7">
        <v>658.51</v>
      </c>
      <c r="AA330" s="8">
        <f>IFERROR(Z330/Z444, "NA")</f>
        <v>6.8960685570858046E-3</v>
      </c>
      <c r="AB330" s="9"/>
      <c r="AC330" s="10">
        <f t="shared" si="83"/>
        <v>0</v>
      </c>
      <c r="AD330" s="8">
        <f>IFERROR(AC330/AC444, "NA")</f>
        <v>0</v>
      </c>
    </row>
    <row r="331" spans="1:30" ht="16.5" hidden="1" customHeight="1" x14ac:dyDescent="0.45">
      <c r="A331" s="6" t="s">
        <v>302</v>
      </c>
      <c r="B331" s="7">
        <v>0</v>
      </c>
      <c r="C331" s="8">
        <f>IFERROR(B331/B444, "NA")</f>
        <v>0</v>
      </c>
      <c r="D331" s="9"/>
      <c r="E331" s="7">
        <v>0</v>
      </c>
      <c r="F331" s="8">
        <f>IFERROR(E331/E444, "NA")</f>
        <v>0</v>
      </c>
      <c r="G331" s="9"/>
      <c r="H331" s="10">
        <f t="shared" si="80"/>
        <v>0</v>
      </c>
      <c r="I331" s="8">
        <f>IFERROR(H331/H444, "NA")</f>
        <v>0</v>
      </c>
      <c r="J331" s="9"/>
      <c r="K331" s="7">
        <v>0</v>
      </c>
      <c r="L331" s="8">
        <f>IFERROR(K331/K444, "NA")</f>
        <v>0</v>
      </c>
      <c r="M331" s="9"/>
      <c r="N331" s="10">
        <f t="shared" si="81"/>
        <v>0</v>
      </c>
      <c r="O331" s="8">
        <f>IFERROR(N331/N444, "NA")</f>
        <v>0</v>
      </c>
      <c r="P331" s="9"/>
      <c r="Q331" s="7">
        <v>0</v>
      </c>
      <c r="R331" s="8">
        <f>IFERROR(Q331/Q444, "NA")</f>
        <v>0</v>
      </c>
      <c r="S331" s="9"/>
      <c r="T331" s="7">
        <v>0</v>
      </c>
      <c r="U331" s="8">
        <f>IFERROR(T331/T444, "NA")</f>
        <v>0</v>
      </c>
      <c r="V331" s="9"/>
      <c r="W331" s="10">
        <f t="shared" si="82"/>
        <v>0</v>
      </c>
      <c r="X331" s="8">
        <f>IFERROR(W331/W444, "NA")</f>
        <v>0</v>
      </c>
      <c r="Y331" s="9"/>
      <c r="Z331" s="7">
        <v>0</v>
      </c>
      <c r="AA331" s="8">
        <f>IFERROR(Z331/Z444, "NA")</f>
        <v>0</v>
      </c>
      <c r="AB331" s="9"/>
      <c r="AC331" s="10">
        <f t="shared" si="83"/>
        <v>0</v>
      </c>
      <c r="AD331" s="8">
        <f>IFERROR(AC331/AC444, "NA")</f>
        <v>0</v>
      </c>
    </row>
    <row r="332" spans="1:30" ht="16.5" hidden="1" customHeight="1" x14ac:dyDescent="0.45">
      <c r="A332" s="6" t="s">
        <v>303</v>
      </c>
      <c r="B332" s="7">
        <v>0</v>
      </c>
      <c r="C332" s="8">
        <f>IFERROR(B332/B444, "NA")</f>
        <v>0</v>
      </c>
      <c r="D332" s="9"/>
      <c r="E332" s="7">
        <v>0</v>
      </c>
      <c r="F332" s="8">
        <f>IFERROR(E332/E444, "NA")</f>
        <v>0</v>
      </c>
      <c r="G332" s="9"/>
      <c r="H332" s="10">
        <f t="shared" si="80"/>
        <v>0</v>
      </c>
      <c r="I332" s="8">
        <f>IFERROR(H332/H444, "NA")</f>
        <v>0</v>
      </c>
      <c r="J332" s="9"/>
      <c r="K332" s="7">
        <v>0</v>
      </c>
      <c r="L332" s="8">
        <f>IFERROR(K332/K444, "NA")</f>
        <v>0</v>
      </c>
      <c r="M332" s="9"/>
      <c r="N332" s="10">
        <f t="shared" si="81"/>
        <v>0</v>
      </c>
      <c r="O332" s="8">
        <f>IFERROR(N332/N444, "NA")</f>
        <v>0</v>
      </c>
      <c r="P332" s="9"/>
      <c r="Q332" s="7">
        <v>0</v>
      </c>
      <c r="R332" s="8">
        <f>IFERROR(Q332/Q444, "NA")</f>
        <v>0</v>
      </c>
      <c r="S332" s="9"/>
      <c r="T332" s="7">
        <v>0</v>
      </c>
      <c r="U332" s="8">
        <f>IFERROR(T332/T444, "NA")</f>
        <v>0</v>
      </c>
      <c r="V332" s="9"/>
      <c r="W332" s="10">
        <f t="shared" si="82"/>
        <v>0</v>
      </c>
      <c r="X332" s="8">
        <f>IFERROR(W332/W444, "NA")</f>
        <v>0</v>
      </c>
      <c r="Y332" s="9"/>
      <c r="Z332" s="7">
        <v>0</v>
      </c>
      <c r="AA332" s="8">
        <f>IFERROR(Z332/Z444, "NA")</f>
        <v>0</v>
      </c>
      <c r="AB332" s="9"/>
      <c r="AC332" s="10">
        <f t="shared" si="83"/>
        <v>0</v>
      </c>
      <c r="AD332" s="8">
        <f>IFERROR(AC332/AC444, "NA")</f>
        <v>0</v>
      </c>
    </row>
    <row r="333" spans="1:30" ht="16.5" customHeight="1" x14ac:dyDescent="0.45">
      <c r="A333" s="6" t="s">
        <v>304</v>
      </c>
      <c r="B333" s="7">
        <v>855.93</v>
      </c>
      <c r="C333" s="8">
        <f>IFERROR(B333/B444, "NA")</f>
        <v>9.4100131827915909E-3</v>
      </c>
      <c r="D333" s="9"/>
      <c r="E333" s="7">
        <v>856</v>
      </c>
      <c r="F333" s="8">
        <f>IFERROR(E333/E444, "NA")</f>
        <v>8.8143849114205811E-3</v>
      </c>
      <c r="G333" s="9"/>
      <c r="H333" s="10">
        <f t="shared" si="80"/>
        <v>7.0000000000050022E-2</v>
      </c>
      <c r="I333" s="8">
        <f>IFERROR(H333/H444, "NA")</f>
        <v>-1.1373810015135312E-5</v>
      </c>
      <c r="J333" s="9"/>
      <c r="K333" s="7">
        <v>760.64</v>
      </c>
      <c r="L333" s="8">
        <f>IFERROR(K333/K444, "NA")</f>
        <v>7.9655974658877568E-3</v>
      </c>
      <c r="M333" s="9"/>
      <c r="N333" s="10">
        <f t="shared" si="81"/>
        <v>-95.289999999999964</v>
      </c>
      <c r="O333" s="8">
        <f>IFERROR(N333/N444, "NA")</f>
        <v>2.10299813513126E-2</v>
      </c>
      <c r="P333" s="9"/>
      <c r="Q333" s="7">
        <v>855.93</v>
      </c>
      <c r="R333" s="8">
        <f>IFERROR(Q333/Q444, "NA")</f>
        <v>9.4100131827915909E-3</v>
      </c>
      <c r="S333" s="9"/>
      <c r="T333" s="7">
        <v>856</v>
      </c>
      <c r="U333" s="8">
        <f>IFERROR(T333/T444, "NA")</f>
        <v>8.8143849114205811E-3</v>
      </c>
      <c r="V333" s="9"/>
      <c r="W333" s="10">
        <f t="shared" si="82"/>
        <v>7.0000000000050022E-2</v>
      </c>
      <c r="X333" s="8">
        <f>IFERROR(W333/W444, "NA")</f>
        <v>-1.1373810015135312E-5</v>
      </c>
      <c r="Y333" s="9"/>
      <c r="Z333" s="7">
        <v>760.64</v>
      </c>
      <c r="AA333" s="8">
        <f>IFERROR(Z333/Z444, "NA")</f>
        <v>7.9655974658877568E-3</v>
      </c>
      <c r="AB333" s="9"/>
      <c r="AC333" s="10">
        <f t="shared" si="83"/>
        <v>-95.289999999999964</v>
      </c>
      <c r="AD333" s="8">
        <f>IFERROR(AC333/AC444, "NA")</f>
        <v>2.10299813513126E-2</v>
      </c>
    </row>
    <row r="334" spans="1:30" ht="16.5" customHeight="1" x14ac:dyDescent="0.45">
      <c r="A334" s="6" t="s">
        <v>305</v>
      </c>
      <c r="B334" s="7">
        <v>-1544.55</v>
      </c>
      <c r="C334" s="8">
        <f>IFERROR(B334/B444, "NA")</f>
        <v>-1.6980636105149664E-2</v>
      </c>
      <c r="D334" s="9"/>
      <c r="E334" s="7">
        <v>-1544.55</v>
      </c>
      <c r="F334" s="8">
        <f>IFERROR(E334/E444, "NA")</f>
        <v>-1.5904507260437684E-2</v>
      </c>
      <c r="G334" s="9"/>
      <c r="H334" s="10">
        <f t="shared" si="80"/>
        <v>0</v>
      </c>
      <c r="I334" s="8">
        <f>IFERROR(H334/H444, "NA")</f>
        <v>0</v>
      </c>
      <c r="J334" s="9"/>
      <c r="K334" s="7">
        <v>-1506.87</v>
      </c>
      <c r="L334" s="8">
        <f>IFERROR(K334/K444, "NA")</f>
        <v>-1.5780290089164758E-2</v>
      </c>
      <c r="M334" s="9"/>
      <c r="N334" s="10">
        <f t="shared" si="81"/>
        <v>37.680000000000064</v>
      </c>
      <c r="O334" s="8">
        <f>IFERROR(N334/N444, "NA")</f>
        <v>-8.3157697273319384E-3</v>
      </c>
      <c r="P334" s="9"/>
      <c r="Q334" s="7">
        <v>-1544.55</v>
      </c>
      <c r="R334" s="8">
        <f>IFERROR(Q334/Q444, "NA")</f>
        <v>-1.6980636105149664E-2</v>
      </c>
      <c r="S334" s="9"/>
      <c r="T334" s="7">
        <v>-1544.55</v>
      </c>
      <c r="U334" s="8">
        <f>IFERROR(T334/T444, "NA")</f>
        <v>-1.5904507260437684E-2</v>
      </c>
      <c r="V334" s="9"/>
      <c r="W334" s="10">
        <f t="shared" si="82"/>
        <v>0</v>
      </c>
      <c r="X334" s="8">
        <f>IFERROR(W334/W444, "NA")</f>
        <v>0</v>
      </c>
      <c r="Y334" s="9"/>
      <c r="Z334" s="7">
        <v>-1506.87</v>
      </c>
      <c r="AA334" s="8">
        <f>IFERROR(Z334/Z444, "NA")</f>
        <v>-1.5780290089164758E-2</v>
      </c>
      <c r="AB334" s="9"/>
      <c r="AC334" s="10">
        <f t="shared" si="83"/>
        <v>37.680000000000064</v>
      </c>
      <c r="AD334" s="8">
        <f>IFERROR(AC334/AC444, "NA")</f>
        <v>-8.3157697273319384E-3</v>
      </c>
    </row>
    <row r="335" spans="1:30" ht="16.5" hidden="1" customHeight="1" x14ac:dyDescent="0.45">
      <c r="A335" s="6" t="s">
        <v>306</v>
      </c>
      <c r="B335" s="7">
        <v>0</v>
      </c>
      <c r="C335" s="8">
        <f>IFERROR(B335/B444, "NA")</f>
        <v>0</v>
      </c>
      <c r="D335" s="9"/>
      <c r="E335" s="7">
        <v>0</v>
      </c>
      <c r="F335" s="8">
        <f>IFERROR(E335/E444, "NA")</f>
        <v>0</v>
      </c>
      <c r="G335" s="9"/>
      <c r="H335" s="10">
        <f t="shared" si="80"/>
        <v>0</v>
      </c>
      <c r="I335" s="8">
        <f>IFERROR(H335/H444, "NA")</f>
        <v>0</v>
      </c>
      <c r="J335" s="9"/>
      <c r="K335" s="7">
        <v>0</v>
      </c>
      <c r="L335" s="8">
        <f>IFERROR(K335/K444, "NA")</f>
        <v>0</v>
      </c>
      <c r="M335" s="9"/>
      <c r="N335" s="10">
        <f t="shared" si="81"/>
        <v>0</v>
      </c>
      <c r="O335" s="8">
        <f>IFERROR(N335/N444, "NA")</f>
        <v>0</v>
      </c>
      <c r="P335" s="9"/>
      <c r="Q335" s="7">
        <v>0</v>
      </c>
      <c r="R335" s="8">
        <f>IFERROR(Q335/Q444, "NA")</f>
        <v>0</v>
      </c>
      <c r="S335" s="9"/>
      <c r="T335" s="7">
        <v>0</v>
      </c>
      <c r="U335" s="8">
        <f>IFERROR(T335/T444, "NA")</f>
        <v>0</v>
      </c>
      <c r="V335" s="9"/>
      <c r="W335" s="10">
        <f t="shared" si="82"/>
        <v>0</v>
      </c>
      <c r="X335" s="8">
        <f>IFERROR(W335/W444, "NA")</f>
        <v>0</v>
      </c>
      <c r="Y335" s="9"/>
      <c r="Z335" s="7">
        <v>0</v>
      </c>
      <c r="AA335" s="8">
        <f>IFERROR(Z335/Z444, "NA")</f>
        <v>0</v>
      </c>
      <c r="AB335" s="9"/>
      <c r="AC335" s="10">
        <f t="shared" si="83"/>
        <v>0</v>
      </c>
      <c r="AD335" s="8">
        <f>IFERROR(AC335/AC444, "NA")</f>
        <v>0</v>
      </c>
    </row>
    <row r="336" spans="1:30" ht="16.5" customHeight="1" x14ac:dyDescent="0.45">
      <c r="A336" s="11" t="s">
        <v>307</v>
      </c>
      <c r="B336" s="2"/>
      <c r="C336" s="3"/>
      <c r="D336" s="4"/>
      <c r="E336" s="2"/>
      <c r="F336" s="3"/>
      <c r="G336" s="4"/>
      <c r="H336" s="2"/>
      <c r="I336" s="3"/>
      <c r="J336" s="4"/>
      <c r="K336" s="2"/>
      <c r="L336" s="3"/>
      <c r="M336" s="4"/>
      <c r="N336" s="2"/>
      <c r="O336" s="3"/>
      <c r="P336" s="4"/>
      <c r="Q336" s="2"/>
      <c r="R336" s="3"/>
      <c r="S336" s="4"/>
      <c r="T336" s="2"/>
      <c r="U336" s="3"/>
      <c r="V336" s="4"/>
      <c r="W336" s="2"/>
      <c r="X336" s="3"/>
      <c r="Y336" s="4"/>
      <c r="Z336" s="2"/>
      <c r="AA336" s="3"/>
      <c r="AB336" s="4"/>
      <c r="AC336" s="2"/>
      <c r="AD336" s="3"/>
    </row>
    <row r="337" spans="1:30" ht="16.5" hidden="1" customHeight="1" x14ac:dyDescent="0.45">
      <c r="A337" s="12" t="s">
        <v>307</v>
      </c>
      <c r="B337" s="7">
        <v>0</v>
      </c>
      <c r="C337" s="8">
        <f>IFERROR(B337/B444, "NA")</f>
        <v>0</v>
      </c>
      <c r="D337" s="9"/>
      <c r="E337" s="7">
        <v>0</v>
      </c>
      <c r="F337" s="8">
        <f>IFERROR(E337/E444, "NA")</f>
        <v>0</v>
      </c>
      <c r="G337" s="9"/>
      <c r="H337" s="10">
        <f t="shared" ref="H337:H344" si="84">IFERROR(-(B337-E337), "NA")</f>
        <v>0</v>
      </c>
      <c r="I337" s="8">
        <f>IFERROR(H337/H444, "NA")</f>
        <v>0</v>
      </c>
      <c r="J337" s="9"/>
      <c r="K337" s="7">
        <v>0</v>
      </c>
      <c r="L337" s="8">
        <f>IFERROR(K337/K444, "NA")</f>
        <v>0</v>
      </c>
      <c r="M337" s="9"/>
      <c r="N337" s="10">
        <f t="shared" ref="N337:N344" si="85">IFERROR(-(B337-K337), "NA")</f>
        <v>0</v>
      </c>
      <c r="O337" s="8">
        <f>IFERROR(N337/N444, "NA")</f>
        <v>0</v>
      </c>
      <c r="P337" s="9"/>
      <c r="Q337" s="7">
        <v>0</v>
      </c>
      <c r="R337" s="8">
        <f>IFERROR(Q337/Q444, "NA")</f>
        <v>0</v>
      </c>
      <c r="S337" s="9"/>
      <c r="T337" s="7">
        <v>0</v>
      </c>
      <c r="U337" s="8">
        <f>IFERROR(T337/T444, "NA")</f>
        <v>0</v>
      </c>
      <c r="V337" s="9"/>
      <c r="W337" s="10">
        <f t="shared" ref="W337:W344" si="86">IFERROR(-(Q337-T337), "NA")</f>
        <v>0</v>
      </c>
      <c r="X337" s="8">
        <f>IFERROR(W337/W444, "NA")</f>
        <v>0</v>
      </c>
      <c r="Y337" s="9"/>
      <c r="Z337" s="7">
        <v>0</v>
      </c>
      <c r="AA337" s="8">
        <f>IFERROR(Z337/Z444, "NA")</f>
        <v>0</v>
      </c>
      <c r="AB337" s="9"/>
      <c r="AC337" s="10">
        <f t="shared" ref="AC337:AC344" si="87">IFERROR(-(Q337-Z337), "NA")</f>
        <v>0</v>
      </c>
      <c r="AD337" s="8">
        <f>IFERROR(AC337/AC444, "NA")</f>
        <v>0</v>
      </c>
    </row>
    <row r="338" spans="1:30" ht="16.5" customHeight="1" x14ac:dyDescent="0.45">
      <c r="A338" s="12" t="s">
        <v>308</v>
      </c>
      <c r="B338" s="7">
        <v>1933.11</v>
      </c>
      <c r="C338" s="8">
        <f>IFERROR(B338/B444, "NA")</f>
        <v>2.1252427866515079E-2</v>
      </c>
      <c r="D338" s="9"/>
      <c r="E338" s="7">
        <v>2039.39</v>
      </c>
      <c r="F338" s="8">
        <f>IFERROR(E338/E444, "NA")</f>
        <v>2.0999963136100488E-2</v>
      </c>
      <c r="G338" s="9"/>
      <c r="H338" s="10">
        <f t="shared" si="84"/>
        <v>106.2800000000002</v>
      </c>
      <c r="I338" s="8">
        <f>IFERROR(H338/H444, "NA")</f>
        <v>-1.726869326296742E-2</v>
      </c>
      <c r="J338" s="9"/>
      <c r="K338" s="7">
        <v>1801.37</v>
      </c>
      <c r="L338" s="8">
        <f>IFERROR(K338/K444, "NA")</f>
        <v>1.8864361994013232E-2</v>
      </c>
      <c r="M338" s="9"/>
      <c r="N338" s="10">
        <f t="shared" si="85"/>
        <v>-131.74</v>
      </c>
      <c r="O338" s="8">
        <f>IFERROR(N338/N444, "NA")</f>
        <v>2.9074296812067617E-2</v>
      </c>
      <c r="P338" s="9"/>
      <c r="Q338" s="7">
        <v>1933.11</v>
      </c>
      <c r="R338" s="8">
        <f>IFERROR(Q338/Q444, "NA")</f>
        <v>2.1252427866515079E-2</v>
      </c>
      <c r="S338" s="9"/>
      <c r="T338" s="7">
        <v>2039.39</v>
      </c>
      <c r="U338" s="8">
        <f>IFERROR(T338/T444, "NA")</f>
        <v>2.0999963136100488E-2</v>
      </c>
      <c r="V338" s="9"/>
      <c r="W338" s="10">
        <f t="shared" si="86"/>
        <v>106.2800000000002</v>
      </c>
      <c r="X338" s="8">
        <f>IFERROR(W338/W444, "NA")</f>
        <v>-1.726869326296742E-2</v>
      </c>
      <c r="Y338" s="9"/>
      <c r="Z338" s="7">
        <v>1801.37</v>
      </c>
      <c r="AA338" s="8">
        <f>IFERROR(Z338/Z444, "NA")</f>
        <v>1.8864361994013232E-2</v>
      </c>
      <c r="AB338" s="9"/>
      <c r="AC338" s="10">
        <f t="shared" si="87"/>
        <v>-131.74</v>
      </c>
      <c r="AD338" s="8">
        <f>IFERROR(AC338/AC444, "NA")</f>
        <v>2.9074296812067617E-2</v>
      </c>
    </row>
    <row r="339" spans="1:30" ht="16.5" customHeight="1" x14ac:dyDescent="0.45">
      <c r="A339" s="12" t="s">
        <v>309</v>
      </c>
      <c r="B339" s="7">
        <v>1064.33</v>
      </c>
      <c r="C339" s="8">
        <f>IFERROR(B339/B444, "NA")</f>
        <v>1.1701143003330382E-2</v>
      </c>
      <c r="D339" s="9"/>
      <c r="E339" s="7">
        <v>679.8</v>
      </c>
      <c r="F339" s="8">
        <f>IFERROR(E339/E444, "NA")</f>
        <v>7.0000220359622781E-3</v>
      </c>
      <c r="G339" s="9"/>
      <c r="H339" s="10">
        <f t="shared" si="84"/>
        <v>-384.53</v>
      </c>
      <c r="I339" s="8">
        <f>IFERROR(H339/H444, "NA")</f>
        <v>6.247958807309794E-2</v>
      </c>
      <c r="J339" s="9"/>
      <c r="K339" s="7">
        <v>1067.49</v>
      </c>
      <c r="L339" s="8">
        <f>IFERROR(K339/K444, "NA")</f>
        <v>1.1179001418358909E-2</v>
      </c>
      <c r="M339" s="9"/>
      <c r="N339" s="10">
        <f t="shared" si="85"/>
        <v>3.1600000000000819</v>
      </c>
      <c r="O339" s="8">
        <f>IFERROR(N339/N444, "NA")</f>
        <v>-6.9739470112445759E-4</v>
      </c>
      <c r="P339" s="9"/>
      <c r="Q339" s="7">
        <v>1064.33</v>
      </c>
      <c r="R339" s="8">
        <f>IFERROR(Q339/Q444, "NA")</f>
        <v>1.1701143003330382E-2</v>
      </c>
      <c r="S339" s="9"/>
      <c r="T339" s="7">
        <v>679.8</v>
      </c>
      <c r="U339" s="8">
        <f>IFERROR(T339/T444, "NA")</f>
        <v>7.0000220359622781E-3</v>
      </c>
      <c r="V339" s="9"/>
      <c r="W339" s="10">
        <f t="shared" si="86"/>
        <v>-384.53</v>
      </c>
      <c r="X339" s="8">
        <f>IFERROR(W339/W444, "NA")</f>
        <v>6.247958807309794E-2</v>
      </c>
      <c r="Y339" s="9"/>
      <c r="Z339" s="7">
        <v>1067.49</v>
      </c>
      <c r="AA339" s="8">
        <f>IFERROR(Z339/Z444, "NA")</f>
        <v>1.1179001418358909E-2</v>
      </c>
      <c r="AB339" s="9"/>
      <c r="AC339" s="10">
        <f t="shared" si="87"/>
        <v>3.1600000000000819</v>
      </c>
      <c r="AD339" s="8">
        <f>IFERROR(AC339/AC444, "NA")</f>
        <v>-6.9739470112445759E-4</v>
      </c>
    </row>
    <row r="340" spans="1:30" ht="16.5" customHeight="1" x14ac:dyDescent="0.45">
      <c r="A340" s="12" t="s">
        <v>310</v>
      </c>
      <c r="B340" s="7">
        <v>819.94</v>
      </c>
      <c r="C340" s="8">
        <f>IFERROR(B340/B444, "NA")</f>
        <v>9.014342538640004E-3</v>
      </c>
      <c r="D340" s="9"/>
      <c r="E340" s="7">
        <v>679.8</v>
      </c>
      <c r="F340" s="8">
        <f>IFERROR(E340/E444, "NA")</f>
        <v>7.0000220359622781E-3</v>
      </c>
      <c r="G340" s="9"/>
      <c r="H340" s="10">
        <f t="shared" si="84"/>
        <v>-140.1400000000001</v>
      </c>
      <c r="I340" s="8">
        <f>IFERROR(H340/H444, "NA")</f>
        <v>2.2770367650284638E-2</v>
      </c>
      <c r="J340" s="9"/>
      <c r="K340" s="7">
        <v>980.57</v>
      </c>
      <c r="L340" s="8">
        <f>IFERROR(K340/K444, "NA")</f>
        <v>1.0268755136629098E-2</v>
      </c>
      <c r="M340" s="9"/>
      <c r="N340" s="10">
        <f t="shared" si="85"/>
        <v>160.63</v>
      </c>
      <c r="O340" s="8">
        <f>IFERROR(N340/N444, "NA")</f>
        <v>-3.5450161658740098E-2</v>
      </c>
      <c r="P340" s="9"/>
      <c r="Q340" s="7">
        <v>819.94</v>
      </c>
      <c r="R340" s="8">
        <f>IFERROR(Q340/Q444, "NA")</f>
        <v>9.014342538640004E-3</v>
      </c>
      <c r="S340" s="9"/>
      <c r="T340" s="7">
        <v>679.8</v>
      </c>
      <c r="U340" s="8">
        <f>IFERROR(T340/T444, "NA")</f>
        <v>7.0000220359622781E-3</v>
      </c>
      <c r="V340" s="9"/>
      <c r="W340" s="10">
        <f t="shared" si="86"/>
        <v>-140.1400000000001</v>
      </c>
      <c r="X340" s="8">
        <f>IFERROR(W340/W444, "NA")</f>
        <v>2.2770367650284638E-2</v>
      </c>
      <c r="Y340" s="9"/>
      <c r="Z340" s="7">
        <v>980.57</v>
      </c>
      <c r="AA340" s="8">
        <f>IFERROR(Z340/Z444, "NA")</f>
        <v>1.0268755136629098E-2</v>
      </c>
      <c r="AB340" s="9"/>
      <c r="AC340" s="10">
        <f t="shared" si="87"/>
        <v>160.63</v>
      </c>
      <c r="AD340" s="8">
        <f>IFERROR(AC340/AC444, "NA")</f>
        <v>-3.5450161658740098E-2</v>
      </c>
    </row>
    <row r="341" spans="1:30" ht="16.5" customHeight="1" x14ac:dyDescent="0.45">
      <c r="A341" s="12" t="s">
        <v>311</v>
      </c>
      <c r="B341" s="7">
        <v>1031.99</v>
      </c>
      <c r="C341" s="8">
        <f>IFERROR(B341/B444, "NA")</f>
        <v>1.134560011275349E-2</v>
      </c>
      <c r="D341" s="9"/>
      <c r="E341" s="7">
        <v>874.03</v>
      </c>
      <c r="F341" s="8">
        <f>IFERROR(E341/E444, "NA")</f>
        <v>9.000043042206694E-3</v>
      </c>
      <c r="G341" s="9"/>
      <c r="H341" s="10">
        <f t="shared" si="84"/>
        <v>-157.96000000000004</v>
      </c>
      <c r="I341" s="8">
        <f>IFERROR(H341/H444, "NA")</f>
        <v>2.5665814714135579E-2</v>
      </c>
      <c r="J341" s="9"/>
      <c r="K341" s="7">
        <v>1051.7</v>
      </c>
      <c r="L341" s="8">
        <f>IFERROR(K341/K444, "NA")</f>
        <v>1.1013644897552263E-2</v>
      </c>
      <c r="M341" s="9"/>
      <c r="N341" s="10">
        <f t="shared" si="85"/>
        <v>19.710000000000036</v>
      </c>
      <c r="O341" s="8">
        <f>IFERROR(N341/N444, "NA")</f>
        <v>-4.3498891010008631E-3</v>
      </c>
      <c r="P341" s="9"/>
      <c r="Q341" s="7">
        <v>1031.99</v>
      </c>
      <c r="R341" s="8">
        <f>IFERROR(Q341/Q444, "NA")</f>
        <v>1.134560011275349E-2</v>
      </c>
      <c r="S341" s="9"/>
      <c r="T341" s="7">
        <v>874.03</v>
      </c>
      <c r="U341" s="8">
        <f>IFERROR(T341/T444, "NA")</f>
        <v>9.000043042206694E-3</v>
      </c>
      <c r="V341" s="9"/>
      <c r="W341" s="10">
        <f t="shared" si="86"/>
        <v>-157.96000000000004</v>
      </c>
      <c r="X341" s="8">
        <f>IFERROR(W341/W444, "NA")</f>
        <v>2.5665814714135579E-2</v>
      </c>
      <c r="Y341" s="9"/>
      <c r="Z341" s="7">
        <v>1051.7</v>
      </c>
      <c r="AA341" s="8">
        <f>IFERROR(Z341/Z444, "NA")</f>
        <v>1.1013644897552263E-2</v>
      </c>
      <c r="AB341" s="9"/>
      <c r="AC341" s="10">
        <f t="shared" si="87"/>
        <v>19.710000000000036</v>
      </c>
      <c r="AD341" s="8">
        <f>IFERROR(AC341/AC444, "NA")</f>
        <v>-4.3498891010008631E-3</v>
      </c>
    </row>
    <row r="342" spans="1:30" ht="16.5" customHeight="1" x14ac:dyDescent="0.45">
      <c r="A342" s="13" t="s">
        <v>312</v>
      </c>
      <c r="B342" s="14">
        <f>IFERROR(B337+B338+B339+B340+B341, "NA")</f>
        <v>4849.37</v>
      </c>
      <c r="C342" s="15">
        <f>IFERROR(B342/B444, "NA")</f>
        <v>5.3313513521238955E-2</v>
      </c>
      <c r="D342" s="2"/>
      <c r="E342" s="14">
        <f>IFERROR(E337+E338+E339+E340+E341, "NA")</f>
        <v>4273.0199999999995</v>
      </c>
      <c r="F342" s="15">
        <f>IFERROR(E342/E444, "NA")</f>
        <v>4.4000050250231737E-2</v>
      </c>
      <c r="G342" s="2"/>
      <c r="H342" s="14">
        <f t="shared" si="84"/>
        <v>-576.35000000000036</v>
      </c>
      <c r="I342" s="15">
        <f>IFERROR(H342/H444, "NA")</f>
        <v>9.3647077174550813E-2</v>
      </c>
      <c r="J342" s="2"/>
      <c r="K342" s="14">
        <f>IFERROR(K337+K338+K339+K340+K341, "NA")</f>
        <v>4901.13</v>
      </c>
      <c r="L342" s="15">
        <f>IFERROR(K342/K444, "NA")</f>
        <v>5.1325763446553506E-2</v>
      </c>
      <c r="M342" s="2"/>
      <c r="N342" s="14">
        <f t="shared" si="85"/>
        <v>51.760000000000218</v>
      </c>
      <c r="O342" s="15">
        <f>IFERROR(N342/N444, "NA")</f>
        <v>-1.1423148648797829E-2</v>
      </c>
      <c r="P342" s="2"/>
      <c r="Q342" s="14">
        <f>IFERROR(Q337+Q338+Q339+Q340+Q341, "NA")</f>
        <v>4849.37</v>
      </c>
      <c r="R342" s="15">
        <f>IFERROR(Q342/Q444, "NA")</f>
        <v>5.3313513521238955E-2</v>
      </c>
      <c r="S342" s="2"/>
      <c r="T342" s="14">
        <f>IFERROR(T337+T338+T339+T340+T341, "NA")</f>
        <v>4273.0199999999995</v>
      </c>
      <c r="U342" s="15">
        <f>IFERROR(T342/T444, "NA")</f>
        <v>4.4000050250231737E-2</v>
      </c>
      <c r="V342" s="2"/>
      <c r="W342" s="14">
        <f t="shared" si="86"/>
        <v>-576.35000000000036</v>
      </c>
      <c r="X342" s="15">
        <f>IFERROR(W342/W444, "NA")</f>
        <v>9.3647077174550813E-2</v>
      </c>
      <c r="Y342" s="2"/>
      <c r="Z342" s="14">
        <f>IFERROR(Z337+Z338+Z339+Z340+Z341, "NA")</f>
        <v>4901.13</v>
      </c>
      <c r="AA342" s="15">
        <f>IFERROR(Z342/Z444, "NA")</f>
        <v>5.1325763446553506E-2</v>
      </c>
      <c r="AB342" s="2"/>
      <c r="AC342" s="14">
        <f t="shared" si="87"/>
        <v>51.760000000000218</v>
      </c>
      <c r="AD342" s="15">
        <f>IFERROR(AC342/AC444, "NA")</f>
        <v>-1.1423148648797829E-2</v>
      </c>
    </row>
    <row r="343" spans="1:30" ht="16.5" customHeight="1" x14ac:dyDescent="0.45">
      <c r="A343" s="19" t="s">
        <v>313</v>
      </c>
      <c r="B343" s="14">
        <f>IFERROR(B328+B329+B330+B331+B332+B333+B334+B335+B337+B338+B339+B340+B341, "NA")</f>
        <v>24878.300000000003</v>
      </c>
      <c r="C343" s="15">
        <f>IFERROR(B343/B444, "NA")</f>
        <v>0.2735096689746172</v>
      </c>
      <c r="D343" s="2"/>
      <c r="E343" s="14">
        <f>IFERROR(E328+E329+E330+E331+E332+E333+E334+E335+E337+E338+E339+E340+E341, "NA")</f>
        <v>24302.019999999997</v>
      </c>
      <c r="F343" s="15">
        <f>IFERROR(E343/E444, "NA")</f>
        <v>0.25024224112738452</v>
      </c>
      <c r="G343" s="2"/>
      <c r="H343" s="14">
        <f t="shared" si="84"/>
        <v>-576.28000000000611</v>
      </c>
      <c r="I343" s="15">
        <f>IFERROR(H343/H444, "NA")</f>
        <v>9.3635703364536624E-2</v>
      </c>
      <c r="J343" s="2"/>
      <c r="K343" s="14">
        <f>IFERROR(K328+K329+K330+K331+K332+K333+K334+K335+K337+K338+K339+K340+K341, "NA")</f>
        <v>24383.200000000001</v>
      </c>
      <c r="L343" s="15">
        <f>IFERROR(K343/K444, "NA")</f>
        <v>0.25534649259864634</v>
      </c>
      <c r="M343" s="2"/>
      <c r="N343" s="14">
        <f t="shared" si="85"/>
        <v>-495.10000000000218</v>
      </c>
      <c r="O343" s="15">
        <f>IFERROR(N343/N444, "NA")</f>
        <v>0.10926585966035175</v>
      </c>
      <c r="P343" s="2"/>
      <c r="Q343" s="14">
        <f>IFERROR(Q328+Q329+Q330+Q331+Q332+Q333+Q334+Q335+Q337+Q338+Q339+Q340+Q341, "NA")</f>
        <v>24878.300000000003</v>
      </c>
      <c r="R343" s="15">
        <f>IFERROR(Q343/Q444, "NA")</f>
        <v>0.2735096689746172</v>
      </c>
      <c r="S343" s="2"/>
      <c r="T343" s="14">
        <f>IFERROR(T328+T329+T330+T331+T332+T333+T334+T335+T337+T338+T339+T340+T341, "NA")</f>
        <v>24302.019999999997</v>
      </c>
      <c r="U343" s="15">
        <f>IFERROR(T343/T444, "NA")</f>
        <v>0.25024224112738452</v>
      </c>
      <c r="V343" s="2"/>
      <c r="W343" s="14">
        <f t="shared" si="86"/>
        <v>-576.28000000000611</v>
      </c>
      <c r="X343" s="15">
        <f>IFERROR(W343/W444, "NA")</f>
        <v>9.3635703364536624E-2</v>
      </c>
      <c r="Y343" s="2"/>
      <c r="Z343" s="14">
        <f>IFERROR(Z328+Z329+Z330+Z331+Z332+Z333+Z334+Z335+Z337+Z338+Z339+Z340+Z341, "NA")</f>
        <v>24383.200000000001</v>
      </c>
      <c r="AA343" s="15">
        <f>IFERROR(Z343/Z444, "NA")</f>
        <v>0.25534649259864634</v>
      </c>
      <c r="AB343" s="2"/>
      <c r="AC343" s="14">
        <f t="shared" si="87"/>
        <v>-495.10000000000218</v>
      </c>
      <c r="AD343" s="15">
        <f>IFERROR(AC343/AC444, "NA")</f>
        <v>0.10926585966035175</v>
      </c>
    </row>
    <row r="344" spans="1:30" ht="16.5" customHeight="1" x14ac:dyDescent="0.45">
      <c r="A344" s="21" t="s">
        <v>314</v>
      </c>
      <c r="B344" s="14">
        <f>IFERROR(B328+B329+B330+B331+B332+B333+B334+B335+B337+B338+B339+B340+B341, "NA")</f>
        <v>24878.300000000003</v>
      </c>
      <c r="C344" s="15">
        <f>IFERROR(B344/B444, "NA")</f>
        <v>0.2735096689746172</v>
      </c>
      <c r="D344" s="2"/>
      <c r="E344" s="14">
        <f>IFERROR(E328+E329+E330+E331+E332+E333+E334+E335+E337+E338+E339+E340+E341, "NA")</f>
        <v>24302.019999999997</v>
      </c>
      <c r="F344" s="15">
        <f>IFERROR(E344/E444, "NA")</f>
        <v>0.25024224112738452</v>
      </c>
      <c r="G344" s="2"/>
      <c r="H344" s="14">
        <f t="shared" si="84"/>
        <v>-576.28000000000611</v>
      </c>
      <c r="I344" s="15">
        <f>IFERROR(H344/H444, "NA")</f>
        <v>9.3635703364536624E-2</v>
      </c>
      <c r="J344" s="2"/>
      <c r="K344" s="14">
        <f>IFERROR(K328+K329+K330+K331+K332+K333+K334+K335+K337+K338+K339+K340+K341, "NA")</f>
        <v>24383.200000000001</v>
      </c>
      <c r="L344" s="15">
        <f>IFERROR(K344/K444, "NA")</f>
        <v>0.25534649259864634</v>
      </c>
      <c r="M344" s="2"/>
      <c r="N344" s="14">
        <f t="shared" si="85"/>
        <v>-495.10000000000218</v>
      </c>
      <c r="O344" s="15">
        <f>IFERROR(N344/N444, "NA")</f>
        <v>0.10926585966035175</v>
      </c>
      <c r="P344" s="2"/>
      <c r="Q344" s="14">
        <f>IFERROR(Q328+Q329+Q330+Q331+Q332+Q333+Q334+Q335+Q337+Q338+Q339+Q340+Q341, "NA")</f>
        <v>24878.300000000003</v>
      </c>
      <c r="R344" s="15">
        <f>IFERROR(Q344/Q444, "NA")</f>
        <v>0.2735096689746172</v>
      </c>
      <c r="S344" s="2"/>
      <c r="T344" s="14">
        <f>IFERROR(T328+T329+T330+T331+T332+T333+T334+T335+T337+T338+T339+T340+T341, "NA")</f>
        <v>24302.019999999997</v>
      </c>
      <c r="U344" s="15">
        <f>IFERROR(T344/T444, "NA")</f>
        <v>0.25024224112738452</v>
      </c>
      <c r="V344" s="2"/>
      <c r="W344" s="14">
        <f t="shared" si="86"/>
        <v>-576.28000000000611</v>
      </c>
      <c r="X344" s="15">
        <f>IFERROR(W344/W444, "NA")</f>
        <v>9.3635703364536624E-2</v>
      </c>
      <c r="Y344" s="2"/>
      <c r="Z344" s="14">
        <f>IFERROR(Z328+Z329+Z330+Z331+Z332+Z333+Z334+Z335+Z337+Z338+Z339+Z340+Z341, "NA")</f>
        <v>24383.200000000001</v>
      </c>
      <c r="AA344" s="15">
        <f>IFERROR(Z344/Z444, "NA")</f>
        <v>0.25534649259864634</v>
      </c>
      <c r="AB344" s="2"/>
      <c r="AC344" s="14">
        <f t="shared" si="87"/>
        <v>-495.10000000000218</v>
      </c>
      <c r="AD344" s="15">
        <f>IFERROR(AC344/AC444, "NA")</f>
        <v>0.10926585966035175</v>
      </c>
    </row>
    <row r="345" spans="1:30" ht="16.5" customHeight="1" x14ac:dyDescent="0.45">
      <c r="A345" s="22" t="s">
        <v>315</v>
      </c>
      <c r="B345" s="23">
        <f>IFERROR(B198-B325-B344, "NA")</f>
        <v>-12398.820000000018</v>
      </c>
      <c r="C345" s="24">
        <f>IFERROR(B345/B444, "NA")</f>
        <v>-0.13631145029507111</v>
      </c>
      <c r="D345" s="25"/>
      <c r="E345" s="23">
        <f>IFERROR(E198-E325-E344, "NA")</f>
        <v>-5956.5399999999827</v>
      </c>
      <c r="F345" s="24">
        <f>IFERROR(E345/E444, "NA")</f>
        <v>-6.1335556425552565E-2</v>
      </c>
      <c r="G345" s="25"/>
      <c r="H345" s="23">
        <f>IFERROR(B345-E345, "NA")</f>
        <v>-6442.2800000000352</v>
      </c>
      <c r="I345" s="24">
        <f>IFERROR(H345/H444, "NA")</f>
        <v>1.0467609826321995</v>
      </c>
      <c r="J345" s="25"/>
      <c r="K345" s="23">
        <f>IFERROR(K198-K325-K344, "NA")</f>
        <v>-7297.4499999999898</v>
      </c>
      <c r="L345" s="24">
        <f>IFERROR(K345/K444, "NA")</f>
        <v>-7.6420579022195165E-2</v>
      </c>
      <c r="M345" s="25"/>
      <c r="N345" s="23">
        <f>IFERROR(B345-K345, "NA")</f>
        <v>-5101.3700000000281</v>
      </c>
      <c r="O345" s="24">
        <f>IFERROR(N345/N444, "NA")</f>
        <v>1.1258444324288612</v>
      </c>
      <c r="P345" s="25"/>
      <c r="Q345" s="23">
        <f>IFERROR(Q198-Q325-Q344, "NA")</f>
        <v>-12398.820000000018</v>
      </c>
      <c r="R345" s="24">
        <f>IFERROR(Q345/Q444, "NA")</f>
        <v>-0.13631145029507111</v>
      </c>
      <c r="S345" s="25"/>
      <c r="T345" s="23">
        <f>IFERROR(T198-T325-T344, "NA")</f>
        <v>-5956.5399999999827</v>
      </c>
      <c r="U345" s="24">
        <f>IFERROR(T345/T444, "NA")</f>
        <v>-6.1335556425552565E-2</v>
      </c>
      <c r="V345" s="25"/>
      <c r="W345" s="23">
        <f>IFERROR(Q345-T345, "NA")</f>
        <v>-6442.2800000000352</v>
      </c>
      <c r="X345" s="24">
        <f>IFERROR(W345/W444, "NA")</f>
        <v>1.0467609826321995</v>
      </c>
      <c r="Y345" s="25"/>
      <c r="Z345" s="23">
        <f>IFERROR(Z198-Z325-Z344, "NA")</f>
        <v>-7297.4499999999898</v>
      </c>
      <c r="AA345" s="24">
        <f>IFERROR(Z345/Z444, "NA")</f>
        <v>-7.6420579022195165E-2</v>
      </c>
      <c r="AB345" s="25"/>
      <c r="AC345" s="23">
        <f>IFERROR(Q345-Z345, "NA")</f>
        <v>-5101.3700000000281</v>
      </c>
      <c r="AD345" s="24">
        <f>IFERROR(AC345/AC444, "NA")</f>
        <v>1.1258444324288612</v>
      </c>
    </row>
    <row r="346" spans="1:30" ht="16.5" customHeight="1" x14ac:dyDescent="0.45">
      <c r="A346" s="1" t="s">
        <v>316</v>
      </c>
      <c r="B346" s="2"/>
      <c r="C346" s="3"/>
      <c r="D346" s="4"/>
      <c r="E346" s="2"/>
      <c r="F346" s="3"/>
      <c r="G346" s="4"/>
      <c r="H346" s="2"/>
      <c r="I346" s="3"/>
      <c r="J346" s="4"/>
      <c r="K346" s="2"/>
      <c r="L346" s="3"/>
      <c r="M346" s="4"/>
      <c r="N346" s="2"/>
      <c r="O346" s="3"/>
      <c r="P346" s="4"/>
      <c r="Q346" s="2"/>
      <c r="R346" s="3"/>
      <c r="S346" s="4"/>
      <c r="T346" s="2"/>
      <c r="U346" s="3"/>
      <c r="V346" s="4"/>
      <c r="W346" s="2"/>
      <c r="X346" s="3"/>
      <c r="Y346" s="4"/>
      <c r="Z346" s="2"/>
      <c r="AA346" s="3"/>
      <c r="AB346" s="4"/>
      <c r="AC346" s="2"/>
      <c r="AD346" s="3"/>
    </row>
    <row r="347" spans="1:30" ht="16.5" hidden="1" customHeight="1" x14ac:dyDescent="0.45">
      <c r="A347" s="20" t="s">
        <v>317</v>
      </c>
      <c r="B347" s="7">
        <v>0</v>
      </c>
      <c r="C347" s="8">
        <f>IFERROR(B347/B444, "NA")</f>
        <v>0</v>
      </c>
      <c r="D347" s="9"/>
      <c r="E347" s="7">
        <v>0</v>
      </c>
      <c r="F347" s="8">
        <f>IFERROR(E347/E444, "NA")</f>
        <v>0</v>
      </c>
      <c r="G347" s="9"/>
      <c r="H347" s="10">
        <f>IFERROR(-(B347-E347), "NA")</f>
        <v>0</v>
      </c>
      <c r="I347" s="8">
        <f>IFERROR(H347/H444, "NA")</f>
        <v>0</v>
      </c>
      <c r="J347" s="9"/>
      <c r="K347" s="7">
        <v>0</v>
      </c>
      <c r="L347" s="8">
        <f>IFERROR(K347/K444, "NA")</f>
        <v>0</v>
      </c>
      <c r="M347" s="9"/>
      <c r="N347" s="10">
        <f>IFERROR(-(B347-K347), "NA")</f>
        <v>0</v>
      </c>
      <c r="O347" s="8">
        <f>IFERROR(N347/N444, "NA")</f>
        <v>0</v>
      </c>
      <c r="P347" s="9"/>
      <c r="Q347" s="7">
        <v>0</v>
      </c>
      <c r="R347" s="8">
        <f>IFERROR(Q347/Q444, "NA")</f>
        <v>0</v>
      </c>
      <c r="S347" s="9"/>
      <c r="T347" s="7">
        <v>0</v>
      </c>
      <c r="U347" s="8">
        <f>IFERROR(T347/T444, "NA")</f>
        <v>0</v>
      </c>
      <c r="V347" s="9"/>
      <c r="W347" s="10">
        <f>IFERROR(-(Q347-T347), "NA")</f>
        <v>0</v>
      </c>
      <c r="X347" s="8">
        <f>IFERROR(W347/W444, "NA")</f>
        <v>0</v>
      </c>
      <c r="Y347" s="9"/>
      <c r="Z347" s="7">
        <v>0</v>
      </c>
      <c r="AA347" s="8">
        <f>IFERROR(Z347/Z444, "NA")</f>
        <v>0</v>
      </c>
      <c r="AB347" s="9"/>
      <c r="AC347" s="10">
        <f>IFERROR(-(Q347-Z347), "NA")</f>
        <v>0</v>
      </c>
      <c r="AD347" s="8">
        <f>IFERROR(AC347/AC444, "NA")</f>
        <v>0</v>
      </c>
    </row>
    <row r="348" spans="1:30" ht="16.5" customHeight="1" x14ac:dyDescent="0.45">
      <c r="A348" s="5" t="s">
        <v>318</v>
      </c>
      <c r="B348" s="2"/>
      <c r="C348" s="3"/>
      <c r="D348" s="4"/>
      <c r="E348" s="2"/>
      <c r="F348" s="3"/>
      <c r="G348" s="4"/>
      <c r="H348" s="2"/>
      <c r="I348" s="3"/>
      <c r="J348" s="4"/>
      <c r="K348" s="2"/>
      <c r="L348" s="3"/>
      <c r="M348" s="4"/>
      <c r="N348" s="2"/>
      <c r="O348" s="3"/>
      <c r="P348" s="4"/>
      <c r="Q348" s="2"/>
      <c r="R348" s="3"/>
      <c r="S348" s="4"/>
      <c r="T348" s="2"/>
      <c r="U348" s="3"/>
      <c r="V348" s="4"/>
      <c r="W348" s="2"/>
      <c r="X348" s="3"/>
      <c r="Y348" s="4"/>
      <c r="Z348" s="2"/>
      <c r="AA348" s="3"/>
      <c r="AB348" s="4"/>
      <c r="AC348" s="2"/>
      <c r="AD348" s="3"/>
    </row>
    <row r="349" spans="1:30" ht="16.5" hidden="1" customHeight="1" x14ac:dyDescent="0.45">
      <c r="A349" s="6" t="s">
        <v>318</v>
      </c>
      <c r="B349" s="7">
        <v>0</v>
      </c>
      <c r="C349" s="8">
        <f>IFERROR(B349/B444, "NA")</f>
        <v>0</v>
      </c>
      <c r="D349" s="9"/>
      <c r="E349" s="7">
        <v>0</v>
      </c>
      <c r="F349" s="8">
        <f>IFERROR(E349/E444, "NA")</f>
        <v>0</v>
      </c>
      <c r="G349" s="9"/>
      <c r="H349" s="10">
        <f t="shared" ref="H349:H358" si="88">IFERROR(-(B349-E349), "NA")</f>
        <v>0</v>
      </c>
      <c r="I349" s="8">
        <f>IFERROR(H349/H444, "NA")</f>
        <v>0</v>
      </c>
      <c r="J349" s="9"/>
      <c r="K349" s="7">
        <v>0</v>
      </c>
      <c r="L349" s="8">
        <f>IFERROR(K349/K444, "NA")</f>
        <v>0</v>
      </c>
      <c r="M349" s="9"/>
      <c r="N349" s="10">
        <f t="shared" ref="N349:N358" si="89">IFERROR(-(B349-K349), "NA")</f>
        <v>0</v>
      </c>
      <c r="O349" s="8">
        <f>IFERROR(N349/N444, "NA")</f>
        <v>0</v>
      </c>
      <c r="P349" s="9"/>
      <c r="Q349" s="7">
        <v>0</v>
      </c>
      <c r="R349" s="8">
        <f>IFERROR(Q349/Q444, "NA")</f>
        <v>0</v>
      </c>
      <c r="S349" s="9"/>
      <c r="T349" s="7">
        <v>0</v>
      </c>
      <c r="U349" s="8">
        <f>IFERROR(T349/T444, "NA")</f>
        <v>0</v>
      </c>
      <c r="V349" s="9"/>
      <c r="W349" s="10">
        <f t="shared" ref="W349:W358" si="90">IFERROR(-(Q349-T349), "NA")</f>
        <v>0</v>
      </c>
      <c r="X349" s="8">
        <f>IFERROR(W349/W444, "NA")</f>
        <v>0</v>
      </c>
      <c r="Y349" s="9"/>
      <c r="Z349" s="7">
        <v>0</v>
      </c>
      <c r="AA349" s="8">
        <f>IFERROR(Z349/Z444, "NA")</f>
        <v>0</v>
      </c>
      <c r="AB349" s="9"/>
      <c r="AC349" s="10">
        <f t="shared" ref="AC349:AC358" si="91">IFERROR(-(Q349-Z349), "NA")</f>
        <v>0</v>
      </c>
      <c r="AD349" s="8">
        <f>IFERROR(AC349/AC444, "NA")</f>
        <v>0</v>
      </c>
    </row>
    <row r="350" spans="1:30" ht="16.5" hidden="1" customHeight="1" x14ac:dyDescent="0.45">
      <c r="A350" s="6" t="s">
        <v>319</v>
      </c>
      <c r="B350" s="7">
        <v>0</v>
      </c>
      <c r="C350" s="8">
        <f>IFERROR(B350/B444, "NA")</f>
        <v>0</v>
      </c>
      <c r="D350" s="9"/>
      <c r="E350" s="7">
        <v>0</v>
      </c>
      <c r="F350" s="8">
        <f>IFERROR(E350/E444, "NA")</f>
        <v>0</v>
      </c>
      <c r="G350" s="9"/>
      <c r="H350" s="10">
        <f t="shared" si="88"/>
        <v>0</v>
      </c>
      <c r="I350" s="8">
        <f>IFERROR(H350/H444, "NA")</f>
        <v>0</v>
      </c>
      <c r="J350" s="9"/>
      <c r="K350" s="7">
        <v>0</v>
      </c>
      <c r="L350" s="8">
        <f>IFERROR(K350/K444, "NA")</f>
        <v>0</v>
      </c>
      <c r="M350" s="9"/>
      <c r="N350" s="10">
        <f t="shared" si="89"/>
        <v>0</v>
      </c>
      <c r="O350" s="8">
        <f>IFERROR(N350/N444, "NA")</f>
        <v>0</v>
      </c>
      <c r="P350" s="9"/>
      <c r="Q350" s="7">
        <v>0</v>
      </c>
      <c r="R350" s="8">
        <f>IFERROR(Q350/Q444, "NA")</f>
        <v>0</v>
      </c>
      <c r="S350" s="9"/>
      <c r="T350" s="7">
        <v>0</v>
      </c>
      <c r="U350" s="8">
        <f>IFERROR(T350/T444, "NA")</f>
        <v>0</v>
      </c>
      <c r="V350" s="9"/>
      <c r="W350" s="10">
        <f t="shared" si="90"/>
        <v>0</v>
      </c>
      <c r="X350" s="8">
        <f>IFERROR(W350/W444, "NA")</f>
        <v>0</v>
      </c>
      <c r="Y350" s="9"/>
      <c r="Z350" s="7">
        <v>0</v>
      </c>
      <c r="AA350" s="8">
        <f>IFERROR(Z350/Z444, "NA")</f>
        <v>0</v>
      </c>
      <c r="AB350" s="9"/>
      <c r="AC350" s="10">
        <f t="shared" si="91"/>
        <v>0</v>
      </c>
      <c r="AD350" s="8">
        <f>IFERROR(AC350/AC444, "NA")</f>
        <v>0</v>
      </c>
    </row>
    <row r="351" spans="1:30" ht="16.5" hidden="1" customHeight="1" x14ac:dyDescent="0.45">
      <c r="A351" s="6" t="s">
        <v>320</v>
      </c>
      <c r="B351" s="7">
        <v>0</v>
      </c>
      <c r="C351" s="8">
        <f>IFERROR(B351/B444, "NA")</f>
        <v>0</v>
      </c>
      <c r="D351" s="9"/>
      <c r="E351" s="7">
        <v>0</v>
      </c>
      <c r="F351" s="8">
        <f>IFERROR(E351/E444, "NA")</f>
        <v>0</v>
      </c>
      <c r="G351" s="9"/>
      <c r="H351" s="10">
        <f t="shared" si="88"/>
        <v>0</v>
      </c>
      <c r="I351" s="8">
        <f>IFERROR(H351/H444, "NA")</f>
        <v>0</v>
      </c>
      <c r="J351" s="9"/>
      <c r="K351" s="7">
        <v>0</v>
      </c>
      <c r="L351" s="8">
        <f>IFERROR(K351/K444, "NA")</f>
        <v>0</v>
      </c>
      <c r="M351" s="9"/>
      <c r="N351" s="10">
        <f t="shared" si="89"/>
        <v>0</v>
      </c>
      <c r="O351" s="8">
        <f>IFERROR(N351/N444, "NA")</f>
        <v>0</v>
      </c>
      <c r="P351" s="9"/>
      <c r="Q351" s="7">
        <v>0</v>
      </c>
      <c r="R351" s="8">
        <f>IFERROR(Q351/Q444, "NA")</f>
        <v>0</v>
      </c>
      <c r="S351" s="9"/>
      <c r="T351" s="7">
        <v>0</v>
      </c>
      <c r="U351" s="8">
        <f>IFERROR(T351/T444, "NA")</f>
        <v>0</v>
      </c>
      <c r="V351" s="9"/>
      <c r="W351" s="10">
        <f t="shared" si="90"/>
        <v>0</v>
      </c>
      <c r="X351" s="8">
        <f>IFERROR(W351/W444, "NA")</f>
        <v>0</v>
      </c>
      <c r="Y351" s="9"/>
      <c r="Z351" s="7">
        <v>0</v>
      </c>
      <c r="AA351" s="8">
        <f>IFERROR(Z351/Z444, "NA")</f>
        <v>0</v>
      </c>
      <c r="AB351" s="9"/>
      <c r="AC351" s="10">
        <f t="shared" si="91"/>
        <v>0</v>
      </c>
      <c r="AD351" s="8">
        <f>IFERROR(AC351/AC444, "NA")</f>
        <v>0</v>
      </c>
    </row>
    <row r="352" spans="1:30" ht="16.5" hidden="1" customHeight="1" x14ac:dyDescent="0.45">
      <c r="A352" s="6" t="s">
        <v>321</v>
      </c>
      <c r="B352" s="7">
        <v>0</v>
      </c>
      <c r="C352" s="8">
        <f>IFERROR(B352/B444, "NA")</f>
        <v>0</v>
      </c>
      <c r="D352" s="9"/>
      <c r="E352" s="7">
        <v>0</v>
      </c>
      <c r="F352" s="8">
        <f>IFERROR(E352/E444, "NA")</f>
        <v>0</v>
      </c>
      <c r="G352" s="9"/>
      <c r="H352" s="10">
        <f t="shared" si="88"/>
        <v>0</v>
      </c>
      <c r="I352" s="8">
        <f>IFERROR(H352/H444, "NA")</f>
        <v>0</v>
      </c>
      <c r="J352" s="9"/>
      <c r="K352" s="7">
        <v>0</v>
      </c>
      <c r="L352" s="8">
        <f>IFERROR(K352/K444, "NA")</f>
        <v>0</v>
      </c>
      <c r="M352" s="9"/>
      <c r="N352" s="10">
        <f t="shared" si="89"/>
        <v>0</v>
      </c>
      <c r="O352" s="8">
        <f>IFERROR(N352/N444, "NA")</f>
        <v>0</v>
      </c>
      <c r="P352" s="9"/>
      <c r="Q352" s="7">
        <v>0</v>
      </c>
      <c r="R352" s="8">
        <f>IFERROR(Q352/Q444, "NA")</f>
        <v>0</v>
      </c>
      <c r="S352" s="9"/>
      <c r="T352" s="7">
        <v>0</v>
      </c>
      <c r="U352" s="8">
        <f>IFERROR(T352/T444, "NA")</f>
        <v>0</v>
      </c>
      <c r="V352" s="9"/>
      <c r="W352" s="10">
        <f t="shared" si="90"/>
        <v>0</v>
      </c>
      <c r="X352" s="8">
        <f>IFERROR(W352/W444, "NA")</f>
        <v>0</v>
      </c>
      <c r="Y352" s="9"/>
      <c r="Z352" s="7">
        <v>0</v>
      </c>
      <c r="AA352" s="8">
        <f>IFERROR(Z352/Z444, "NA")</f>
        <v>0</v>
      </c>
      <c r="AB352" s="9"/>
      <c r="AC352" s="10">
        <f t="shared" si="91"/>
        <v>0</v>
      </c>
      <c r="AD352" s="8">
        <f>IFERROR(AC352/AC444, "NA")</f>
        <v>0</v>
      </c>
    </row>
    <row r="353" spans="1:30" ht="16.5" hidden="1" customHeight="1" x14ac:dyDescent="0.45">
      <c r="A353" s="6" t="s">
        <v>322</v>
      </c>
      <c r="B353" s="7">
        <v>0</v>
      </c>
      <c r="C353" s="8">
        <f>IFERROR(B353/B444, "NA")</f>
        <v>0</v>
      </c>
      <c r="D353" s="9"/>
      <c r="E353" s="7">
        <v>0</v>
      </c>
      <c r="F353" s="8">
        <f>IFERROR(E353/E444, "NA")</f>
        <v>0</v>
      </c>
      <c r="G353" s="9"/>
      <c r="H353" s="10">
        <f t="shared" si="88"/>
        <v>0</v>
      </c>
      <c r="I353" s="8">
        <f>IFERROR(H353/H444, "NA")</f>
        <v>0</v>
      </c>
      <c r="J353" s="9"/>
      <c r="K353" s="7">
        <v>0</v>
      </c>
      <c r="L353" s="8">
        <f>IFERROR(K353/K444, "NA")</f>
        <v>0</v>
      </c>
      <c r="M353" s="9"/>
      <c r="N353" s="10">
        <f t="shared" si="89"/>
        <v>0</v>
      </c>
      <c r="O353" s="8">
        <f>IFERROR(N353/N444, "NA")</f>
        <v>0</v>
      </c>
      <c r="P353" s="9"/>
      <c r="Q353" s="7">
        <v>0</v>
      </c>
      <c r="R353" s="8">
        <f>IFERROR(Q353/Q444, "NA")</f>
        <v>0</v>
      </c>
      <c r="S353" s="9"/>
      <c r="T353" s="7">
        <v>0</v>
      </c>
      <c r="U353" s="8">
        <f>IFERROR(T353/T444, "NA")</f>
        <v>0</v>
      </c>
      <c r="V353" s="9"/>
      <c r="W353" s="10">
        <f t="shared" si="90"/>
        <v>0</v>
      </c>
      <c r="X353" s="8">
        <f>IFERROR(W353/W444, "NA")</f>
        <v>0</v>
      </c>
      <c r="Y353" s="9"/>
      <c r="Z353" s="7">
        <v>0</v>
      </c>
      <c r="AA353" s="8">
        <f>IFERROR(Z353/Z444, "NA")</f>
        <v>0</v>
      </c>
      <c r="AB353" s="9"/>
      <c r="AC353" s="10">
        <f t="shared" si="91"/>
        <v>0</v>
      </c>
      <c r="AD353" s="8">
        <f>IFERROR(AC353/AC444, "NA")</f>
        <v>0</v>
      </c>
    </row>
    <row r="354" spans="1:30" ht="16.5" hidden="1" customHeight="1" x14ac:dyDescent="0.45">
      <c r="A354" s="6" t="s">
        <v>323</v>
      </c>
      <c r="B354" s="7">
        <v>0</v>
      </c>
      <c r="C354" s="8">
        <f>IFERROR(B354/B444, "NA")</f>
        <v>0</v>
      </c>
      <c r="D354" s="9"/>
      <c r="E354" s="7">
        <v>0</v>
      </c>
      <c r="F354" s="8">
        <f>IFERROR(E354/E444, "NA")</f>
        <v>0</v>
      </c>
      <c r="G354" s="9"/>
      <c r="H354" s="10">
        <f t="shared" si="88"/>
        <v>0</v>
      </c>
      <c r="I354" s="8">
        <f>IFERROR(H354/H444, "NA")</f>
        <v>0</v>
      </c>
      <c r="J354" s="9"/>
      <c r="K354" s="7">
        <v>0</v>
      </c>
      <c r="L354" s="8">
        <f>IFERROR(K354/K444, "NA")</f>
        <v>0</v>
      </c>
      <c r="M354" s="9"/>
      <c r="N354" s="10">
        <f t="shared" si="89"/>
        <v>0</v>
      </c>
      <c r="O354" s="8">
        <f>IFERROR(N354/N444, "NA")</f>
        <v>0</v>
      </c>
      <c r="P354" s="9"/>
      <c r="Q354" s="7">
        <v>0</v>
      </c>
      <c r="R354" s="8">
        <f>IFERROR(Q354/Q444, "NA")</f>
        <v>0</v>
      </c>
      <c r="S354" s="9"/>
      <c r="T354" s="7">
        <v>0</v>
      </c>
      <c r="U354" s="8">
        <f>IFERROR(T354/T444, "NA")</f>
        <v>0</v>
      </c>
      <c r="V354" s="9"/>
      <c r="W354" s="10">
        <f t="shared" si="90"/>
        <v>0</v>
      </c>
      <c r="X354" s="8">
        <f>IFERROR(W354/W444, "NA")</f>
        <v>0</v>
      </c>
      <c r="Y354" s="9"/>
      <c r="Z354" s="7">
        <v>0</v>
      </c>
      <c r="AA354" s="8">
        <f>IFERROR(Z354/Z444, "NA")</f>
        <v>0</v>
      </c>
      <c r="AB354" s="9"/>
      <c r="AC354" s="10">
        <f t="shared" si="91"/>
        <v>0</v>
      </c>
      <c r="AD354" s="8">
        <f>IFERROR(AC354/AC444, "NA")</f>
        <v>0</v>
      </c>
    </row>
    <row r="355" spans="1:30" ht="16.5" hidden="1" customHeight="1" x14ac:dyDescent="0.45">
      <c r="A355" s="6" t="s">
        <v>324</v>
      </c>
      <c r="B355" s="7">
        <v>0</v>
      </c>
      <c r="C355" s="8">
        <f>IFERROR(B355/B444, "NA")</f>
        <v>0</v>
      </c>
      <c r="D355" s="9"/>
      <c r="E355" s="7">
        <v>0</v>
      </c>
      <c r="F355" s="8">
        <f>IFERROR(E355/E444, "NA")</f>
        <v>0</v>
      </c>
      <c r="G355" s="9"/>
      <c r="H355" s="10">
        <f t="shared" si="88"/>
        <v>0</v>
      </c>
      <c r="I355" s="8">
        <f>IFERROR(H355/H444, "NA")</f>
        <v>0</v>
      </c>
      <c r="J355" s="9"/>
      <c r="K355" s="7">
        <v>0</v>
      </c>
      <c r="L355" s="8">
        <f>IFERROR(K355/K444, "NA")</f>
        <v>0</v>
      </c>
      <c r="M355" s="9"/>
      <c r="N355" s="10">
        <f t="shared" si="89"/>
        <v>0</v>
      </c>
      <c r="O355" s="8">
        <f>IFERROR(N355/N444, "NA")</f>
        <v>0</v>
      </c>
      <c r="P355" s="9"/>
      <c r="Q355" s="7">
        <v>0</v>
      </c>
      <c r="R355" s="8">
        <f>IFERROR(Q355/Q444, "NA")</f>
        <v>0</v>
      </c>
      <c r="S355" s="9"/>
      <c r="T355" s="7">
        <v>0</v>
      </c>
      <c r="U355" s="8">
        <f>IFERROR(T355/T444, "NA")</f>
        <v>0</v>
      </c>
      <c r="V355" s="9"/>
      <c r="W355" s="10">
        <f t="shared" si="90"/>
        <v>0</v>
      </c>
      <c r="X355" s="8">
        <f>IFERROR(W355/W444, "NA")</f>
        <v>0</v>
      </c>
      <c r="Y355" s="9"/>
      <c r="Z355" s="7">
        <v>0</v>
      </c>
      <c r="AA355" s="8">
        <f>IFERROR(Z355/Z444, "NA")</f>
        <v>0</v>
      </c>
      <c r="AB355" s="9"/>
      <c r="AC355" s="10">
        <f t="shared" si="91"/>
        <v>0</v>
      </c>
      <c r="AD355" s="8">
        <f>IFERROR(AC355/AC444, "NA")</f>
        <v>0</v>
      </c>
    </row>
    <row r="356" spans="1:30" ht="16.5" hidden="1" customHeight="1" x14ac:dyDescent="0.45">
      <c r="A356" s="6" t="s">
        <v>325</v>
      </c>
      <c r="B356" s="7">
        <v>0</v>
      </c>
      <c r="C356" s="8">
        <f>IFERROR(B356/B444, "NA")</f>
        <v>0</v>
      </c>
      <c r="D356" s="9"/>
      <c r="E356" s="7">
        <v>0</v>
      </c>
      <c r="F356" s="8">
        <f>IFERROR(E356/E444, "NA")</f>
        <v>0</v>
      </c>
      <c r="G356" s="9"/>
      <c r="H356" s="10">
        <f t="shared" si="88"/>
        <v>0</v>
      </c>
      <c r="I356" s="8">
        <f>IFERROR(H356/H444, "NA")</f>
        <v>0</v>
      </c>
      <c r="J356" s="9"/>
      <c r="K356" s="7">
        <v>0</v>
      </c>
      <c r="L356" s="8">
        <f>IFERROR(K356/K444, "NA")</f>
        <v>0</v>
      </c>
      <c r="M356" s="9"/>
      <c r="N356" s="10">
        <f t="shared" si="89"/>
        <v>0</v>
      </c>
      <c r="O356" s="8">
        <f>IFERROR(N356/N444, "NA")</f>
        <v>0</v>
      </c>
      <c r="P356" s="9"/>
      <c r="Q356" s="7">
        <v>0</v>
      </c>
      <c r="R356" s="8">
        <f>IFERROR(Q356/Q444, "NA")</f>
        <v>0</v>
      </c>
      <c r="S356" s="9"/>
      <c r="T356" s="7">
        <v>0</v>
      </c>
      <c r="U356" s="8">
        <f>IFERROR(T356/T444, "NA")</f>
        <v>0</v>
      </c>
      <c r="V356" s="9"/>
      <c r="W356" s="10">
        <f t="shared" si="90"/>
        <v>0</v>
      </c>
      <c r="X356" s="8">
        <f>IFERROR(W356/W444, "NA")</f>
        <v>0</v>
      </c>
      <c r="Y356" s="9"/>
      <c r="Z356" s="7">
        <v>0</v>
      </c>
      <c r="AA356" s="8">
        <f>IFERROR(Z356/Z444, "NA")</f>
        <v>0</v>
      </c>
      <c r="AB356" s="9"/>
      <c r="AC356" s="10">
        <f t="shared" si="91"/>
        <v>0</v>
      </c>
      <c r="AD356" s="8">
        <f>IFERROR(AC356/AC444, "NA")</f>
        <v>0</v>
      </c>
    </row>
    <row r="357" spans="1:30" ht="16.5" hidden="1" customHeight="1" x14ac:dyDescent="0.45">
      <c r="A357" s="6" t="s">
        <v>326</v>
      </c>
      <c r="B357" s="7">
        <v>0</v>
      </c>
      <c r="C357" s="8">
        <f>IFERROR(B357/B444, "NA")</f>
        <v>0</v>
      </c>
      <c r="D357" s="9"/>
      <c r="E357" s="7">
        <v>0</v>
      </c>
      <c r="F357" s="8">
        <f>IFERROR(E357/E444, "NA")</f>
        <v>0</v>
      </c>
      <c r="G357" s="9"/>
      <c r="H357" s="10">
        <f t="shared" si="88"/>
        <v>0</v>
      </c>
      <c r="I357" s="8">
        <f>IFERROR(H357/H444, "NA")</f>
        <v>0</v>
      </c>
      <c r="J357" s="9"/>
      <c r="K357" s="7">
        <v>0</v>
      </c>
      <c r="L357" s="8">
        <f>IFERROR(K357/K444, "NA")</f>
        <v>0</v>
      </c>
      <c r="M357" s="9"/>
      <c r="N357" s="10">
        <f t="shared" si="89"/>
        <v>0</v>
      </c>
      <c r="O357" s="8">
        <f>IFERROR(N357/N444, "NA")</f>
        <v>0</v>
      </c>
      <c r="P357" s="9"/>
      <c r="Q357" s="7">
        <v>0</v>
      </c>
      <c r="R357" s="8">
        <f>IFERROR(Q357/Q444, "NA")</f>
        <v>0</v>
      </c>
      <c r="S357" s="9"/>
      <c r="T357" s="7">
        <v>0</v>
      </c>
      <c r="U357" s="8">
        <f>IFERROR(T357/T444, "NA")</f>
        <v>0</v>
      </c>
      <c r="V357" s="9"/>
      <c r="W357" s="10">
        <f t="shared" si="90"/>
        <v>0</v>
      </c>
      <c r="X357" s="8">
        <f>IFERROR(W357/W444, "NA")</f>
        <v>0</v>
      </c>
      <c r="Y357" s="9"/>
      <c r="Z357" s="7">
        <v>0</v>
      </c>
      <c r="AA357" s="8">
        <f>IFERROR(Z357/Z444, "NA")</f>
        <v>0</v>
      </c>
      <c r="AB357" s="9"/>
      <c r="AC357" s="10">
        <f t="shared" si="91"/>
        <v>0</v>
      </c>
      <c r="AD357" s="8">
        <f>IFERROR(AC357/AC444, "NA")</f>
        <v>0</v>
      </c>
    </row>
    <row r="358" spans="1:30" ht="16.5" customHeight="1" x14ac:dyDescent="0.45">
      <c r="A358" s="19" t="s">
        <v>327</v>
      </c>
      <c r="B358" s="14">
        <f>IFERROR(B349+B350+B351+B352+B353+B354+B355+B356+B357, "NA")</f>
        <v>0</v>
      </c>
      <c r="C358" s="15">
        <f>IFERROR(B358/B444, "NA")</f>
        <v>0</v>
      </c>
      <c r="D358" s="2"/>
      <c r="E358" s="14">
        <f>IFERROR(E349+E350+E351+E352+E353+E354+E355+E356+E357, "NA")</f>
        <v>0</v>
      </c>
      <c r="F358" s="15">
        <f>IFERROR(E358/E444, "NA")</f>
        <v>0</v>
      </c>
      <c r="G358" s="2"/>
      <c r="H358" s="14">
        <f t="shared" si="88"/>
        <v>0</v>
      </c>
      <c r="I358" s="15">
        <f>IFERROR(H358/H444, "NA")</f>
        <v>0</v>
      </c>
      <c r="J358" s="2"/>
      <c r="K358" s="14">
        <f>IFERROR(K349+K350+K351+K352+K353+K354+K355+K356+K357, "NA")</f>
        <v>0</v>
      </c>
      <c r="L358" s="15">
        <f>IFERROR(K358/K444, "NA")</f>
        <v>0</v>
      </c>
      <c r="M358" s="2"/>
      <c r="N358" s="14">
        <f t="shared" si="89"/>
        <v>0</v>
      </c>
      <c r="O358" s="15">
        <f>IFERROR(N358/N444, "NA")</f>
        <v>0</v>
      </c>
      <c r="P358" s="2"/>
      <c r="Q358" s="14">
        <f>IFERROR(Q349+Q350+Q351+Q352+Q353+Q354+Q355+Q356+Q357, "NA")</f>
        <v>0</v>
      </c>
      <c r="R358" s="15">
        <f>IFERROR(Q358/Q444, "NA")</f>
        <v>0</v>
      </c>
      <c r="S358" s="2"/>
      <c r="T358" s="14">
        <f>IFERROR(T349+T350+T351+T352+T353+T354+T355+T356+T357, "NA")</f>
        <v>0</v>
      </c>
      <c r="U358" s="15">
        <f>IFERROR(T358/T444, "NA")</f>
        <v>0</v>
      </c>
      <c r="V358" s="2"/>
      <c r="W358" s="14">
        <f t="shared" si="90"/>
        <v>0</v>
      </c>
      <c r="X358" s="15">
        <f>IFERROR(W358/W444, "NA")</f>
        <v>0</v>
      </c>
      <c r="Y358" s="2"/>
      <c r="Z358" s="14">
        <f>IFERROR(Z349+Z350+Z351+Z352+Z353+Z354+Z355+Z356+Z357, "NA")</f>
        <v>0</v>
      </c>
      <c r="AA358" s="15">
        <f>IFERROR(Z358/Z444, "NA")</f>
        <v>0</v>
      </c>
      <c r="AB358" s="2"/>
      <c r="AC358" s="14">
        <f t="shared" si="91"/>
        <v>0</v>
      </c>
      <c r="AD358" s="15">
        <f>IFERROR(AC358/AC444, "NA")</f>
        <v>0</v>
      </c>
    </row>
    <row r="359" spans="1:30" ht="16.5" customHeight="1" x14ac:dyDescent="0.45">
      <c r="A359" s="5" t="s">
        <v>328</v>
      </c>
      <c r="B359" s="2"/>
      <c r="C359" s="3"/>
      <c r="D359" s="4"/>
      <c r="E359" s="2"/>
      <c r="F359" s="3"/>
      <c r="G359" s="4"/>
      <c r="H359" s="2"/>
      <c r="I359" s="3"/>
      <c r="J359" s="4"/>
      <c r="K359" s="2"/>
      <c r="L359" s="3"/>
      <c r="M359" s="4"/>
      <c r="N359" s="2"/>
      <c r="O359" s="3"/>
      <c r="P359" s="4"/>
      <c r="Q359" s="2"/>
      <c r="R359" s="3"/>
      <c r="S359" s="4"/>
      <c r="T359" s="2"/>
      <c r="U359" s="3"/>
      <c r="V359" s="4"/>
      <c r="W359" s="2"/>
      <c r="X359" s="3"/>
      <c r="Y359" s="4"/>
      <c r="Z359" s="2"/>
      <c r="AA359" s="3"/>
      <c r="AB359" s="4"/>
      <c r="AC359" s="2"/>
      <c r="AD359" s="3"/>
    </row>
    <row r="360" spans="1:30" ht="16.5" hidden="1" customHeight="1" x14ac:dyDescent="0.45">
      <c r="A360" s="6" t="s">
        <v>328</v>
      </c>
      <c r="B360" s="7">
        <v>0</v>
      </c>
      <c r="C360" s="8">
        <f>IFERROR(B360/B444, "NA")</f>
        <v>0</v>
      </c>
      <c r="D360" s="9"/>
      <c r="E360" s="7">
        <v>0</v>
      </c>
      <c r="F360" s="8">
        <f>IFERROR(E360/E444, "NA")</f>
        <v>0</v>
      </c>
      <c r="G360" s="9"/>
      <c r="H360" s="10">
        <f t="shared" ref="H360:H383" si="92">IFERROR(-(B360-E360), "NA")</f>
        <v>0</v>
      </c>
      <c r="I360" s="8">
        <f>IFERROR(H360/H444, "NA")</f>
        <v>0</v>
      </c>
      <c r="J360" s="9"/>
      <c r="K360" s="7">
        <v>0</v>
      </c>
      <c r="L360" s="8">
        <f>IFERROR(K360/K444, "NA")</f>
        <v>0</v>
      </c>
      <c r="M360" s="9"/>
      <c r="N360" s="10">
        <f t="shared" ref="N360:N383" si="93">IFERROR(-(B360-K360), "NA")</f>
        <v>0</v>
      </c>
      <c r="O360" s="8">
        <f>IFERROR(N360/N444, "NA")</f>
        <v>0</v>
      </c>
      <c r="P360" s="9"/>
      <c r="Q360" s="7">
        <v>0</v>
      </c>
      <c r="R360" s="8">
        <f>IFERROR(Q360/Q444, "NA")</f>
        <v>0</v>
      </c>
      <c r="S360" s="9"/>
      <c r="T360" s="7">
        <v>0</v>
      </c>
      <c r="U360" s="8">
        <f>IFERROR(T360/T444, "NA")</f>
        <v>0</v>
      </c>
      <c r="V360" s="9"/>
      <c r="W360" s="10">
        <f t="shared" ref="W360:W383" si="94">IFERROR(-(Q360-T360), "NA")</f>
        <v>0</v>
      </c>
      <c r="X360" s="8">
        <f>IFERROR(W360/W444, "NA")</f>
        <v>0</v>
      </c>
      <c r="Y360" s="9"/>
      <c r="Z360" s="7">
        <v>0</v>
      </c>
      <c r="AA360" s="8">
        <f>IFERROR(Z360/Z444, "NA")</f>
        <v>0</v>
      </c>
      <c r="AB360" s="9"/>
      <c r="AC360" s="10">
        <f t="shared" ref="AC360:AC383" si="95">IFERROR(-(Q360-Z360), "NA")</f>
        <v>0</v>
      </c>
      <c r="AD360" s="8">
        <f>IFERROR(AC360/AC444, "NA")</f>
        <v>0</v>
      </c>
    </row>
    <row r="361" spans="1:30" ht="16.5" hidden="1" customHeight="1" x14ac:dyDescent="0.45">
      <c r="A361" s="6" t="s">
        <v>329</v>
      </c>
      <c r="B361" s="7">
        <v>0</v>
      </c>
      <c r="C361" s="8">
        <f>IFERROR(B361/B444, "NA")</f>
        <v>0</v>
      </c>
      <c r="D361" s="9"/>
      <c r="E361" s="7">
        <v>0</v>
      </c>
      <c r="F361" s="8">
        <f>IFERROR(E361/E444, "NA")</f>
        <v>0</v>
      </c>
      <c r="G361" s="9"/>
      <c r="H361" s="10">
        <f t="shared" si="92"/>
        <v>0</v>
      </c>
      <c r="I361" s="8">
        <f>IFERROR(H361/H444, "NA")</f>
        <v>0</v>
      </c>
      <c r="J361" s="9"/>
      <c r="K361" s="7">
        <v>0</v>
      </c>
      <c r="L361" s="8">
        <f>IFERROR(K361/K444, "NA")</f>
        <v>0</v>
      </c>
      <c r="M361" s="9"/>
      <c r="N361" s="10">
        <f t="shared" si="93"/>
        <v>0</v>
      </c>
      <c r="O361" s="8">
        <f>IFERROR(N361/N444, "NA")</f>
        <v>0</v>
      </c>
      <c r="P361" s="9"/>
      <c r="Q361" s="7">
        <v>0</v>
      </c>
      <c r="R361" s="8">
        <f>IFERROR(Q361/Q444, "NA")</f>
        <v>0</v>
      </c>
      <c r="S361" s="9"/>
      <c r="T361" s="7">
        <v>0</v>
      </c>
      <c r="U361" s="8">
        <f>IFERROR(T361/T444, "NA")</f>
        <v>0</v>
      </c>
      <c r="V361" s="9"/>
      <c r="W361" s="10">
        <f t="shared" si="94"/>
        <v>0</v>
      </c>
      <c r="X361" s="8">
        <f>IFERROR(W361/W444, "NA")</f>
        <v>0</v>
      </c>
      <c r="Y361" s="9"/>
      <c r="Z361" s="7">
        <v>0</v>
      </c>
      <c r="AA361" s="8">
        <f>IFERROR(Z361/Z444, "NA")</f>
        <v>0</v>
      </c>
      <c r="AB361" s="9"/>
      <c r="AC361" s="10">
        <f t="shared" si="95"/>
        <v>0</v>
      </c>
      <c r="AD361" s="8">
        <f>IFERROR(AC361/AC444, "NA")</f>
        <v>0</v>
      </c>
    </row>
    <row r="362" spans="1:30" ht="16.5" hidden="1" customHeight="1" x14ac:dyDescent="0.45">
      <c r="A362" s="6" t="s">
        <v>330</v>
      </c>
      <c r="B362" s="7">
        <v>0</v>
      </c>
      <c r="C362" s="8">
        <f>IFERROR(B362/B444, "NA")</f>
        <v>0</v>
      </c>
      <c r="D362" s="9"/>
      <c r="E362" s="7">
        <v>0</v>
      </c>
      <c r="F362" s="8">
        <f>IFERROR(E362/E444, "NA")</f>
        <v>0</v>
      </c>
      <c r="G362" s="9"/>
      <c r="H362" s="10">
        <f t="shared" si="92"/>
        <v>0</v>
      </c>
      <c r="I362" s="8">
        <f>IFERROR(H362/H444, "NA")</f>
        <v>0</v>
      </c>
      <c r="J362" s="9"/>
      <c r="K362" s="7">
        <v>0</v>
      </c>
      <c r="L362" s="8">
        <f>IFERROR(K362/K444, "NA")</f>
        <v>0</v>
      </c>
      <c r="M362" s="9"/>
      <c r="N362" s="10">
        <f t="shared" si="93"/>
        <v>0</v>
      </c>
      <c r="O362" s="8">
        <f>IFERROR(N362/N444, "NA")</f>
        <v>0</v>
      </c>
      <c r="P362" s="9"/>
      <c r="Q362" s="7">
        <v>0</v>
      </c>
      <c r="R362" s="8">
        <f>IFERROR(Q362/Q444, "NA")</f>
        <v>0</v>
      </c>
      <c r="S362" s="9"/>
      <c r="T362" s="7">
        <v>0</v>
      </c>
      <c r="U362" s="8">
        <f>IFERROR(T362/T444, "NA")</f>
        <v>0</v>
      </c>
      <c r="V362" s="9"/>
      <c r="W362" s="10">
        <f t="shared" si="94"/>
        <v>0</v>
      </c>
      <c r="X362" s="8">
        <f>IFERROR(W362/W444, "NA")</f>
        <v>0</v>
      </c>
      <c r="Y362" s="9"/>
      <c r="Z362" s="7">
        <v>0</v>
      </c>
      <c r="AA362" s="8">
        <f>IFERROR(Z362/Z444, "NA")</f>
        <v>0</v>
      </c>
      <c r="AB362" s="9"/>
      <c r="AC362" s="10">
        <f t="shared" si="95"/>
        <v>0</v>
      </c>
      <c r="AD362" s="8">
        <f>IFERROR(AC362/AC444, "NA")</f>
        <v>0</v>
      </c>
    </row>
    <row r="363" spans="1:30" ht="16.5" hidden="1" customHeight="1" x14ac:dyDescent="0.45">
      <c r="A363" s="6" t="s">
        <v>331</v>
      </c>
      <c r="B363" s="7">
        <v>0</v>
      </c>
      <c r="C363" s="8">
        <f>IFERROR(B363/B444, "NA")</f>
        <v>0</v>
      </c>
      <c r="D363" s="9"/>
      <c r="E363" s="7">
        <v>0</v>
      </c>
      <c r="F363" s="8">
        <f>IFERROR(E363/E444, "NA")</f>
        <v>0</v>
      </c>
      <c r="G363" s="9"/>
      <c r="H363" s="10">
        <f t="shared" si="92"/>
        <v>0</v>
      </c>
      <c r="I363" s="8">
        <f>IFERROR(H363/H444, "NA")</f>
        <v>0</v>
      </c>
      <c r="J363" s="9"/>
      <c r="K363" s="7">
        <v>0</v>
      </c>
      <c r="L363" s="8">
        <f>IFERROR(K363/K444, "NA")</f>
        <v>0</v>
      </c>
      <c r="M363" s="9"/>
      <c r="N363" s="10">
        <f t="shared" si="93"/>
        <v>0</v>
      </c>
      <c r="O363" s="8">
        <f>IFERROR(N363/N444, "NA")</f>
        <v>0</v>
      </c>
      <c r="P363" s="9"/>
      <c r="Q363" s="7">
        <v>0</v>
      </c>
      <c r="R363" s="8">
        <f>IFERROR(Q363/Q444, "NA")</f>
        <v>0</v>
      </c>
      <c r="S363" s="9"/>
      <c r="T363" s="7">
        <v>0</v>
      </c>
      <c r="U363" s="8">
        <f>IFERROR(T363/T444, "NA")</f>
        <v>0</v>
      </c>
      <c r="V363" s="9"/>
      <c r="W363" s="10">
        <f t="shared" si="94"/>
        <v>0</v>
      </c>
      <c r="X363" s="8">
        <f>IFERROR(W363/W444, "NA")</f>
        <v>0</v>
      </c>
      <c r="Y363" s="9"/>
      <c r="Z363" s="7">
        <v>0</v>
      </c>
      <c r="AA363" s="8">
        <f>IFERROR(Z363/Z444, "NA")</f>
        <v>0</v>
      </c>
      <c r="AB363" s="9"/>
      <c r="AC363" s="10">
        <f t="shared" si="95"/>
        <v>0</v>
      </c>
      <c r="AD363" s="8">
        <f>IFERROR(AC363/AC444, "NA")</f>
        <v>0</v>
      </c>
    </row>
    <row r="364" spans="1:30" ht="16.5" hidden="1" customHeight="1" x14ac:dyDescent="0.45">
      <c r="A364" s="6" t="s">
        <v>332</v>
      </c>
      <c r="B364" s="7">
        <v>0</v>
      </c>
      <c r="C364" s="8">
        <f>IFERROR(B364/B444, "NA")</f>
        <v>0</v>
      </c>
      <c r="D364" s="9"/>
      <c r="E364" s="7">
        <v>0</v>
      </c>
      <c r="F364" s="8">
        <f>IFERROR(E364/E444, "NA")</f>
        <v>0</v>
      </c>
      <c r="G364" s="9"/>
      <c r="H364" s="10">
        <f t="shared" si="92"/>
        <v>0</v>
      </c>
      <c r="I364" s="8">
        <f>IFERROR(H364/H444, "NA")</f>
        <v>0</v>
      </c>
      <c r="J364" s="9"/>
      <c r="K364" s="7">
        <v>0</v>
      </c>
      <c r="L364" s="8">
        <f>IFERROR(K364/K444, "NA")</f>
        <v>0</v>
      </c>
      <c r="M364" s="9"/>
      <c r="N364" s="10">
        <f t="shared" si="93"/>
        <v>0</v>
      </c>
      <c r="O364" s="8">
        <f>IFERROR(N364/N444, "NA")</f>
        <v>0</v>
      </c>
      <c r="P364" s="9"/>
      <c r="Q364" s="7">
        <v>0</v>
      </c>
      <c r="R364" s="8">
        <f>IFERROR(Q364/Q444, "NA")</f>
        <v>0</v>
      </c>
      <c r="S364" s="9"/>
      <c r="T364" s="7">
        <v>0</v>
      </c>
      <c r="U364" s="8">
        <f>IFERROR(T364/T444, "NA")</f>
        <v>0</v>
      </c>
      <c r="V364" s="9"/>
      <c r="W364" s="10">
        <f t="shared" si="94"/>
        <v>0</v>
      </c>
      <c r="X364" s="8">
        <f>IFERROR(W364/W444, "NA")</f>
        <v>0</v>
      </c>
      <c r="Y364" s="9"/>
      <c r="Z364" s="7">
        <v>0</v>
      </c>
      <c r="AA364" s="8">
        <f>IFERROR(Z364/Z444, "NA")</f>
        <v>0</v>
      </c>
      <c r="AB364" s="9"/>
      <c r="AC364" s="10">
        <f t="shared" si="95"/>
        <v>0</v>
      </c>
      <c r="AD364" s="8">
        <f>IFERROR(AC364/AC444, "NA")</f>
        <v>0</v>
      </c>
    </row>
    <row r="365" spans="1:30" ht="16.5" hidden="1" customHeight="1" x14ac:dyDescent="0.45">
      <c r="A365" s="6" t="s">
        <v>333</v>
      </c>
      <c r="B365" s="7">
        <v>0</v>
      </c>
      <c r="C365" s="8">
        <f>IFERROR(B365/B444, "NA")</f>
        <v>0</v>
      </c>
      <c r="D365" s="9"/>
      <c r="E365" s="7">
        <v>0</v>
      </c>
      <c r="F365" s="8">
        <f>IFERROR(E365/E444, "NA")</f>
        <v>0</v>
      </c>
      <c r="G365" s="9"/>
      <c r="H365" s="10">
        <f t="shared" si="92"/>
        <v>0</v>
      </c>
      <c r="I365" s="8">
        <f>IFERROR(H365/H444, "NA")</f>
        <v>0</v>
      </c>
      <c r="J365" s="9"/>
      <c r="K365" s="7">
        <v>0</v>
      </c>
      <c r="L365" s="8">
        <f>IFERROR(K365/K444, "NA")</f>
        <v>0</v>
      </c>
      <c r="M365" s="9"/>
      <c r="N365" s="10">
        <f t="shared" si="93"/>
        <v>0</v>
      </c>
      <c r="O365" s="8">
        <f>IFERROR(N365/N444, "NA")</f>
        <v>0</v>
      </c>
      <c r="P365" s="9"/>
      <c r="Q365" s="7">
        <v>0</v>
      </c>
      <c r="R365" s="8">
        <f>IFERROR(Q365/Q444, "NA")</f>
        <v>0</v>
      </c>
      <c r="S365" s="9"/>
      <c r="T365" s="7">
        <v>0</v>
      </c>
      <c r="U365" s="8">
        <f>IFERROR(T365/T444, "NA")</f>
        <v>0</v>
      </c>
      <c r="V365" s="9"/>
      <c r="W365" s="10">
        <f t="shared" si="94"/>
        <v>0</v>
      </c>
      <c r="X365" s="8">
        <f>IFERROR(W365/W444, "NA")</f>
        <v>0</v>
      </c>
      <c r="Y365" s="9"/>
      <c r="Z365" s="7">
        <v>0</v>
      </c>
      <c r="AA365" s="8">
        <f>IFERROR(Z365/Z444, "NA")</f>
        <v>0</v>
      </c>
      <c r="AB365" s="9"/>
      <c r="AC365" s="10">
        <f t="shared" si="95"/>
        <v>0</v>
      </c>
      <c r="AD365" s="8">
        <f>IFERROR(AC365/AC444, "NA")</f>
        <v>0</v>
      </c>
    </row>
    <row r="366" spans="1:30" ht="16.5" hidden="1" customHeight="1" x14ac:dyDescent="0.45">
      <c r="A366" s="6" t="s">
        <v>334</v>
      </c>
      <c r="B366" s="7">
        <v>0</v>
      </c>
      <c r="C366" s="8">
        <f>IFERROR(B366/B444, "NA")</f>
        <v>0</v>
      </c>
      <c r="D366" s="9"/>
      <c r="E366" s="7">
        <v>0</v>
      </c>
      <c r="F366" s="8">
        <f>IFERROR(E366/E444, "NA")</f>
        <v>0</v>
      </c>
      <c r="G366" s="9"/>
      <c r="H366" s="10">
        <f t="shared" si="92"/>
        <v>0</v>
      </c>
      <c r="I366" s="8">
        <f>IFERROR(H366/H444, "NA")</f>
        <v>0</v>
      </c>
      <c r="J366" s="9"/>
      <c r="K366" s="7">
        <v>0</v>
      </c>
      <c r="L366" s="8">
        <f>IFERROR(K366/K444, "NA")</f>
        <v>0</v>
      </c>
      <c r="M366" s="9"/>
      <c r="N366" s="10">
        <f t="shared" si="93"/>
        <v>0</v>
      </c>
      <c r="O366" s="8">
        <f>IFERROR(N366/N444, "NA")</f>
        <v>0</v>
      </c>
      <c r="P366" s="9"/>
      <c r="Q366" s="7">
        <v>0</v>
      </c>
      <c r="R366" s="8">
        <f>IFERROR(Q366/Q444, "NA")</f>
        <v>0</v>
      </c>
      <c r="S366" s="9"/>
      <c r="T366" s="7">
        <v>0</v>
      </c>
      <c r="U366" s="8">
        <f>IFERROR(T366/T444, "NA")</f>
        <v>0</v>
      </c>
      <c r="V366" s="9"/>
      <c r="W366" s="10">
        <f t="shared" si="94"/>
        <v>0</v>
      </c>
      <c r="X366" s="8">
        <f>IFERROR(W366/W444, "NA")</f>
        <v>0</v>
      </c>
      <c r="Y366" s="9"/>
      <c r="Z366" s="7">
        <v>0</v>
      </c>
      <c r="AA366" s="8">
        <f>IFERROR(Z366/Z444, "NA")</f>
        <v>0</v>
      </c>
      <c r="AB366" s="9"/>
      <c r="AC366" s="10">
        <f t="shared" si="95"/>
        <v>0</v>
      </c>
      <c r="AD366" s="8">
        <f>IFERROR(AC366/AC444, "NA")</f>
        <v>0</v>
      </c>
    </row>
    <row r="367" spans="1:30" ht="16.5" hidden="1" customHeight="1" x14ac:dyDescent="0.45">
      <c r="A367" s="6" t="s">
        <v>335</v>
      </c>
      <c r="B367" s="7">
        <v>0</v>
      </c>
      <c r="C367" s="8">
        <f>IFERROR(B367/B444, "NA")</f>
        <v>0</v>
      </c>
      <c r="D367" s="9"/>
      <c r="E367" s="7">
        <v>0</v>
      </c>
      <c r="F367" s="8">
        <f>IFERROR(E367/E444, "NA")</f>
        <v>0</v>
      </c>
      <c r="G367" s="9"/>
      <c r="H367" s="10">
        <f t="shared" si="92"/>
        <v>0</v>
      </c>
      <c r="I367" s="8">
        <f>IFERROR(H367/H444, "NA")</f>
        <v>0</v>
      </c>
      <c r="J367" s="9"/>
      <c r="K367" s="7">
        <v>0</v>
      </c>
      <c r="L367" s="8">
        <f>IFERROR(K367/K444, "NA")</f>
        <v>0</v>
      </c>
      <c r="M367" s="9"/>
      <c r="N367" s="10">
        <f t="shared" si="93"/>
        <v>0</v>
      </c>
      <c r="O367" s="8">
        <f>IFERROR(N367/N444, "NA")</f>
        <v>0</v>
      </c>
      <c r="P367" s="9"/>
      <c r="Q367" s="7">
        <v>0</v>
      </c>
      <c r="R367" s="8">
        <f>IFERROR(Q367/Q444, "NA")</f>
        <v>0</v>
      </c>
      <c r="S367" s="9"/>
      <c r="T367" s="7">
        <v>0</v>
      </c>
      <c r="U367" s="8">
        <f>IFERROR(T367/T444, "NA")</f>
        <v>0</v>
      </c>
      <c r="V367" s="9"/>
      <c r="W367" s="10">
        <f t="shared" si="94"/>
        <v>0</v>
      </c>
      <c r="X367" s="8">
        <f>IFERROR(W367/W444, "NA")</f>
        <v>0</v>
      </c>
      <c r="Y367" s="9"/>
      <c r="Z367" s="7">
        <v>0</v>
      </c>
      <c r="AA367" s="8">
        <f>IFERROR(Z367/Z444, "NA")</f>
        <v>0</v>
      </c>
      <c r="AB367" s="9"/>
      <c r="AC367" s="10">
        <f t="shared" si="95"/>
        <v>0</v>
      </c>
      <c r="AD367" s="8">
        <f>IFERROR(AC367/AC444, "NA")</f>
        <v>0</v>
      </c>
    </row>
    <row r="368" spans="1:30" ht="16.5" customHeight="1" x14ac:dyDescent="0.45">
      <c r="A368" s="19" t="s">
        <v>336</v>
      </c>
      <c r="B368" s="14">
        <f>IFERROR(B360+B361+B362+B363+B364+B365+B366+B367, "NA")</f>
        <v>0</v>
      </c>
      <c r="C368" s="15">
        <f>IFERROR(B368/B444, "NA")</f>
        <v>0</v>
      </c>
      <c r="D368" s="2"/>
      <c r="E368" s="14">
        <f>IFERROR(E360+E361+E362+E363+E364+E365+E366+E367, "NA")</f>
        <v>0</v>
      </c>
      <c r="F368" s="15">
        <f>IFERROR(E368/E444, "NA")</f>
        <v>0</v>
      </c>
      <c r="G368" s="2"/>
      <c r="H368" s="14">
        <f t="shared" si="92"/>
        <v>0</v>
      </c>
      <c r="I368" s="15">
        <f>IFERROR(H368/H444, "NA")</f>
        <v>0</v>
      </c>
      <c r="J368" s="2"/>
      <c r="K368" s="14">
        <f>IFERROR(K360+K361+K362+K363+K364+K365+K366+K367, "NA")</f>
        <v>0</v>
      </c>
      <c r="L368" s="15">
        <f>IFERROR(K368/K444, "NA")</f>
        <v>0</v>
      </c>
      <c r="M368" s="2"/>
      <c r="N368" s="14">
        <f t="shared" si="93"/>
        <v>0</v>
      </c>
      <c r="O368" s="15">
        <f>IFERROR(N368/N444, "NA")</f>
        <v>0</v>
      </c>
      <c r="P368" s="2"/>
      <c r="Q368" s="14">
        <f>IFERROR(Q360+Q361+Q362+Q363+Q364+Q365+Q366+Q367, "NA")</f>
        <v>0</v>
      </c>
      <c r="R368" s="15">
        <f>IFERROR(Q368/Q444, "NA")</f>
        <v>0</v>
      </c>
      <c r="S368" s="2"/>
      <c r="T368" s="14">
        <f>IFERROR(T360+T361+T362+T363+T364+T365+T366+T367, "NA")</f>
        <v>0</v>
      </c>
      <c r="U368" s="15">
        <f>IFERROR(T368/T444, "NA")</f>
        <v>0</v>
      </c>
      <c r="V368" s="2"/>
      <c r="W368" s="14">
        <f t="shared" si="94"/>
        <v>0</v>
      </c>
      <c r="X368" s="15">
        <f>IFERROR(W368/W444, "NA")</f>
        <v>0</v>
      </c>
      <c r="Y368" s="2"/>
      <c r="Z368" s="14">
        <f>IFERROR(Z360+Z361+Z362+Z363+Z364+Z365+Z366+Z367, "NA")</f>
        <v>0</v>
      </c>
      <c r="AA368" s="15">
        <f>IFERROR(Z368/Z444, "NA")</f>
        <v>0</v>
      </c>
      <c r="AB368" s="2"/>
      <c r="AC368" s="14">
        <f t="shared" si="95"/>
        <v>0</v>
      </c>
      <c r="AD368" s="15">
        <f>IFERROR(AC368/AC444, "NA")</f>
        <v>0</v>
      </c>
    </row>
    <row r="369" spans="1:30" ht="16.5" hidden="1" customHeight="1" x14ac:dyDescent="0.45">
      <c r="A369" s="20" t="s">
        <v>337</v>
      </c>
      <c r="B369" s="7">
        <v>0</v>
      </c>
      <c r="C369" s="8">
        <f>IFERROR(B369/B444, "NA")</f>
        <v>0</v>
      </c>
      <c r="D369" s="9"/>
      <c r="E369" s="7">
        <v>0</v>
      </c>
      <c r="F369" s="8">
        <f>IFERROR(E369/E444, "NA")</f>
        <v>0</v>
      </c>
      <c r="G369" s="9"/>
      <c r="H369" s="10">
        <f t="shared" si="92"/>
        <v>0</v>
      </c>
      <c r="I369" s="8">
        <f>IFERROR(H369/H444, "NA")</f>
        <v>0</v>
      </c>
      <c r="J369" s="9"/>
      <c r="K369" s="7">
        <v>0</v>
      </c>
      <c r="L369" s="8">
        <f>IFERROR(K369/K444, "NA")</f>
        <v>0</v>
      </c>
      <c r="M369" s="9"/>
      <c r="N369" s="10">
        <f t="shared" si="93"/>
        <v>0</v>
      </c>
      <c r="O369" s="8">
        <f>IFERROR(N369/N444, "NA")</f>
        <v>0</v>
      </c>
      <c r="P369" s="9"/>
      <c r="Q369" s="7">
        <v>0</v>
      </c>
      <c r="R369" s="8">
        <f>IFERROR(Q369/Q444, "NA")</f>
        <v>0</v>
      </c>
      <c r="S369" s="9"/>
      <c r="T369" s="7">
        <v>0</v>
      </c>
      <c r="U369" s="8">
        <f>IFERROR(T369/T444, "NA")</f>
        <v>0</v>
      </c>
      <c r="V369" s="9"/>
      <c r="W369" s="10">
        <f t="shared" si="94"/>
        <v>0</v>
      </c>
      <c r="X369" s="8">
        <f>IFERROR(W369/W444, "NA")</f>
        <v>0</v>
      </c>
      <c r="Y369" s="9"/>
      <c r="Z369" s="7">
        <v>0</v>
      </c>
      <c r="AA369" s="8">
        <f>IFERROR(Z369/Z444, "NA")</f>
        <v>0</v>
      </c>
      <c r="AB369" s="9"/>
      <c r="AC369" s="10">
        <f t="shared" si="95"/>
        <v>0</v>
      </c>
      <c r="AD369" s="8">
        <f>IFERROR(AC369/AC444, "NA")</f>
        <v>0</v>
      </c>
    </row>
    <row r="370" spans="1:30" ht="16.5" hidden="1" customHeight="1" x14ac:dyDescent="0.45">
      <c r="A370" s="20" t="s">
        <v>338</v>
      </c>
      <c r="B370" s="7">
        <v>0</v>
      </c>
      <c r="C370" s="8">
        <f>IFERROR(B370/B444, "NA")</f>
        <v>0</v>
      </c>
      <c r="D370" s="9"/>
      <c r="E370" s="7">
        <v>0</v>
      </c>
      <c r="F370" s="8">
        <f>IFERROR(E370/E444, "NA")</f>
        <v>0</v>
      </c>
      <c r="G370" s="9"/>
      <c r="H370" s="10">
        <f t="shared" si="92"/>
        <v>0</v>
      </c>
      <c r="I370" s="8">
        <f>IFERROR(H370/H444, "NA")</f>
        <v>0</v>
      </c>
      <c r="J370" s="9"/>
      <c r="K370" s="7">
        <v>0</v>
      </c>
      <c r="L370" s="8">
        <f>IFERROR(K370/K444, "NA")</f>
        <v>0</v>
      </c>
      <c r="M370" s="9"/>
      <c r="N370" s="10">
        <f t="shared" si="93"/>
        <v>0</v>
      </c>
      <c r="O370" s="8">
        <f>IFERROR(N370/N444, "NA")</f>
        <v>0</v>
      </c>
      <c r="P370" s="9"/>
      <c r="Q370" s="7">
        <v>0</v>
      </c>
      <c r="R370" s="8">
        <f>IFERROR(Q370/Q444, "NA")</f>
        <v>0</v>
      </c>
      <c r="S370" s="9"/>
      <c r="T370" s="7">
        <v>0</v>
      </c>
      <c r="U370" s="8">
        <f>IFERROR(T370/T444, "NA")</f>
        <v>0</v>
      </c>
      <c r="V370" s="9"/>
      <c r="W370" s="10">
        <f t="shared" si="94"/>
        <v>0</v>
      </c>
      <c r="X370" s="8">
        <f>IFERROR(W370/W444, "NA")</f>
        <v>0</v>
      </c>
      <c r="Y370" s="9"/>
      <c r="Z370" s="7">
        <v>0</v>
      </c>
      <c r="AA370" s="8">
        <f>IFERROR(Z370/Z444, "NA")</f>
        <v>0</v>
      </c>
      <c r="AB370" s="9"/>
      <c r="AC370" s="10">
        <f t="shared" si="95"/>
        <v>0</v>
      </c>
      <c r="AD370" s="8">
        <f>IFERROR(AC370/AC444, "NA")</f>
        <v>0</v>
      </c>
    </row>
    <row r="371" spans="1:30" ht="16.5" hidden="1" customHeight="1" x14ac:dyDescent="0.45">
      <c r="A371" s="20" t="s">
        <v>339</v>
      </c>
      <c r="B371" s="7">
        <v>0</v>
      </c>
      <c r="C371" s="8">
        <f>IFERROR(B371/B444, "NA")</f>
        <v>0</v>
      </c>
      <c r="D371" s="9"/>
      <c r="E371" s="7">
        <v>0</v>
      </c>
      <c r="F371" s="8">
        <f>IFERROR(E371/E444, "NA")</f>
        <v>0</v>
      </c>
      <c r="G371" s="9"/>
      <c r="H371" s="10">
        <f t="shared" si="92"/>
        <v>0</v>
      </c>
      <c r="I371" s="8">
        <f>IFERROR(H371/H444, "NA")</f>
        <v>0</v>
      </c>
      <c r="J371" s="9"/>
      <c r="K371" s="7">
        <v>0</v>
      </c>
      <c r="L371" s="8">
        <f>IFERROR(K371/K444, "NA")</f>
        <v>0</v>
      </c>
      <c r="M371" s="9"/>
      <c r="N371" s="10">
        <f t="shared" si="93"/>
        <v>0</v>
      </c>
      <c r="O371" s="8">
        <f>IFERROR(N371/N444, "NA")</f>
        <v>0</v>
      </c>
      <c r="P371" s="9"/>
      <c r="Q371" s="7">
        <v>0</v>
      </c>
      <c r="R371" s="8">
        <f>IFERROR(Q371/Q444, "NA")</f>
        <v>0</v>
      </c>
      <c r="S371" s="9"/>
      <c r="T371" s="7">
        <v>0</v>
      </c>
      <c r="U371" s="8">
        <f>IFERROR(T371/T444, "NA")</f>
        <v>0</v>
      </c>
      <c r="V371" s="9"/>
      <c r="W371" s="10">
        <f t="shared" si="94"/>
        <v>0</v>
      </c>
      <c r="X371" s="8">
        <f>IFERROR(W371/W444, "NA")</f>
        <v>0</v>
      </c>
      <c r="Y371" s="9"/>
      <c r="Z371" s="7">
        <v>0</v>
      </c>
      <c r="AA371" s="8">
        <f>IFERROR(Z371/Z444, "NA")</f>
        <v>0</v>
      </c>
      <c r="AB371" s="9"/>
      <c r="AC371" s="10">
        <f t="shared" si="95"/>
        <v>0</v>
      </c>
      <c r="AD371" s="8">
        <f>IFERROR(AC371/AC444, "NA")</f>
        <v>0</v>
      </c>
    </row>
    <row r="372" spans="1:30" ht="16.5" hidden="1" customHeight="1" x14ac:dyDescent="0.45">
      <c r="A372" s="20" t="s">
        <v>340</v>
      </c>
      <c r="B372" s="7">
        <v>0</v>
      </c>
      <c r="C372" s="8">
        <f>IFERROR(B372/B444, "NA")</f>
        <v>0</v>
      </c>
      <c r="D372" s="9"/>
      <c r="E372" s="7">
        <v>0</v>
      </c>
      <c r="F372" s="8">
        <f>IFERROR(E372/E444, "NA")</f>
        <v>0</v>
      </c>
      <c r="G372" s="9"/>
      <c r="H372" s="10">
        <f t="shared" si="92"/>
        <v>0</v>
      </c>
      <c r="I372" s="8">
        <f>IFERROR(H372/H444, "NA")</f>
        <v>0</v>
      </c>
      <c r="J372" s="9"/>
      <c r="K372" s="7">
        <v>0</v>
      </c>
      <c r="L372" s="8">
        <f>IFERROR(K372/K444, "NA")</f>
        <v>0</v>
      </c>
      <c r="M372" s="9"/>
      <c r="N372" s="10">
        <f t="shared" si="93"/>
        <v>0</v>
      </c>
      <c r="O372" s="8">
        <f>IFERROR(N372/N444, "NA")</f>
        <v>0</v>
      </c>
      <c r="P372" s="9"/>
      <c r="Q372" s="7">
        <v>0</v>
      </c>
      <c r="R372" s="8">
        <f>IFERROR(Q372/Q444, "NA")</f>
        <v>0</v>
      </c>
      <c r="S372" s="9"/>
      <c r="T372" s="7">
        <v>0</v>
      </c>
      <c r="U372" s="8">
        <f>IFERROR(T372/T444, "NA")</f>
        <v>0</v>
      </c>
      <c r="V372" s="9"/>
      <c r="W372" s="10">
        <f t="shared" si="94"/>
        <v>0</v>
      </c>
      <c r="X372" s="8">
        <f>IFERROR(W372/W444, "NA")</f>
        <v>0</v>
      </c>
      <c r="Y372" s="9"/>
      <c r="Z372" s="7">
        <v>0</v>
      </c>
      <c r="AA372" s="8">
        <f>IFERROR(Z372/Z444, "NA")</f>
        <v>0</v>
      </c>
      <c r="AB372" s="9"/>
      <c r="AC372" s="10">
        <f t="shared" si="95"/>
        <v>0</v>
      </c>
      <c r="AD372" s="8">
        <f>IFERROR(AC372/AC444, "NA")</f>
        <v>0</v>
      </c>
    </row>
    <row r="373" spans="1:30" ht="16.5" hidden="1" customHeight="1" x14ac:dyDescent="0.45">
      <c r="A373" s="20" t="s">
        <v>341</v>
      </c>
      <c r="B373" s="7">
        <v>0</v>
      </c>
      <c r="C373" s="8">
        <f>IFERROR(B373/B444, "NA")</f>
        <v>0</v>
      </c>
      <c r="D373" s="9"/>
      <c r="E373" s="7">
        <v>0</v>
      </c>
      <c r="F373" s="8">
        <f>IFERROR(E373/E444, "NA")</f>
        <v>0</v>
      </c>
      <c r="G373" s="9"/>
      <c r="H373" s="10">
        <f t="shared" si="92"/>
        <v>0</v>
      </c>
      <c r="I373" s="8">
        <f>IFERROR(H373/H444, "NA")</f>
        <v>0</v>
      </c>
      <c r="J373" s="9"/>
      <c r="K373" s="7">
        <v>0</v>
      </c>
      <c r="L373" s="8">
        <f>IFERROR(K373/K444, "NA")</f>
        <v>0</v>
      </c>
      <c r="M373" s="9"/>
      <c r="N373" s="10">
        <f t="shared" si="93"/>
        <v>0</v>
      </c>
      <c r="O373" s="8">
        <f>IFERROR(N373/N444, "NA")</f>
        <v>0</v>
      </c>
      <c r="P373" s="9"/>
      <c r="Q373" s="7">
        <v>0</v>
      </c>
      <c r="R373" s="8">
        <f>IFERROR(Q373/Q444, "NA")</f>
        <v>0</v>
      </c>
      <c r="S373" s="9"/>
      <c r="T373" s="7">
        <v>0</v>
      </c>
      <c r="U373" s="8">
        <f>IFERROR(T373/T444, "NA")</f>
        <v>0</v>
      </c>
      <c r="V373" s="9"/>
      <c r="W373" s="10">
        <f t="shared" si="94"/>
        <v>0</v>
      </c>
      <c r="X373" s="8">
        <f>IFERROR(W373/W444, "NA")</f>
        <v>0</v>
      </c>
      <c r="Y373" s="9"/>
      <c r="Z373" s="7">
        <v>0</v>
      </c>
      <c r="AA373" s="8">
        <f>IFERROR(Z373/Z444, "NA")</f>
        <v>0</v>
      </c>
      <c r="AB373" s="9"/>
      <c r="AC373" s="10">
        <f t="shared" si="95"/>
        <v>0</v>
      </c>
      <c r="AD373" s="8">
        <f>IFERROR(AC373/AC444, "NA")</f>
        <v>0</v>
      </c>
    </row>
    <row r="374" spans="1:30" ht="16.5" hidden="1" customHeight="1" x14ac:dyDescent="0.45">
      <c r="A374" s="20" t="s">
        <v>342</v>
      </c>
      <c r="B374" s="7">
        <v>0</v>
      </c>
      <c r="C374" s="8">
        <f>IFERROR(B374/B444, "NA")</f>
        <v>0</v>
      </c>
      <c r="D374" s="9"/>
      <c r="E374" s="7">
        <v>0</v>
      </c>
      <c r="F374" s="8">
        <f>IFERROR(E374/E444, "NA")</f>
        <v>0</v>
      </c>
      <c r="G374" s="9"/>
      <c r="H374" s="10">
        <f t="shared" si="92"/>
        <v>0</v>
      </c>
      <c r="I374" s="8">
        <f>IFERROR(H374/H444, "NA")</f>
        <v>0</v>
      </c>
      <c r="J374" s="9"/>
      <c r="K374" s="7">
        <v>0</v>
      </c>
      <c r="L374" s="8">
        <f>IFERROR(K374/K444, "NA")</f>
        <v>0</v>
      </c>
      <c r="M374" s="9"/>
      <c r="N374" s="10">
        <f t="shared" si="93"/>
        <v>0</v>
      </c>
      <c r="O374" s="8">
        <f>IFERROR(N374/N444, "NA")</f>
        <v>0</v>
      </c>
      <c r="P374" s="9"/>
      <c r="Q374" s="7">
        <v>0</v>
      </c>
      <c r="R374" s="8">
        <f>IFERROR(Q374/Q444, "NA")</f>
        <v>0</v>
      </c>
      <c r="S374" s="9"/>
      <c r="T374" s="7">
        <v>0</v>
      </c>
      <c r="U374" s="8">
        <f>IFERROR(T374/T444, "NA")</f>
        <v>0</v>
      </c>
      <c r="V374" s="9"/>
      <c r="W374" s="10">
        <f t="shared" si="94"/>
        <v>0</v>
      </c>
      <c r="X374" s="8">
        <f>IFERROR(W374/W444, "NA")</f>
        <v>0</v>
      </c>
      <c r="Y374" s="9"/>
      <c r="Z374" s="7">
        <v>0</v>
      </c>
      <c r="AA374" s="8">
        <f>IFERROR(Z374/Z444, "NA")</f>
        <v>0</v>
      </c>
      <c r="AB374" s="9"/>
      <c r="AC374" s="10">
        <f t="shared" si="95"/>
        <v>0</v>
      </c>
      <c r="AD374" s="8">
        <f>IFERROR(AC374/AC444, "NA")</f>
        <v>0</v>
      </c>
    </row>
    <row r="375" spans="1:30" ht="16.5" hidden="1" customHeight="1" x14ac:dyDescent="0.45">
      <c r="A375" s="20" t="s">
        <v>343</v>
      </c>
      <c r="B375" s="7">
        <v>0</v>
      </c>
      <c r="C375" s="8">
        <f>IFERROR(B375/B444, "NA")</f>
        <v>0</v>
      </c>
      <c r="D375" s="9"/>
      <c r="E375" s="7">
        <v>0</v>
      </c>
      <c r="F375" s="8">
        <f>IFERROR(E375/E444, "NA")</f>
        <v>0</v>
      </c>
      <c r="G375" s="9"/>
      <c r="H375" s="10">
        <f t="shared" si="92"/>
        <v>0</v>
      </c>
      <c r="I375" s="8">
        <f>IFERROR(H375/H444, "NA")</f>
        <v>0</v>
      </c>
      <c r="J375" s="9"/>
      <c r="K375" s="7">
        <v>0</v>
      </c>
      <c r="L375" s="8">
        <f>IFERROR(K375/K444, "NA")</f>
        <v>0</v>
      </c>
      <c r="M375" s="9"/>
      <c r="N375" s="10">
        <f t="shared" si="93"/>
        <v>0</v>
      </c>
      <c r="O375" s="8">
        <f>IFERROR(N375/N444, "NA")</f>
        <v>0</v>
      </c>
      <c r="P375" s="9"/>
      <c r="Q375" s="7">
        <v>0</v>
      </c>
      <c r="R375" s="8">
        <f>IFERROR(Q375/Q444, "NA")</f>
        <v>0</v>
      </c>
      <c r="S375" s="9"/>
      <c r="T375" s="7">
        <v>0</v>
      </c>
      <c r="U375" s="8">
        <f>IFERROR(T375/T444, "NA")</f>
        <v>0</v>
      </c>
      <c r="V375" s="9"/>
      <c r="W375" s="10">
        <f t="shared" si="94"/>
        <v>0</v>
      </c>
      <c r="X375" s="8">
        <f>IFERROR(W375/W444, "NA")</f>
        <v>0</v>
      </c>
      <c r="Y375" s="9"/>
      <c r="Z375" s="7">
        <v>0</v>
      </c>
      <c r="AA375" s="8">
        <f>IFERROR(Z375/Z444, "NA")</f>
        <v>0</v>
      </c>
      <c r="AB375" s="9"/>
      <c r="AC375" s="10">
        <f t="shared" si="95"/>
        <v>0</v>
      </c>
      <c r="AD375" s="8">
        <f>IFERROR(AC375/AC444, "NA")</f>
        <v>0</v>
      </c>
    </row>
    <row r="376" spans="1:30" ht="16.5" hidden="1" customHeight="1" x14ac:dyDescent="0.45">
      <c r="A376" s="20" t="s">
        <v>344</v>
      </c>
      <c r="B376" s="7">
        <v>0</v>
      </c>
      <c r="C376" s="8">
        <f>IFERROR(B376/B444, "NA")</f>
        <v>0</v>
      </c>
      <c r="D376" s="9"/>
      <c r="E376" s="7">
        <v>0</v>
      </c>
      <c r="F376" s="8">
        <f>IFERROR(E376/E444, "NA")</f>
        <v>0</v>
      </c>
      <c r="G376" s="9"/>
      <c r="H376" s="10">
        <f t="shared" si="92"/>
        <v>0</v>
      </c>
      <c r="I376" s="8">
        <f>IFERROR(H376/H444, "NA")</f>
        <v>0</v>
      </c>
      <c r="J376" s="9"/>
      <c r="K376" s="7">
        <v>0</v>
      </c>
      <c r="L376" s="8">
        <f>IFERROR(K376/K444, "NA")</f>
        <v>0</v>
      </c>
      <c r="M376" s="9"/>
      <c r="N376" s="10">
        <f t="shared" si="93"/>
        <v>0</v>
      </c>
      <c r="O376" s="8">
        <f>IFERROR(N376/N444, "NA")</f>
        <v>0</v>
      </c>
      <c r="P376" s="9"/>
      <c r="Q376" s="7">
        <v>0</v>
      </c>
      <c r="R376" s="8">
        <f>IFERROR(Q376/Q444, "NA")</f>
        <v>0</v>
      </c>
      <c r="S376" s="9"/>
      <c r="T376" s="7">
        <v>0</v>
      </c>
      <c r="U376" s="8">
        <f>IFERROR(T376/T444, "NA")</f>
        <v>0</v>
      </c>
      <c r="V376" s="9"/>
      <c r="W376" s="10">
        <f t="shared" si="94"/>
        <v>0</v>
      </c>
      <c r="X376" s="8">
        <f>IFERROR(W376/W444, "NA")</f>
        <v>0</v>
      </c>
      <c r="Y376" s="9"/>
      <c r="Z376" s="7">
        <v>0</v>
      </c>
      <c r="AA376" s="8">
        <f>IFERROR(Z376/Z444, "NA")</f>
        <v>0</v>
      </c>
      <c r="AB376" s="9"/>
      <c r="AC376" s="10">
        <f t="shared" si="95"/>
        <v>0</v>
      </c>
      <c r="AD376" s="8">
        <f>IFERROR(AC376/AC444, "NA")</f>
        <v>0</v>
      </c>
    </row>
    <row r="377" spans="1:30" ht="16.5" hidden="1" customHeight="1" x14ac:dyDescent="0.45">
      <c r="A377" s="20" t="s">
        <v>345</v>
      </c>
      <c r="B377" s="7">
        <v>0</v>
      </c>
      <c r="C377" s="8">
        <f>IFERROR(B377/B444, "NA")</f>
        <v>0</v>
      </c>
      <c r="D377" s="9"/>
      <c r="E377" s="7">
        <v>0</v>
      </c>
      <c r="F377" s="8">
        <f>IFERROR(E377/E444, "NA")</f>
        <v>0</v>
      </c>
      <c r="G377" s="9"/>
      <c r="H377" s="10">
        <f t="shared" si="92"/>
        <v>0</v>
      </c>
      <c r="I377" s="8">
        <f>IFERROR(H377/H444, "NA")</f>
        <v>0</v>
      </c>
      <c r="J377" s="9"/>
      <c r="K377" s="7">
        <v>0</v>
      </c>
      <c r="L377" s="8">
        <f>IFERROR(K377/K444, "NA")</f>
        <v>0</v>
      </c>
      <c r="M377" s="9"/>
      <c r="N377" s="10">
        <f t="shared" si="93"/>
        <v>0</v>
      </c>
      <c r="O377" s="8">
        <f>IFERROR(N377/N444, "NA")</f>
        <v>0</v>
      </c>
      <c r="P377" s="9"/>
      <c r="Q377" s="7">
        <v>0</v>
      </c>
      <c r="R377" s="8">
        <f>IFERROR(Q377/Q444, "NA")</f>
        <v>0</v>
      </c>
      <c r="S377" s="9"/>
      <c r="T377" s="7">
        <v>0</v>
      </c>
      <c r="U377" s="8">
        <f>IFERROR(T377/T444, "NA")</f>
        <v>0</v>
      </c>
      <c r="V377" s="9"/>
      <c r="W377" s="10">
        <f t="shared" si="94"/>
        <v>0</v>
      </c>
      <c r="X377" s="8">
        <f>IFERROR(W377/W444, "NA")</f>
        <v>0</v>
      </c>
      <c r="Y377" s="9"/>
      <c r="Z377" s="7">
        <v>0</v>
      </c>
      <c r="AA377" s="8">
        <f>IFERROR(Z377/Z444, "NA")</f>
        <v>0</v>
      </c>
      <c r="AB377" s="9"/>
      <c r="AC377" s="10">
        <f t="shared" si="95"/>
        <v>0</v>
      </c>
      <c r="AD377" s="8">
        <f>IFERROR(AC377/AC444, "NA")</f>
        <v>0</v>
      </c>
    </row>
    <row r="378" spans="1:30" ht="16.5" hidden="1" customHeight="1" x14ac:dyDescent="0.45">
      <c r="A378" s="20" t="s">
        <v>346</v>
      </c>
      <c r="B378" s="7">
        <v>0</v>
      </c>
      <c r="C378" s="8">
        <f>IFERROR(B378/B444, "NA")</f>
        <v>0</v>
      </c>
      <c r="D378" s="9"/>
      <c r="E378" s="7">
        <v>0</v>
      </c>
      <c r="F378" s="8">
        <f>IFERROR(E378/E444, "NA")</f>
        <v>0</v>
      </c>
      <c r="G378" s="9"/>
      <c r="H378" s="10">
        <f t="shared" si="92"/>
        <v>0</v>
      </c>
      <c r="I378" s="8">
        <f>IFERROR(H378/H444, "NA")</f>
        <v>0</v>
      </c>
      <c r="J378" s="9"/>
      <c r="K378" s="7">
        <v>0</v>
      </c>
      <c r="L378" s="8">
        <f>IFERROR(K378/K444, "NA")</f>
        <v>0</v>
      </c>
      <c r="M378" s="9"/>
      <c r="N378" s="10">
        <f t="shared" si="93"/>
        <v>0</v>
      </c>
      <c r="O378" s="8">
        <f>IFERROR(N378/N444, "NA")</f>
        <v>0</v>
      </c>
      <c r="P378" s="9"/>
      <c r="Q378" s="7">
        <v>0</v>
      </c>
      <c r="R378" s="8">
        <f>IFERROR(Q378/Q444, "NA")</f>
        <v>0</v>
      </c>
      <c r="S378" s="9"/>
      <c r="T378" s="7">
        <v>0</v>
      </c>
      <c r="U378" s="8">
        <f>IFERROR(T378/T444, "NA")</f>
        <v>0</v>
      </c>
      <c r="V378" s="9"/>
      <c r="W378" s="10">
        <f t="shared" si="94"/>
        <v>0</v>
      </c>
      <c r="X378" s="8">
        <f>IFERROR(W378/W444, "NA")</f>
        <v>0</v>
      </c>
      <c r="Y378" s="9"/>
      <c r="Z378" s="7">
        <v>0</v>
      </c>
      <c r="AA378" s="8">
        <f>IFERROR(Z378/Z444, "NA")</f>
        <v>0</v>
      </c>
      <c r="AB378" s="9"/>
      <c r="AC378" s="10">
        <f t="shared" si="95"/>
        <v>0</v>
      </c>
      <c r="AD378" s="8">
        <f>IFERROR(AC378/AC444, "NA")</f>
        <v>0</v>
      </c>
    </row>
    <row r="379" spans="1:30" ht="16.5" hidden="1" customHeight="1" x14ac:dyDescent="0.45">
      <c r="A379" s="20" t="s">
        <v>347</v>
      </c>
      <c r="B379" s="7">
        <v>0</v>
      </c>
      <c r="C379" s="8">
        <f>IFERROR(B379/B444, "NA")</f>
        <v>0</v>
      </c>
      <c r="D379" s="9"/>
      <c r="E379" s="7">
        <v>0</v>
      </c>
      <c r="F379" s="8">
        <f>IFERROR(E379/E444, "NA")</f>
        <v>0</v>
      </c>
      <c r="G379" s="9"/>
      <c r="H379" s="10">
        <f t="shared" si="92"/>
        <v>0</v>
      </c>
      <c r="I379" s="8">
        <f>IFERROR(H379/H444, "NA")</f>
        <v>0</v>
      </c>
      <c r="J379" s="9"/>
      <c r="K379" s="7">
        <v>0</v>
      </c>
      <c r="L379" s="8">
        <f>IFERROR(K379/K444, "NA")</f>
        <v>0</v>
      </c>
      <c r="M379" s="9"/>
      <c r="N379" s="10">
        <f t="shared" si="93"/>
        <v>0</v>
      </c>
      <c r="O379" s="8">
        <f>IFERROR(N379/N444, "NA")</f>
        <v>0</v>
      </c>
      <c r="P379" s="9"/>
      <c r="Q379" s="7">
        <v>0</v>
      </c>
      <c r="R379" s="8">
        <f>IFERROR(Q379/Q444, "NA")</f>
        <v>0</v>
      </c>
      <c r="S379" s="9"/>
      <c r="T379" s="7">
        <v>0</v>
      </c>
      <c r="U379" s="8">
        <f>IFERROR(T379/T444, "NA")</f>
        <v>0</v>
      </c>
      <c r="V379" s="9"/>
      <c r="W379" s="10">
        <f t="shared" si="94"/>
        <v>0</v>
      </c>
      <c r="X379" s="8">
        <f>IFERROR(W379/W444, "NA")</f>
        <v>0</v>
      </c>
      <c r="Y379" s="9"/>
      <c r="Z379" s="7">
        <v>0</v>
      </c>
      <c r="AA379" s="8">
        <f>IFERROR(Z379/Z444, "NA")</f>
        <v>0</v>
      </c>
      <c r="AB379" s="9"/>
      <c r="AC379" s="10">
        <f t="shared" si="95"/>
        <v>0</v>
      </c>
      <c r="AD379" s="8">
        <f>IFERROR(AC379/AC444, "NA")</f>
        <v>0</v>
      </c>
    </row>
    <row r="380" spans="1:30" ht="16.5" hidden="1" customHeight="1" x14ac:dyDescent="0.45">
      <c r="A380" s="20" t="s">
        <v>348</v>
      </c>
      <c r="B380" s="7">
        <v>0</v>
      </c>
      <c r="C380" s="8">
        <f>IFERROR(B380/B444, "NA")</f>
        <v>0</v>
      </c>
      <c r="D380" s="9"/>
      <c r="E380" s="7">
        <v>0</v>
      </c>
      <c r="F380" s="8">
        <f>IFERROR(E380/E444, "NA")</f>
        <v>0</v>
      </c>
      <c r="G380" s="9"/>
      <c r="H380" s="10">
        <f t="shared" si="92"/>
        <v>0</v>
      </c>
      <c r="I380" s="8">
        <f>IFERROR(H380/H444, "NA")</f>
        <v>0</v>
      </c>
      <c r="J380" s="9"/>
      <c r="K380" s="7">
        <v>0</v>
      </c>
      <c r="L380" s="8">
        <f>IFERROR(K380/K444, "NA")</f>
        <v>0</v>
      </c>
      <c r="M380" s="9"/>
      <c r="N380" s="10">
        <f t="shared" si="93"/>
        <v>0</v>
      </c>
      <c r="O380" s="8">
        <f>IFERROR(N380/N444, "NA")</f>
        <v>0</v>
      </c>
      <c r="P380" s="9"/>
      <c r="Q380" s="7">
        <v>0</v>
      </c>
      <c r="R380" s="8">
        <f>IFERROR(Q380/Q444, "NA")</f>
        <v>0</v>
      </c>
      <c r="S380" s="9"/>
      <c r="T380" s="7">
        <v>0</v>
      </c>
      <c r="U380" s="8">
        <f>IFERROR(T380/T444, "NA")</f>
        <v>0</v>
      </c>
      <c r="V380" s="9"/>
      <c r="W380" s="10">
        <f t="shared" si="94"/>
        <v>0</v>
      </c>
      <c r="X380" s="8">
        <f>IFERROR(W380/W444, "NA")</f>
        <v>0</v>
      </c>
      <c r="Y380" s="9"/>
      <c r="Z380" s="7">
        <v>0</v>
      </c>
      <c r="AA380" s="8">
        <f>IFERROR(Z380/Z444, "NA")</f>
        <v>0</v>
      </c>
      <c r="AB380" s="9"/>
      <c r="AC380" s="10">
        <f t="shared" si="95"/>
        <v>0</v>
      </c>
      <c r="AD380" s="8">
        <f>IFERROR(AC380/AC444, "NA")</f>
        <v>0</v>
      </c>
    </row>
    <row r="381" spans="1:30" ht="16.5" hidden="1" customHeight="1" x14ac:dyDescent="0.45">
      <c r="A381" s="20" t="s">
        <v>349</v>
      </c>
      <c r="B381" s="7">
        <v>0</v>
      </c>
      <c r="C381" s="8">
        <f>IFERROR(B381/B444, "NA")</f>
        <v>0</v>
      </c>
      <c r="D381" s="9"/>
      <c r="E381" s="7">
        <v>0</v>
      </c>
      <c r="F381" s="8">
        <f>IFERROR(E381/E444, "NA")</f>
        <v>0</v>
      </c>
      <c r="G381" s="9"/>
      <c r="H381" s="10">
        <f t="shared" si="92"/>
        <v>0</v>
      </c>
      <c r="I381" s="8">
        <f>IFERROR(H381/H444, "NA")</f>
        <v>0</v>
      </c>
      <c r="J381" s="9"/>
      <c r="K381" s="7">
        <v>0</v>
      </c>
      <c r="L381" s="8">
        <f>IFERROR(K381/K444, "NA")</f>
        <v>0</v>
      </c>
      <c r="M381" s="9"/>
      <c r="N381" s="10">
        <f t="shared" si="93"/>
        <v>0</v>
      </c>
      <c r="O381" s="8">
        <f>IFERROR(N381/N444, "NA")</f>
        <v>0</v>
      </c>
      <c r="P381" s="9"/>
      <c r="Q381" s="7">
        <v>0</v>
      </c>
      <c r="R381" s="8">
        <f>IFERROR(Q381/Q444, "NA")</f>
        <v>0</v>
      </c>
      <c r="S381" s="9"/>
      <c r="T381" s="7">
        <v>0</v>
      </c>
      <c r="U381" s="8">
        <f>IFERROR(T381/T444, "NA")</f>
        <v>0</v>
      </c>
      <c r="V381" s="9"/>
      <c r="W381" s="10">
        <f t="shared" si="94"/>
        <v>0</v>
      </c>
      <c r="X381" s="8">
        <f>IFERROR(W381/W444, "NA")</f>
        <v>0</v>
      </c>
      <c r="Y381" s="9"/>
      <c r="Z381" s="7">
        <v>0</v>
      </c>
      <c r="AA381" s="8">
        <f>IFERROR(Z381/Z444, "NA")</f>
        <v>0</v>
      </c>
      <c r="AB381" s="9"/>
      <c r="AC381" s="10">
        <f t="shared" si="95"/>
        <v>0</v>
      </c>
      <c r="AD381" s="8">
        <f>IFERROR(AC381/AC444, "NA")</f>
        <v>0</v>
      </c>
    </row>
    <row r="382" spans="1:30" ht="16.5" hidden="1" customHeight="1" x14ac:dyDescent="0.45">
      <c r="A382" s="20" t="s">
        <v>350</v>
      </c>
      <c r="B382" s="7">
        <v>0</v>
      </c>
      <c r="C382" s="8">
        <f>IFERROR(B382/B444, "NA")</f>
        <v>0</v>
      </c>
      <c r="D382" s="9"/>
      <c r="E382" s="7">
        <v>0</v>
      </c>
      <c r="F382" s="8">
        <f>IFERROR(E382/E444, "NA")</f>
        <v>0</v>
      </c>
      <c r="G382" s="9"/>
      <c r="H382" s="10">
        <f t="shared" si="92"/>
        <v>0</v>
      </c>
      <c r="I382" s="8">
        <f>IFERROR(H382/H444, "NA")</f>
        <v>0</v>
      </c>
      <c r="J382" s="9"/>
      <c r="K382" s="7">
        <v>0</v>
      </c>
      <c r="L382" s="8">
        <f>IFERROR(K382/K444, "NA")</f>
        <v>0</v>
      </c>
      <c r="M382" s="9"/>
      <c r="N382" s="10">
        <f t="shared" si="93"/>
        <v>0</v>
      </c>
      <c r="O382" s="8">
        <f>IFERROR(N382/N444, "NA")</f>
        <v>0</v>
      </c>
      <c r="P382" s="9"/>
      <c r="Q382" s="7">
        <v>0</v>
      </c>
      <c r="R382" s="8">
        <f>IFERROR(Q382/Q444, "NA")</f>
        <v>0</v>
      </c>
      <c r="S382" s="9"/>
      <c r="T382" s="7">
        <v>0</v>
      </c>
      <c r="U382" s="8">
        <f>IFERROR(T382/T444, "NA")</f>
        <v>0</v>
      </c>
      <c r="V382" s="9"/>
      <c r="W382" s="10">
        <f t="shared" si="94"/>
        <v>0</v>
      </c>
      <c r="X382" s="8">
        <f>IFERROR(W382/W444, "NA")</f>
        <v>0</v>
      </c>
      <c r="Y382" s="9"/>
      <c r="Z382" s="7">
        <v>0</v>
      </c>
      <c r="AA382" s="8">
        <f>IFERROR(Z382/Z444, "NA")</f>
        <v>0</v>
      </c>
      <c r="AB382" s="9"/>
      <c r="AC382" s="10">
        <f t="shared" si="95"/>
        <v>0</v>
      </c>
      <c r="AD382" s="8">
        <f>IFERROR(AC382/AC444, "NA")</f>
        <v>0</v>
      </c>
    </row>
    <row r="383" spans="1:30" ht="16.5" hidden="1" customHeight="1" x14ac:dyDescent="0.45">
      <c r="A383" s="20" t="s">
        <v>351</v>
      </c>
      <c r="B383" s="7">
        <v>0</v>
      </c>
      <c r="C383" s="8">
        <f>IFERROR(B383/B444, "NA")</f>
        <v>0</v>
      </c>
      <c r="D383" s="9"/>
      <c r="E383" s="7">
        <v>0</v>
      </c>
      <c r="F383" s="8">
        <f>IFERROR(E383/E444, "NA")</f>
        <v>0</v>
      </c>
      <c r="G383" s="9"/>
      <c r="H383" s="10">
        <f t="shared" si="92"/>
        <v>0</v>
      </c>
      <c r="I383" s="8">
        <f>IFERROR(H383/H444, "NA")</f>
        <v>0</v>
      </c>
      <c r="J383" s="9"/>
      <c r="K383" s="7">
        <v>0</v>
      </c>
      <c r="L383" s="8">
        <f>IFERROR(K383/K444, "NA")</f>
        <v>0</v>
      </c>
      <c r="M383" s="9"/>
      <c r="N383" s="10">
        <f t="shared" si="93"/>
        <v>0</v>
      </c>
      <c r="O383" s="8">
        <f>IFERROR(N383/N444, "NA")</f>
        <v>0</v>
      </c>
      <c r="P383" s="9"/>
      <c r="Q383" s="7">
        <v>0</v>
      </c>
      <c r="R383" s="8">
        <f>IFERROR(Q383/Q444, "NA")</f>
        <v>0</v>
      </c>
      <c r="S383" s="9"/>
      <c r="T383" s="7">
        <v>0</v>
      </c>
      <c r="U383" s="8">
        <f>IFERROR(T383/T444, "NA")</f>
        <v>0</v>
      </c>
      <c r="V383" s="9"/>
      <c r="W383" s="10">
        <f t="shared" si="94"/>
        <v>0</v>
      </c>
      <c r="X383" s="8">
        <f>IFERROR(W383/W444, "NA")</f>
        <v>0</v>
      </c>
      <c r="Y383" s="9"/>
      <c r="Z383" s="7">
        <v>0</v>
      </c>
      <c r="AA383" s="8">
        <f>IFERROR(Z383/Z444, "NA")</f>
        <v>0</v>
      </c>
      <c r="AB383" s="9"/>
      <c r="AC383" s="10">
        <f t="shared" si="95"/>
        <v>0</v>
      </c>
      <c r="AD383" s="8">
        <f>IFERROR(AC383/AC444, "NA")</f>
        <v>0</v>
      </c>
    </row>
    <row r="384" spans="1:30" ht="16.5" customHeight="1" x14ac:dyDescent="0.45">
      <c r="A384" s="5" t="s">
        <v>352</v>
      </c>
      <c r="B384" s="2"/>
      <c r="C384" s="3"/>
      <c r="D384" s="4"/>
      <c r="E384" s="2"/>
      <c r="F384" s="3"/>
      <c r="G384" s="4"/>
      <c r="H384" s="2"/>
      <c r="I384" s="3"/>
      <c r="J384" s="4"/>
      <c r="K384" s="2"/>
      <c r="L384" s="3"/>
      <c r="M384" s="4"/>
      <c r="N384" s="2"/>
      <c r="O384" s="3"/>
      <c r="P384" s="4"/>
      <c r="Q384" s="2"/>
      <c r="R384" s="3"/>
      <c r="S384" s="4"/>
      <c r="T384" s="2"/>
      <c r="U384" s="3"/>
      <c r="V384" s="4"/>
      <c r="W384" s="2"/>
      <c r="X384" s="3"/>
      <c r="Y384" s="4"/>
      <c r="Z384" s="2"/>
      <c r="AA384" s="3"/>
      <c r="AB384" s="4"/>
      <c r="AC384" s="2"/>
      <c r="AD384" s="3"/>
    </row>
    <row r="385" spans="1:30" ht="16.5" hidden="1" customHeight="1" x14ac:dyDescent="0.45">
      <c r="A385" s="6" t="s">
        <v>352</v>
      </c>
      <c r="B385" s="7">
        <v>0</v>
      </c>
      <c r="C385" s="8">
        <f>IFERROR(B385/B444, "NA")</f>
        <v>0</v>
      </c>
      <c r="D385" s="9"/>
      <c r="E385" s="7">
        <v>0</v>
      </c>
      <c r="F385" s="8">
        <f>IFERROR(E385/E444, "NA")</f>
        <v>0</v>
      </c>
      <c r="G385" s="9"/>
      <c r="H385" s="10">
        <f>IFERROR(-(B385-E385), "NA")</f>
        <v>0</v>
      </c>
      <c r="I385" s="8">
        <f>IFERROR(H385/H444, "NA")</f>
        <v>0</v>
      </c>
      <c r="J385" s="9"/>
      <c r="K385" s="7">
        <v>0</v>
      </c>
      <c r="L385" s="8">
        <f>IFERROR(K385/K444, "NA")</f>
        <v>0</v>
      </c>
      <c r="M385" s="9"/>
      <c r="N385" s="10">
        <f>IFERROR(-(B385-K385), "NA")</f>
        <v>0</v>
      </c>
      <c r="O385" s="8">
        <f>IFERROR(N385/N444, "NA")</f>
        <v>0</v>
      </c>
      <c r="P385" s="9"/>
      <c r="Q385" s="7">
        <v>0</v>
      </c>
      <c r="R385" s="8">
        <f>IFERROR(Q385/Q444, "NA")</f>
        <v>0</v>
      </c>
      <c r="S385" s="9"/>
      <c r="T385" s="7">
        <v>0</v>
      </c>
      <c r="U385" s="8">
        <f>IFERROR(T385/T444, "NA")</f>
        <v>0</v>
      </c>
      <c r="V385" s="9"/>
      <c r="W385" s="10">
        <f>IFERROR(-(Q385-T385), "NA")</f>
        <v>0</v>
      </c>
      <c r="X385" s="8">
        <f>IFERROR(W385/W444, "NA")</f>
        <v>0</v>
      </c>
      <c r="Y385" s="9"/>
      <c r="Z385" s="7">
        <v>0</v>
      </c>
      <c r="AA385" s="8">
        <f>IFERROR(Z385/Z444, "NA")</f>
        <v>0</v>
      </c>
      <c r="AB385" s="9"/>
      <c r="AC385" s="10">
        <f>IFERROR(-(Q385-Z385), "NA")</f>
        <v>0</v>
      </c>
      <c r="AD385" s="8">
        <f>IFERROR(AC385/AC444, "NA")</f>
        <v>0</v>
      </c>
    </row>
    <row r="386" spans="1:30" ht="16.5" hidden="1" customHeight="1" x14ac:dyDescent="0.45">
      <c r="A386" s="6" t="s">
        <v>353</v>
      </c>
      <c r="B386" s="7">
        <v>0</v>
      </c>
      <c r="C386" s="8">
        <f>IFERROR(B386/B444, "NA")</f>
        <v>0</v>
      </c>
      <c r="D386" s="9"/>
      <c r="E386" s="7">
        <v>0</v>
      </c>
      <c r="F386" s="8">
        <f>IFERROR(E386/E444, "NA")</f>
        <v>0</v>
      </c>
      <c r="G386" s="9"/>
      <c r="H386" s="10">
        <f>IFERROR(-(B386-E386), "NA")</f>
        <v>0</v>
      </c>
      <c r="I386" s="8">
        <f>IFERROR(H386/H444, "NA")</f>
        <v>0</v>
      </c>
      <c r="J386" s="9"/>
      <c r="K386" s="7">
        <v>0</v>
      </c>
      <c r="L386" s="8">
        <f>IFERROR(K386/K444, "NA")</f>
        <v>0</v>
      </c>
      <c r="M386" s="9"/>
      <c r="N386" s="10">
        <f>IFERROR(-(B386-K386), "NA")</f>
        <v>0</v>
      </c>
      <c r="O386" s="8">
        <f>IFERROR(N386/N444, "NA")</f>
        <v>0</v>
      </c>
      <c r="P386" s="9"/>
      <c r="Q386" s="7">
        <v>0</v>
      </c>
      <c r="R386" s="8">
        <f>IFERROR(Q386/Q444, "NA")</f>
        <v>0</v>
      </c>
      <c r="S386" s="9"/>
      <c r="T386" s="7">
        <v>0</v>
      </c>
      <c r="U386" s="8">
        <f>IFERROR(T386/T444, "NA")</f>
        <v>0</v>
      </c>
      <c r="V386" s="9"/>
      <c r="W386" s="10">
        <f>IFERROR(-(Q386-T386), "NA")</f>
        <v>0</v>
      </c>
      <c r="X386" s="8">
        <f>IFERROR(W386/W444, "NA")</f>
        <v>0</v>
      </c>
      <c r="Y386" s="9"/>
      <c r="Z386" s="7">
        <v>0</v>
      </c>
      <c r="AA386" s="8">
        <f>IFERROR(Z386/Z444, "NA")</f>
        <v>0</v>
      </c>
      <c r="AB386" s="9"/>
      <c r="AC386" s="10">
        <f>IFERROR(-(Q386-Z386), "NA")</f>
        <v>0</v>
      </c>
      <c r="AD386" s="8">
        <f>IFERROR(AC386/AC444, "NA")</f>
        <v>0</v>
      </c>
    </row>
    <row r="387" spans="1:30" ht="16.5" customHeight="1" x14ac:dyDescent="0.45">
      <c r="A387" s="11" t="s">
        <v>354</v>
      </c>
      <c r="B387" s="2"/>
      <c r="C387" s="3"/>
      <c r="D387" s="4"/>
      <c r="E387" s="2"/>
      <c r="F387" s="3"/>
      <c r="G387" s="4"/>
      <c r="H387" s="2"/>
      <c r="I387" s="3"/>
      <c r="J387" s="4"/>
      <c r="K387" s="2"/>
      <c r="L387" s="3"/>
      <c r="M387" s="4"/>
      <c r="N387" s="2"/>
      <c r="O387" s="3"/>
      <c r="P387" s="4"/>
      <c r="Q387" s="2"/>
      <c r="R387" s="3"/>
      <c r="S387" s="4"/>
      <c r="T387" s="2"/>
      <c r="U387" s="3"/>
      <c r="V387" s="4"/>
      <c r="W387" s="2"/>
      <c r="X387" s="3"/>
      <c r="Y387" s="4"/>
      <c r="Z387" s="2"/>
      <c r="AA387" s="3"/>
      <c r="AB387" s="4"/>
      <c r="AC387" s="2"/>
      <c r="AD387" s="3"/>
    </row>
    <row r="388" spans="1:30" ht="16.5" hidden="1" customHeight="1" x14ac:dyDescent="0.45">
      <c r="A388" s="12" t="s">
        <v>354</v>
      </c>
      <c r="B388" s="7">
        <v>0</v>
      </c>
      <c r="C388" s="8">
        <f>IFERROR(B388/B444, "NA")</f>
        <v>0</v>
      </c>
      <c r="D388" s="9"/>
      <c r="E388" s="7">
        <v>0</v>
      </c>
      <c r="F388" s="8">
        <f>IFERROR(E388/E444, "NA")</f>
        <v>0</v>
      </c>
      <c r="G388" s="9"/>
      <c r="H388" s="10">
        <f t="shared" ref="H388:H403" si="96">IFERROR(-(B388-E388), "NA")</f>
        <v>0</v>
      </c>
      <c r="I388" s="8">
        <f>IFERROR(H388/H444, "NA")</f>
        <v>0</v>
      </c>
      <c r="J388" s="9"/>
      <c r="K388" s="7">
        <v>0</v>
      </c>
      <c r="L388" s="8">
        <f>IFERROR(K388/K444, "NA")</f>
        <v>0</v>
      </c>
      <c r="M388" s="9"/>
      <c r="N388" s="10">
        <f t="shared" ref="N388:N403" si="97">IFERROR(-(B388-K388), "NA")</f>
        <v>0</v>
      </c>
      <c r="O388" s="8">
        <f>IFERROR(N388/N444, "NA")</f>
        <v>0</v>
      </c>
      <c r="P388" s="9"/>
      <c r="Q388" s="7">
        <v>0</v>
      </c>
      <c r="R388" s="8">
        <f>IFERROR(Q388/Q444, "NA")</f>
        <v>0</v>
      </c>
      <c r="S388" s="9"/>
      <c r="T388" s="7">
        <v>0</v>
      </c>
      <c r="U388" s="8">
        <f>IFERROR(T388/T444, "NA")</f>
        <v>0</v>
      </c>
      <c r="V388" s="9"/>
      <c r="W388" s="10">
        <f t="shared" ref="W388:W403" si="98">IFERROR(-(Q388-T388), "NA")</f>
        <v>0</v>
      </c>
      <c r="X388" s="8">
        <f>IFERROR(W388/W444, "NA")</f>
        <v>0</v>
      </c>
      <c r="Y388" s="9"/>
      <c r="Z388" s="7">
        <v>0</v>
      </c>
      <c r="AA388" s="8">
        <f>IFERROR(Z388/Z444, "NA")</f>
        <v>0</v>
      </c>
      <c r="AB388" s="9"/>
      <c r="AC388" s="10">
        <f t="shared" ref="AC388:AC403" si="99">IFERROR(-(Q388-Z388), "NA")</f>
        <v>0</v>
      </c>
      <c r="AD388" s="8">
        <f>IFERROR(AC388/AC444, "NA")</f>
        <v>0</v>
      </c>
    </row>
    <row r="389" spans="1:30" ht="16.5" hidden="1" customHeight="1" x14ac:dyDescent="0.45">
      <c r="A389" s="12" t="s">
        <v>355</v>
      </c>
      <c r="B389" s="7">
        <v>0</v>
      </c>
      <c r="C389" s="8">
        <f>IFERROR(B389/B444, "NA")</f>
        <v>0</v>
      </c>
      <c r="D389" s="9"/>
      <c r="E389" s="7">
        <v>0</v>
      </c>
      <c r="F389" s="8">
        <f>IFERROR(E389/E444, "NA")</f>
        <v>0</v>
      </c>
      <c r="G389" s="9"/>
      <c r="H389" s="10">
        <f t="shared" si="96"/>
        <v>0</v>
      </c>
      <c r="I389" s="8">
        <f>IFERROR(H389/H444, "NA")</f>
        <v>0</v>
      </c>
      <c r="J389" s="9"/>
      <c r="K389" s="7">
        <v>0</v>
      </c>
      <c r="L389" s="8">
        <f>IFERROR(K389/K444, "NA")</f>
        <v>0</v>
      </c>
      <c r="M389" s="9"/>
      <c r="N389" s="10">
        <f t="shared" si="97"/>
        <v>0</v>
      </c>
      <c r="O389" s="8">
        <f>IFERROR(N389/N444, "NA")</f>
        <v>0</v>
      </c>
      <c r="P389" s="9"/>
      <c r="Q389" s="7">
        <v>0</v>
      </c>
      <c r="R389" s="8">
        <f>IFERROR(Q389/Q444, "NA")</f>
        <v>0</v>
      </c>
      <c r="S389" s="9"/>
      <c r="T389" s="7">
        <v>0</v>
      </c>
      <c r="U389" s="8">
        <f>IFERROR(T389/T444, "NA")</f>
        <v>0</v>
      </c>
      <c r="V389" s="9"/>
      <c r="W389" s="10">
        <f t="shared" si="98"/>
        <v>0</v>
      </c>
      <c r="X389" s="8">
        <f>IFERROR(W389/W444, "NA")</f>
        <v>0</v>
      </c>
      <c r="Y389" s="9"/>
      <c r="Z389" s="7">
        <v>0</v>
      </c>
      <c r="AA389" s="8">
        <f>IFERROR(Z389/Z444, "NA")</f>
        <v>0</v>
      </c>
      <c r="AB389" s="9"/>
      <c r="AC389" s="10">
        <f t="shared" si="99"/>
        <v>0</v>
      </c>
      <c r="AD389" s="8">
        <f>IFERROR(AC389/AC444, "NA")</f>
        <v>0</v>
      </c>
    </row>
    <row r="390" spans="1:30" ht="16.5" hidden="1" customHeight="1" x14ac:dyDescent="0.45">
      <c r="A390" s="12" t="s">
        <v>356</v>
      </c>
      <c r="B390" s="7">
        <v>0</v>
      </c>
      <c r="C390" s="8">
        <f>IFERROR(B390/B444, "NA")</f>
        <v>0</v>
      </c>
      <c r="D390" s="9"/>
      <c r="E390" s="7">
        <v>0</v>
      </c>
      <c r="F390" s="8">
        <f>IFERROR(E390/E444, "NA")</f>
        <v>0</v>
      </c>
      <c r="G390" s="9"/>
      <c r="H390" s="10">
        <f t="shared" si="96"/>
        <v>0</v>
      </c>
      <c r="I390" s="8">
        <f>IFERROR(H390/H444, "NA")</f>
        <v>0</v>
      </c>
      <c r="J390" s="9"/>
      <c r="K390" s="7">
        <v>0</v>
      </c>
      <c r="L390" s="8">
        <f>IFERROR(K390/K444, "NA")</f>
        <v>0</v>
      </c>
      <c r="M390" s="9"/>
      <c r="N390" s="10">
        <f t="shared" si="97"/>
        <v>0</v>
      </c>
      <c r="O390" s="8">
        <f>IFERROR(N390/N444, "NA")</f>
        <v>0</v>
      </c>
      <c r="P390" s="9"/>
      <c r="Q390" s="7">
        <v>0</v>
      </c>
      <c r="R390" s="8">
        <f>IFERROR(Q390/Q444, "NA")</f>
        <v>0</v>
      </c>
      <c r="S390" s="9"/>
      <c r="T390" s="7">
        <v>0</v>
      </c>
      <c r="U390" s="8">
        <f>IFERROR(T390/T444, "NA")</f>
        <v>0</v>
      </c>
      <c r="V390" s="9"/>
      <c r="W390" s="10">
        <f t="shared" si="98"/>
        <v>0</v>
      </c>
      <c r="X390" s="8">
        <f>IFERROR(W390/W444, "NA")</f>
        <v>0</v>
      </c>
      <c r="Y390" s="9"/>
      <c r="Z390" s="7">
        <v>0</v>
      </c>
      <c r="AA390" s="8">
        <f>IFERROR(Z390/Z444, "NA")</f>
        <v>0</v>
      </c>
      <c r="AB390" s="9"/>
      <c r="AC390" s="10">
        <f t="shared" si="99"/>
        <v>0</v>
      </c>
      <c r="AD390" s="8">
        <f>IFERROR(AC390/AC444, "NA")</f>
        <v>0</v>
      </c>
    </row>
    <row r="391" spans="1:30" ht="16.5" hidden="1" customHeight="1" x14ac:dyDescent="0.45">
      <c r="A391" s="12" t="s">
        <v>357</v>
      </c>
      <c r="B391" s="7">
        <v>0</v>
      </c>
      <c r="C391" s="8">
        <f>IFERROR(B391/B444, "NA")</f>
        <v>0</v>
      </c>
      <c r="D391" s="9"/>
      <c r="E391" s="7">
        <v>0</v>
      </c>
      <c r="F391" s="8">
        <f>IFERROR(E391/E444, "NA")</f>
        <v>0</v>
      </c>
      <c r="G391" s="9"/>
      <c r="H391" s="10">
        <f t="shared" si="96"/>
        <v>0</v>
      </c>
      <c r="I391" s="8">
        <f>IFERROR(H391/H444, "NA")</f>
        <v>0</v>
      </c>
      <c r="J391" s="9"/>
      <c r="K391" s="7">
        <v>0</v>
      </c>
      <c r="L391" s="8">
        <f>IFERROR(K391/K444, "NA")</f>
        <v>0</v>
      </c>
      <c r="M391" s="9"/>
      <c r="N391" s="10">
        <f t="shared" si="97"/>
        <v>0</v>
      </c>
      <c r="O391" s="8">
        <f>IFERROR(N391/N444, "NA")</f>
        <v>0</v>
      </c>
      <c r="P391" s="9"/>
      <c r="Q391" s="7">
        <v>0</v>
      </c>
      <c r="R391" s="8">
        <f>IFERROR(Q391/Q444, "NA")</f>
        <v>0</v>
      </c>
      <c r="S391" s="9"/>
      <c r="T391" s="7">
        <v>0</v>
      </c>
      <c r="U391" s="8">
        <f>IFERROR(T391/T444, "NA")</f>
        <v>0</v>
      </c>
      <c r="V391" s="9"/>
      <c r="W391" s="10">
        <f t="shared" si="98"/>
        <v>0</v>
      </c>
      <c r="X391" s="8">
        <f>IFERROR(W391/W444, "NA")</f>
        <v>0</v>
      </c>
      <c r="Y391" s="9"/>
      <c r="Z391" s="7">
        <v>0</v>
      </c>
      <c r="AA391" s="8">
        <f>IFERROR(Z391/Z444, "NA")</f>
        <v>0</v>
      </c>
      <c r="AB391" s="9"/>
      <c r="AC391" s="10">
        <f t="shared" si="99"/>
        <v>0</v>
      </c>
      <c r="AD391" s="8">
        <f>IFERROR(AC391/AC444, "NA")</f>
        <v>0</v>
      </c>
    </row>
    <row r="392" spans="1:30" ht="16.5" hidden="1" customHeight="1" x14ac:dyDescent="0.45">
      <c r="A392" s="12" t="s">
        <v>358</v>
      </c>
      <c r="B392" s="7">
        <v>0</v>
      </c>
      <c r="C392" s="8">
        <f>IFERROR(B392/B444, "NA")</f>
        <v>0</v>
      </c>
      <c r="D392" s="9"/>
      <c r="E392" s="7">
        <v>0</v>
      </c>
      <c r="F392" s="8">
        <f>IFERROR(E392/E444, "NA")</f>
        <v>0</v>
      </c>
      <c r="G392" s="9"/>
      <c r="H392" s="10">
        <f t="shared" si="96"/>
        <v>0</v>
      </c>
      <c r="I392" s="8">
        <f>IFERROR(H392/H444, "NA")</f>
        <v>0</v>
      </c>
      <c r="J392" s="9"/>
      <c r="K392" s="7">
        <v>0</v>
      </c>
      <c r="L392" s="8">
        <f>IFERROR(K392/K444, "NA")</f>
        <v>0</v>
      </c>
      <c r="M392" s="9"/>
      <c r="N392" s="10">
        <f t="shared" si="97"/>
        <v>0</v>
      </c>
      <c r="O392" s="8">
        <f>IFERROR(N392/N444, "NA")</f>
        <v>0</v>
      </c>
      <c r="P392" s="9"/>
      <c r="Q392" s="7">
        <v>0</v>
      </c>
      <c r="R392" s="8">
        <f>IFERROR(Q392/Q444, "NA")</f>
        <v>0</v>
      </c>
      <c r="S392" s="9"/>
      <c r="T392" s="7">
        <v>0</v>
      </c>
      <c r="U392" s="8">
        <f>IFERROR(T392/T444, "NA")</f>
        <v>0</v>
      </c>
      <c r="V392" s="9"/>
      <c r="W392" s="10">
        <f t="shared" si="98"/>
        <v>0</v>
      </c>
      <c r="X392" s="8">
        <f>IFERROR(W392/W444, "NA")</f>
        <v>0</v>
      </c>
      <c r="Y392" s="9"/>
      <c r="Z392" s="7">
        <v>0</v>
      </c>
      <c r="AA392" s="8">
        <f>IFERROR(Z392/Z444, "NA")</f>
        <v>0</v>
      </c>
      <c r="AB392" s="9"/>
      <c r="AC392" s="10">
        <f t="shared" si="99"/>
        <v>0</v>
      </c>
      <c r="AD392" s="8">
        <f>IFERROR(AC392/AC444, "NA")</f>
        <v>0</v>
      </c>
    </row>
    <row r="393" spans="1:30" ht="16.5" customHeight="1" x14ac:dyDescent="0.45">
      <c r="A393" s="13" t="s">
        <v>359</v>
      </c>
      <c r="B393" s="14">
        <f>IFERROR(B388+B389+B390+B391+B392, "NA")</f>
        <v>0</v>
      </c>
      <c r="C393" s="15">
        <f>IFERROR(B393/B444, "NA")</f>
        <v>0</v>
      </c>
      <c r="D393" s="2"/>
      <c r="E393" s="14">
        <f>IFERROR(E388+E389+E390+E391+E392, "NA")</f>
        <v>0</v>
      </c>
      <c r="F393" s="15">
        <f>IFERROR(E393/E444, "NA")</f>
        <v>0</v>
      </c>
      <c r="G393" s="2"/>
      <c r="H393" s="14">
        <f t="shared" si="96"/>
        <v>0</v>
      </c>
      <c r="I393" s="15">
        <f>IFERROR(H393/H444, "NA")</f>
        <v>0</v>
      </c>
      <c r="J393" s="2"/>
      <c r="K393" s="14">
        <f>IFERROR(K388+K389+K390+K391+K392, "NA")</f>
        <v>0</v>
      </c>
      <c r="L393" s="15">
        <f>IFERROR(K393/K444, "NA")</f>
        <v>0</v>
      </c>
      <c r="M393" s="2"/>
      <c r="N393" s="14">
        <f t="shared" si="97"/>
        <v>0</v>
      </c>
      <c r="O393" s="15">
        <f>IFERROR(N393/N444, "NA")</f>
        <v>0</v>
      </c>
      <c r="P393" s="2"/>
      <c r="Q393" s="14">
        <f>IFERROR(Q388+Q389+Q390+Q391+Q392, "NA")</f>
        <v>0</v>
      </c>
      <c r="R393" s="15">
        <f>IFERROR(Q393/Q444, "NA")</f>
        <v>0</v>
      </c>
      <c r="S393" s="2"/>
      <c r="T393" s="14">
        <f>IFERROR(T388+T389+T390+T391+T392, "NA")</f>
        <v>0</v>
      </c>
      <c r="U393" s="15">
        <f>IFERROR(T393/T444, "NA")</f>
        <v>0</v>
      </c>
      <c r="V393" s="2"/>
      <c r="W393" s="14">
        <f t="shared" si="98"/>
        <v>0</v>
      </c>
      <c r="X393" s="15">
        <f>IFERROR(W393/W444, "NA")</f>
        <v>0</v>
      </c>
      <c r="Y393" s="2"/>
      <c r="Z393" s="14">
        <f>IFERROR(Z388+Z389+Z390+Z391+Z392, "NA")</f>
        <v>0</v>
      </c>
      <c r="AA393" s="15">
        <f>IFERROR(Z393/Z444, "NA")</f>
        <v>0</v>
      </c>
      <c r="AB393" s="2"/>
      <c r="AC393" s="14">
        <f t="shared" si="99"/>
        <v>0</v>
      </c>
      <c r="AD393" s="15">
        <f>IFERROR(AC393/AC444, "NA")</f>
        <v>0</v>
      </c>
    </row>
    <row r="394" spans="1:30" ht="16.5" hidden="1" customHeight="1" x14ac:dyDescent="0.45">
      <c r="A394" s="6" t="s">
        <v>360</v>
      </c>
      <c r="B394" s="7">
        <v>0</v>
      </c>
      <c r="C394" s="8">
        <f>IFERROR(B394/B444, "NA")</f>
        <v>0</v>
      </c>
      <c r="D394" s="9"/>
      <c r="E394" s="7">
        <v>0</v>
      </c>
      <c r="F394" s="8">
        <f>IFERROR(E394/E444, "NA")</f>
        <v>0</v>
      </c>
      <c r="G394" s="9"/>
      <c r="H394" s="10">
        <f t="shared" si="96"/>
        <v>0</v>
      </c>
      <c r="I394" s="8">
        <f>IFERROR(H394/H444, "NA")</f>
        <v>0</v>
      </c>
      <c r="J394" s="9"/>
      <c r="K394" s="7">
        <v>0</v>
      </c>
      <c r="L394" s="8">
        <f>IFERROR(K394/K444, "NA")</f>
        <v>0</v>
      </c>
      <c r="M394" s="9"/>
      <c r="N394" s="10">
        <f t="shared" si="97"/>
        <v>0</v>
      </c>
      <c r="O394" s="8">
        <f>IFERROR(N394/N444, "NA")</f>
        <v>0</v>
      </c>
      <c r="P394" s="9"/>
      <c r="Q394" s="7">
        <v>0</v>
      </c>
      <c r="R394" s="8">
        <f>IFERROR(Q394/Q444, "NA")</f>
        <v>0</v>
      </c>
      <c r="S394" s="9"/>
      <c r="T394" s="7">
        <v>0</v>
      </c>
      <c r="U394" s="8">
        <f>IFERROR(T394/T444, "NA")</f>
        <v>0</v>
      </c>
      <c r="V394" s="9"/>
      <c r="W394" s="10">
        <f t="shared" si="98"/>
        <v>0</v>
      </c>
      <c r="X394" s="8">
        <f>IFERROR(W394/W444, "NA")</f>
        <v>0</v>
      </c>
      <c r="Y394" s="9"/>
      <c r="Z394" s="7">
        <v>0</v>
      </c>
      <c r="AA394" s="8">
        <f>IFERROR(Z394/Z444, "NA")</f>
        <v>0</v>
      </c>
      <c r="AB394" s="9"/>
      <c r="AC394" s="10">
        <f t="shared" si="99"/>
        <v>0</v>
      </c>
      <c r="AD394" s="8">
        <f>IFERROR(AC394/AC444, "NA")</f>
        <v>0</v>
      </c>
    </row>
    <row r="395" spans="1:30" ht="16.5" hidden="1" customHeight="1" x14ac:dyDescent="0.45">
      <c r="A395" s="6" t="s">
        <v>361</v>
      </c>
      <c r="B395" s="7">
        <v>0</v>
      </c>
      <c r="C395" s="8">
        <f>IFERROR(B395/B444, "NA")</f>
        <v>0</v>
      </c>
      <c r="D395" s="9"/>
      <c r="E395" s="7">
        <v>0</v>
      </c>
      <c r="F395" s="8">
        <f>IFERROR(E395/E444, "NA")</f>
        <v>0</v>
      </c>
      <c r="G395" s="9"/>
      <c r="H395" s="10">
        <f t="shared" si="96"/>
        <v>0</v>
      </c>
      <c r="I395" s="8">
        <f>IFERROR(H395/H444, "NA")</f>
        <v>0</v>
      </c>
      <c r="J395" s="9"/>
      <c r="K395" s="7">
        <v>0</v>
      </c>
      <c r="L395" s="8">
        <f>IFERROR(K395/K444, "NA")</f>
        <v>0</v>
      </c>
      <c r="M395" s="9"/>
      <c r="N395" s="10">
        <f t="shared" si="97"/>
        <v>0</v>
      </c>
      <c r="O395" s="8">
        <f>IFERROR(N395/N444, "NA")</f>
        <v>0</v>
      </c>
      <c r="P395" s="9"/>
      <c r="Q395" s="7">
        <v>0</v>
      </c>
      <c r="R395" s="8">
        <f>IFERROR(Q395/Q444, "NA")</f>
        <v>0</v>
      </c>
      <c r="S395" s="9"/>
      <c r="T395" s="7">
        <v>0</v>
      </c>
      <c r="U395" s="8">
        <f>IFERROR(T395/T444, "NA")</f>
        <v>0</v>
      </c>
      <c r="V395" s="9"/>
      <c r="W395" s="10">
        <f t="shared" si="98"/>
        <v>0</v>
      </c>
      <c r="X395" s="8">
        <f>IFERROR(W395/W444, "NA")</f>
        <v>0</v>
      </c>
      <c r="Y395" s="9"/>
      <c r="Z395" s="7">
        <v>0</v>
      </c>
      <c r="AA395" s="8">
        <f>IFERROR(Z395/Z444, "NA")</f>
        <v>0</v>
      </c>
      <c r="AB395" s="9"/>
      <c r="AC395" s="10">
        <f t="shared" si="99"/>
        <v>0</v>
      </c>
      <c r="AD395" s="8">
        <f>IFERROR(AC395/AC444, "NA")</f>
        <v>0</v>
      </c>
    </row>
    <row r="396" spans="1:30" ht="16.5" customHeight="1" x14ac:dyDescent="0.45">
      <c r="A396" s="19" t="s">
        <v>362</v>
      </c>
      <c r="B396" s="14">
        <f>IFERROR(B385+B386+B388+B389+B390+B391+B392+B394+B395, "NA")</f>
        <v>0</v>
      </c>
      <c r="C396" s="15">
        <f>IFERROR(B396/B444, "NA")</f>
        <v>0</v>
      </c>
      <c r="D396" s="2"/>
      <c r="E396" s="14">
        <f>IFERROR(E385+E386+E388+E389+E390+E391+E392+E394+E395, "NA")</f>
        <v>0</v>
      </c>
      <c r="F396" s="15">
        <f>IFERROR(E396/E444, "NA")</f>
        <v>0</v>
      </c>
      <c r="G396" s="2"/>
      <c r="H396" s="14">
        <f t="shared" si="96"/>
        <v>0</v>
      </c>
      <c r="I396" s="15">
        <f>IFERROR(H396/H444, "NA")</f>
        <v>0</v>
      </c>
      <c r="J396" s="2"/>
      <c r="K396" s="14">
        <f>IFERROR(K385+K386+K388+K389+K390+K391+K392+K394+K395, "NA")</f>
        <v>0</v>
      </c>
      <c r="L396" s="15">
        <f>IFERROR(K396/K444, "NA")</f>
        <v>0</v>
      </c>
      <c r="M396" s="2"/>
      <c r="N396" s="14">
        <f t="shared" si="97"/>
        <v>0</v>
      </c>
      <c r="O396" s="15">
        <f>IFERROR(N396/N444, "NA")</f>
        <v>0</v>
      </c>
      <c r="P396" s="2"/>
      <c r="Q396" s="14">
        <f>IFERROR(Q385+Q386+Q388+Q389+Q390+Q391+Q392+Q394+Q395, "NA")</f>
        <v>0</v>
      </c>
      <c r="R396" s="15">
        <f>IFERROR(Q396/Q444, "NA")</f>
        <v>0</v>
      </c>
      <c r="S396" s="2"/>
      <c r="T396" s="14">
        <f>IFERROR(T385+T386+T388+T389+T390+T391+T392+T394+T395, "NA")</f>
        <v>0</v>
      </c>
      <c r="U396" s="15">
        <f>IFERROR(T396/T444, "NA")</f>
        <v>0</v>
      </c>
      <c r="V396" s="2"/>
      <c r="W396" s="14">
        <f t="shared" si="98"/>
        <v>0</v>
      </c>
      <c r="X396" s="15">
        <f>IFERROR(W396/W444, "NA")</f>
        <v>0</v>
      </c>
      <c r="Y396" s="2"/>
      <c r="Z396" s="14">
        <f>IFERROR(Z385+Z386+Z388+Z389+Z390+Z391+Z392+Z394+Z395, "NA")</f>
        <v>0</v>
      </c>
      <c r="AA396" s="15">
        <f>IFERROR(Z396/Z444, "NA")</f>
        <v>0</v>
      </c>
      <c r="AB396" s="2"/>
      <c r="AC396" s="14">
        <f t="shared" si="99"/>
        <v>0</v>
      </c>
      <c r="AD396" s="15">
        <f>IFERROR(AC396/AC444, "NA")</f>
        <v>0</v>
      </c>
    </row>
    <row r="397" spans="1:30" ht="16.5" hidden="1" customHeight="1" x14ac:dyDescent="0.45">
      <c r="A397" s="20" t="s">
        <v>363</v>
      </c>
      <c r="B397" s="7">
        <v>0</v>
      </c>
      <c r="C397" s="8">
        <f>IFERROR(B397/B444, "NA")</f>
        <v>0</v>
      </c>
      <c r="D397" s="9"/>
      <c r="E397" s="7">
        <v>0</v>
      </c>
      <c r="F397" s="8">
        <f>IFERROR(E397/E444, "NA")</f>
        <v>0</v>
      </c>
      <c r="G397" s="9"/>
      <c r="H397" s="10">
        <f t="shared" si="96"/>
        <v>0</v>
      </c>
      <c r="I397" s="8">
        <f>IFERROR(H397/H444, "NA")</f>
        <v>0</v>
      </c>
      <c r="J397" s="9"/>
      <c r="K397" s="7">
        <v>0</v>
      </c>
      <c r="L397" s="8">
        <f>IFERROR(K397/K444, "NA")</f>
        <v>0</v>
      </c>
      <c r="M397" s="9"/>
      <c r="N397" s="10">
        <f t="shared" si="97"/>
        <v>0</v>
      </c>
      <c r="O397" s="8">
        <f>IFERROR(N397/N444, "NA")</f>
        <v>0</v>
      </c>
      <c r="P397" s="9"/>
      <c r="Q397" s="7">
        <v>0</v>
      </c>
      <c r="R397" s="8">
        <f>IFERROR(Q397/Q444, "NA")</f>
        <v>0</v>
      </c>
      <c r="S397" s="9"/>
      <c r="T397" s="7">
        <v>0</v>
      </c>
      <c r="U397" s="8">
        <f>IFERROR(T397/T444, "NA")</f>
        <v>0</v>
      </c>
      <c r="V397" s="9"/>
      <c r="W397" s="10">
        <f t="shared" si="98"/>
        <v>0</v>
      </c>
      <c r="X397" s="8">
        <f>IFERROR(W397/W444, "NA")</f>
        <v>0</v>
      </c>
      <c r="Y397" s="9"/>
      <c r="Z397" s="7">
        <v>0</v>
      </c>
      <c r="AA397" s="8">
        <f>IFERROR(Z397/Z444, "NA")</f>
        <v>0</v>
      </c>
      <c r="AB397" s="9"/>
      <c r="AC397" s="10">
        <f t="shared" si="99"/>
        <v>0</v>
      </c>
      <c r="AD397" s="8">
        <f>IFERROR(AC397/AC444, "NA")</f>
        <v>0</v>
      </c>
    </row>
    <row r="398" spans="1:30" ht="16.5" hidden="1" customHeight="1" x14ac:dyDescent="0.45">
      <c r="A398" s="20" t="s">
        <v>364</v>
      </c>
      <c r="B398" s="7">
        <v>0</v>
      </c>
      <c r="C398" s="8">
        <f>IFERROR(B398/B444, "NA")</f>
        <v>0</v>
      </c>
      <c r="D398" s="9"/>
      <c r="E398" s="7">
        <v>0</v>
      </c>
      <c r="F398" s="8">
        <f>IFERROR(E398/E444, "NA")</f>
        <v>0</v>
      </c>
      <c r="G398" s="9"/>
      <c r="H398" s="10">
        <f t="shared" si="96"/>
        <v>0</v>
      </c>
      <c r="I398" s="8">
        <f>IFERROR(H398/H444, "NA")</f>
        <v>0</v>
      </c>
      <c r="J398" s="9"/>
      <c r="K398" s="7">
        <v>0</v>
      </c>
      <c r="L398" s="8">
        <f>IFERROR(K398/K444, "NA")</f>
        <v>0</v>
      </c>
      <c r="M398" s="9"/>
      <c r="N398" s="10">
        <f t="shared" si="97"/>
        <v>0</v>
      </c>
      <c r="O398" s="8">
        <f>IFERROR(N398/N444, "NA")</f>
        <v>0</v>
      </c>
      <c r="P398" s="9"/>
      <c r="Q398" s="7">
        <v>0</v>
      </c>
      <c r="R398" s="8">
        <f>IFERROR(Q398/Q444, "NA")</f>
        <v>0</v>
      </c>
      <c r="S398" s="9"/>
      <c r="T398" s="7">
        <v>0</v>
      </c>
      <c r="U398" s="8">
        <f>IFERROR(T398/T444, "NA")</f>
        <v>0</v>
      </c>
      <c r="V398" s="9"/>
      <c r="W398" s="10">
        <f t="shared" si="98"/>
        <v>0</v>
      </c>
      <c r="X398" s="8">
        <f>IFERROR(W398/W444, "NA")</f>
        <v>0</v>
      </c>
      <c r="Y398" s="9"/>
      <c r="Z398" s="7">
        <v>0</v>
      </c>
      <c r="AA398" s="8">
        <f>IFERROR(Z398/Z444, "NA")</f>
        <v>0</v>
      </c>
      <c r="AB398" s="9"/>
      <c r="AC398" s="10">
        <f t="shared" si="99"/>
        <v>0</v>
      </c>
      <c r="AD398" s="8">
        <f>IFERROR(AC398/AC444, "NA")</f>
        <v>0</v>
      </c>
    </row>
    <row r="399" spans="1:30" ht="16.5" hidden="1" customHeight="1" x14ac:dyDescent="0.45">
      <c r="A399" s="20" t="s">
        <v>365</v>
      </c>
      <c r="B399" s="7">
        <v>0</v>
      </c>
      <c r="C399" s="8">
        <f>IFERROR(B399/B444, "NA")</f>
        <v>0</v>
      </c>
      <c r="D399" s="9"/>
      <c r="E399" s="7">
        <v>0</v>
      </c>
      <c r="F399" s="8">
        <f>IFERROR(E399/E444, "NA")</f>
        <v>0</v>
      </c>
      <c r="G399" s="9"/>
      <c r="H399" s="10">
        <f t="shared" si="96"/>
        <v>0</v>
      </c>
      <c r="I399" s="8">
        <f>IFERROR(H399/H444, "NA")</f>
        <v>0</v>
      </c>
      <c r="J399" s="9"/>
      <c r="K399" s="7">
        <v>0</v>
      </c>
      <c r="L399" s="8">
        <f>IFERROR(K399/K444, "NA")</f>
        <v>0</v>
      </c>
      <c r="M399" s="9"/>
      <c r="N399" s="10">
        <f t="shared" si="97"/>
        <v>0</v>
      </c>
      <c r="O399" s="8">
        <f>IFERROR(N399/N444, "NA")</f>
        <v>0</v>
      </c>
      <c r="P399" s="9"/>
      <c r="Q399" s="7">
        <v>0</v>
      </c>
      <c r="R399" s="8">
        <f>IFERROR(Q399/Q444, "NA")</f>
        <v>0</v>
      </c>
      <c r="S399" s="9"/>
      <c r="T399" s="7">
        <v>0</v>
      </c>
      <c r="U399" s="8">
        <f>IFERROR(T399/T444, "NA")</f>
        <v>0</v>
      </c>
      <c r="V399" s="9"/>
      <c r="W399" s="10">
        <f t="shared" si="98"/>
        <v>0</v>
      </c>
      <c r="X399" s="8">
        <f>IFERROR(W399/W444, "NA")</f>
        <v>0</v>
      </c>
      <c r="Y399" s="9"/>
      <c r="Z399" s="7">
        <v>0</v>
      </c>
      <c r="AA399" s="8">
        <f>IFERROR(Z399/Z444, "NA")</f>
        <v>0</v>
      </c>
      <c r="AB399" s="9"/>
      <c r="AC399" s="10">
        <f t="shared" si="99"/>
        <v>0</v>
      </c>
      <c r="AD399" s="8">
        <f>IFERROR(AC399/AC444, "NA")</f>
        <v>0</v>
      </c>
    </row>
    <row r="400" spans="1:30" ht="16.5" hidden="1" customHeight="1" x14ac:dyDescent="0.45">
      <c r="A400" s="20" t="s">
        <v>366</v>
      </c>
      <c r="B400" s="7">
        <v>0</v>
      </c>
      <c r="C400" s="8">
        <f>IFERROR(B400/B444, "NA")</f>
        <v>0</v>
      </c>
      <c r="D400" s="9"/>
      <c r="E400" s="7">
        <v>0</v>
      </c>
      <c r="F400" s="8">
        <f>IFERROR(E400/E444, "NA")</f>
        <v>0</v>
      </c>
      <c r="G400" s="9"/>
      <c r="H400" s="10">
        <f t="shared" si="96"/>
        <v>0</v>
      </c>
      <c r="I400" s="8">
        <f>IFERROR(H400/H444, "NA")</f>
        <v>0</v>
      </c>
      <c r="J400" s="9"/>
      <c r="K400" s="7">
        <v>0</v>
      </c>
      <c r="L400" s="8">
        <f>IFERROR(K400/K444, "NA")</f>
        <v>0</v>
      </c>
      <c r="M400" s="9"/>
      <c r="N400" s="10">
        <f t="shared" si="97"/>
        <v>0</v>
      </c>
      <c r="O400" s="8">
        <f>IFERROR(N400/N444, "NA")</f>
        <v>0</v>
      </c>
      <c r="P400" s="9"/>
      <c r="Q400" s="7">
        <v>0</v>
      </c>
      <c r="R400" s="8">
        <f>IFERROR(Q400/Q444, "NA")</f>
        <v>0</v>
      </c>
      <c r="S400" s="9"/>
      <c r="T400" s="7">
        <v>0</v>
      </c>
      <c r="U400" s="8">
        <f>IFERROR(T400/T444, "NA")</f>
        <v>0</v>
      </c>
      <c r="V400" s="9"/>
      <c r="W400" s="10">
        <f t="shared" si="98"/>
        <v>0</v>
      </c>
      <c r="X400" s="8">
        <f>IFERROR(W400/W444, "NA")</f>
        <v>0</v>
      </c>
      <c r="Y400" s="9"/>
      <c r="Z400" s="7">
        <v>0</v>
      </c>
      <c r="AA400" s="8">
        <f>IFERROR(Z400/Z444, "NA")</f>
        <v>0</v>
      </c>
      <c r="AB400" s="9"/>
      <c r="AC400" s="10">
        <f t="shared" si="99"/>
        <v>0</v>
      </c>
      <c r="AD400" s="8">
        <f>IFERROR(AC400/AC444, "NA")</f>
        <v>0</v>
      </c>
    </row>
    <row r="401" spans="1:30" ht="16.5" hidden="1" customHeight="1" x14ac:dyDescent="0.45">
      <c r="A401" s="20" t="s">
        <v>367</v>
      </c>
      <c r="B401" s="7">
        <v>0</v>
      </c>
      <c r="C401" s="8">
        <f>IFERROR(B401/B444, "NA")</f>
        <v>0</v>
      </c>
      <c r="D401" s="9"/>
      <c r="E401" s="7">
        <v>0</v>
      </c>
      <c r="F401" s="8">
        <f>IFERROR(E401/E444, "NA")</f>
        <v>0</v>
      </c>
      <c r="G401" s="9"/>
      <c r="H401" s="10">
        <f t="shared" si="96"/>
        <v>0</v>
      </c>
      <c r="I401" s="8">
        <f>IFERROR(H401/H444, "NA")</f>
        <v>0</v>
      </c>
      <c r="J401" s="9"/>
      <c r="K401" s="7">
        <v>0</v>
      </c>
      <c r="L401" s="8">
        <f>IFERROR(K401/K444, "NA")</f>
        <v>0</v>
      </c>
      <c r="M401" s="9"/>
      <c r="N401" s="10">
        <f t="shared" si="97"/>
        <v>0</v>
      </c>
      <c r="O401" s="8">
        <f>IFERROR(N401/N444, "NA")</f>
        <v>0</v>
      </c>
      <c r="P401" s="9"/>
      <c r="Q401" s="7">
        <v>0</v>
      </c>
      <c r="R401" s="8">
        <f>IFERROR(Q401/Q444, "NA")</f>
        <v>0</v>
      </c>
      <c r="S401" s="9"/>
      <c r="T401" s="7">
        <v>0</v>
      </c>
      <c r="U401" s="8">
        <f>IFERROR(T401/T444, "NA")</f>
        <v>0</v>
      </c>
      <c r="V401" s="9"/>
      <c r="W401" s="10">
        <f t="shared" si="98"/>
        <v>0</v>
      </c>
      <c r="X401" s="8">
        <f>IFERROR(W401/W444, "NA")</f>
        <v>0</v>
      </c>
      <c r="Y401" s="9"/>
      <c r="Z401" s="7">
        <v>0</v>
      </c>
      <c r="AA401" s="8">
        <f>IFERROR(Z401/Z444, "NA")</f>
        <v>0</v>
      </c>
      <c r="AB401" s="9"/>
      <c r="AC401" s="10">
        <f t="shared" si="99"/>
        <v>0</v>
      </c>
      <c r="AD401" s="8">
        <f>IFERROR(AC401/AC444, "NA")</f>
        <v>0</v>
      </c>
    </row>
    <row r="402" spans="1:30" ht="16.5" hidden="1" customHeight="1" x14ac:dyDescent="0.45">
      <c r="A402" s="20" t="s">
        <v>368</v>
      </c>
      <c r="B402" s="7">
        <v>0</v>
      </c>
      <c r="C402" s="8">
        <f>IFERROR(B402/B444, "NA")</f>
        <v>0</v>
      </c>
      <c r="D402" s="9"/>
      <c r="E402" s="7">
        <v>0</v>
      </c>
      <c r="F402" s="8">
        <f>IFERROR(E402/E444, "NA")</f>
        <v>0</v>
      </c>
      <c r="G402" s="9"/>
      <c r="H402" s="10">
        <f t="shared" si="96"/>
        <v>0</v>
      </c>
      <c r="I402" s="8">
        <f>IFERROR(H402/H444, "NA")</f>
        <v>0</v>
      </c>
      <c r="J402" s="9"/>
      <c r="K402" s="7">
        <v>0</v>
      </c>
      <c r="L402" s="8">
        <f>IFERROR(K402/K444, "NA")</f>
        <v>0</v>
      </c>
      <c r="M402" s="9"/>
      <c r="N402" s="10">
        <f t="shared" si="97"/>
        <v>0</v>
      </c>
      <c r="O402" s="8">
        <f>IFERROR(N402/N444, "NA")</f>
        <v>0</v>
      </c>
      <c r="P402" s="9"/>
      <c r="Q402" s="7">
        <v>0</v>
      </c>
      <c r="R402" s="8">
        <f>IFERROR(Q402/Q444, "NA")</f>
        <v>0</v>
      </c>
      <c r="S402" s="9"/>
      <c r="T402" s="7">
        <v>0</v>
      </c>
      <c r="U402" s="8">
        <f>IFERROR(T402/T444, "NA")</f>
        <v>0</v>
      </c>
      <c r="V402" s="9"/>
      <c r="W402" s="10">
        <f t="shared" si="98"/>
        <v>0</v>
      </c>
      <c r="X402" s="8">
        <f>IFERROR(W402/W444, "NA")</f>
        <v>0</v>
      </c>
      <c r="Y402" s="9"/>
      <c r="Z402" s="7">
        <v>0</v>
      </c>
      <c r="AA402" s="8">
        <f>IFERROR(Z402/Z444, "NA")</f>
        <v>0</v>
      </c>
      <c r="AB402" s="9"/>
      <c r="AC402" s="10">
        <f t="shared" si="99"/>
        <v>0</v>
      </c>
      <c r="AD402" s="8">
        <f>IFERROR(AC402/AC444, "NA")</f>
        <v>0</v>
      </c>
    </row>
    <row r="403" spans="1:30" ht="16.5" customHeight="1" x14ac:dyDescent="0.45">
      <c r="A403" s="21" t="s">
        <v>369</v>
      </c>
      <c r="B403" s="14">
        <f>IFERROR(B347+B349+B350+B351+B352+B353+B354+B355+B356+B357+B360+B361+B362+B363+B364+B365+B366+B367+B369+B370+B371+B372+B373+B374+B375+B376+B377+B378+B379+B380+B381+B382+B383+B385+B386+B388+B389+B390+B391+B392+B394+B395+B397+B398+B399+B400+B401+B402, "NA")</f>
        <v>0</v>
      </c>
      <c r="C403" s="15">
        <f>IFERROR(B403/B444, "NA")</f>
        <v>0</v>
      </c>
      <c r="D403" s="2"/>
      <c r="E403" s="14">
        <f>IFERROR(E347+E349+E350+E351+E352+E353+E354+E355+E356+E357+E360+E361+E362+E363+E364+E365+E366+E367+E369+E370+E371+E372+E373+E374+E375+E376+E377+E378+E379+E380+E381+E382+E383+E385+E386+E388+E389+E390+E391+E392+E394+E395+E397+E398+E399+E400+E401+E402, "NA")</f>
        <v>0</v>
      </c>
      <c r="F403" s="15">
        <f>IFERROR(E403/E444, "NA")</f>
        <v>0</v>
      </c>
      <c r="G403" s="2"/>
      <c r="H403" s="14">
        <f t="shared" si="96"/>
        <v>0</v>
      </c>
      <c r="I403" s="15">
        <f>IFERROR(H403/H444, "NA")</f>
        <v>0</v>
      </c>
      <c r="J403" s="2"/>
      <c r="K403" s="14">
        <f>IFERROR(K347+K349+K350+K351+K352+K353+K354+K355+K356+K357+K360+K361+K362+K363+K364+K365+K366+K367+K369+K370+K371+K372+K373+K374+K375+K376+K377+K378+K379+K380+K381+K382+K383+K385+K386+K388+K389+K390+K391+K392+K394+K395+K397+K398+K399+K400+K401+K402, "NA")</f>
        <v>0</v>
      </c>
      <c r="L403" s="15">
        <f>IFERROR(K403/K444, "NA")</f>
        <v>0</v>
      </c>
      <c r="M403" s="2"/>
      <c r="N403" s="14">
        <f t="shared" si="97"/>
        <v>0</v>
      </c>
      <c r="O403" s="15">
        <f>IFERROR(N403/N444, "NA")</f>
        <v>0</v>
      </c>
      <c r="P403" s="2"/>
      <c r="Q403" s="14">
        <f>IFERROR(Q347+Q349+Q350+Q351+Q352+Q353+Q354+Q355+Q356+Q357+Q360+Q361+Q362+Q363+Q364+Q365+Q366+Q367+Q369+Q370+Q371+Q372+Q373+Q374+Q375+Q376+Q377+Q378+Q379+Q380+Q381+Q382+Q383+Q385+Q386+Q388+Q389+Q390+Q391+Q392+Q394+Q395+Q397+Q398+Q399+Q400+Q401+Q402, "NA")</f>
        <v>0</v>
      </c>
      <c r="R403" s="15">
        <f>IFERROR(Q403/Q444, "NA")</f>
        <v>0</v>
      </c>
      <c r="S403" s="2"/>
      <c r="T403" s="14">
        <f>IFERROR(T347+T349+T350+T351+T352+T353+T354+T355+T356+T357+T360+T361+T362+T363+T364+T365+T366+T367+T369+T370+T371+T372+T373+T374+T375+T376+T377+T378+T379+T380+T381+T382+T383+T385+T386+T388+T389+T390+T391+T392+T394+T395+T397+T398+T399+T400+T401+T402, "NA")</f>
        <v>0</v>
      </c>
      <c r="U403" s="15">
        <f>IFERROR(T403/T444, "NA")</f>
        <v>0</v>
      </c>
      <c r="V403" s="2"/>
      <c r="W403" s="14">
        <f t="shared" si="98"/>
        <v>0</v>
      </c>
      <c r="X403" s="15">
        <f>IFERROR(W403/W444, "NA")</f>
        <v>0</v>
      </c>
      <c r="Y403" s="2"/>
      <c r="Z403" s="14">
        <f>IFERROR(Z347+Z349+Z350+Z351+Z352+Z353+Z354+Z355+Z356+Z357+Z360+Z361+Z362+Z363+Z364+Z365+Z366+Z367+Z369+Z370+Z371+Z372+Z373+Z374+Z375+Z376+Z377+Z378+Z379+Z380+Z381+Z382+Z383+Z385+Z386+Z388+Z389+Z390+Z391+Z392+Z394+Z395+Z397+Z398+Z399+Z400+Z401+Z402, "NA")</f>
        <v>0</v>
      </c>
      <c r="AA403" s="15">
        <f>IFERROR(Z403/Z444, "NA")</f>
        <v>0</v>
      </c>
      <c r="AB403" s="2"/>
      <c r="AC403" s="14">
        <f t="shared" si="99"/>
        <v>0</v>
      </c>
      <c r="AD403" s="15">
        <f>IFERROR(AC403/AC444, "NA")</f>
        <v>0</v>
      </c>
    </row>
    <row r="404" spans="1:30" ht="16.5" customHeight="1" x14ac:dyDescent="0.45">
      <c r="A404" s="22" t="s">
        <v>370</v>
      </c>
      <c r="B404" s="23">
        <f>IFERROR(B345-B403, "NA")</f>
        <v>-12398.820000000018</v>
      </c>
      <c r="C404" s="24">
        <f>IFERROR(B404/B444, "NA")</f>
        <v>-0.13631145029507111</v>
      </c>
      <c r="D404" s="25"/>
      <c r="E404" s="23">
        <f>IFERROR(E345-E403, "NA")</f>
        <v>-5956.5399999999827</v>
      </c>
      <c r="F404" s="24">
        <f>IFERROR(E404/E444, "NA")</f>
        <v>-6.1335556425552565E-2</v>
      </c>
      <c r="G404" s="25"/>
      <c r="H404" s="23">
        <f>IFERROR(B404-E404, "NA")</f>
        <v>-6442.2800000000352</v>
      </c>
      <c r="I404" s="24">
        <f>IFERROR(H404/H444, "NA")</f>
        <v>1.0467609826321995</v>
      </c>
      <c r="J404" s="25"/>
      <c r="K404" s="23">
        <f>IFERROR(K345-K403, "NA")</f>
        <v>-7297.4499999999898</v>
      </c>
      <c r="L404" s="24">
        <f>IFERROR(K404/K444, "NA")</f>
        <v>-7.6420579022195165E-2</v>
      </c>
      <c r="M404" s="25"/>
      <c r="N404" s="23">
        <f>IFERROR(B404-K404, "NA")</f>
        <v>-5101.3700000000281</v>
      </c>
      <c r="O404" s="24">
        <f>IFERROR(N404/N444, "NA")</f>
        <v>1.1258444324288612</v>
      </c>
      <c r="P404" s="25"/>
      <c r="Q404" s="23">
        <f>IFERROR(Q345-Q403, "NA")</f>
        <v>-12398.820000000018</v>
      </c>
      <c r="R404" s="24">
        <f>IFERROR(Q404/Q444, "NA")</f>
        <v>-0.13631145029507111</v>
      </c>
      <c r="S404" s="25"/>
      <c r="T404" s="23">
        <f>IFERROR(T345-T403, "NA")</f>
        <v>-5956.5399999999827</v>
      </c>
      <c r="U404" s="24">
        <f>IFERROR(T404/T444, "NA")</f>
        <v>-6.1335556425552565E-2</v>
      </c>
      <c r="V404" s="25"/>
      <c r="W404" s="23">
        <f>IFERROR(Q404-T404, "NA")</f>
        <v>-6442.2800000000352</v>
      </c>
      <c r="X404" s="24">
        <f>IFERROR(W404/W444, "NA")</f>
        <v>1.0467609826321995</v>
      </c>
      <c r="Y404" s="25"/>
      <c r="Z404" s="23">
        <f>IFERROR(Z345-Z403, "NA")</f>
        <v>-7297.4499999999898</v>
      </c>
      <c r="AA404" s="24">
        <f>IFERROR(Z404/Z444, "NA")</f>
        <v>-7.6420579022195165E-2</v>
      </c>
      <c r="AB404" s="25"/>
      <c r="AC404" s="23">
        <f>IFERROR(Q404-Z404, "NA")</f>
        <v>-5101.3700000000281</v>
      </c>
      <c r="AD404" s="24">
        <f>IFERROR(AC404/AC444, "NA")</f>
        <v>1.1258444324288612</v>
      </c>
    </row>
    <row r="405" spans="1:30" ht="16.5" customHeight="1" x14ac:dyDescent="0.45">
      <c r="A405" s="1" t="s">
        <v>371</v>
      </c>
      <c r="B405" s="2"/>
      <c r="C405" s="3"/>
      <c r="D405" s="4"/>
      <c r="E405" s="2"/>
      <c r="F405" s="3"/>
      <c r="G405" s="4"/>
      <c r="H405" s="2"/>
      <c r="I405" s="3"/>
      <c r="J405" s="4"/>
      <c r="K405" s="2"/>
      <c r="L405" s="3"/>
      <c r="M405" s="4"/>
      <c r="N405" s="2"/>
      <c r="O405" s="3"/>
      <c r="P405" s="4"/>
      <c r="Q405" s="2"/>
      <c r="R405" s="3"/>
      <c r="S405" s="4"/>
      <c r="T405" s="2"/>
      <c r="U405" s="3"/>
      <c r="V405" s="4"/>
      <c r="W405" s="2"/>
      <c r="X405" s="3"/>
      <c r="Y405" s="4"/>
      <c r="Z405" s="2"/>
      <c r="AA405" s="3"/>
      <c r="AB405" s="4"/>
      <c r="AC405" s="2"/>
      <c r="AD405" s="3"/>
    </row>
    <row r="406" spans="1:30" ht="16.5" customHeight="1" x14ac:dyDescent="0.45">
      <c r="A406" s="5" t="s">
        <v>372</v>
      </c>
      <c r="B406" s="2"/>
      <c r="C406" s="3"/>
      <c r="D406" s="4"/>
      <c r="E406" s="2"/>
      <c r="F406" s="3"/>
      <c r="G406" s="4"/>
      <c r="H406" s="2"/>
      <c r="I406" s="3"/>
      <c r="J406" s="4"/>
      <c r="K406" s="2"/>
      <c r="L406" s="3"/>
      <c r="M406" s="4"/>
      <c r="N406" s="2"/>
      <c r="O406" s="3"/>
      <c r="P406" s="4"/>
      <c r="Q406" s="2"/>
      <c r="R406" s="3"/>
      <c r="S406" s="4"/>
      <c r="T406" s="2"/>
      <c r="U406" s="3"/>
      <c r="V406" s="4"/>
      <c r="W406" s="2"/>
      <c r="X406" s="3"/>
      <c r="Y406" s="4"/>
      <c r="Z406" s="2"/>
      <c r="AA406" s="3"/>
      <c r="AB406" s="4"/>
      <c r="AC406" s="2"/>
      <c r="AD406" s="3"/>
    </row>
    <row r="407" spans="1:30" ht="16.5" customHeight="1" x14ac:dyDescent="0.45">
      <c r="A407" s="6" t="s">
        <v>372</v>
      </c>
      <c r="B407" s="7">
        <v>0</v>
      </c>
      <c r="C407" s="8">
        <f>IFERROR(B407/B444, "NA")</f>
        <v>0</v>
      </c>
      <c r="D407" s="9"/>
      <c r="E407" s="7">
        <v>9973.0400000000009</v>
      </c>
      <c r="F407" s="8">
        <f>IFERROR(E407/E444, "NA")</f>
        <v>0.10269417441237606</v>
      </c>
      <c r="G407" s="9"/>
      <c r="H407" s="10">
        <f t="shared" ref="H407:H429" si="100">IFERROR(-(B407-E407), "NA")</f>
        <v>9973.0400000000009</v>
      </c>
      <c r="I407" s="8">
        <f>IFERROR(H407/H444, "NA")</f>
        <v>-1.6204494604752004</v>
      </c>
      <c r="J407" s="9"/>
      <c r="K407" s="7">
        <v>0</v>
      </c>
      <c r="L407" s="8">
        <f>IFERROR(K407/K444, "NA")</f>
        <v>0</v>
      </c>
      <c r="M407" s="9"/>
      <c r="N407" s="10">
        <f t="shared" ref="N407:N429" si="101">IFERROR(-(B407-K407), "NA")</f>
        <v>0</v>
      </c>
      <c r="O407" s="8">
        <f>IFERROR(N407/N444, "NA")</f>
        <v>0</v>
      </c>
      <c r="P407" s="9"/>
      <c r="Q407" s="7">
        <v>0</v>
      </c>
      <c r="R407" s="8">
        <f>IFERROR(Q407/Q444, "NA")</f>
        <v>0</v>
      </c>
      <c r="S407" s="9"/>
      <c r="T407" s="7">
        <v>9973.0400000000009</v>
      </c>
      <c r="U407" s="8">
        <f>IFERROR(T407/T444, "NA")</f>
        <v>0.10269417441237606</v>
      </c>
      <c r="V407" s="9"/>
      <c r="W407" s="10">
        <f t="shared" ref="W407:W429" si="102">IFERROR(-(Q407-T407), "NA")</f>
        <v>9973.0400000000009</v>
      </c>
      <c r="X407" s="8">
        <f>IFERROR(W407/W444, "NA")</f>
        <v>-1.6204494604752004</v>
      </c>
      <c r="Y407" s="9"/>
      <c r="Z407" s="7">
        <v>0</v>
      </c>
      <c r="AA407" s="8">
        <f>IFERROR(Z407/Z444, "NA")</f>
        <v>0</v>
      </c>
      <c r="AB407" s="9"/>
      <c r="AC407" s="10">
        <f t="shared" ref="AC407:AC429" si="103">IFERROR(-(Q407-Z407), "NA")</f>
        <v>0</v>
      </c>
      <c r="AD407" s="8">
        <f>IFERROR(AC407/AC444, "NA")</f>
        <v>0</v>
      </c>
    </row>
    <row r="408" spans="1:30" ht="16.5" hidden="1" customHeight="1" x14ac:dyDescent="0.45">
      <c r="A408" s="6" t="s">
        <v>373</v>
      </c>
      <c r="B408" s="7">
        <v>0</v>
      </c>
      <c r="C408" s="8">
        <f>IFERROR(B408/B444, "NA")</f>
        <v>0</v>
      </c>
      <c r="D408" s="9"/>
      <c r="E408" s="7">
        <v>0</v>
      </c>
      <c r="F408" s="8">
        <f>IFERROR(E408/E444, "NA")</f>
        <v>0</v>
      </c>
      <c r="G408" s="9"/>
      <c r="H408" s="10">
        <f t="shared" si="100"/>
        <v>0</v>
      </c>
      <c r="I408" s="8">
        <f>IFERROR(H408/H444, "NA")</f>
        <v>0</v>
      </c>
      <c r="J408" s="9"/>
      <c r="K408" s="7">
        <v>0</v>
      </c>
      <c r="L408" s="8">
        <f>IFERROR(K408/K444, "NA")</f>
        <v>0</v>
      </c>
      <c r="M408" s="9"/>
      <c r="N408" s="10">
        <f t="shared" si="101"/>
        <v>0</v>
      </c>
      <c r="O408" s="8">
        <f>IFERROR(N408/N444, "NA")</f>
        <v>0</v>
      </c>
      <c r="P408" s="9"/>
      <c r="Q408" s="7">
        <v>0</v>
      </c>
      <c r="R408" s="8">
        <f>IFERROR(Q408/Q444, "NA")</f>
        <v>0</v>
      </c>
      <c r="S408" s="9"/>
      <c r="T408" s="7">
        <v>0</v>
      </c>
      <c r="U408" s="8">
        <f>IFERROR(T408/T444, "NA")</f>
        <v>0</v>
      </c>
      <c r="V408" s="9"/>
      <c r="W408" s="10">
        <f t="shared" si="102"/>
        <v>0</v>
      </c>
      <c r="X408" s="8">
        <f>IFERROR(W408/W444, "NA")</f>
        <v>0</v>
      </c>
      <c r="Y408" s="9"/>
      <c r="Z408" s="7">
        <v>0</v>
      </c>
      <c r="AA408" s="8">
        <f>IFERROR(Z408/Z444, "NA")</f>
        <v>0</v>
      </c>
      <c r="AB408" s="9"/>
      <c r="AC408" s="10">
        <f t="shared" si="103"/>
        <v>0</v>
      </c>
      <c r="AD408" s="8">
        <f>IFERROR(AC408/AC444, "NA")</f>
        <v>0</v>
      </c>
    </row>
    <row r="409" spans="1:30" ht="16.5" hidden="1" customHeight="1" x14ac:dyDescent="0.45">
      <c r="A409" s="6" t="s">
        <v>374</v>
      </c>
      <c r="B409" s="7">
        <v>0</v>
      </c>
      <c r="C409" s="8">
        <f>IFERROR(B409/B444, "NA")</f>
        <v>0</v>
      </c>
      <c r="D409" s="9"/>
      <c r="E409" s="7">
        <v>0</v>
      </c>
      <c r="F409" s="8">
        <f>IFERROR(E409/E444, "NA")</f>
        <v>0</v>
      </c>
      <c r="G409" s="9"/>
      <c r="H409" s="10">
        <f t="shared" si="100"/>
        <v>0</v>
      </c>
      <c r="I409" s="8">
        <f>IFERROR(H409/H444, "NA")</f>
        <v>0</v>
      </c>
      <c r="J409" s="9"/>
      <c r="K409" s="7">
        <v>0</v>
      </c>
      <c r="L409" s="8">
        <f>IFERROR(K409/K444, "NA")</f>
        <v>0</v>
      </c>
      <c r="M409" s="9"/>
      <c r="N409" s="10">
        <f t="shared" si="101"/>
        <v>0</v>
      </c>
      <c r="O409" s="8">
        <f>IFERROR(N409/N444, "NA")</f>
        <v>0</v>
      </c>
      <c r="P409" s="9"/>
      <c r="Q409" s="7">
        <v>0</v>
      </c>
      <c r="R409" s="8">
        <f>IFERROR(Q409/Q444, "NA")</f>
        <v>0</v>
      </c>
      <c r="S409" s="9"/>
      <c r="T409" s="7">
        <v>0</v>
      </c>
      <c r="U409" s="8">
        <f>IFERROR(T409/T444, "NA")</f>
        <v>0</v>
      </c>
      <c r="V409" s="9"/>
      <c r="W409" s="10">
        <f t="shared" si="102"/>
        <v>0</v>
      </c>
      <c r="X409" s="8">
        <f>IFERROR(W409/W444, "NA")</f>
        <v>0</v>
      </c>
      <c r="Y409" s="9"/>
      <c r="Z409" s="7">
        <v>0</v>
      </c>
      <c r="AA409" s="8">
        <f>IFERROR(Z409/Z444, "NA")</f>
        <v>0</v>
      </c>
      <c r="AB409" s="9"/>
      <c r="AC409" s="10">
        <f t="shared" si="103"/>
        <v>0</v>
      </c>
      <c r="AD409" s="8">
        <f>IFERROR(AC409/AC444, "NA")</f>
        <v>0</v>
      </c>
    </row>
    <row r="410" spans="1:30" ht="16.5" customHeight="1" x14ac:dyDescent="0.45">
      <c r="A410" s="6" t="s">
        <v>375</v>
      </c>
      <c r="B410" s="7">
        <v>10648.88</v>
      </c>
      <c r="C410" s="8">
        <f>IFERROR(B410/B444, "NA")</f>
        <v>0.11707277602370021</v>
      </c>
      <c r="D410" s="9"/>
      <c r="E410" s="7">
        <v>0</v>
      </c>
      <c r="F410" s="8">
        <f>IFERROR(E410/E444, "NA")</f>
        <v>0</v>
      </c>
      <c r="G410" s="9"/>
      <c r="H410" s="10">
        <f t="shared" si="100"/>
        <v>-10648.88</v>
      </c>
      <c r="I410" s="8">
        <f>IFERROR(H410/H444, "NA")</f>
        <v>1.7302619713412508</v>
      </c>
      <c r="J410" s="9"/>
      <c r="K410" s="7">
        <v>9780.9</v>
      </c>
      <c r="L410" s="8">
        <f>IFERROR(K410/K444, "NA")</f>
        <v>0.10242784004798795</v>
      </c>
      <c r="M410" s="9"/>
      <c r="N410" s="10">
        <f t="shared" si="101"/>
        <v>-867.97999999999956</v>
      </c>
      <c r="O410" s="8">
        <f>IFERROR(N410/N444, "NA")</f>
        <v>0.19155843439303502</v>
      </c>
      <c r="P410" s="9"/>
      <c r="Q410" s="7">
        <v>10648.88</v>
      </c>
      <c r="R410" s="8">
        <f>IFERROR(Q410/Q444, "NA")</f>
        <v>0.11707277602370021</v>
      </c>
      <c r="S410" s="9"/>
      <c r="T410" s="7">
        <v>0</v>
      </c>
      <c r="U410" s="8">
        <f>IFERROR(T410/T444, "NA")</f>
        <v>0</v>
      </c>
      <c r="V410" s="9"/>
      <c r="W410" s="10">
        <f t="shared" si="102"/>
        <v>-10648.88</v>
      </c>
      <c r="X410" s="8">
        <f>IFERROR(W410/W444, "NA")</f>
        <v>1.7302619713412508</v>
      </c>
      <c r="Y410" s="9"/>
      <c r="Z410" s="7">
        <v>9780.9</v>
      </c>
      <c r="AA410" s="8">
        <f>IFERROR(Z410/Z444, "NA")</f>
        <v>0.10242784004798795</v>
      </c>
      <c r="AB410" s="9"/>
      <c r="AC410" s="10">
        <f t="shared" si="103"/>
        <v>-867.97999999999956</v>
      </c>
      <c r="AD410" s="8">
        <f>IFERROR(AC410/AC444, "NA")</f>
        <v>0.19155843439303502</v>
      </c>
    </row>
    <row r="411" spans="1:30" ht="16.5" hidden="1" customHeight="1" x14ac:dyDescent="0.45">
      <c r="A411" s="6" t="s">
        <v>376</v>
      </c>
      <c r="B411" s="7">
        <v>0</v>
      </c>
      <c r="C411" s="8">
        <f>IFERROR(B411/B444, "NA")</f>
        <v>0</v>
      </c>
      <c r="D411" s="9"/>
      <c r="E411" s="7">
        <v>0</v>
      </c>
      <c r="F411" s="8">
        <f>IFERROR(E411/E444, "NA")</f>
        <v>0</v>
      </c>
      <c r="G411" s="9"/>
      <c r="H411" s="10">
        <f t="shared" si="100"/>
        <v>0</v>
      </c>
      <c r="I411" s="8">
        <f>IFERROR(H411/H444, "NA")</f>
        <v>0</v>
      </c>
      <c r="J411" s="9"/>
      <c r="K411" s="7">
        <v>0</v>
      </c>
      <c r="L411" s="8">
        <f>IFERROR(K411/K444, "NA")</f>
        <v>0</v>
      </c>
      <c r="M411" s="9"/>
      <c r="N411" s="10">
        <f t="shared" si="101"/>
        <v>0</v>
      </c>
      <c r="O411" s="8">
        <f>IFERROR(N411/N444, "NA")</f>
        <v>0</v>
      </c>
      <c r="P411" s="9"/>
      <c r="Q411" s="7">
        <v>0</v>
      </c>
      <c r="R411" s="8">
        <f>IFERROR(Q411/Q444, "NA")</f>
        <v>0</v>
      </c>
      <c r="S411" s="9"/>
      <c r="T411" s="7">
        <v>0</v>
      </c>
      <c r="U411" s="8">
        <f>IFERROR(T411/T444, "NA")</f>
        <v>0</v>
      </c>
      <c r="V411" s="9"/>
      <c r="W411" s="10">
        <f t="shared" si="102"/>
        <v>0</v>
      </c>
      <c r="X411" s="8">
        <f>IFERROR(W411/W444, "NA")</f>
        <v>0</v>
      </c>
      <c r="Y411" s="9"/>
      <c r="Z411" s="7">
        <v>0</v>
      </c>
      <c r="AA411" s="8">
        <f>IFERROR(Z411/Z444, "NA")</f>
        <v>0</v>
      </c>
      <c r="AB411" s="9"/>
      <c r="AC411" s="10">
        <f t="shared" si="103"/>
        <v>0</v>
      </c>
      <c r="AD411" s="8">
        <f>IFERROR(AC411/AC444, "NA")</f>
        <v>0</v>
      </c>
    </row>
    <row r="412" spans="1:30" ht="16.5" hidden="1" customHeight="1" x14ac:dyDescent="0.45">
      <c r="A412" s="6" t="s">
        <v>377</v>
      </c>
      <c r="B412" s="7">
        <v>0</v>
      </c>
      <c r="C412" s="8">
        <f>IFERROR(B412/B444, "NA")</f>
        <v>0</v>
      </c>
      <c r="D412" s="9"/>
      <c r="E412" s="7">
        <v>0</v>
      </c>
      <c r="F412" s="8">
        <f>IFERROR(E412/E444, "NA")</f>
        <v>0</v>
      </c>
      <c r="G412" s="9"/>
      <c r="H412" s="10">
        <f t="shared" si="100"/>
        <v>0</v>
      </c>
      <c r="I412" s="8">
        <f>IFERROR(H412/H444, "NA")</f>
        <v>0</v>
      </c>
      <c r="J412" s="9"/>
      <c r="K412" s="7">
        <v>0</v>
      </c>
      <c r="L412" s="8">
        <f>IFERROR(K412/K444, "NA")</f>
        <v>0</v>
      </c>
      <c r="M412" s="9"/>
      <c r="N412" s="10">
        <f t="shared" si="101"/>
        <v>0</v>
      </c>
      <c r="O412" s="8">
        <f>IFERROR(N412/N444, "NA")</f>
        <v>0</v>
      </c>
      <c r="P412" s="9"/>
      <c r="Q412" s="7">
        <v>0</v>
      </c>
      <c r="R412" s="8">
        <f>IFERROR(Q412/Q444, "NA")</f>
        <v>0</v>
      </c>
      <c r="S412" s="9"/>
      <c r="T412" s="7">
        <v>0</v>
      </c>
      <c r="U412" s="8">
        <f>IFERROR(T412/T444, "NA")</f>
        <v>0</v>
      </c>
      <c r="V412" s="9"/>
      <c r="W412" s="10">
        <f t="shared" si="102"/>
        <v>0</v>
      </c>
      <c r="X412" s="8">
        <f>IFERROR(W412/W444, "NA")</f>
        <v>0</v>
      </c>
      <c r="Y412" s="9"/>
      <c r="Z412" s="7">
        <v>0</v>
      </c>
      <c r="AA412" s="8">
        <f>IFERROR(Z412/Z444, "NA")</f>
        <v>0</v>
      </c>
      <c r="AB412" s="9"/>
      <c r="AC412" s="10">
        <f t="shared" si="103"/>
        <v>0</v>
      </c>
      <c r="AD412" s="8">
        <f>IFERROR(AC412/AC444, "NA")</f>
        <v>0</v>
      </c>
    </row>
    <row r="413" spans="1:30" ht="16.5" hidden="1" customHeight="1" x14ac:dyDescent="0.45">
      <c r="A413" s="6" t="s">
        <v>378</v>
      </c>
      <c r="B413" s="7">
        <v>0</v>
      </c>
      <c r="C413" s="8">
        <f>IFERROR(B413/B444, "NA")</f>
        <v>0</v>
      </c>
      <c r="D413" s="9"/>
      <c r="E413" s="7">
        <v>0</v>
      </c>
      <c r="F413" s="8">
        <f>IFERROR(E413/E444, "NA")</f>
        <v>0</v>
      </c>
      <c r="G413" s="9"/>
      <c r="H413" s="10">
        <f t="shared" si="100"/>
        <v>0</v>
      </c>
      <c r="I413" s="8">
        <f>IFERROR(H413/H444, "NA")</f>
        <v>0</v>
      </c>
      <c r="J413" s="9"/>
      <c r="K413" s="7">
        <v>0</v>
      </c>
      <c r="L413" s="8">
        <f>IFERROR(K413/K444, "NA")</f>
        <v>0</v>
      </c>
      <c r="M413" s="9"/>
      <c r="N413" s="10">
        <f t="shared" si="101"/>
        <v>0</v>
      </c>
      <c r="O413" s="8">
        <f>IFERROR(N413/N444, "NA")</f>
        <v>0</v>
      </c>
      <c r="P413" s="9"/>
      <c r="Q413" s="7">
        <v>0</v>
      </c>
      <c r="R413" s="8">
        <f>IFERROR(Q413/Q444, "NA")</f>
        <v>0</v>
      </c>
      <c r="S413" s="9"/>
      <c r="T413" s="7">
        <v>0</v>
      </c>
      <c r="U413" s="8">
        <f>IFERROR(T413/T444, "NA")</f>
        <v>0</v>
      </c>
      <c r="V413" s="9"/>
      <c r="W413" s="10">
        <f t="shared" si="102"/>
        <v>0</v>
      </c>
      <c r="X413" s="8">
        <f>IFERROR(W413/W444, "NA")</f>
        <v>0</v>
      </c>
      <c r="Y413" s="9"/>
      <c r="Z413" s="7">
        <v>0</v>
      </c>
      <c r="AA413" s="8">
        <f>IFERROR(Z413/Z444, "NA")</f>
        <v>0</v>
      </c>
      <c r="AB413" s="9"/>
      <c r="AC413" s="10">
        <f t="shared" si="103"/>
        <v>0</v>
      </c>
      <c r="AD413" s="8">
        <f>IFERROR(AC413/AC444, "NA")</f>
        <v>0</v>
      </c>
    </row>
    <row r="414" spans="1:30" ht="16.5" hidden="1" customHeight="1" x14ac:dyDescent="0.45">
      <c r="A414" s="6" t="s">
        <v>379</v>
      </c>
      <c r="B414" s="7">
        <v>0</v>
      </c>
      <c r="C414" s="8">
        <f>IFERROR(B414/B444, "NA")</f>
        <v>0</v>
      </c>
      <c r="D414" s="9"/>
      <c r="E414" s="7">
        <v>0</v>
      </c>
      <c r="F414" s="8">
        <f>IFERROR(E414/E444, "NA")</f>
        <v>0</v>
      </c>
      <c r="G414" s="9"/>
      <c r="H414" s="10">
        <f t="shared" si="100"/>
        <v>0</v>
      </c>
      <c r="I414" s="8">
        <f>IFERROR(H414/H444, "NA")</f>
        <v>0</v>
      </c>
      <c r="J414" s="9"/>
      <c r="K414" s="7">
        <v>0</v>
      </c>
      <c r="L414" s="8">
        <f>IFERROR(K414/K444, "NA")</f>
        <v>0</v>
      </c>
      <c r="M414" s="9"/>
      <c r="N414" s="10">
        <f t="shared" si="101"/>
        <v>0</v>
      </c>
      <c r="O414" s="8">
        <f>IFERROR(N414/N444, "NA")</f>
        <v>0</v>
      </c>
      <c r="P414" s="9"/>
      <c r="Q414" s="7">
        <v>0</v>
      </c>
      <c r="R414" s="8">
        <f>IFERROR(Q414/Q444, "NA")</f>
        <v>0</v>
      </c>
      <c r="S414" s="9"/>
      <c r="T414" s="7">
        <v>0</v>
      </c>
      <c r="U414" s="8">
        <f>IFERROR(T414/T444, "NA")</f>
        <v>0</v>
      </c>
      <c r="V414" s="9"/>
      <c r="W414" s="10">
        <f t="shared" si="102"/>
        <v>0</v>
      </c>
      <c r="X414" s="8">
        <f>IFERROR(W414/W444, "NA")</f>
        <v>0</v>
      </c>
      <c r="Y414" s="9"/>
      <c r="Z414" s="7">
        <v>0</v>
      </c>
      <c r="AA414" s="8">
        <f>IFERROR(Z414/Z444, "NA")</f>
        <v>0</v>
      </c>
      <c r="AB414" s="9"/>
      <c r="AC414" s="10">
        <f t="shared" si="103"/>
        <v>0</v>
      </c>
      <c r="AD414" s="8">
        <f>IFERROR(AC414/AC444, "NA")</f>
        <v>0</v>
      </c>
    </row>
    <row r="415" spans="1:30" ht="16.5" hidden="1" customHeight="1" x14ac:dyDescent="0.45">
      <c r="A415" s="6" t="s">
        <v>380</v>
      </c>
      <c r="B415" s="7">
        <v>0</v>
      </c>
      <c r="C415" s="8">
        <f>IFERROR(B415/B444, "NA")</f>
        <v>0</v>
      </c>
      <c r="D415" s="9"/>
      <c r="E415" s="7">
        <v>0</v>
      </c>
      <c r="F415" s="8">
        <f>IFERROR(E415/E444, "NA")</f>
        <v>0</v>
      </c>
      <c r="G415" s="9"/>
      <c r="H415" s="10">
        <f t="shared" si="100"/>
        <v>0</v>
      </c>
      <c r="I415" s="8">
        <f>IFERROR(H415/H444, "NA")</f>
        <v>0</v>
      </c>
      <c r="J415" s="9"/>
      <c r="K415" s="7">
        <v>0</v>
      </c>
      <c r="L415" s="8">
        <f>IFERROR(K415/K444, "NA")</f>
        <v>0</v>
      </c>
      <c r="M415" s="9"/>
      <c r="N415" s="10">
        <f t="shared" si="101"/>
        <v>0</v>
      </c>
      <c r="O415" s="8">
        <f>IFERROR(N415/N444, "NA")</f>
        <v>0</v>
      </c>
      <c r="P415" s="9"/>
      <c r="Q415" s="7">
        <v>0</v>
      </c>
      <c r="R415" s="8">
        <f>IFERROR(Q415/Q444, "NA")</f>
        <v>0</v>
      </c>
      <c r="S415" s="9"/>
      <c r="T415" s="7">
        <v>0</v>
      </c>
      <c r="U415" s="8">
        <f>IFERROR(T415/T444, "NA")</f>
        <v>0</v>
      </c>
      <c r="V415" s="9"/>
      <c r="W415" s="10">
        <f t="shared" si="102"/>
        <v>0</v>
      </c>
      <c r="X415" s="8">
        <f>IFERROR(W415/W444, "NA")</f>
        <v>0</v>
      </c>
      <c r="Y415" s="9"/>
      <c r="Z415" s="7">
        <v>0</v>
      </c>
      <c r="AA415" s="8">
        <f>IFERROR(Z415/Z444, "NA")</f>
        <v>0</v>
      </c>
      <c r="AB415" s="9"/>
      <c r="AC415" s="10">
        <f t="shared" si="103"/>
        <v>0</v>
      </c>
      <c r="AD415" s="8">
        <f>IFERROR(AC415/AC444, "NA")</f>
        <v>0</v>
      </c>
    </row>
    <row r="416" spans="1:30" ht="16.5" customHeight="1" x14ac:dyDescent="0.45">
      <c r="A416" s="6" t="s">
        <v>381</v>
      </c>
      <c r="B416" s="7">
        <v>-48.44</v>
      </c>
      <c r="C416" s="8">
        <f>IFERROR(B416/B444, "NA")</f>
        <v>-5.3254476250911252E-4</v>
      </c>
      <c r="D416" s="9"/>
      <c r="E416" s="7">
        <v>0</v>
      </c>
      <c r="F416" s="8">
        <f>IFERROR(E416/E444, "NA")</f>
        <v>0</v>
      </c>
      <c r="G416" s="9"/>
      <c r="H416" s="10">
        <f t="shared" si="100"/>
        <v>48.44</v>
      </c>
      <c r="I416" s="8">
        <f>IFERROR(H416/H444, "NA")</f>
        <v>-7.8706765304680116E-3</v>
      </c>
      <c r="J416" s="9"/>
      <c r="K416" s="7">
        <v>-51.75</v>
      </c>
      <c r="L416" s="8">
        <f>IFERROR(K416/K444, "NA")</f>
        <v>-5.4193793234603939E-4</v>
      </c>
      <c r="M416" s="9"/>
      <c r="N416" s="10">
        <f t="shared" si="101"/>
        <v>-3.3100000000000023</v>
      </c>
      <c r="O416" s="8">
        <f>IFERROR(N416/N444, "NA")</f>
        <v>7.3049887997528361E-4</v>
      </c>
      <c r="P416" s="9"/>
      <c r="Q416" s="7">
        <v>-48.44</v>
      </c>
      <c r="R416" s="8">
        <f>IFERROR(Q416/Q444, "NA")</f>
        <v>-5.3254476250911252E-4</v>
      </c>
      <c r="S416" s="9"/>
      <c r="T416" s="7">
        <v>0</v>
      </c>
      <c r="U416" s="8">
        <f>IFERROR(T416/T444, "NA")</f>
        <v>0</v>
      </c>
      <c r="V416" s="9"/>
      <c r="W416" s="10">
        <f t="shared" si="102"/>
        <v>48.44</v>
      </c>
      <c r="X416" s="8">
        <f>IFERROR(W416/W444, "NA")</f>
        <v>-7.8706765304680116E-3</v>
      </c>
      <c r="Y416" s="9"/>
      <c r="Z416" s="7">
        <v>-51.75</v>
      </c>
      <c r="AA416" s="8">
        <f>IFERROR(Z416/Z444, "NA")</f>
        <v>-5.4193793234603939E-4</v>
      </c>
      <c r="AB416" s="9"/>
      <c r="AC416" s="10">
        <f t="shared" si="103"/>
        <v>-3.3100000000000023</v>
      </c>
      <c r="AD416" s="8">
        <f>IFERROR(AC416/AC444, "NA")</f>
        <v>7.3049887997528361E-4</v>
      </c>
    </row>
    <row r="417" spans="1:30" ht="16.5" customHeight="1" x14ac:dyDescent="0.45">
      <c r="A417" s="6" t="s">
        <v>382</v>
      </c>
      <c r="B417" s="7">
        <v>-6.25</v>
      </c>
      <c r="C417" s="8">
        <f>IFERROR(B417/B444, "NA")</f>
        <v>-6.8711906805985824E-5</v>
      </c>
      <c r="D417" s="9"/>
      <c r="E417" s="7">
        <v>0</v>
      </c>
      <c r="F417" s="8">
        <f>IFERROR(E417/E444, "NA")</f>
        <v>0</v>
      </c>
      <c r="G417" s="9"/>
      <c r="H417" s="10">
        <f t="shared" si="100"/>
        <v>6.25</v>
      </c>
      <c r="I417" s="8">
        <f>IFERROR(H417/H444, "NA")</f>
        <v>-1.0155187513506414E-3</v>
      </c>
      <c r="J417" s="9"/>
      <c r="K417" s="7">
        <v>77.180000000000007</v>
      </c>
      <c r="L417" s="8">
        <f>IFERROR(K417/K444, "NA")</f>
        <v>8.0824675591241197E-4</v>
      </c>
      <c r="M417" s="9"/>
      <c r="N417" s="10">
        <f t="shared" si="101"/>
        <v>83.43</v>
      </c>
      <c r="O417" s="8">
        <f>IFERROR(N417/N444, "NA")</f>
        <v>-1.8412544276839238E-2</v>
      </c>
      <c r="P417" s="9"/>
      <c r="Q417" s="7">
        <v>-6.25</v>
      </c>
      <c r="R417" s="8">
        <f>IFERROR(Q417/Q444, "NA")</f>
        <v>-6.8711906805985824E-5</v>
      </c>
      <c r="S417" s="9"/>
      <c r="T417" s="7">
        <v>0</v>
      </c>
      <c r="U417" s="8">
        <f>IFERROR(T417/T444, "NA")</f>
        <v>0</v>
      </c>
      <c r="V417" s="9"/>
      <c r="W417" s="10">
        <f t="shared" si="102"/>
        <v>6.25</v>
      </c>
      <c r="X417" s="8">
        <f>IFERROR(W417/W444, "NA")</f>
        <v>-1.0155187513506414E-3</v>
      </c>
      <c r="Y417" s="9"/>
      <c r="Z417" s="7">
        <v>77.180000000000007</v>
      </c>
      <c r="AA417" s="8">
        <f>IFERROR(Z417/Z444, "NA")</f>
        <v>8.0824675591241197E-4</v>
      </c>
      <c r="AB417" s="9"/>
      <c r="AC417" s="10">
        <f t="shared" si="103"/>
        <v>83.43</v>
      </c>
      <c r="AD417" s="8">
        <f>IFERROR(AC417/AC444, "NA")</f>
        <v>-1.8412544276839238E-2</v>
      </c>
    </row>
    <row r="418" spans="1:30" ht="16.5" hidden="1" customHeight="1" x14ac:dyDescent="0.45">
      <c r="A418" s="6" t="s">
        <v>383</v>
      </c>
      <c r="B418" s="7">
        <v>0</v>
      </c>
      <c r="C418" s="8">
        <f>IFERROR(B418/B444, "NA")</f>
        <v>0</v>
      </c>
      <c r="D418" s="9"/>
      <c r="E418" s="7">
        <v>0</v>
      </c>
      <c r="F418" s="8">
        <f>IFERROR(E418/E444, "NA")</f>
        <v>0</v>
      </c>
      <c r="G418" s="9"/>
      <c r="H418" s="10">
        <f t="shared" si="100"/>
        <v>0</v>
      </c>
      <c r="I418" s="8">
        <f>IFERROR(H418/H444, "NA")</f>
        <v>0</v>
      </c>
      <c r="J418" s="9"/>
      <c r="K418" s="7">
        <v>0</v>
      </c>
      <c r="L418" s="8">
        <f>IFERROR(K418/K444, "NA")</f>
        <v>0</v>
      </c>
      <c r="M418" s="9"/>
      <c r="N418" s="10">
        <f t="shared" si="101"/>
        <v>0</v>
      </c>
      <c r="O418" s="8">
        <f>IFERROR(N418/N444, "NA")</f>
        <v>0</v>
      </c>
      <c r="P418" s="9"/>
      <c r="Q418" s="7">
        <v>0</v>
      </c>
      <c r="R418" s="8">
        <f>IFERROR(Q418/Q444, "NA")</f>
        <v>0</v>
      </c>
      <c r="S418" s="9"/>
      <c r="T418" s="7">
        <v>0</v>
      </c>
      <c r="U418" s="8">
        <f>IFERROR(T418/T444, "NA")</f>
        <v>0</v>
      </c>
      <c r="V418" s="9"/>
      <c r="W418" s="10">
        <f t="shared" si="102"/>
        <v>0</v>
      </c>
      <c r="X418" s="8">
        <f>IFERROR(W418/W444, "NA")</f>
        <v>0</v>
      </c>
      <c r="Y418" s="9"/>
      <c r="Z418" s="7">
        <v>0</v>
      </c>
      <c r="AA418" s="8">
        <f>IFERROR(Z418/Z444, "NA")</f>
        <v>0</v>
      </c>
      <c r="AB418" s="9"/>
      <c r="AC418" s="10">
        <f t="shared" si="103"/>
        <v>0</v>
      </c>
      <c r="AD418" s="8">
        <f>IFERROR(AC418/AC444, "NA")</f>
        <v>0</v>
      </c>
    </row>
    <row r="419" spans="1:30" ht="16.5" hidden="1" customHeight="1" x14ac:dyDescent="0.45">
      <c r="A419" s="6" t="s">
        <v>384</v>
      </c>
      <c r="B419" s="7">
        <v>0</v>
      </c>
      <c r="C419" s="8">
        <f>IFERROR(B419/B444, "NA")</f>
        <v>0</v>
      </c>
      <c r="D419" s="9"/>
      <c r="E419" s="7">
        <v>0</v>
      </c>
      <c r="F419" s="8">
        <f>IFERROR(E419/E444, "NA")</f>
        <v>0</v>
      </c>
      <c r="G419" s="9"/>
      <c r="H419" s="10">
        <f t="shared" si="100"/>
        <v>0</v>
      </c>
      <c r="I419" s="8">
        <f>IFERROR(H419/H444, "NA")</f>
        <v>0</v>
      </c>
      <c r="J419" s="9"/>
      <c r="K419" s="7">
        <v>0</v>
      </c>
      <c r="L419" s="8">
        <f>IFERROR(K419/K444, "NA")</f>
        <v>0</v>
      </c>
      <c r="M419" s="9"/>
      <c r="N419" s="10">
        <f t="shared" si="101"/>
        <v>0</v>
      </c>
      <c r="O419" s="8">
        <f>IFERROR(N419/N444, "NA")</f>
        <v>0</v>
      </c>
      <c r="P419" s="9"/>
      <c r="Q419" s="7">
        <v>0</v>
      </c>
      <c r="R419" s="8">
        <f>IFERROR(Q419/Q444, "NA")</f>
        <v>0</v>
      </c>
      <c r="S419" s="9"/>
      <c r="T419" s="7">
        <v>0</v>
      </c>
      <c r="U419" s="8">
        <f>IFERROR(T419/T444, "NA")</f>
        <v>0</v>
      </c>
      <c r="V419" s="9"/>
      <c r="W419" s="10">
        <f t="shared" si="102"/>
        <v>0</v>
      </c>
      <c r="X419" s="8">
        <f>IFERROR(W419/W444, "NA")</f>
        <v>0</v>
      </c>
      <c r="Y419" s="9"/>
      <c r="Z419" s="7">
        <v>0</v>
      </c>
      <c r="AA419" s="8">
        <f>IFERROR(Z419/Z444, "NA")</f>
        <v>0</v>
      </c>
      <c r="AB419" s="9"/>
      <c r="AC419" s="10">
        <f t="shared" si="103"/>
        <v>0</v>
      </c>
      <c r="AD419" s="8">
        <f>IFERROR(AC419/AC444, "NA")</f>
        <v>0</v>
      </c>
    </row>
    <row r="420" spans="1:30" ht="16.5" hidden="1" customHeight="1" x14ac:dyDescent="0.45">
      <c r="A420" s="6" t="s">
        <v>385</v>
      </c>
      <c r="B420" s="7">
        <v>0</v>
      </c>
      <c r="C420" s="8">
        <f>IFERROR(B420/B444, "NA")</f>
        <v>0</v>
      </c>
      <c r="D420" s="9"/>
      <c r="E420" s="7">
        <v>0</v>
      </c>
      <c r="F420" s="8">
        <f>IFERROR(E420/E444, "NA")</f>
        <v>0</v>
      </c>
      <c r="G420" s="9"/>
      <c r="H420" s="10">
        <f t="shared" si="100"/>
        <v>0</v>
      </c>
      <c r="I420" s="8">
        <f>IFERROR(H420/H444, "NA")</f>
        <v>0</v>
      </c>
      <c r="J420" s="9"/>
      <c r="K420" s="7">
        <v>0</v>
      </c>
      <c r="L420" s="8">
        <f>IFERROR(K420/K444, "NA")</f>
        <v>0</v>
      </c>
      <c r="M420" s="9"/>
      <c r="N420" s="10">
        <f t="shared" si="101"/>
        <v>0</v>
      </c>
      <c r="O420" s="8">
        <f>IFERROR(N420/N444, "NA")</f>
        <v>0</v>
      </c>
      <c r="P420" s="9"/>
      <c r="Q420" s="7">
        <v>0</v>
      </c>
      <c r="R420" s="8">
        <f>IFERROR(Q420/Q444, "NA")</f>
        <v>0</v>
      </c>
      <c r="S420" s="9"/>
      <c r="T420" s="7">
        <v>0</v>
      </c>
      <c r="U420" s="8">
        <f>IFERROR(T420/T444, "NA")</f>
        <v>0</v>
      </c>
      <c r="V420" s="9"/>
      <c r="W420" s="10">
        <f t="shared" si="102"/>
        <v>0</v>
      </c>
      <c r="X420" s="8">
        <f>IFERROR(W420/W444, "NA")</f>
        <v>0</v>
      </c>
      <c r="Y420" s="9"/>
      <c r="Z420" s="7">
        <v>0</v>
      </c>
      <c r="AA420" s="8">
        <f>IFERROR(Z420/Z444, "NA")</f>
        <v>0</v>
      </c>
      <c r="AB420" s="9"/>
      <c r="AC420" s="10">
        <f t="shared" si="103"/>
        <v>0</v>
      </c>
      <c r="AD420" s="8">
        <f>IFERROR(AC420/AC444, "NA")</f>
        <v>0</v>
      </c>
    </row>
    <row r="421" spans="1:30" ht="16.5" hidden="1" customHeight="1" x14ac:dyDescent="0.45">
      <c r="A421" s="6" t="s">
        <v>386</v>
      </c>
      <c r="B421" s="7">
        <v>0</v>
      </c>
      <c r="C421" s="8">
        <f>IFERROR(B421/B444, "NA")</f>
        <v>0</v>
      </c>
      <c r="D421" s="9"/>
      <c r="E421" s="7">
        <v>0</v>
      </c>
      <c r="F421" s="8">
        <f>IFERROR(E421/E444, "NA")</f>
        <v>0</v>
      </c>
      <c r="G421" s="9"/>
      <c r="H421" s="10">
        <f t="shared" si="100"/>
        <v>0</v>
      </c>
      <c r="I421" s="8">
        <f>IFERROR(H421/H444, "NA")</f>
        <v>0</v>
      </c>
      <c r="J421" s="9"/>
      <c r="K421" s="7">
        <v>0</v>
      </c>
      <c r="L421" s="8">
        <f>IFERROR(K421/K444, "NA")</f>
        <v>0</v>
      </c>
      <c r="M421" s="9"/>
      <c r="N421" s="10">
        <f t="shared" si="101"/>
        <v>0</v>
      </c>
      <c r="O421" s="8">
        <f>IFERROR(N421/N444, "NA")</f>
        <v>0</v>
      </c>
      <c r="P421" s="9"/>
      <c r="Q421" s="7">
        <v>0</v>
      </c>
      <c r="R421" s="8">
        <f>IFERROR(Q421/Q444, "NA")</f>
        <v>0</v>
      </c>
      <c r="S421" s="9"/>
      <c r="T421" s="7">
        <v>0</v>
      </c>
      <c r="U421" s="8">
        <f>IFERROR(T421/T444, "NA")</f>
        <v>0</v>
      </c>
      <c r="V421" s="9"/>
      <c r="W421" s="10">
        <f t="shared" si="102"/>
        <v>0</v>
      </c>
      <c r="X421" s="8">
        <f>IFERROR(W421/W444, "NA")</f>
        <v>0</v>
      </c>
      <c r="Y421" s="9"/>
      <c r="Z421" s="7">
        <v>0</v>
      </c>
      <c r="AA421" s="8">
        <f>IFERROR(Z421/Z444, "NA")</f>
        <v>0</v>
      </c>
      <c r="AB421" s="9"/>
      <c r="AC421" s="10">
        <f t="shared" si="103"/>
        <v>0</v>
      </c>
      <c r="AD421" s="8">
        <f>IFERROR(AC421/AC444, "NA")</f>
        <v>0</v>
      </c>
    </row>
    <row r="422" spans="1:30" ht="16.5" hidden="1" customHeight="1" x14ac:dyDescent="0.45">
      <c r="A422" s="6" t="s">
        <v>387</v>
      </c>
      <c r="B422" s="7">
        <v>0</v>
      </c>
      <c r="C422" s="8">
        <f>IFERROR(B422/B444, "NA")</f>
        <v>0</v>
      </c>
      <c r="D422" s="9"/>
      <c r="E422" s="7">
        <v>0</v>
      </c>
      <c r="F422" s="8">
        <f>IFERROR(E422/E444, "NA")</f>
        <v>0</v>
      </c>
      <c r="G422" s="9"/>
      <c r="H422" s="10">
        <f t="shared" si="100"/>
        <v>0</v>
      </c>
      <c r="I422" s="8">
        <f>IFERROR(H422/H444, "NA")</f>
        <v>0</v>
      </c>
      <c r="J422" s="9"/>
      <c r="K422" s="7">
        <v>0</v>
      </c>
      <c r="L422" s="8">
        <f>IFERROR(K422/K444, "NA")</f>
        <v>0</v>
      </c>
      <c r="M422" s="9"/>
      <c r="N422" s="10">
        <f t="shared" si="101"/>
        <v>0</v>
      </c>
      <c r="O422" s="8">
        <f>IFERROR(N422/N444, "NA")</f>
        <v>0</v>
      </c>
      <c r="P422" s="9"/>
      <c r="Q422" s="7">
        <v>0</v>
      </c>
      <c r="R422" s="8">
        <f>IFERROR(Q422/Q444, "NA")</f>
        <v>0</v>
      </c>
      <c r="S422" s="9"/>
      <c r="T422" s="7">
        <v>0</v>
      </c>
      <c r="U422" s="8">
        <f>IFERROR(T422/T444, "NA")</f>
        <v>0</v>
      </c>
      <c r="V422" s="9"/>
      <c r="W422" s="10">
        <f t="shared" si="102"/>
        <v>0</v>
      </c>
      <c r="X422" s="8">
        <f>IFERROR(W422/W444, "NA")</f>
        <v>0</v>
      </c>
      <c r="Y422" s="9"/>
      <c r="Z422" s="7">
        <v>0</v>
      </c>
      <c r="AA422" s="8">
        <f>IFERROR(Z422/Z444, "NA")</f>
        <v>0</v>
      </c>
      <c r="AB422" s="9"/>
      <c r="AC422" s="10">
        <f t="shared" si="103"/>
        <v>0</v>
      </c>
      <c r="AD422" s="8">
        <f>IFERROR(AC422/AC444, "NA")</f>
        <v>0</v>
      </c>
    </row>
    <row r="423" spans="1:30" ht="16.5" hidden="1" customHeight="1" x14ac:dyDescent="0.45">
      <c r="A423" s="6" t="s">
        <v>388</v>
      </c>
      <c r="B423" s="7">
        <v>0</v>
      </c>
      <c r="C423" s="8">
        <f>IFERROR(B423/B444, "NA")</f>
        <v>0</v>
      </c>
      <c r="D423" s="9"/>
      <c r="E423" s="7">
        <v>0</v>
      </c>
      <c r="F423" s="8">
        <f>IFERROR(E423/E444, "NA")</f>
        <v>0</v>
      </c>
      <c r="G423" s="9"/>
      <c r="H423" s="10">
        <f t="shared" si="100"/>
        <v>0</v>
      </c>
      <c r="I423" s="8">
        <f>IFERROR(H423/H444, "NA")</f>
        <v>0</v>
      </c>
      <c r="J423" s="9"/>
      <c r="K423" s="7">
        <v>0</v>
      </c>
      <c r="L423" s="8">
        <f>IFERROR(K423/K444, "NA")</f>
        <v>0</v>
      </c>
      <c r="M423" s="9"/>
      <c r="N423" s="10">
        <f t="shared" si="101"/>
        <v>0</v>
      </c>
      <c r="O423" s="8">
        <f>IFERROR(N423/N444, "NA")</f>
        <v>0</v>
      </c>
      <c r="P423" s="9"/>
      <c r="Q423" s="7">
        <v>0</v>
      </c>
      <c r="R423" s="8">
        <f>IFERROR(Q423/Q444, "NA")</f>
        <v>0</v>
      </c>
      <c r="S423" s="9"/>
      <c r="T423" s="7">
        <v>0</v>
      </c>
      <c r="U423" s="8">
        <f>IFERROR(T423/T444, "NA")</f>
        <v>0</v>
      </c>
      <c r="V423" s="9"/>
      <c r="W423" s="10">
        <f t="shared" si="102"/>
        <v>0</v>
      </c>
      <c r="X423" s="8">
        <f>IFERROR(W423/W444, "NA")</f>
        <v>0</v>
      </c>
      <c r="Y423" s="9"/>
      <c r="Z423" s="7">
        <v>0</v>
      </c>
      <c r="AA423" s="8">
        <f>IFERROR(Z423/Z444, "NA")</f>
        <v>0</v>
      </c>
      <c r="AB423" s="9"/>
      <c r="AC423" s="10">
        <f t="shared" si="103"/>
        <v>0</v>
      </c>
      <c r="AD423" s="8">
        <f>IFERROR(AC423/AC444, "NA")</f>
        <v>0</v>
      </c>
    </row>
    <row r="424" spans="1:30" ht="16.5" hidden="1" customHeight="1" x14ac:dyDescent="0.45">
      <c r="A424" s="6" t="s">
        <v>389</v>
      </c>
      <c r="B424" s="7">
        <v>0</v>
      </c>
      <c r="C424" s="8">
        <f>IFERROR(B424/B444, "NA")</f>
        <v>0</v>
      </c>
      <c r="D424" s="9"/>
      <c r="E424" s="7">
        <v>0</v>
      </c>
      <c r="F424" s="8">
        <f>IFERROR(E424/E444, "NA")</f>
        <v>0</v>
      </c>
      <c r="G424" s="9"/>
      <c r="H424" s="10">
        <f t="shared" si="100"/>
        <v>0</v>
      </c>
      <c r="I424" s="8">
        <f>IFERROR(H424/H444, "NA")</f>
        <v>0</v>
      </c>
      <c r="J424" s="9"/>
      <c r="K424" s="7">
        <v>0</v>
      </c>
      <c r="L424" s="8">
        <f>IFERROR(K424/K444, "NA")</f>
        <v>0</v>
      </c>
      <c r="M424" s="9"/>
      <c r="N424" s="10">
        <f t="shared" si="101"/>
        <v>0</v>
      </c>
      <c r="O424" s="8">
        <f>IFERROR(N424/N444, "NA")</f>
        <v>0</v>
      </c>
      <c r="P424" s="9"/>
      <c r="Q424" s="7">
        <v>0</v>
      </c>
      <c r="R424" s="8">
        <f>IFERROR(Q424/Q444, "NA")</f>
        <v>0</v>
      </c>
      <c r="S424" s="9"/>
      <c r="T424" s="7">
        <v>0</v>
      </c>
      <c r="U424" s="8">
        <f>IFERROR(T424/T444, "NA")</f>
        <v>0</v>
      </c>
      <c r="V424" s="9"/>
      <c r="W424" s="10">
        <f t="shared" si="102"/>
        <v>0</v>
      </c>
      <c r="X424" s="8">
        <f>IFERROR(W424/W444, "NA")</f>
        <v>0</v>
      </c>
      <c r="Y424" s="9"/>
      <c r="Z424" s="7">
        <v>0</v>
      </c>
      <c r="AA424" s="8">
        <f>IFERROR(Z424/Z444, "NA")</f>
        <v>0</v>
      </c>
      <c r="AB424" s="9"/>
      <c r="AC424" s="10">
        <f t="shared" si="103"/>
        <v>0</v>
      </c>
      <c r="AD424" s="8">
        <f>IFERROR(AC424/AC444, "NA")</f>
        <v>0</v>
      </c>
    </row>
    <row r="425" spans="1:30" ht="16.5" hidden="1" customHeight="1" x14ac:dyDescent="0.45">
      <c r="A425" s="6" t="s">
        <v>390</v>
      </c>
      <c r="B425" s="7">
        <v>0</v>
      </c>
      <c r="C425" s="8">
        <f>IFERROR(B425/B444, "NA")</f>
        <v>0</v>
      </c>
      <c r="D425" s="9"/>
      <c r="E425" s="7">
        <v>0</v>
      </c>
      <c r="F425" s="8">
        <f>IFERROR(E425/E444, "NA")</f>
        <v>0</v>
      </c>
      <c r="G425" s="9"/>
      <c r="H425" s="10">
        <f t="shared" si="100"/>
        <v>0</v>
      </c>
      <c r="I425" s="8">
        <f>IFERROR(H425/H444, "NA")</f>
        <v>0</v>
      </c>
      <c r="J425" s="9"/>
      <c r="K425" s="7">
        <v>0</v>
      </c>
      <c r="L425" s="8">
        <f>IFERROR(K425/K444, "NA")</f>
        <v>0</v>
      </c>
      <c r="M425" s="9"/>
      <c r="N425" s="10">
        <f t="shared" si="101"/>
        <v>0</v>
      </c>
      <c r="O425" s="8">
        <f>IFERROR(N425/N444, "NA")</f>
        <v>0</v>
      </c>
      <c r="P425" s="9"/>
      <c r="Q425" s="7">
        <v>0</v>
      </c>
      <c r="R425" s="8">
        <f>IFERROR(Q425/Q444, "NA")</f>
        <v>0</v>
      </c>
      <c r="S425" s="9"/>
      <c r="T425" s="7">
        <v>0</v>
      </c>
      <c r="U425" s="8">
        <f>IFERROR(T425/T444, "NA")</f>
        <v>0</v>
      </c>
      <c r="V425" s="9"/>
      <c r="W425" s="10">
        <f t="shared" si="102"/>
        <v>0</v>
      </c>
      <c r="X425" s="8">
        <f>IFERROR(W425/W444, "NA")</f>
        <v>0</v>
      </c>
      <c r="Y425" s="9"/>
      <c r="Z425" s="7">
        <v>0</v>
      </c>
      <c r="AA425" s="8">
        <f>IFERROR(Z425/Z444, "NA")</f>
        <v>0</v>
      </c>
      <c r="AB425" s="9"/>
      <c r="AC425" s="10">
        <f t="shared" si="103"/>
        <v>0</v>
      </c>
      <c r="AD425" s="8">
        <f>IFERROR(AC425/AC444, "NA")</f>
        <v>0</v>
      </c>
    </row>
    <row r="426" spans="1:30" ht="16.5" hidden="1" customHeight="1" x14ac:dyDescent="0.45">
      <c r="A426" s="6" t="s">
        <v>391</v>
      </c>
      <c r="B426" s="7">
        <v>0</v>
      </c>
      <c r="C426" s="8">
        <f>IFERROR(B426/B444, "NA")</f>
        <v>0</v>
      </c>
      <c r="D426" s="9"/>
      <c r="E426" s="7">
        <v>0</v>
      </c>
      <c r="F426" s="8">
        <f>IFERROR(E426/E444, "NA")</f>
        <v>0</v>
      </c>
      <c r="G426" s="9"/>
      <c r="H426" s="10">
        <f t="shared" si="100"/>
        <v>0</v>
      </c>
      <c r="I426" s="8">
        <f>IFERROR(H426/H444, "NA")</f>
        <v>0</v>
      </c>
      <c r="J426" s="9"/>
      <c r="K426" s="7">
        <v>0</v>
      </c>
      <c r="L426" s="8">
        <f>IFERROR(K426/K444, "NA")</f>
        <v>0</v>
      </c>
      <c r="M426" s="9"/>
      <c r="N426" s="10">
        <f t="shared" si="101"/>
        <v>0</v>
      </c>
      <c r="O426" s="8">
        <f>IFERROR(N426/N444, "NA")</f>
        <v>0</v>
      </c>
      <c r="P426" s="9"/>
      <c r="Q426" s="7">
        <v>0</v>
      </c>
      <c r="R426" s="8">
        <f>IFERROR(Q426/Q444, "NA")</f>
        <v>0</v>
      </c>
      <c r="S426" s="9"/>
      <c r="T426" s="7">
        <v>0</v>
      </c>
      <c r="U426" s="8">
        <f>IFERROR(T426/T444, "NA")</f>
        <v>0</v>
      </c>
      <c r="V426" s="9"/>
      <c r="W426" s="10">
        <f t="shared" si="102"/>
        <v>0</v>
      </c>
      <c r="X426" s="8">
        <f>IFERROR(W426/W444, "NA")</f>
        <v>0</v>
      </c>
      <c r="Y426" s="9"/>
      <c r="Z426" s="7">
        <v>0</v>
      </c>
      <c r="AA426" s="8">
        <f>IFERROR(Z426/Z444, "NA")</f>
        <v>0</v>
      </c>
      <c r="AB426" s="9"/>
      <c r="AC426" s="10">
        <f t="shared" si="103"/>
        <v>0</v>
      </c>
      <c r="AD426" s="8">
        <f>IFERROR(AC426/AC444, "NA")</f>
        <v>0</v>
      </c>
    </row>
    <row r="427" spans="1:30" ht="16.5" hidden="1" customHeight="1" x14ac:dyDescent="0.45">
      <c r="A427" s="6" t="s">
        <v>392</v>
      </c>
      <c r="B427" s="7">
        <v>0</v>
      </c>
      <c r="C427" s="8">
        <f>IFERROR(B427/B444, "NA")</f>
        <v>0</v>
      </c>
      <c r="D427" s="9"/>
      <c r="E427" s="7">
        <v>0</v>
      </c>
      <c r="F427" s="8">
        <f>IFERROR(E427/E444, "NA")</f>
        <v>0</v>
      </c>
      <c r="G427" s="9"/>
      <c r="H427" s="10">
        <f t="shared" si="100"/>
        <v>0</v>
      </c>
      <c r="I427" s="8">
        <f>IFERROR(H427/H444, "NA")</f>
        <v>0</v>
      </c>
      <c r="J427" s="9"/>
      <c r="K427" s="7">
        <v>0</v>
      </c>
      <c r="L427" s="8">
        <f>IFERROR(K427/K444, "NA")</f>
        <v>0</v>
      </c>
      <c r="M427" s="9"/>
      <c r="N427" s="10">
        <f t="shared" si="101"/>
        <v>0</v>
      </c>
      <c r="O427" s="8">
        <f>IFERROR(N427/N444, "NA")</f>
        <v>0</v>
      </c>
      <c r="P427" s="9"/>
      <c r="Q427" s="7">
        <v>0</v>
      </c>
      <c r="R427" s="8">
        <f>IFERROR(Q427/Q444, "NA")</f>
        <v>0</v>
      </c>
      <c r="S427" s="9"/>
      <c r="T427" s="7">
        <v>0</v>
      </c>
      <c r="U427" s="8">
        <f>IFERROR(T427/T444, "NA")</f>
        <v>0</v>
      </c>
      <c r="V427" s="9"/>
      <c r="W427" s="10">
        <f t="shared" si="102"/>
        <v>0</v>
      </c>
      <c r="X427" s="8">
        <f>IFERROR(W427/W444, "NA")</f>
        <v>0</v>
      </c>
      <c r="Y427" s="9"/>
      <c r="Z427" s="7">
        <v>0</v>
      </c>
      <c r="AA427" s="8">
        <f>IFERROR(Z427/Z444, "NA")</f>
        <v>0</v>
      </c>
      <c r="AB427" s="9"/>
      <c r="AC427" s="10">
        <f t="shared" si="103"/>
        <v>0</v>
      </c>
      <c r="AD427" s="8">
        <f>IFERROR(AC427/AC444, "NA")</f>
        <v>0</v>
      </c>
    </row>
    <row r="428" spans="1:30" ht="16.5" customHeight="1" x14ac:dyDescent="0.45">
      <c r="A428" s="19" t="s">
        <v>393</v>
      </c>
      <c r="B428" s="14">
        <f>IFERROR(B407+B408+B409+B410+B411+B412+B413+B414+B415+B416+B417+B418+B419+B420+B421+B422+B423+B424+B425+B426+B427, "NA")</f>
        <v>10594.189999999999</v>
      </c>
      <c r="C428" s="15">
        <f>IFERROR(B428/B444, "NA")</f>
        <v>0.1164715193543851</v>
      </c>
      <c r="D428" s="2"/>
      <c r="E428" s="14">
        <f>IFERROR(E407+E408+E409+E410+E411+E412+E413+E414+E415+E416+E417+E418+E419+E420+E421+E422+E423+E424+E425+E426+E427, "NA")</f>
        <v>9973.0400000000009</v>
      </c>
      <c r="F428" s="15">
        <f>IFERROR(E428/E444, "NA")</f>
        <v>0.10269417441237606</v>
      </c>
      <c r="G428" s="2"/>
      <c r="H428" s="14">
        <f t="shared" si="100"/>
        <v>-621.14999999999782</v>
      </c>
      <c r="I428" s="15">
        <f>IFERROR(H428/H444, "NA")</f>
        <v>0.1009263155842318</v>
      </c>
      <c r="J428" s="2"/>
      <c r="K428" s="14">
        <f>IFERROR(K407+K408+K409+K410+K411+K412+K413+K414+K415+K416+K417+K418+K419+K420+K421+K422+K423+K424+K425+K426+K427, "NA")</f>
        <v>9806.33</v>
      </c>
      <c r="L428" s="15">
        <f>IFERROR(K428/K444, "NA")</f>
        <v>0.10269414887155433</v>
      </c>
      <c r="M428" s="2"/>
      <c r="N428" s="14">
        <f t="shared" si="101"/>
        <v>-787.85999999999876</v>
      </c>
      <c r="O428" s="15">
        <f>IFERROR(N428/N444, "NA")</f>
        <v>0.17387638899617089</v>
      </c>
      <c r="P428" s="2"/>
      <c r="Q428" s="14">
        <f>IFERROR(Q407+Q408+Q409+Q410+Q411+Q412+Q413+Q414+Q415+Q416+Q417+Q418+Q419+Q420+Q421+Q422+Q423+Q424+Q425+Q426+Q427, "NA")</f>
        <v>10594.189999999999</v>
      </c>
      <c r="R428" s="15">
        <f>IFERROR(Q428/Q444, "NA")</f>
        <v>0.1164715193543851</v>
      </c>
      <c r="S428" s="2"/>
      <c r="T428" s="14">
        <f>IFERROR(T407+T408+T409+T410+T411+T412+T413+T414+T415+T416+T417+T418+T419+T420+T421+T422+T423+T424+T425+T426+T427, "NA")</f>
        <v>9973.0400000000009</v>
      </c>
      <c r="U428" s="15">
        <f>IFERROR(T428/T444, "NA")</f>
        <v>0.10269417441237606</v>
      </c>
      <c r="V428" s="2"/>
      <c r="W428" s="14">
        <f t="shared" si="102"/>
        <v>-621.14999999999782</v>
      </c>
      <c r="X428" s="15">
        <f>IFERROR(W428/W444, "NA")</f>
        <v>0.1009263155842318</v>
      </c>
      <c r="Y428" s="2"/>
      <c r="Z428" s="14">
        <f>IFERROR(Z407+Z408+Z409+Z410+Z411+Z412+Z413+Z414+Z415+Z416+Z417+Z418+Z419+Z420+Z421+Z422+Z423+Z424+Z425+Z426+Z427, "NA")</f>
        <v>9806.33</v>
      </c>
      <c r="AA428" s="15">
        <f>IFERROR(Z428/Z444, "NA")</f>
        <v>0.10269414887155433</v>
      </c>
      <c r="AB428" s="2"/>
      <c r="AC428" s="14">
        <f t="shared" si="103"/>
        <v>-787.85999999999876</v>
      </c>
      <c r="AD428" s="15">
        <f>IFERROR(AC428/AC444, "NA")</f>
        <v>0.17387638899617089</v>
      </c>
    </row>
    <row r="429" spans="1:30" ht="16.5" customHeight="1" x14ac:dyDescent="0.45">
      <c r="A429" s="21" t="s">
        <v>394</v>
      </c>
      <c r="B429" s="14">
        <f>IFERROR(B407+B408+B409+B410+B411+B412+B413+B414+B415+B416+B417+B418+B419+B420+B421+B422+B423+B424+B425+B426+B427, "NA")</f>
        <v>10594.189999999999</v>
      </c>
      <c r="C429" s="15">
        <f>IFERROR(B429/B444, "NA")</f>
        <v>0.1164715193543851</v>
      </c>
      <c r="D429" s="2"/>
      <c r="E429" s="14">
        <f>IFERROR(E407+E408+E409+E410+E411+E412+E413+E414+E415+E416+E417+E418+E419+E420+E421+E422+E423+E424+E425+E426+E427, "NA")</f>
        <v>9973.0400000000009</v>
      </c>
      <c r="F429" s="15">
        <f>IFERROR(E429/E444, "NA")</f>
        <v>0.10269417441237606</v>
      </c>
      <c r="G429" s="2"/>
      <c r="H429" s="14">
        <f t="shared" si="100"/>
        <v>-621.14999999999782</v>
      </c>
      <c r="I429" s="15">
        <f>IFERROR(H429/H444, "NA")</f>
        <v>0.1009263155842318</v>
      </c>
      <c r="J429" s="2"/>
      <c r="K429" s="14">
        <f>IFERROR(K407+K408+K409+K410+K411+K412+K413+K414+K415+K416+K417+K418+K419+K420+K421+K422+K423+K424+K425+K426+K427, "NA")</f>
        <v>9806.33</v>
      </c>
      <c r="L429" s="15">
        <f>IFERROR(K429/K444, "NA")</f>
        <v>0.10269414887155433</v>
      </c>
      <c r="M429" s="2"/>
      <c r="N429" s="14">
        <f t="shared" si="101"/>
        <v>-787.85999999999876</v>
      </c>
      <c r="O429" s="15">
        <f>IFERROR(N429/N444, "NA")</f>
        <v>0.17387638899617089</v>
      </c>
      <c r="P429" s="2"/>
      <c r="Q429" s="14">
        <f>IFERROR(Q407+Q408+Q409+Q410+Q411+Q412+Q413+Q414+Q415+Q416+Q417+Q418+Q419+Q420+Q421+Q422+Q423+Q424+Q425+Q426+Q427, "NA")</f>
        <v>10594.189999999999</v>
      </c>
      <c r="R429" s="15">
        <f>IFERROR(Q429/Q444, "NA")</f>
        <v>0.1164715193543851</v>
      </c>
      <c r="S429" s="2"/>
      <c r="T429" s="14">
        <f>IFERROR(T407+T408+T409+T410+T411+T412+T413+T414+T415+T416+T417+T418+T419+T420+T421+T422+T423+T424+T425+T426+T427, "NA")</f>
        <v>9973.0400000000009</v>
      </c>
      <c r="U429" s="15">
        <f>IFERROR(T429/T444, "NA")</f>
        <v>0.10269417441237606</v>
      </c>
      <c r="V429" s="2"/>
      <c r="W429" s="14">
        <f t="shared" si="102"/>
        <v>-621.14999999999782</v>
      </c>
      <c r="X429" s="15">
        <f>IFERROR(W429/W444, "NA")</f>
        <v>0.1009263155842318</v>
      </c>
      <c r="Y429" s="2"/>
      <c r="Z429" s="14">
        <f>IFERROR(Z407+Z408+Z409+Z410+Z411+Z412+Z413+Z414+Z415+Z416+Z417+Z418+Z419+Z420+Z421+Z422+Z423+Z424+Z425+Z426+Z427, "NA")</f>
        <v>9806.33</v>
      </c>
      <c r="AA429" s="15">
        <f>IFERROR(Z429/Z444, "NA")</f>
        <v>0.10269414887155433</v>
      </c>
      <c r="AB429" s="2"/>
      <c r="AC429" s="14">
        <f t="shared" si="103"/>
        <v>-787.85999999999876</v>
      </c>
      <c r="AD429" s="15">
        <f>IFERROR(AC429/AC444, "NA")</f>
        <v>0.17387638899617089</v>
      </c>
    </row>
    <row r="430" spans="1:30" ht="16.5" customHeight="1" x14ac:dyDescent="0.45">
      <c r="A430" s="1" t="s">
        <v>395</v>
      </c>
      <c r="B430" s="2"/>
      <c r="C430" s="3"/>
      <c r="D430" s="4"/>
      <c r="E430" s="2"/>
      <c r="F430" s="3"/>
      <c r="G430" s="4"/>
      <c r="H430" s="2"/>
      <c r="I430" s="3"/>
      <c r="J430" s="4"/>
      <c r="K430" s="2"/>
      <c r="L430" s="3"/>
      <c r="M430" s="4"/>
      <c r="N430" s="2"/>
      <c r="O430" s="3"/>
      <c r="P430" s="4"/>
      <c r="Q430" s="2"/>
      <c r="R430" s="3"/>
      <c r="S430" s="4"/>
      <c r="T430" s="2"/>
      <c r="U430" s="3"/>
      <c r="V430" s="4"/>
      <c r="W430" s="2"/>
      <c r="X430" s="3"/>
      <c r="Y430" s="4"/>
      <c r="Z430" s="2"/>
      <c r="AA430" s="3"/>
      <c r="AB430" s="4"/>
      <c r="AC430" s="2"/>
      <c r="AD430" s="3"/>
    </row>
    <row r="431" spans="1:30" ht="16.5" customHeight="1" x14ac:dyDescent="0.45">
      <c r="A431" s="5" t="s">
        <v>396</v>
      </c>
      <c r="B431" s="2"/>
      <c r="C431" s="3"/>
      <c r="D431" s="4"/>
      <c r="E431" s="2"/>
      <c r="F431" s="3"/>
      <c r="G431" s="4"/>
      <c r="H431" s="2"/>
      <c r="I431" s="3"/>
      <c r="J431" s="4"/>
      <c r="K431" s="2"/>
      <c r="L431" s="3"/>
      <c r="M431" s="4"/>
      <c r="N431" s="2"/>
      <c r="O431" s="3"/>
      <c r="P431" s="4"/>
      <c r="Q431" s="2"/>
      <c r="R431" s="3"/>
      <c r="S431" s="4"/>
      <c r="T431" s="2"/>
      <c r="U431" s="3"/>
      <c r="V431" s="4"/>
      <c r="W431" s="2"/>
      <c r="X431" s="3"/>
      <c r="Y431" s="4"/>
      <c r="Z431" s="2"/>
      <c r="AA431" s="3"/>
      <c r="AB431" s="4"/>
      <c r="AC431" s="2"/>
      <c r="AD431" s="3"/>
    </row>
    <row r="432" spans="1:30" ht="16.5" hidden="1" customHeight="1" x14ac:dyDescent="0.45">
      <c r="A432" s="6" t="s">
        <v>396</v>
      </c>
      <c r="B432" s="7">
        <v>0</v>
      </c>
      <c r="C432" s="8">
        <f>IFERROR(B432/B444, "NA")</f>
        <v>0</v>
      </c>
      <c r="D432" s="9"/>
      <c r="E432" s="7">
        <v>0</v>
      </c>
      <c r="F432" s="8">
        <f>IFERROR(E432/E444, "NA")</f>
        <v>0</v>
      </c>
      <c r="G432" s="9"/>
      <c r="H432" s="10">
        <f t="shared" ref="H432:H442" si="104">IFERROR(-(B432-E432), "NA")</f>
        <v>0</v>
      </c>
      <c r="I432" s="8">
        <f>IFERROR(H432/H444, "NA")</f>
        <v>0</v>
      </c>
      <c r="J432" s="9"/>
      <c r="K432" s="7">
        <v>0</v>
      </c>
      <c r="L432" s="8">
        <f>IFERROR(K432/K444, "NA")</f>
        <v>0</v>
      </c>
      <c r="M432" s="9"/>
      <c r="N432" s="10">
        <f t="shared" ref="N432:N442" si="105">IFERROR(-(B432-K432), "NA")</f>
        <v>0</v>
      </c>
      <c r="O432" s="8">
        <f>IFERROR(N432/N444, "NA")</f>
        <v>0</v>
      </c>
      <c r="P432" s="9"/>
      <c r="Q432" s="7">
        <v>0</v>
      </c>
      <c r="R432" s="8">
        <f>IFERROR(Q432/Q444, "NA")</f>
        <v>0</v>
      </c>
      <c r="S432" s="9"/>
      <c r="T432" s="7">
        <v>0</v>
      </c>
      <c r="U432" s="8">
        <f>IFERROR(T432/T444, "NA")</f>
        <v>0</v>
      </c>
      <c r="V432" s="9"/>
      <c r="W432" s="10">
        <f t="shared" ref="W432:W442" si="106">IFERROR(-(Q432-T432), "NA")</f>
        <v>0</v>
      </c>
      <c r="X432" s="8">
        <f>IFERROR(W432/W444, "NA")</f>
        <v>0</v>
      </c>
      <c r="Y432" s="9"/>
      <c r="Z432" s="7">
        <v>0</v>
      </c>
      <c r="AA432" s="8">
        <f>IFERROR(Z432/Z444, "NA")</f>
        <v>0</v>
      </c>
      <c r="AB432" s="9"/>
      <c r="AC432" s="10">
        <f t="shared" ref="AC432:AC442" si="107">IFERROR(-(Q432-Z432), "NA")</f>
        <v>0</v>
      </c>
      <c r="AD432" s="8">
        <f>IFERROR(AC432/AC444, "NA")</f>
        <v>0</v>
      </c>
    </row>
    <row r="433" spans="1:30" ht="16.5" hidden="1" customHeight="1" x14ac:dyDescent="0.45">
      <c r="A433" s="6" t="s">
        <v>397</v>
      </c>
      <c r="B433" s="7">
        <v>0</v>
      </c>
      <c r="C433" s="8">
        <f>IFERROR(B433/B444, "NA")</f>
        <v>0</v>
      </c>
      <c r="D433" s="9"/>
      <c r="E433" s="7">
        <v>0</v>
      </c>
      <c r="F433" s="8">
        <f>IFERROR(E433/E444, "NA")</f>
        <v>0</v>
      </c>
      <c r="G433" s="9"/>
      <c r="H433" s="10">
        <f t="shared" si="104"/>
        <v>0</v>
      </c>
      <c r="I433" s="8">
        <f>IFERROR(H433/H444, "NA")</f>
        <v>0</v>
      </c>
      <c r="J433" s="9"/>
      <c r="K433" s="7">
        <v>0</v>
      </c>
      <c r="L433" s="8">
        <f>IFERROR(K433/K444, "NA")</f>
        <v>0</v>
      </c>
      <c r="M433" s="9"/>
      <c r="N433" s="10">
        <f t="shared" si="105"/>
        <v>0</v>
      </c>
      <c r="O433" s="8">
        <f>IFERROR(N433/N444, "NA")</f>
        <v>0</v>
      </c>
      <c r="P433" s="9"/>
      <c r="Q433" s="7">
        <v>0</v>
      </c>
      <c r="R433" s="8">
        <f>IFERROR(Q433/Q444, "NA")</f>
        <v>0</v>
      </c>
      <c r="S433" s="9"/>
      <c r="T433" s="7">
        <v>0</v>
      </c>
      <c r="U433" s="8">
        <f>IFERROR(T433/T444, "NA")</f>
        <v>0</v>
      </c>
      <c r="V433" s="9"/>
      <c r="W433" s="10">
        <f t="shared" si="106"/>
        <v>0</v>
      </c>
      <c r="X433" s="8">
        <f>IFERROR(W433/W444, "NA")</f>
        <v>0</v>
      </c>
      <c r="Y433" s="9"/>
      <c r="Z433" s="7">
        <v>0</v>
      </c>
      <c r="AA433" s="8">
        <f>IFERROR(Z433/Z444, "NA")</f>
        <v>0</v>
      </c>
      <c r="AB433" s="9"/>
      <c r="AC433" s="10">
        <f t="shared" si="107"/>
        <v>0</v>
      </c>
      <c r="AD433" s="8">
        <f>IFERROR(AC433/AC444, "NA")</f>
        <v>0</v>
      </c>
    </row>
    <row r="434" spans="1:30" ht="16.5" hidden="1" customHeight="1" x14ac:dyDescent="0.45">
      <c r="A434" s="6" t="s">
        <v>398</v>
      </c>
      <c r="B434" s="7">
        <v>0</v>
      </c>
      <c r="C434" s="8">
        <f>IFERROR(B434/B444, "NA")</f>
        <v>0</v>
      </c>
      <c r="D434" s="9"/>
      <c r="E434" s="7">
        <v>0</v>
      </c>
      <c r="F434" s="8">
        <f>IFERROR(E434/E444, "NA")</f>
        <v>0</v>
      </c>
      <c r="G434" s="9"/>
      <c r="H434" s="10">
        <f t="shared" si="104"/>
        <v>0</v>
      </c>
      <c r="I434" s="8">
        <f>IFERROR(H434/H444, "NA")</f>
        <v>0</v>
      </c>
      <c r="J434" s="9"/>
      <c r="K434" s="7">
        <v>0</v>
      </c>
      <c r="L434" s="8">
        <f>IFERROR(K434/K444, "NA")</f>
        <v>0</v>
      </c>
      <c r="M434" s="9"/>
      <c r="N434" s="10">
        <f t="shared" si="105"/>
        <v>0</v>
      </c>
      <c r="O434" s="8">
        <f>IFERROR(N434/N444, "NA")</f>
        <v>0</v>
      </c>
      <c r="P434" s="9"/>
      <c r="Q434" s="7">
        <v>0</v>
      </c>
      <c r="R434" s="8">
        <f>IFERROR(Q434/Q444, "NA")</f>
        <v>0</v>
      </c>
      <c r="S434" s="9"/>
      <c r="T434" s="7">
        <v>0</v>
      </c>
      <c r="U434" s="8">
        <f>IFERROR(T434/T444, "NA")</f>
        <v>0</v>
      </c>
      <c r="V434" s="9"/>
      <c r="W434" s="10">
        <f t="shared" si="106"/>
        <v>0</v>
      </c>
      <c r="X434" s="8">
        <f>IFERROR(W434/W444, "NA")</f>
        <v>0</v>
      </c>
      <c r="Y434" s="9"/>
      <c r="Z434" s="7">
        <v>0</v>
      </c>
      <c r="AA434" s="8">
        <f>IFERROR(Z434/Z444, "NA")</f>
        <v>0</v>
      </c>
      <c r="AB434" s="9"/>
      <c r="AC434" s="10">
        <f t="shared" si="107"/>
        <v>0</v>
      </c>
      <c r="AD434" s="8">
        <f>IFERROR(AC434/AC444, "NA")</f>
        <v>0</v>
      </c>
    </row>
    <row r="435" spans="1:30" ht="16.5" hidden="1" customHeight="1" x14ac:dyDescent="0.45">
      <c r="A435" s="6" t="s">
        <v>399</v>
      </c>
      <c r="B435" s="7">
        <v>0</v>
      </c>
      <c r="C435" s="8">
        <f>IFERROR(B435/B444, "NA")</f>
        <v>0</v>
      </c>
      <c r="D435" s="9"/>
      <c r="E435" s="7">
        <v>0</v>
      </c>
      <c r="F435" s="8">
        <f>IFERROR(E435/E444, "NA")</f>
        <v>0</v>
      </c>
      <c r="G435" s="9"/>
      <c r="H435" s="10">
        <f t="shared" si="104"/>
        <v>0</v>
      </c>
      <c r="I435" s="8">
        <f>IFERROR(H435/H444, "NA")</f>
        <v>0</v>
      </c>
      <c r="J435" s="9"/>
      <c r="K435" s="7">
        <v>0</v>
      </c>
      <c r="L435" s="8">
        <f>IFERROR(K435/K444, "NA")</f>
        <v>0</v>
      </c>
      <c r="M435" s="9"/>
      <c r="N435" s="10">
        <f t="shared" si="105"/>
        <v>0</v>
      </c>
      <c r="O435" s="8">
        <f>IFERROR(N435/N444, "NA")</f>
        <v>0</v>
      </c>
      <c r="P435" s="9"/>
      <c r="Q435" s="7">
        <v>0</v>
      </c>
      <c r="R435" s="8">
        <f>IFERROR(Q435/Q444, "NA")</f>
        <v>0</v>
      </c>
      <c r="S435" s="9"/>
      <c r="T435" s="7">
        <v>0</v>
      </c>
      <c r="U435" s="8">
        <f>IFERROR(T435/T444, "NA")</f>
        <v>0</v>
      </c>
      <c r="V435" s="9"/>
      <c r="W435" s="10">
        <f t="shared" si="106"/>
        <v>0</v>
      </c>
      <c r="X435" s="8">
        <f>IFERROR(W435/W444, "NA")</f>
        <v>0</v>
      </c>
      <c r="Y435" s="9"/>
      <c r="Z435" s="7">
        <v>0</v>
      </c>
      <c r="AA435" s="8">
        <f>IFERROR(Z435/Z444, "NA")</f>
        <v>0</v>
      </c>
      <c r="AB435" s="9"/>
      <c r="AC435" s="10">
        <f t="shared" si="107"/>
        <v>0</v>
      </c>
      <c r="AD435" s="8">
        <f>IFERROR(AC435/AC444, "NA")</f>
        <v>0</v>
      </c>
    </row>
    <row r="436" spans="1:30" ht="16.5" hidden="1" customHeight="1" x14ac:dyDescent="0.45">
      <c r="A436" s="6" t="s">
        <v>400</v>
      </c>
      <c r="B436" s="7">
        <v>0</v>
      </c>
      <c r="C436" s="8">
        <f>IFERROR(B436/B444, "NA")</f>
        <v>0</v>
      </c>
      <c r="D436" s="9"/>
      <c r="E436" s="7">
        <v>0</v>
      </c>
      <c r="F436" s="8">
        <f>IFERROR(E436/E444, "NA")</f>
        <v>0</v>
      </c>
      <c r="G436" s="9"/>
      <c r="H436" s="10">
        <f t="shared" si="104"/>
        <v>0</v>
      </c>
      <c r="I436" s="8">
        <f>IFERROR(H436/H444, "NA")</f>
        <v>0</v>
      </c>
      <c r="J436" s="9"/>
      <c r="K436" s="7">
        <v>0</v>
      </c>
      <c r="L436" s="8">
        <f>IFERROR(K436/K444, "NA")</f>
        <v>0</v>
      </c>
      <c r="M436" s="9"/>
      <c r="N436" s="10">
        <f t="shared" si="105"/>
        <v>0</v>
      </c>
      <c r="O436" s="8">
        <f>IFERROR(N436/N444, "NA")</f>
        <v>0</v>
      </c>
      <c r="P436" s="9"/>
      <c r="Q436" s="7">
        <v>0</v>
      </c>
      <c r="R436" s="8">
        <f>IFERROR(Q436/Q444, "NA")</f>
        <v>0</v>
      </c>
      <c r="S436" s="9"/>
      <c r="T436" s="7">
        <v>0</v>
      </c>
      <c r="U436" s="8">
        <f>IFERROR(T436/T444, "NA")</f>
        <v>0</v>
      </c>
      <c r="V436" s="9"/>
      <c r="W436" s="10">
        <f t="shared" si="106"/>
        <v>0</v>
      </c>
      <c r="X436" s="8">
        <f>IFERROR(W436/W444, "NA")</f>
        <v>0</v>
      </c>
      <c r="Y436" s="9"/>
      <c r="Z436" s="7">
        <v>0</v>
      </c>
      <c r="AA436" s="8">
        <f>IFERROR(Z436/Z444, "NA")</f>
        <v>0</v>
      </c>
      <c r="AB436" s="9"/>
      <c r="AC436" s="10">
        <f t="shared" si="107"/>
        <v>0</v>
      </c>
      <c r="AD436" s="8">
        <f>IFERROR(AC436/AC444, "NA")</f>
        <v>0</v>
      </c>
    </row>
    <row r="437" spans="1:30" ht="16.5" hidden="1" customHeight="1" x14ac:dyDescent="0.45">
      <c r="A437" s="6" t="s">
        <v>401</v>
      </c>
      <c r="B437" s="7">
        <v>0</v>
      </c>
      <c r="C437" s="8">
        <f>IFERROR(B437/B444, "NA")</f>
        <v>0</v>
      </c>
      <c r="D437" s="9"/>
      <c r="E437" s="7">
        <v>0</v>
      </c>
      <c r="F437" s="8">
        <f>IFERROR(E437/E444, "NA")</f>
        <v>0</v>
      </c>
      <c r="G437" s="9"/>
      <c r="H437" s="10">
        <f t="shared" si="104"/>
        <v>0</v>
      </c>
      <c r="I437" s="8">
        <f>IFERROR(H437/H444, "NA")</f>
        <v>0</v>
      </c>
      <c r="J437" s="9"/>
      <c r="K437" s="7">
        <v>0</v>
      </c>
      <c r="L437" s="8">
        <f>IFERROR(K437/K444, "NA")</f>
        <v>0</v>
      </c>
      <c r="M437" s="9"/>
      <c r="N437" s="10">
        <f t="shared" si="105"/>
        <v>0</v>
      </c>
      <c r="O437" s="8">
        <f>IFERROR(N437/N444, "NA")</f>
        <v>0</v>
      </c>
      <c r="P437" s="9"/>
      <c r="Q437" s="7">
        <v>0</v>
      </c>
      <c r="R437" s="8">
        <f>IFERROR(Q437/Q444, "NA")</f>
        <v>0</v>
      </c>
      <c r="S437" s="9"/>
      <c r="T437" s="7">
        <v>0</v>
      </c>
      <c r="U437" s="8">
        <f>IFERROR(T437/T444, "NA")</f>
        <v>0</v>
      </c>
      <c r="V437" s="9"/>
      <c r="W437" s="10">
        <f t="shared" si="106"/>
        <v>0</v>
      </c>
      <c r="X437" s="8">
        <f>IFERROR(W437/W444, "NA")</f>
        <v>0</v>
      </c>
      <c r="Y437" s="9"/>
      <c r="Z437" s="7">
        <v>0</v>
      </c>
      <c r="AA437" s="8">
        <f>IFERROR(Z437/Z444, "NA")</f>
        <v>0</v>
      </c>
      <c r="AB437" s="9"/>
      <c r="AC437" s="10">
        <f t="shared" si="107"/>
        <v>0</v>
      </c>
      <c r="AD437" s="8">
        <f>IFERROR(AC437/AC444, "NA")</f>
        <v>0</v>
      </c>
    </row>
    <row r="438" spans="1:30" ht="30.75" hidden="1" customHeight="1" x14ac:dyDescent="0.45">
      <c r="A438" s="6" t="s">
        <v>402</v>
      </c>
      <c r="B438" s="7">
        <v>0</v>
      </c>
      <c r="C438" s="8">
        <f>IFERROR(B438/B444, "NA")</f>
        <v>0</v>
      </c>
      <c r="D438" s="9"/>
      <c r="E438" s="7">
        <v>0</v>
      </c>
      <c r="F438" s="8">
        <f>IFERROR(E438/E444, "NA")</f>
        <v>0</v>
      </c>
      <c r="G438" s="9"/>
      <c r="H438" s="10">
        <f t="shared" si="104"/>
        <v>0</v>
      </c>
      <c r="I438" s="8">
        <f>IFERROR(H438/H444, "NA")</f>
        <v>0</v>
      </c>
      <c r="J438" s="9"/>
      <c r="K438" s="7">
        <v>0</v>
      </c>
      <c r="L438" s="8">
        <f>IFERROR(K438/K444, "NA")</f>
        <v>0</v>
      </c>
      <c r="M438" s="9"/>
      <c r="N438" s="10">
        <f t="shared" si="105"/>
        <v>0</v>
      </c>
      <c r="O438" s="8">
        <f>IFERROR(N438/N444, "NA")</f>
        <v>0</v>
      </c>
      <c r="P438" s="9"/>
      <c r="Q438" s="7">
        <v>0</v>
      </c>
      <c r="R438" s="8">
        <f>IFERROR(Q438/Q444, "NA")</f>
        <v>0</v>
      </c>
      <c r="S438" s="9"/>
      <c r="T438" s="7">
        <v>0</v>
      </c>
      <c r="U438" s="8">
        <f>IFERROR(T438/T444, "NA")</f>
        <v>0</v>
      </c>
      <c r="V438" s="9"/>
      <c r="W438" s="10">
        <f t="shared" si="106"/>
        <v>0</v>
      </c>
      <c r="X438" s="8">
        <f>IFERROR(W438/W444, "NA")</f>
        <v>0</v>
      </c>
      <c r="Y438" s="9"/>
      <c r="Z438" s="7">
        <v>0</v>
      </c>
      <c r="AA438" s="8">
        <f>IFERROR(Z438/Z444, "NA")</f>
        <v>0</v>
      </c>
      <c r="AB438" s="9"/>
      <c r="AC438" s="10">
        <f t="shared" si="107"/>
        <v>0</v>
      </c>
      <c r="AD438" s="8">
        <f>IFERROR(AC438/AC444, "NA")</f>
        <v>0</v>
      </c>
    </row>
    <row r="439" spans="1:30" ht="16.5" hidden="1" customHeight="1" x14ac:dyDescent="0.45">
      <c r="A439" s="6" t="s">
        <v>403</v>
      </c>
      <c r="B439" s="7">
        <v>0</v>
      </c>
      <c r="C439" s="8">
        <f>IFERROR(B439/B444, "NA")</f>
        <v>0</v>
      </c>
      <c r="D439" s="9"/>
      <c r="E439" s="7">
        <v>0</v>
      </c>
      <c r="F439" s="8">
        <f>IFERROR(E439/E444, "NA")</f>
        <v>0</v>
      </c>
      <c r="G439" s="9"/>
      <c r="H439" s="10">
        <f t="shared" si="104"/>
        <v>0</v>
      </c>
      <c r="I439" s="8">
        <f>IFERROR(H439/H444, "NA")</f>
        <v>0</v>
      </c>
      <c r="J439" s="9"/>
      <c r="K439" s="7">
        <v>0</v>
      </c>
      <c r="L439" s="8">
        <f>IFERROR(K439/K444, "NA")</f>
        <v>0</v>
      </c>
      <c r="M439" s="9"/>
      <c r="N439" s="10">
        <f t="shared" si="105"/>
        <v>0</v>
      </c>
      <c r="O439" s="8">
        <f>IFERROR(N439/N444, "NA")</f>
        <v>0</v>
      </c>
      <c r="P439" s="9"/>
      <c r="Q439" s="7">
        <v>0</v>
      </c>
      <c r="R439" s="8">
        <f>IFERROR(Q439/Q444, "NA")</f>
        <v>0</v>
      </c>
      <c r="S439" s="9"/>
      <c r="T439" s="7">
        <v>0</v>
      </c>
      <c r="U439" s="8">
        <f>IFERROR(T439/T444, "NA")</f>
        <v>0</v>
      </c>
      <c r="V439" s="9"/>
      <c r="W439" s="10">
        <f t="shared" si="106"/>
        <v>0</v>
      </c>
      <c r="X439" s="8">
        <f>IFERROR(W439/W444, "NA")</f>
        <v>0</v>
      </c>
      <c r="Y439" s="9"/>
      <c r="Z439" s="7">
        <v>0</v>
      </c>
      <c r="AA439" s="8">
        <f>IFERROR(Z439/Z444, "NA")</f>
        <v>0</v>
      </c>
      <c r="AB439" s="9"/>
      <c r="AC439" s="10">
        <f t="shared" si="107"/>
        <v>0</v>
      </c>
      <c r="AD439" s="8">
        <f>IFERROR(AC439/AC444, "NA")</f>
        <v>0</v>
      </c>
    </row>
    <row r="440" spans="1:30" ht="30.75" hidden="1" customHeight="1" x14ac:dyDescent="0.45">
      <c r="A440" s="6" t="s">
        <v>404</v>
      </c>
      <c r="B440" s="7">
        <v>0</v>
      </c>
      <c r="C440" s="8">
        <f>IFERROR(B440/B444, "NA")</f>
        <v>0</v>
      </c>
      <c r="D440" s="9"/>
      <c r="E440" s="7">
        <v>0</v>
      </c>
      <c r="F440" s="8">
        <f>IFERROR(E440/E444, "NA")</f>
        <v>0</v>
      </c>
      <c r="G440" s="9"/>
      <c r="H440" s="10">
        <f t="shared" si="104"/>
        <v>0</v>
      </c>
      <c r="I440" s="8">
        <f>IFERROR(H440/H444, "NA")</f>
        <v>0</v>
      </c>
      <c r="J440" s="9"/>
      <c r="K440" s="7">
        <v>0</v>
      </c>
      <c r="L440" s="8">
        <f>IFERROR(K440/K444, "NA")</f>
        <v>0</v>
      </c>
      <c r="M440" s="9"/>
      <c r="N440" s="10">
        <f t="shared" si="105"/>
        <v>0</v>
      </c>
      <c r="O440" s="8">
        <f>IFERROR(N440/N444, "NA")</f>
        <v>0</v>
      </c>
      <c r="P440" s="9"/>
      <c r="Q440" s="7">
        <v>0</v>
      </c>
      <c r="R440" s="8">
        <f>IFERROR(Q440/Q444, "NA")</f>
        <v>0</v>
      </c>
      <c r="S440" s="9"/>
      <c r="T440" s="7">
        <v>0</v>
      </c>
      <c r="U440" s="8">
        <f>IFERROR(T440/T444, "NA")</f>
        <v>0</v>
      </c>
      <c r="V440" s="9"/>
      <c r="W440" s="10">
        <f t="shared" si="106"/>
        <v>0</v>
      </c>
      <c r="X440" s="8">
        <f>IFERROR(W440/W444, "NA")</f>
        <v>0</v>
      </c>
      <c r="Y440" s="9"/>
      <c r="Z440" s="7">
        <v>0</v>
      </c>
      <c r="AA440" s="8">
        <f>IFERROR(Z440/Z444, "NA")</f>
        <v>0</v>
      </c>
      <c r="AB440" s="9"/>
      <c r="AC440" s="10">
        <f t="shared" si="107"/>
        <v>0</v>
      </c>
      <c r="AD440" s="8">
        <f>IFERROR(AC440/AC444, "NA")</f>
        <v>0</v>
      </c>
    </row>
    <row r="441" spans="1:30" ht="16.5" customHeight="1" x14ac:dyDescent="0.45">
      <c r="A441" s="19" t="s">
        <v>405</v>
      </c>
      <c r="B441" s="14">
        <f>IFERROR(B432+B433+B434+B435+B436+B437+B438+B439+B440, "NA")</f>
        <v>0</v>
      </c>
      <c r="C441" s="15">
        <f>IFERROR(B441/B444, "NA")</f>
        <v>0</v>
      </c>
      <c r="D441" s="2"/>
      <c r="E441" s="14">
        <f>IFERROR(E432+E433+E434+E435+E436+E437+E438+E439+E440, "NA")</f>
        <v>0</v>
      </c>
      <c r="F441" s="15">
        <f>IFERROR(E441/E444, "NA")</f>
        <v>0</v>
      </c>
      <c r="G441" s="2"/>
      <c r="H441" s="14">
        <f t="shared" si="104"/>
        <v>0</v>
      </c>
      <c r="I441" s="15">
        <f>IFERROR(H441/H444, "NA")</f>
        <v>0</v>
      </c>
      <c r="J441" s="2"/>
      <c r="K441" s="14">
        <f>IFERROR(K432+K433+K434+K435+K436+K437+K438+K439+K440, "NA")</f>
        <v>0</v>
      </c>
      <c r="L441" s="15">
        <f>IFERROR(K441/K444, "NA")</f>
        <v>0</v>
      </c>
      <c r="M441" s="2"/>
      <c r="N441" s="14">
        <f t="shared" si="105"/>
        <v>0</v>
      </c>
      <c r="O441" s="15">
        <f>IFERROR(N441/N444, "NA")</f>
        <v>0</v>
      </c>
      <c r="P441" s="2"/>
      <c r="Q441" s="14">
        <f>IFERROR(Q432+Q433+Q434+Q435+Q436+Q437+Q438+Q439+Q440, "NA")</f>
        <v>0</v>
      </c>
      <c r="R441" s="15">
        <f>IFERROR(Q441/Q444, "NA")</f>
        <v>0</v>
      </c>
      <c r="S441" s="2"/>
      <c r="T441" s="14">
        <f>IFERROR(T432+T433+T434+T435+T436+T437+T438+T439+T440, "NA")</f>
        <v>0</v>
      </c>
      <c r="U441" s="15">
        <f>IFERROR(T441/T444, "NA")</f>
        <v>0</v>
      </c>
      <c r="V441" s="2"/>
      <c r="W441" s="14">
        <f t="shared" si="106"/>
        <v>0</v>
      </c>
      <c r="X441" s="15">
        <f>IFERROR(W441/W444, "NA")</f>
        <v>0</v>
      </c>
      <c r="Y441" s="2"/>
      <c r="Z441" s="14">
        <f>IFERROR(Z432+Z433+Z434+Z435+Z436+Z437+Z438+Z439+Z440, "NA")</f>
        <v>0</v>
      </c>
      <c r="AA441" s="15">
        <f>IFERROR(Z441/Z444, "NA")</f>
        <v>0</v>
      </c>
      <c r="AB441" s="2"/>
      <c r="AC441" s="14">
        <f t="shared" si="107"/>
        <v>0</v>
      </c>
      <c r="AD441" s="15">
        <f>IFERROR(AC441/AC444, "NA")</f>
        <v>0</v>
      </c>
    </row>
    <row r="442" spans="1:30" ht="16.5" customHeight="1" x14ac:dyDescent="0.45">
      <c r="A442" s="21" t="s">
        <v>406</v>
      </c>
      <c r="B442" s="14">
        <f>IFERROR(B432+B433+B434+B435+B436+B437+B438+B439+B440, "NA")</f>
        <v>0</v>
      </c>
      <c r="C442" s="15">
        <f>IFERROR(B442/B444, "NA")</f>
        <v>0</v>
      </c>
      <c r="D442" s="2"/>
      <c r="E442" s="14">
        <f>IFERROR(E432+E433+E434+E435+E436+E437+E438+E439+E440, "NA")</f>
        <v>0</v>
      </c>
      <c r="F442" s="15">
        <f>IFERROR(E442/E444, "NA")</f>
        <v>0</v>
      </c>
      <c r="G442" s="2"/>
      <c r="H442" s="14">
        <f t="shared" si="104"/>
        <v>0</v>
      </c>
      <c r="I442" s="15">
        <f>IFERROR(H442/H444, "NA")</f>
        <v>0</v>
      </c>
      <c r="J442" s="2"/>
      <c r="K442" s="14">
        <f>IFERROR(K432+K433+K434+K435+K436+K437+K438+K439+K440, "NA")</f>
        <v>0</v>
      </c>
      <c r="L442" s="15">
        <f>IFERROR(K442/K444, "NA")</f>
        <v>0</v>
      </c>
      <c r="M442" s="2"/>
      <c r="N442" s="14">
        <f t="shared" si="105"/>
        <v>0</v>
      </c>
      <c r="O442" s="15">
        <f>IFERROR(N442/N444, "NA")</f>
        <v>0</v>
      </c>
      <c r="P442" s="2"/>
      <c r="Q442" s="14">
        <f>IFERROR(Q432+Q433+Q434+Q435+Q436+Q437+Q438+Q439+Q440, "NA")</f>
        <v>0</v>
      </c>
      <c r="R442" s="15">
        <f>IFERROR(Q442/Q444, "NA")</f>
        <v>0</v>
      </c>
      <c r="S442" s="2"/>
      <c r="T442" s="14">
        <f>IFERROR(T432+T433+T434+T435+T436+T437+T438+T439+T440, "NA")</f>
        <v>0</v>
      </c>
      <c r="U442" s="15">
        <f>IFERROR(T442/T444, "NA")</f>
        <v>0</v>
      </c>
      <c r="V442" s="2"/>
      <c r="W442" s="14">
        <f t="shared" si="106"/>
        <v>0</v>
      </c>
      <c r="X442" s="15">
        <f>IFERROR(W442/W444, "NA")</f>
        <v>0</v>
      </c>
      <c r="Y442" s="2"/>
      <c r="Z442" s="14">
        <f>IFERROR(Z432+Z433+Z434+Z435+Z436+Z437+Z438+Z439+Z440, "NA")</f>
        <v>0</v>
      </c>
      <c r="AA442" s="15">
        <f>IFERROR(Z442/Z444, "NA")</f>
        <v>0</v>
      </c>
      <c r="AB442" s="2"/>
      <c r="AC442" s="14">
        <f t="shared" si="107"/>
        <v>0</v>
      </c>
      <c r="AD442" s="15">
        <f>IFERROR(AC442/AC444, "NA")</f>
        <v>0</v>
      </c>
    </row>
    <row r="443" spans="1:30" ht="16.5" customHeight="1" x14ac:dyDescent="0.45">
      <c r="A443" s="22" t="s">
        <v>407</v>
      </c>
      <c r="B443" s="23">
        <f>IFERROR(B404-B429-B442, "NA")</f>
        <v>-22993.010000000017</v>
      </c>
      <c r="C443" s="24">
        <f>IFERROR(B443/B444, "NA")</f>
        <v>-0.25278296964945618</v>
      </c>
      <c r="D443" s="25"/>
      <c r="E443" s="23">
        <f>IFERROR(E404-E429-E442, "NA")</f>
        <v>-15929.579999999984</v>
      </c>
      <c r="F443" s="24">
        <f>IFERROR(E443/E444, "NA")</f>
        <v>-0.16402973083792863</v>
      </c>
      <c r="G443" s="25"/>
      <c r="H443" s="23">
        <f>IFERROR(B443-E443, "NA")</f>
        <v>-7063.430000000033</v>
      </c>
      <c r="I443" s="24">
        <f>IFERROR(H443/H444, "NA")</f>
        <v>1.1476872982164312</v>
      </c>
      <c r="J443" s="25"/>
      <c r="K443" s="23">
        <f>IFERROR(K404-K429-K442, "NA")</f>
        <v>-17103.779999999992</v>
      </c>
      <c r="L443" s="24">
        <f>IFERROR(K443/K444, "NA")</f>
        <v>-0.17911472789374949</v>
      </c>
      <c r="M443" s="25"/>
      <c r="N443" s="23">
        <f>IFERROR(B443-K443, "NA")</f>
        <v>-5889.230000000025</v>
      </c>
      <c r="O443" s="24">
        <f>IFERROR(N443/N444, "NA")</f>
        <v>1.2997208214250318</v>
      </c>
      <c r="P443" s="25"/>
      <c r="Q443" s="23">
        <f>IFERROR(Q404-Q429-Q442, "NA")</f>
        <v>-22993.010000000017</v>
      </c>
      <c r="R443" s="24">
        <f>IFERROR(Q443/Q444, "NA")</f>
        <v>-0.25278296964945618</v>
      </c>
      <c r="S443" s="25"/>
      <c r="T443" s="23">
        <f>IFERROR(T404-T429-T442, "NA")</f>
        <v>-15929.579999999984</v>
      </c>
      <c r="U443" s="24">
        <f>IFERROR(T443/T444, "NA")</f>
        <v>-0.16402973083792863</v>
      </c>
      <c r="V443" s="25"/>
      <c r="W443" s="23">
        <f>IFERROR(Q443-T443, "NA")</f>
        <v>-7063.430000000033</v>
      </c>
      <c r="X443" s="24">
        <f>IFERROR(W443/W444, "NA")</f>
        <v>1.1476872982164312</v>
      </c>
      <c r="Y443" s="25"/>
      <c r="Z443" s="23">
        <f>IFERROR(Z404-Z429-Z442, "NA")</f>
        <v>-17103.779999999992</v>
      </c>
      <c r="AA443" s="24">
        <f>IFERROR(Z443/Z444, "NA")</f>
        <v>-0.17911472789374949</v>
      </c>
      <c r="AB443" s="25"/>
      <c r="AC443" s="23">
        <f>IFERROR(Q443-Z443, "NA")</f>
        <v>-5889.230000000025</v>
      </c>
      <c r="AD443" s="24">
        <f>IFERROR(AC443/AC444, "NA")</f>
        <v>1.2997208214250318</v>
      </c>
    </row>
    <row r="444" spans="1:30" ht="15.75" hidden="1" x14ac:dyDescent="0.45">
      <c r="A444" s="26" t="s">
        <v>117</v>
      </c>
      <c r="B444" s="7">
        <v>90959.49</v>
      </c>
      <c r="C444" s="27"/>
      <c r="D444" s="9"/>
      <c r="E444" s="7">
        <v>97113.98</v>
      </c>
      <c r="F444" s="27"/>
      <c r="G444" s="9"/>
      <c r="H444" s="10">
        <f>IFERROR(B444-E444, "NA")</f>
        <v>-6154.4899999999907</v>
      </c>
      <c r="I444" s="27"/>
      <c r="J444" s="9"/>
      <c r="K444" s="7">
        <v>95490.64</v>
      </c>
      <c r="L444" s="27"/>
      <c r="M444" s="9"/>
      <c r="N444" s="10">
        <f>IFERROR(B444-K444, "NA")</f>
        <v>-4531.1499999999942</v>
      </c>
      <c r="O444" s="27"/>
      <c r="P444" s="9"/>
      <c r="Q444" s="7">
        <v>90959.49</v>
      </c>
      <c r="R444" s="27"/>
      <c r="S444" s="9"/>
      <c r="T444" s="7">
        <v>97113.98</v>
      </c>
      <c r="U444" s="27"/>
      <c r="V444" s="9"/>
      <c r="W444" s="10">
        <f>IFERROR(Q444-T444, "NA")</f>
        <v>-6154.4899999999907</v>
      </c>
      <c r="X444" s="27"/>
      <c r="Y444" s="9"/>
      <c r="Z444" s="7">
        <v>95490.64</v>
      </c>
      <c r="AA444" s="27"/>
      <c r="AB444" s="9"/>
      <c r="AC444" s="10">
        <f>IFERROR(Q444-Z444, "NA")</f>
        <v>-4531.1499999999942</v>
      </c>
      <c r="AD444" s="27"/>
    </row>
    <row r="447" spans="1:30" ht="15.75" x14ac:dyDescent="0.5">
      <c r="A447" s="28" t="s">
        <v>408</v>
      </c>
    </row>
    <row r="448" spans="1:30" ht="15.75" x14ac:dyDescent="0.5">
      <c r="A448" s="28" t="s">
        <v>409</v>
      </c>
    </row>
    <row r="449" spans="1:1" ht="15.75" x14ac:dyDescent="0.5">
      <c r="A449" s="28" t="s">
        <v>410</v>
      </c>
    </row>
  </sheetData>
  <mergeCells count="23">
    <mergeCell ref="AB5"/>
    <mergeCell ref="AC5:AD5"/>
    <mergeCell ref="T5:U5"/>
    <mergeCell ref="V5"/>
    <mergeCell ref="W5:X5"/>
    <mergeCell ref="Y5"/>
    <mergeCell ref="Z5:AA5"/>
    <mergeCell ref="A1:AD1"/>
    <mergeCell ref="A2:AD2"/>
    <mergeCell ref="A3:AD3"/>
    <mergeCell ref="A5"/>
    <mergeCell ref="B5:C5"/>
    <mergeCell ref="D5"/>
    <mergeCell ref="E5:F5"/>
    <mergeCell ref="G5"/>
    <mergeCell ref="H5:I5"/>
    <mergeCell ref="J5"/>
    <mergeCell ref="K5:L5"/>
    <mergeCell ref="M5"/>
    <mergeCell ref="N5:O5"/>
    <mergeCell ref="P5"/>
    <mergeCell ref="Q5:R5"/>
    <mergeCell ref="S5"/>
  </mergeCells>
  <pageMargins left="0.7" right="0.7" top="0.75" bottom="0.75" header="0.3" footer="0.3"/>
  <ignoredErrors>
    <ignoredError sqref="A1:AD44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Consolidated</vt:lpstr>
      <vt:lpstr>1 - RASA Worldwide</vt:lpstr>
      <vt:lpstr>2 - RASA - Ballpark</vt:lpstr>
      <vt:lpstr>4 - RASA - MVT</vt:lpstr>
      <vt:lpstr>5 - RASA - National Landin</vt:lpstr>
      <vt:lpstr>6 - RASA - Mosaic</vt:lpstr>
      <vt:lpstr>7 - RASA - Rockville</vt:lpstr>
      <vt:lpstr>'1 - RASA Worldwide'!Print_Titles</vt:lpstr>
      <vt:lpstr>'2 - RASA - Ballpark'!Print_Titles</vt:lpstr>
      <vt:lpstr>'4 - RASA - MVT'!Print_Titles</vt:lpstr>
      <vt:lpstr>'5 - RASA - National Landin'!Print_Titles</vt:lpstr>
      <vt:lpstr>'6 - RASA - Mosaic'!Print_Titles</vt:lpstr>
      <vt:lpstr>'7 - RASA - Rockville'!Print_Titles</vt:lpstr>
      <vt:lpstr>Consolidated!Print_Titles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Trey Moats</cp:lastModifiedBy>
  <dcterms:created xsi:type="dcterms:W3CDTF">2026-04-07T02:05:15Z</dcterms:created>
  <dcterms:modified xsi:type="dcterms:W3CDTF">2026-04-07T02:05:46Z</dcterms:modified>
</cp:coreProperties>
</file>